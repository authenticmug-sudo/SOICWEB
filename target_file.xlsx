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O\2609\"/>
    </mc:Choice>
  </mc:AlternateContent>
  <xr:revisionPtr revIDLastSave="0" documentId="13_ncr:1_{DA951554-D8E2-464F-A25D-86B3E402E35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TOCK" sheetId="11" r:id="rId1"/>
    <sheet name="ALL TOKO (2)" sheetId="2" r:id="rId2"/>
    <sheet name="Sheet1" sheetId="1" r:id="rId3"/>
    <sheet name="Sheet4" sheetId="4" r:id="rId4"/>
    <sheet name="PERSONIL" sheetId="3" r:id="rId5"/>
    <sheet name="MASTER TOKO BALI" sheetId="9" r:id="rId6"/>
    <sheet name="JADWAL" sheetId="5" r:id="rId7"/>
    <sheet name="WILL TOKO SEP" sheetId="13" r:id="rId8"/>
    <sheet name="Sheet2" sheetId="14" r:id="rId9"/>
  </sheets>
  <definedNames>
    <definedName name="_xlnm._FilterDatabase" localSheetId="1" hidden="1">'ALL TOKO (2)'!$A$597:$P$753</definedName>
    <definedName name="_xlnm._FilterDatabase" localSheetId="6" hidden="1">JADWAL!$A$5:$M$5</definedName>
    <definedName name="_xlnm._FilterDatabase" localSheetId="5" hidden="1">'MASTER TOKO BALI'!$A$1:$X$585</definedName>
    <definedName name="_xlnm._FilterDatabase" localSheetId="2" hidden="1">Sheet1!$A$3:$O$436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89" i="9" l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588" i="9"/>
  <c r="H103" i="5"/>
  <c r="H88" i="5"/>
  <c r="H87" i="5"/>
  <c r="H86" i="5"/>
  <c r="H85" i="5"/>
  <c r="H63" i="5"/>
  <c r="H62" i="5"/>
  <c r="P680" i="5"/>
  <c r="P679" i="5"/>
  <c r="P678" i="5"/>
  <c r="P677" i="5"/>
  <c r="P676" i="5"/>
  <c r="P675" i="5"/>
  <c r="P674" i="5"/>
  <c r="P673" i="5"/>
  <c r="P672" i="5"/>
  <c r="P671" i="5"/>
  <c r="P670" i="5"/>
  <c r="P669" i="5"/>
  <c r="P668" i="5"/>
  <c r="P667" i="5"/>
  <c r="P666" i="5"/>
  <c r="P665" i="5"/>
  <c r="P664" i="5"/>
  <c r="P663" i="5"/>
  <c r="P662" i="5"/>
  <c r="P661" i="5"/>
  <c r="P660" i="5"/>
  <c r="P659" i="5"/>
  <c r="P658" i="5"/>
  <c r="P657" i="5"/>
  <c r="P656" i="5"/>
  <c r="P655" i="5"/>
  <c r="P654" i="5"/>
  <c r="P653" i="5"/>
  <c r="P652" i="5"/>
  <c r="P651" i="5"/>
  <c r="P650" i="5"/>
  <c r="P649" i="5"/>
  <c r="P648" i="5"/>
  <c r="P647" i="5"/>
  <c r="P646" i="5"/>
  <c r="P645" i="5"/>
  <c r="P644" i="5"/>
  <c r="P643" i="5"/>
  <c r="P642" i="5"/>
  <c r="P641" i="5"/>
  <c r="P640" i="5"/>
  <c r="P639" i="5"/>
  <c r="P638" i="5"/>
  <c r="P637" i="5"/>
  <c r="P636" i="5"/>
  <c r="P635" i="5"/>
  <c r="P634" i="5"/>
  <c r="P633" i="5"/>
  <c r="P632" i="5"/>
  <c r="P631" i="5"/>
  <c r="P630" i="5"/>
  <c r="P629" i="5"/>
  <c r="P628" i="5"/>
  <c r="P627" i="5"/>
  <c r="P626" i="5"/>
  <c r="P625" i="5"/>
  <c r="P624" i="5"/>
  <c r="P623" i="5"/>
  <c r="P622" i="5"/>
  <c r="P621" i="5"/>
  <c r="P620" i="5"/>
  <c r="P619" i="5"/>
  <c r="P618" i="5"/>
  <c r="P617" i="5"/>
  <c r="P616" i="5"/>
  <c r="P615" i="5"/>
  <c r="P614" i="5"/>
  <c r="P613" i="5"/>
  <c r="P612" i="5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N680" i="5"/>
  <c r="N679" i="5"/>
  <c r="N678" i="5"/>
  <c r="N677" i="5"/>
  <c r="N676" i="5"/>
  <c r="N675" i="5"/>
  <c r="N674" i="5"/>
  <c r="N673" i="5"/>
  <c r="N672" i="5"/>
  <c r="N671" i="5"/>
  <c r="N670" i="5"/>
  <c r="N669" i="5"/>
  <c r="N668" i="5"/>
  <c r="N667" i="5"/>
  <c r="N666" i="5"/>
  <c r="N665" i="5"/>
  <c r="N664" i="5"/>
  <c r="N663" i="5"/>
  <c r="N662" i="5"/>
  <c r="N661" i="5"/>
  <c r="N660" i="5"/>
  <c r="N659" i="5"/>
  <c r="N658" i="5"/>
  <c r="N657" i="5"/>
  <c r="N656" i="5"/>
  <c r="N655" i="5"/>
  <c r="N654" i="5"/>
  <c r="N653" i="5"/>
  <c r="N652" i="5"/>
  <c r="N651" i="5"/>
  <c r="N650" i="5"/>
  <c r="N649" i="5"/>
  <c r="N648" i="5"/>
  <c r="N647" i="5"/>
  <c r="N646" i="5"/>
  <c r="N645" i="5"/>
  <c r="N644" i="5"/>
  <c r="N643" i="5"/>
  <c r="N642" i="5"/>
  <c r="N641" i="5"/>
  <c r="N640" i="5"/>
  <c r="N639" i="5"/>
  <c r="N638" i="5"/>
  <c r="N637" i="5"/>
  <c r="N636" i="5"/>
  <c r="N635" i="5"/>
  <c r="N634" i="5"/>
  <c r="N633" i="5"/>
  <c r="N632" i="5"/>
  <c r="N631" i="5"/>
  <c r="N630" i="5"/>
  <c r="N629" i="5"/>
  <c r="N628" i="5"/>
  <c r="N627" i="5"/>
  <c r="N626" i="5"/>
  <c r="N625" i="5"/>
  <c r="N624" i="5"/>
  <c r="N623" i="5"/>
  <c r="N622" i="5"/>
  <c r="N621" i="5"/>
  <c r="N620" i="5"/>
  <c r="N619" i="5"/>
  <c r="N618" i="5"/>
  <c r="N617" i="5"/>
  <c r="N616" i="5"/>
  <c r="N615" i="5"/>
  <c r="N614" i="5"/>
  <c r="N613" i="5"/>
  <c r="N612" i="5"/>
  <c r="N611" i="5"/>
  <c r="N610" i="5"/>
  <c r="N609" i="5"/>
  <c r="N608" i="5"/>
  <c r="N607" i="5"/>
  <c r="N606" i="5"/>
  <c r="N605" i="5"/>
  <c r="N604" i="5"/>
  <c r="N603" i="5"/>
  <c r="N602" i="5"/>
  <c r="N601" i="5"/>
  <c r="N600" i="5"/>
  <c r="N599" i="5"/>
  <c r="N598" i="5"/>
  <c r="N597" i="5"/>
  <c r="N596" i="5"/>
  <c r="N595" i="5"/>
  <c r="N594" i="5"/>
  <c r="N593" i="5"/>
  <c r="N592" i="5"/>
  <c r="N591" i="5"/>
  <c r="N590" i="5"/>
  <c r="N589" i="5"/>
  <c r="N588" i="5"/>
  <c r="N587" i="5"/>
  <c r="N586" i="5"/>
  <c r="N585" i="5"/>
  <c r="N584" i="5"/>
  <c r="N583" i="5"/>
  <c r="N582" i="5"/>
  <c r="N581" i="5"/>
  <c r="N580" i="5"/>
  <c r="N579" i="5"/>
  <c r="N578" i="5"/>
  <c r="N577" i="5"/>
  <c r="N576" i="5"/>
  <c r="N575" i="5"/>
  <c r="N574" i="5"/>
  <c r="N573" i="5"/>
  <c r="N572" i="5"/>
  <c r="N571" i="5"/>
  <c r="N570" i="5"/>
  <c r="N569" i="5"/>
  <c r="N568" i="5"/>
  <c r="N567" i="5"/>
  <c r="N566" i="5"/>
  <c r="N565" i="5"/>
  <c r="N564" i="5"/>
  <c r="N563" i="5"/>
  <c r="N562" i="5"/>
  <c r="N561" i="5"/>
  <c r="N560" i="5"/>
  <c r="N559" i="5"/>
  <c r="N558" i="5"/>
  <c r="N557" i="5"/>
  <c r="N556" i="5"/>
  <c r="N555" i="5"/>
  <c r="N554" i="5"/>
  <c r="N553" i="5"/>
  <c r="N552" i="5"/>
  <c r="N551" i="5"/>
  <c r="N550" i="5"/>
  <c r="N549" i="5"/>
  <c r="N548" i="5"/>
  <c r="N547" i="5"/>
  <c r="N546" i="5"/>
  <c r="N545" i="5"/>
  <c r="N544" i="5"/>
  <c r="N543" i="5"/>
  <c r="N542" i="5"/>
  <c r="N541" i="5"/>
  <c r="N540" i="5"/>
  <c r="N539" i="5"/>
  <c r="N538" i="5"/>
  <c r="N537" i="5"/>
  <c r="N536" i="5"/>
  <c r="N535" i="5"/>
  <c r="N534" i="5"/>
  <c r="N533" i="5"/>
  <c r="N532" i="5"/>
  <c r="N531" i="5"/>
  <c r="N530" i="5"/>
  <c r="N529" i="5"/>
  <c r="N528" i="5"/>
  <c r="N527" i="5"/>
  <c r="N526" i="5"/>
  <c r="N525" i="5"/>
  <c r="N524" i="5"/>
  <c r="N523" i="5"/>
  <c r="N522" i="5"/>
  <c r="N521" i="5"/>
  <c r="N520" i="5"/>
  <c r="N519" i="5"/>
  <c r="N518" i="5"/>
  <c r="N517" i="5"/>
  <c r="N516" i="5"/>
  <c r="N515" i="5"/>
  <c r="N514" i="5"/>
  <c r="N513" i="5"/>
  <c r="N512" i="5"/>
  <c r="N511" i="5"/>
  <c r="N510" i="5"/>
  <c r="N509" i="5"/>
  <c r="N508" i="5"/>
  <c r="N507" i="5"/>
  <c r="N506" i="5"/>
  <c r="N505" i="5"/>
  <c r="N504" i="5"/>
  <c r="N503" i="5"/>
  <c r="N502" i="5"/>
  <c r="N501" i="5"/>
  <c r="N500" i="5"/>
  <c r="N499" i="5"/>
  <c r="N498" i="5"/>
  <c r="N497" i="5"/>
  <c r="N496" i="5"/>
  <c r="N495" i="5"/>
  <c r="N494" i="5"/>
  <c r="N493" i="5"/>
  <c r="N492" i="5"/>
  <c r="N491" i="5"/>
  <c r="N490" i="5"/>
  <c r="N489" i="5"/>
  <c r="N488" i="5"/>
  <c r="N487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2" i="5"/>
  <c r="N471" i="5"/>
  <c r="N470" i="5"/>
  <c r="N469" i="5"/>
  <c r="N468" i="5"/>
  <c r="N467" i="5"/>
  <c r="N466" i="5"/>
  <c r="N465" i="5"/>
  <c r="N464" i="5"/>
  <c r="N463" i="5"/>
  <c r="N462" i="5"/>
  <c r="N461" i="5"/>
  <c r="N460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K743" i="9"/>
  <c r="K742" i="9"/>
  <c r="K741" i="9"/>
  <c r="K740" i="9"/>
  <c r="K739" i="9"/>
  <c r="K738" i="9"/>
  <c r="K737" i="9"/>
  <c r="K736" i="9"/>
  <c r="K735" i="9"/>
  <c r="K734" i="9"/>
  <c r="K733" i="9"/>
  <c r="K732" i="9"/>
  <c r="K731" i="9"/>
  <c r="K730" i="9"/>
  <c r="K729" i="9"/>
  <c r="K728" i="9"/>
  <c r="K727" i="9"/>
  <c r="K726" i="9"/>
  <c r="K725" i="9"/>
  <c r="K724" i="9"/>
  <c r="K723" i="9"/>
  <c r="K722" i="9"/>
  <c r="K721" i="9"/>
  <c r="K720" i="9"/>
  <c r="K719" i="9"/>
  <c r="K718" i="9"/>
  <c r="K717" i="9"/>
  <c r="K716" i="9"/>
  <c r="K715" i="9"/>
  <c r="K714" i="9"/>
  <c r="K713" i="9"/>
  <c r="K712" i="9"/>
  <c r="K711" i="9"/>
  <c r="K710" i="9"/>
  <c r="K709" i="9"/>
  <c r="K708" i="9"/>
  <c r="K707" i="9"/>
  <c r="K706" i="9"/>
  <c r="K705" i="9"/>
  <c r="K704" i="9"/>
  <c r="K703" i="9"/>
  <c r="K702" i="9"/>
  <c r="K701" i="9"/>
  <c r="K700" i="9"/>
  <c r="K699" i="9"/>
  <c r="K698" i="9"/>
  <c r="K697" i="9"/>
  <c r="K696" i="9"/>
  <c r="K695" i="9"/>
  <c r="K694" i="9"/>
  <c r="K693" i="9"/>
  <c r="K692" i="9"/>
  <c r="K691" i="9"/>
  <c r="K690" i="9"/>
  <c r="K689" i="9"/>
  <c r="K688" i="9"/>
  <c r="K687" i="9"/>
  <c r="K686" i="9"/>
  <c r="K685" i="9"/>
  <c r="K684" i="9"/>
  <c r="K683" i="9"/>
  <c r="K682" i="9"/>
  <c r="K681" i="9"/>
  <c r="K680" i="9"/>
  <c r="K679" i="9"/>
  <c r="K678" i="9"/>
  <c r="K677" i="9"/>
  <c r="K676" i="9"/>
  <c r="K675" i="9"/>
  <c r="K674" i="9"/>
  <c r="K673" i="9"/>
  <c r="K672" i="9"/>
  <c r="K671" i="9"/>
  <c r="K670" i="9"/>
  <c r="K669" i="9"/>
  <c r="K668" i="9"/>
  <c r="K667" i="9"/>
  <c r="K666" i="9"/>
  <c r="K665" i="9"/>
  <c r="K664" i="9"/>
  <c r="K663" i="9"/>
  <c r="K662" i="9"/>
  <c r="K661" i="9"/>
  <c r="K660" i="9"/>
  <c r="K659" i="9"/>
  <c r="K658" i="9"/>
  <c r="K657" i="9"/>
  <c r="K656" i="9"/>
  <c r="K655" i="9"/>
  <c r="K654" i="9"/>
  <c r="K653" i="9"/>
  <c r="K652" i="9"/>
  <c r="K651" i="9"/>
  <c r="K650" i="9"/>
  <c r="K649" i="9"/>
  <c r="K648" i="9"/>
  <c r="K647" i="9"/>
  <c r="K646" i="9"/>
  <c r="K645" i="9"/>
  <c r="K644" i="9"/>
  <c r="K643" i="9"/>
  <c r="K642" i="9"/>
  <c r="K641" i="9"/>
  <c r="K640" i="9"/>
  <c r="K639" i="9"/>
  <c r="K638" i="9"/>
  <c r="K637" i="9"/>
  <c r="K636" i="9"/>
  <c r="K635" i="9"/>
  <c r="K634" i="9"/>
  <c r="K633" i="9"/>
  <c r="K632" i="9"/>
  <c r="K631" i="9"/>
  <c r="K630" i="9"/>
  <c r="K629" i="9"/>
  <c r="K628" i="9"/>
  <c r="K627" i="9"/>
  <c r="K626" i="9"/>
  <c r="K625" i="9"/>
  <c r="K624" i="9"/>
  <c r="K623" i="9"/>
  <c r="K622" i="9"/>
  <c r="K621" i="9"/>
  <c r="K620" i="9"/>
  <c r="K619" i="9"/>
  <c r="K618" i="9"/>
  <c r="K617" i="9"/>
  <c r="K616" i="9"/>
  <c r="K615" i="9"/>
  <c r="K614" i="9"/>
  <c r="K613" i="9"/>
  <c r="K612" i="9"/>
  <c r="K611" i="9"/>
  <c r="K610" i="9"/>
  <c r="K609" i="9"/>
  <c r="K608" i="9"/>
  <c r="K607" i="9"/>
  <c r="K606" i="9"/>
  <c r="K605" i="9"/>
  <c r="K604" i="9"/>
  <c r="K603" i="9"/>
  <c r="K602" i="9"/>
  <c r="K601" i="9"/>
  <c r="K600" i="9"/>
  <c r="K599" i="9"/>
  <c r="K598" i="9"/>
  <c r="K597" i="9"/>
  <c r="K596" i="9"/>
  <c r="K595" i="9"/>
  <c r="K594" i="9"/>
  <c r="K593" i="9"/>
  <c r="K592" i="9"/>
  <c r="K591" i="9"/>
  <c r="K590" i="9"/>
  <c r="K589" i="9"/>
  <c r="K588" i="9"/>
  <c r="K587" i="9"/>
  <c r="K585" i="9"/>
  <c r="K584" i="9"/>
  <c r="K583" i="9"/>
  <c r="K582" i="9"/>
  <c r="K581" i="9"/>
  <c r="K580" i="9"/>
  <c r="K579" i="9"/>
  <c r="K578" i="9"/>
  <c r="K577" i="9"/>
  <c r="K576" i="9"/>
  <c r="K575" i="9"/>
  <c r="K574" i="9"/>
  <c r="K573" i="9"/>
  <c r="K572" i="9"/>
  <c r="K571" i="9"/>
  <c r="K570" i="9"/>
  <c r="K569" i="9"/>
  <c r="K568" i="9"/>
  <c r="K567" i="9"/>
  <c r="K566" i="9"/>
  <c r="K565" i="9"/>
  <c r="K564" i="9"/>
  <c r="K563" i="9"/>
  <c r="K562" i="9"/>
  <c r="K561" i="9"/>
  <c r="K560" i="9"/>
  <c r="K559" i="9"/>
  <c r="K558" i="9"/>
  <c r="K557" i="9"/>
  <c r="K556" i="9"/>
  <c r="K555" i="9"/>
  <c r="K554" i="9"/>
  <c r="K553" i="9"/>
  <c r="K552" i="9"/>
  <c r="K551" i="9"/>
  <c r="K550" i="9"/>
  <c r="K549" i="9"/>
  <c r="K548" i="9"/>
  <c r="K547" i="9"/>
  <c r="K546" i="9"/>
  <c r="K545" i="9"/>
  <c r="K544" i="9"/>
  <c r="K543" i="9"/>
  <c r="K542" i="9"/>
  <c r="K541" i="9"/>
  <c r="K540" i="9"/>
  <c r="K539" i="9"/>
  <c r="K538" i="9"/>
  <c r="K537" i="9"/>
  <c r="K536" i="9"/>
  <c r="K535" i="9"/>
  <c r="K534" i="9"/>
  <c r="K533" i="9"/>
  <c r="K532" i="9"/>
  <c r="K531" i="9"/>
  <c r="K530" i="9"/>
  <c r="K529" i="9"/>
  <c r="K528" i="9"/>
  <c r="K527" i="9"/>
  <c r="K526" i="9"/>
  <c r="K525" i="9"/>
  <c r="K524" i="9"/>
  <c r="K523" i="9"/>
  <c r="K522" i="9"/>
  <c r="K521" i="9"/>
  <c r="K520" i="9"/>
  <c r="K519" i="9"/>
  <c r="K518" i="9"/>
  <c r="K517" i="9"/>
  <c r="K516" i="9"/>
  <c r="K515" i="9"/>
  <c r="K514" i="9"/>
  <c r="K513" i="9"/>
  <c r="K512" i="9"/>
  <c r="K511" i="9"/>
  <c r="K510" i="9"/>
  <c r="K509" i="9"/>
  <c r="K508" i="9"/>
  <c r="K507" i="9"/>
  <c r="K506" i="9"/>
  <c r="K505" i="9"/>
  <c r="K504" i="9"/>
  <c r="K503" i="9"/>
  <c r="K502" i="9"/>
  <c r="K501" i="9"/>
  <c r="K500" i="9"/>
  <c r="K499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R585" i="9"/>
  <c r="R584" i="9"/>
  <c r="R583" i="9"/>
  <c r="R582" i="9"/>
  <c r="R581" i="9"/>
  <c r="R580" i="9"/>
  <c r="R579" i="9"/>
  <c r="R578" i="9"/>
  <c r="R577" i="9"/>
  <c r="R576" i="9"/>
  <c r="R575" i="9"/>
  <c r="R574" i="9"/>
  <c r="R573" i="9"/>
  <c r="R572" i="9"/>
  <c r="R571" i="9"/>
  <c r="R570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7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3" i="9"/>
  <c r="R542" i="9"/>
  <c r="R541" i="9"/>
  <c r="R540" i="9"/>
  <c r="R539" i="9"/>
  <c r="R538" i="9"/>
  <c r="R537" i="9"/>
  <c r="R536" i="9"/>
  <c r="R535" i="9"/>
  <c r="R534" i="9"/>
  <c r="R533" i="9"/>
  <c r="R532" i="9"/>
  <c r="R531" i="9"/>
  <c r="R530" i="9"/>
  <c r="R529" i="9"/>
  <c r="R528" i="9"/>
  <c r="R527" i="9"/>
  <c r="R526" i="9"/>
  <c r="R525" i="9"/>
  <c r="R524" i="9"/>
  <c r="R523" i="9"/>
  <c r="R522" i="9"/>
  <c r="R521" i="9"/>
  <c r="R520" i="9"/>
  <c r="R519" i="9"/>
  <c r="R518" i="9"/>
  <c r="R517" i="9"/>
  <c r="R516" i="9"/>
  <c r="R515" i="9"/>
  <c r="R514" i="9"/>
  <c r="R513" i="9"/>
  <c r="R512" i="9"/>
  <c r="R511" i="9"/>
  <c r="R510" i="9"/>
  <c r="R509" i="9"/>
  <c r="R508" i="9"/>
  <c r="R507" i="9"/>
  <c r="R506" i="9"/>
  <c r="R505" i="9"/>
  <c r="R504" i="9"/>
  <c r="R503" i="9"/>
  <c r="R502" i="9"/>
  <c r="R501" i="9"/>
  <c r="R500" i="9"/>
  <c r="R499" i="9"/>
  <c r="R498" i="9"/>
  <c r="R497" i="9"/>
  <c r="R496" i="9"/>
  <c r="R495" i="9"/>
  <c r="R494" i="9"/>
  <c r="R493" i="9"/>
  <c r="R492" i="9"/>
  <c r="R491" i="9"/>
  <c r="R490" i="9"/>
  <c r="R489" i="9"/>
  <c r="R488" i="9"/>
  <c r="R487" i="9"/>
  <c r="R486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71" i="9"/>
  <c r="R470" i="9"/>
  <c r="R469" i="9"/>
  <c r="R468" i="9"/>
  <c r="R467" i="9"/>
  <c r="R466" i="9"/>
  <c r="R465" i="9"/>
  <c r="R464" i="9"/>
  <c r="R463" i="9"/>
  <c r="R462" i="9"/>
  <c r="R461" i="9"/>
  <c r="R460" i="9"/>
  <c r="R459" i="9"/>
  <c r="R458" i="9"/>
  <c r="R457" i="9"/>
  <c r="R456" i="9"/>
  <c r="R455" i="9"/>
  <c r="R454" i="9"/>
  <c r="R453" i="9"/>
  <c r="R452" i="9"/>
  <c r="R451" i="9"/>
  <c r="R450" i="9"/>
  <c r="R449" i="9"/>
  <c r="R448" i="9"/>
  <c r="R447" i="9"/>
  <c r="R446" i="9"/>
  <c r="R445" i="9"/>
  <c r="R444" i="9"/>
  <c r="R443" i="9"/>
  <c r="R442" i="9"/>
  <c r="R441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8" i="9"/>
  <c r="R427" i="9"/>
  <c r="R426" i="9"/>
  <c r="R425" i="9"/>
  <c r="R424" i="9"/>
  <c r="R423" i="9"/>
  <c r="R422" i="9"/>
  <c r="R421" i="9"/>
  <c r="R420" i="9"/>
  <c r="R419" i="9"/>
  <c r="R418" i="9"/>
  <c r="R417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2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R743" i="9"/>
  <c r="R742" i="9"/>
  <c r="R741" i="9"/>
  <c r="R740" i="9"/>
  <c r="R739" i="9"/>
  <c r="R738" i="9"/>
  <c r="R737" i="9"/>
  <c r="R736" i="9"/>
  <c r="R735" i="9"/>
  <c r="R734" i="9"/>
  <c r="R733" i="9"/>
  <c r="R732" i="9"/>
  <c r="R731" i="9"/>
  <c r="R730" i="9"/>
  <c r="R729" i="9"/>
  <c r="R728" i="9"/>
  <c r="R727" i="9"/>
  <c r="R726" i="9"/>
  <c r="R725" i="9"/>
  <c r="R724" i="9"/>
  <c r="R723" i="9"/>
  <c r="R722" i="9"/>
  <c r="R721" i="9"/>
  <c r="R720" i="9"/>
  <c r="R719" i="9"/>
  <c r="R718" i="9"/>
  <c r="R717" i="9"/>
  <c r="R716" i="9"/>
  <c r="R715" i="9"/>
  <c r="R714" i="9"/>
  <c r="R713" i="9"/>
  <c r="R712" i="9"/>
  <c r="R711" i="9"/>
  <c r="R710" i="9"/>
  <c r="R709" i="9"/>
  <c r="R708" i="9"/>
  <c r="R707" i="9"/>
  <c r="R706" i="9"/>
  <c r="R705" i="9"/>
  <c r="R704" i="9"/>
  <c r="R703" i="9"/>
  <c r="R702" i="9"/>
  <c r="R701" i="9"/>
  <c r="R700" i="9"/>
  <c r="R699" i="9"/>
  <c r="R698" i="9"/>
  <c r="R697" i="9"/>
  <c r="R696" i="9"/>
  <c r="R695" i="9"/>
  <c r="R694" i="9"/>
  <c r="R693" i="9"/>
  <c r="R692" i="9"/>
  <c r="R691" i="9"/>
  <c r="R690" i="9"/>
  <c r="R689" i="9"/>
  <c r="R688" i="9"/>
  <c r="R687" i="9"/>
  <c r="R686" i="9"/>
  <c r="R685" i="9"/>
  <c r="R684" i="9"/>
  <c r="R683" i="9"/>
  <c r="R682" i="9"/>
  <c r="R681" i="9"/>
  <c r="R680" i="9"/>
  <c r="R679" i="9"/>
  <c r="R678" i="9"/>
  <c r="R677" i="9"/>
  <c r="R676" i="9"/>
  <c r="R675" i="9"/>
  <c r="R674" i="9"/>
  <c r="R673" i="9"/>
  <c r="R672" i="9"/>
  <c r="R671" i="9"/>
  <c r="R670" i="9"/>
  <c r="R669" i="9"/>
  <c r="R668" i="9"/>
  <c r="R667" i="9"/>
  <c r="R666" i="9"/>
  <c r="R665" i="9"/>
  <c r="R664" i="9"/>
  <c r="R663" i="9"/>
  <c r="R662" i="9"/>
  <c r="R661" i="9"/>
  <c r="R660" i="9"/>
  <c r="R659" i="9"/>
  <c r="R658" i="9"/>
  <c r="R657" i="9"/>
  <c r="R656" i="9"/>
  <c r="R655" i="9"/>
  <c r="R654" i="9"/>
  <c r="R653" i="9"/>
  <c r="R652" i="9"/>
  <c r="R651" i="9"/>
  <c r="R650" i="9"/>
  <c r="R649" i="9"/>
  <c r="R648" i="9"/>
  <c r="R647" i="9"/>
  <c r="R646" i="9"/>
  <c r="R645" i="9"/>
  <c r="R644" i="9"/>
  <c r="R643" i="9"/>
  <c r="R642" i="9"/>
  <c r="R641" i="9"/>
  <c r="R640" i="9"/>
  <c r="R639" i="9"/>
  <c r="R638" i="9"/>
  <c r="R637" i="9"/>
  <c r="R636" i="9"/>
  <c r="R635" i="9"/>
  <c r="R634" i="9"/>
  <c r="R633" i="9"/>
  <c r="R632" i="9"/>
  <c r="R631" i="9"/>
  <c r="R630" i="9"/>
  <c r="R629" i="9"/>
  <c r="R628" i="9"/>
  <c r="R627" i="9"/>
  <c r="R626" i="9"/>
  <c r="R625" i="9"/>
  <c r="R624" i="9"/>
  <c r="R623" i="9"/>
  <c r="R622" i="9"/>
  <c r="R621" i="9"/>
  <c r="R620" i="9"/>
  <c r="R619" i="9"/>
  <c r="R618" i="9"/>
  <c r="R617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8" i="9"/>
  <c r="R597" i="9"/>
  <c r="R596" i="9"/>
  <c r="R595" i="9"/>
  <c r="R594" i="9"/>
  <c r="R593" i="9"/>
  <c r="R592" i="9"/>
  <c r="R591" i="9"/>
  <c r="R590" i="9"/>
  <c r="R589" i="9"/>
  <c r="R588" i="9"/>
  <c r="R587" i="9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5" i="5"/>
  <c r="H114" i="5"/>
  <c r="H113" i="5"/>
  <c r="H112" i="5"/>
  <c r="H111" i="5"/>
  <c r="H110" i="5"/>
  <c r="H109" i="5"/>
  <c r="H108" i="5"/>
  <c r="H107" i="5"/>
  <c r="H106" i="5"/>
  <c r="H105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4" i="5"/>
  <c r="H83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1" i="5"/>
  <c r="H60" i="5"/>
  <c r="H59" i="5"/>
  <c r="H58" i="5"/>
  <c r="H57" i="5"/>
  <c r="H56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B3" i="9"/>
  <c r="AI3" i="9"/>
  <c r="AJ3" i="9" s="1"/>
  <c r="AC4" i="9"/>
  <c r="AI4" i="9"/>
  <c r="AJ4" i="9" s="1"/>
  <c r="AI5" i="9"/>
  <c r="AJ5" i="9" s="1"/>
  <c r="AI6" i="9"/>
  <c r="AJ6" i="9" s="1"/>
  <c r="AI7" i="9"/>
  <c r="AJ7" i="9" s="1"/>
  <c r="AI8" i="9"/>
  <c r="AJ8" i="9" s="1"/>
  <c r="AG9" i="9"/>
  <c r="AH9" i="9"/>
  <c r="R3" i="3"/>
  <c r="R5" i="3"/>
  <c r="R4" i="3"/>
  <c r="AI9" i="9" l="1"/>
  <c r="AJ9" i="9" s="1"/>
  <c r="AK9" i="9" s="1"/>
  <c r="S507" i="9" l="1"/>
  <c r="S506" i="9"/>
  <c r="S505" i="9"/>
  <c r="S504" i="9"/>
  <c r="I681" i="5" l="1"/>
  <c r="S503" i="9" l="1"/>
  <c r="S502" i="9"/>
  <c r="S501" i="9"/>
  <c r="S500" i="9"/>
  <c r="S499" i="9"/>
  <c r="S498" i="9"/>
  <c r="S497" i="9"/>
  <c r="S496" i="9"/>
  <c r="S495" i="9"/>
  <c r="S494" i="9"/>
  <c r="S493" i="9"/>
  <c r="S492" i="9"/>
  <c r="S491" i="9"/>
  <c r="S490" i="9"/>
  <c r="S489" i="9"/>
  <c r="S488" i="9"/>
  <c r="S487" i="9"/>
  <c r="S743" i="9"/>
  <c r="S486" i="9"/>
  <c r="S485" i="9"/>
  <c r="S484" i="9"/>
  <c r="S483" i="9"/>
  <c r="S482" i="9"/>
  <c r="S481" i="9"/>
  <c r="S480" i="9"/>
  <c r="S479" i="9"/>
  <c r="S478" i="9"/>
  <c r="S477" i="9"/>
  <c r="S476" i="9"/>
  <c r="S475" i="9"/>
  <c r="S474" i="9"/>
  <c r="S665" i="9"/>
  <c r="S473" i="9"/>
  <c r="S472" i="9"/>
  <c r="S471" i="9"/>
  <c r="S470" i="9"/>
  <c r="S469" i="9"/>
  <c r="S468" i="9"/>
  <c r="S467" i="9"/>
  <c r="S466" i="9"/>
  <c r="S742" i="9"/>
  <c r="S465" i="9"/>
  <c r="S464" i="9"/>
  <c r="S463" i="9"/>
  <c r="S462" i="9"/>
  <c r="S461" i="9"/>
  <c r="S460" i="9"/>
  <c r="S459" i="9"/>
  <c r="S585" i="9"/>
  <c r="S458" i="9"/>
  <c r="S741" i="9"/>
  <c r="S457" i="9"/>
  <c r="S740" i="9"/>
  <c r="S456" i="9"/>
  <c r="S455" i="9"/>
  <c r="S454" i="9"/>
  <c r="S453" i="9"/>
  <c r="S452" i="9"/>
  <c r="S451" i="9"/>
  <c r="S450" i="9"/>
  <c r="S449" i="9"/>
  <c r="S448" i="9"/>
  <c r="S447" i="9"/>
  <c r="S446" i="9"/>
  <c r="S445" i="9"/>
  <c r="S444" i="9"/>
  <c r="S739" i="9"/>
  <c r="S443" i="9"/>
  <c r="S442" i="9"/>
  <c r="S441" i="9"/>
  <c r="S440" i="9"/>
  <c r="S738" i="9"/>
  <c r="S439" i="9"/>
  <c r="S438" i="9"/>
  <c r="S437" i="9"/>
  <c r="S436" i="9"/>
  <c r="S435" i="9"/>
  <c r="S434" i="9"/>
  <c r="S433" i="9"/>
  <c r="S432" i="9"/>
  <c r="S431" i="9"/>
  <c r="S430" i="9"/>
  <c r="S429" i="9"/>
  <c r="S428" i="9"/>
  <c r="S427" i="9"/>
  <c r="S737" i="9"/>
  <c r="S664" i="9"/>
  <c r="S426" i="9"/>
  <c r="S425" i="9"/>
  <c r="S424" i="9"/>
  <c r="S423" i="9"/>
  <c r="S422" i="9"/>
  <c r="S421" i="9"/>
  <c r="S420" i="9"/>
  <c r="S419" i="9"/>
  <c r="S418" i="9"/>
  <c r="S417" i="9"/>
  <c r="S416" i="9"/>
  <c r="S736" i="9"/>
  <c r="S415" i="9"/>
  <c r="S414" i="9"/>
  <c r="S413" i="9"/>
  <c r="S412" i="9"/>
  <c r="S411" i="9"/>
  <c r="S410" i="9"/>
  <c r="S409" i="9"/>
  <c r="S408" i="9"/>
  <c r="S407" i="9"/>
  <c r="S406" i="9"/>
  <c r="S405" i="9"/>
  <c r="S404" i="9"/>
  <c r="S735" i="9"/>
  <c r="S403" i="9"/>
  <c r="S402" i="9"/>
  <c r="S401" i="9"/>
  <c r="S400" i="9"/>
  <c r="S734" i="9"/>
  <c r="S399" i="9"/>
  <c r="S398" i="9"/>
  <c r="S397" i="9"/>
  <c r="S733" i="9"/>
  <c r="S396" i="9"/>
  <c r="S732" i="9"/>
  <c r="S395" i="9"/>
  <c r="S663" i="9"/>
  <c r="S584" i="9"/>
  <c r="S662" i="9"/>
  <c r="S394" i="9"/>
  <c r="S393" i="9"/>
  <c r="S392" i="9"/>
  <c r="S731" i="9"/>
  <c r="S391" i="9"/>
  <c r="S390" i="9"/>
  <c r="S389" i="9"/>
  <c r="S388" i="9"/>
  <c r="S661" i="9"/>
  <c r="S583" i="9"/>
  <c r="S582" i="9"/>
  <c r="S660" i="9"/>
  <c r="S581" i="9"/>
  <c r="S659" i="9"/>
  <c r="S730" i="9"/>
  <c r="S658" i="9"/>
  <c r="S657" i="9"/>
  <c r="S387" i="9"/>
  <c r="S386" i="9"/>
  <c r="S385" i="9"/>
  <c r="S656" i="9"/>
  <c r="S655" i="9"/>
  <c r="S384" i="9"/>
  <c r="S383" i="9"/>
  <c r="S729" i="9"/>
  <c r="S654" i="9"/>
  <c r="S653" i="9"/>
  <c r="S382" i="9"/>
  <c r="S580" i="9"/>
  <c r="S381" i="9"/>
  <c r="S380" i="9"/>
  <c r="S379" i="9"/>
  <c r="S579" i="9"/>
  <c r="S578" i="9"/>
  <c r="S378" i="9"/>
  <c r="S377" i="9"/>
  <c r="S652" i="9"/>
  <c r="S376" i="9"/>
  <c r="S651" i="9"/>
  <c r="S375" i="9"/>
  <c r="S650" i="9"/>
  <c r="S374" i="9"/>
  <c r="S373" i="9"/>
  <c r="S372" i="9"/>
  <c r="S371" i="9"/>
  <c r="S370" i="9"/>
  <c r="S369" i="9"/>
  <c r="S368" i="9"/>
  <c r="S728" i="9"/>
  <c r="S367" i="9"/>
  <c r="S727" i="9"/>
  <c r="S366" i="9"/>
  <c r="S365" i="9"/>
  <c r="S364" i="9"/>
  <c r="S363" i="9"/>
  <c r="S362" i="9"/>
  <c r="S361" i="9"/>
  <c r="S649" i="9"/>
  <c r="S577" i="9"/>
  <c r="S360" i="9"/>
  <c r="S648" i="9"/>
  <c r="S359" i="9"/>
  <c r="S358" i="9"/>
  <c r="S357" i="9"/>
  <c r="S726" i="9"/>
  <c r="S356" i="9"/>
  <c r="S355" i="9"/>
  <c r="S647" i="9"/>
  <c r="S354" i="9"/>
  <c r="S353" i="9"/>
  <c r="S352" i="9"/>
  <c r="S351" i="9"/>
  <c r="S350" i="9"/>
  <c r="S349" i="9"/>
  <c r="S646" i="9"/>
  <c r="S348" i="9"/>
  <c r="S347" i="9"/>
  <c r="S346" i="9"/>
  <c r="S345" i="9"/>
  <c r="S344" i="9"/>
  <c r="S343" i="9"/>
  <c r="S342" i="9"/>
  <c r="S341" i="9"/>
  <c r="S340" i="9"/>
  <c r="S339" i="9"/>
  <c r="S645" i="9"/>
  <c r="S338" i="9"/>
  <c r="S337" i="9"/>
  <c r="S725" i="9"/>
  <c r="S336" i="9"/>
  <c r="S644" i="9"/>
  <c r="S335" i="9"/>
  <c r="S334" i="9"/>
  <c r="S724" i="9"/>
  <c r="S333" i="9"/>
  <c r="S332" i="9"/>
  <c r="S723" i="9"/>
  <c r="S331" i="9"/>
  <c r="S330" i="9"/>
  <c r="S329" i="9"/>
  <c r="S328" i="9"/>
  <c r="S722" i="9"/>
  <c r="S327" i="9"/>
  <c r="S576" i="9"/>
  <c r="S575" i="9"/>
  <c r="S643" i="9"/>
  <c r="S326" i="9"/>
  <c r="S325" i="9"/>
  <c r="S324" i="9"/>
  <c r="S323" i="9"/>
  <c r="S642" i="9"/>
  <c r="S322" i="9"/>
  <c r="S321" i="9"/>
  <c r="S320" i="9"/>
  <c r="S641" i="9"/>
  <c r="S574" i="9"/>
  <c r="S573" i="9"/>
  <c r="S640" i="9"/>
  <c r="S319" i="9"/>
  <c r="S318" i="9"/>
  <c r="S317" i="9"/>
  <c r="S316" i="9"/>
  <c r="S315" i="9"/>
  <c r="S639" i="9"/>
  <c r="S638" i="9"/>
  <c r="S721" i="9"/>
  <c r="S314" i="9"/>
  <c r="S313" i="9"/>
  <c r="S312" i="9"/>
  <c r="S311" i="9"/>
  <c r="S310" i="9"/>
  <c r="S309" i="9"/>
  <c r="S308" i="9"/>
  <c r="S720" i="9"/>
  <c r="S637" i="9"/>
  <c r="S572" i="9"/>
  <c r="S307" i="9"/>
  <c r="S306" i="9"/>
  <c r="S719" i="9"/>
  <c r="S305" i="9"/>
  <c r="S636" i="9"/>
  <c r="S304" i="9"/>
  <c r="S303" i="9"/>
  <c r="S302" i="9"/>
  <c r="S718" i="9"/>
  <c r="S301" i="9"/>
  <c r="S300" i="9"/>
  <c r="S571" i="9"/>
  <c r="S299" i="9"/>
  <c r="S570" i="9"/>
  <c r="S298" i="9"/>
  <c r="S635" i="9"/>
  <c r="S634" i="9"/>
  <c r="S297" i="9"/>
  <c r="S296" i="9"/>
  <c r="S569" i="9"/>
  <c r="S633" i="9"/>
  <c r="S295" i="9"/>
  <c r="S294" i="9"/>
  <c r="S632" i="9"/>
  <c r="S293" i="9"/>
  <c r="S292" i="9"/>
  <c r="S568" i="9"/>
  <c r="S717" i="9"/>
  <c r="S716" i="9"/>
  <c r="S631" i="9"/>
  <c r="S291" i="9"/>
  <c r="S630" i="9"/>
  <c r="S290" i="9"/>
  <c r="S567" i="9"/>
  <c r="S566" i="9"/>
  <c r="S289" i="9"/>
  <c r="S288" i="9"/>
  <c r="S287" i="9"/>
  <c r="S286" i="9"/>
  <c r="S629" i="9"/>
  <c r="S565" i="9"/>
  <c r="S285" i="9"/>
  <c r="S628" i="9"/>
  <c r="S564" i="9"/>
  <c r="S627" i="9"/>
  <c r="S284" i="9"/>
  <c r="S563" i="9"/>
  <c r="S283" i="9"/>
  <c r="S282" i="9"/>
  <c r="S715" i="9"/>
  <c r="S626" i="9"/>
  <c r="S562" i="9"/>
  <c r="S281" i="9"/>
  <c r="S280" i="9"/>
  <c r="S714" i="9"/>
  <c r="S279" i="9"/>
  <c r="S278" i="9"/>
  <c r="S277" i="9"/>
  <c r="S561" i="9"/>
  <c r="S276" i="9"/>
  <c r="S713" i="9"/>
  <c r="S625" i="9"/>
  <c r="S275" i="9"/>
  <c r="S712" i="9"/>
  <c r="S274" i="9"/>
  <c r="S711" i="9"/>
  <c r="S273" i="9"/>
  <c r="S272" i="9"/>
  <c r="S271" i="9"/>
  <c r="S270" i="9"/>
  <c r="S269" i="9"/>
  <c r="S268" i="9"/>
  <c r="S267" i="9"/>
  <c r="S266" i="9"/>
  <c r="S265" i="9"/>
  <c r="S264" i="9"/>
  <c r="S263" i="9"/>
  <c r="S262" i="9"/>
  <c r="S560" i="9"/>
  <c r="S624" i="9"/>
  <c r="S261" i="9"/>
  <c r="S260" i="9"/>
  <c r="S559" i="9"/>
  <c r="S259" i="9"/>
  <c r="S258" i="9"/>
  <c r="S257" i="9"/>
  <c r="S256" i="9"/>
  <c r="S255" i="9"/>
  <c r="S254" i="9"/>
  <c r="S253" i="9"/>
  <c r="S558" i="9"/>
  <c r="S252" i="9"/>
  <c r="S251" i="9"/>
  <c r="S250" i="9"/>
  <c r="S249" i="9"/>
  <c r="S710" i="9"/>
  <c r="S248" i="9"/>
  <c r="S247" i="9"/>
  <c r="S557" i="9"/>
  <c r="S556" i="9"/>
  <c r="S246" i="9"/>
  <c r="S709" i="9"/>
  <c r="S245" i="9"/>
  <c r="S244" i="9"/>
  <c r="S243" i="9"/>
  <c r="S242" i="9"/>
  <c r="S555" i="9"/>
  <c r="S241" i="9"/>
  <c r="S240" i="9"/>
  <c r="S239" i="9"/>
  <c r="S238" i="9"/>
  <c r="S237" i="9"/>
  <c r="S236" i="9"/>
  <c r="S235" i="9"/>
  <c r="S234" i="9"/>
  <c r="S708" i="9"/>
  <c r="S233" i="9"/>
  <c r="S232" i="9"/>
  <c r="S231" i="9"/>
  <c r="S230" i="9"/>
  <c r="S229" i="9"/>
  <c r="S623" i="9"/>
  <c r="S228" i="9"/>
  <c r="S227" i="9"/>
  <c r="S226" i="9"/>
  <c r="S225" i="9"/>
  <c r="S224" i="9"/>
  <c r="S223" i="9"/>
  <c r="S222" i="9"/>
  <c r="S221" i="9"/>
  <c r="S220" i="9"/>
  <c r="S622" i="9"/>
  <c r="S219" i="9"/>
  <c r="S621" i="9"/>
  <c r="S620" i="9"/>
  <c r="S218" i="9"/>
  <c r="S217" i="9"/>
  <c r="S707" i="9"/>
  <c r="S706" i="9"/>
  <c r="S705" i="9"/>
  <c r="S216" i="9"/>
  <c r="S554" i="9"/>
  <c r="S215" i="9"/>
  <c r="S214" i="9"/>
  <c r="S553" i="9"/>
  <c r="S213" i="9"/>
  <c r="S212" i="9"/>
  <c r="S211" i="9"/>
  <c r="S210" i="9"/>
  <c r="S552" i="9"/>
  <c r="S619" i="9"/>
  <c r="S704" i="9"/>
  <c r="S209" i="9"/>
  <c r="S618" i="9"/>
  <c r="S208" i="9"/>
  <c r="S207" i="9"/>
  <c r="S617" i="9"/>
  <c r="S206" i="9"/>
  <c r="S205" i="9"/>
  <c r="S551" i="9"/>
  <c r="S204" i="9"/>
  <c r="S616" i="9"/>
  <c r="S203" i="9"/>
  <c r="S202" i="9"/>
  <c r="S550" i="9"/>
  <c r="S549" i="9"/>
  <c r="S201" i="9"/>
  <c r="S200" i="9"/>
  <c r="S199" i="9"/>
  <c r="S198" i="9"/>
  <c r="S197" i="9"/>
  <c r="S196" i="9"/>
  <c r="S548" i="9"/>
  <c r="S547" i="9"/>
  <c r="S195" i="9"/>
  <c r="S703" i="9"/>
  <c r="S194" i="9"/>
  <c r="S193" i="9"/>
  <c r="S192" i="9"/>
  <c r="S615" i="9"/>
  <c r="S191" i="9"/>
  <c r="S190" i="9"/>
  <c r="S189" i="9"/>
  <c r="S188" i="9"/>
  <c r="S702" i="9"/>
  <c r="S187" i="9"/>
  <c r="S186" i="9"/>
  <c r="S185" i="9"/>
  <c r="S614" i="9"/>
  <c r="S184" i="9"/>
  <c r="S613" i="9"/>
  <c r="S612" i="9"/>
  <c r="S183" i="9"/>
  <c r="S611" i="9"/>
  <c r="S610" i="9"/>
  <c r="S182" i="9"/>
  <c r="S181" i="9"/>
  <c r="S701" i="9"/>
  <c r="S180" i="9"/>
  <c r="S179" i="9"/>
  <c r="S609" i="9"/>
  <c r="S700" i="9"/>
  <c r="S608" i="9"/>
  <c r="S178" i="9"/>
  <c r="S177" i="9"/>
  <c r="S176" i="9"/>
  <c r="S175" i="9"/>
  <c r="S174" i="9"/>
  <c r="S546" i="9"/>
  <c r="S173" i="9"/>
  <c r="S607" i="9"/>
  <c r="S606" i="9"/>
  <c r="S699" i="9"/>
  <c r="S172" i="9"/>
  <c r="S545" i="9"/>
  <c r="S171" i="9"/>
  <c r="S698" i="9"/>
  <c r="S544" i="9"/>
  <c r="S170" i="9"/>
  <c r="S169" i="9"/>
  <c r="S168" i="9"/>
  <c r="S167" i="9"/>
  <c r="S166" i="9"/>
  <c r="S165" i="9"/>
  <c r="S164" i="9"/>
  <c r="S163" i="9"/>
  <c r="S605" i="9"/>
  <c r="S162" i="9"/>
  <c r="S161" i="9"/>
  <c r="S697" i="9"/>
  <c r="S160" i="9"/>
  <c r="S604" i="9"/>
  <c r="S159" i="9"/>
  <c r="S158" i="9"/>
  <c r="S157" i="9"/>
  <c r="S543" i="9"/>
  <c r="S696" i="9"/>
  <c r="S156" i="9"/>
  <c r="S542" i="9"/>
  <c r="S155" i="9"/>
  <c r="S154" i="9"/>
  <c r="S695" i="9"/>
  <c r="S603" i="9"/>
  <c r="S153" i="9"/>
  <c r="S152" i="9"/>
  <c r="S602" i="9"/>
  <c r="S541" i="9"/>
  <c r="S601" i="9"/>
  <c r="S694" i="9"/>
  <c r="S540" i="9"/>
  <c r="S600" i="9"/>
  <c r="S151" i="9"/>
  <c r="S150" i="9"/>
  <c r="S539" i="9"/>
  <c r="S599" i="9"/>
  <c r="S598" i="9"/>
  <c r="S149" i="9"/>
  <c r="S148" i="9"/>
  <c r="S147" i="9"/>
  <c r="S146" i="9"/>
  <c r="S145" i="9"/>
  <c r="S144" i="9"/>
  <c r="S143" i="9"/>
  <c r="S693" i="9"/>
  <c r="S692" i="9"/>
  <c r="S142" i="9"/>
  <c r="S141" i="9"/>
  <c r="S140" i="9"/>
  <c r="S139" i="9"/>
  <c r="S138" i="9"/>
  <c r="S137" i="9"/>
  <c r="S136" i="9"/>
  <c r="S135" i="9"/>
  <c r="S691" i="9"/>
  <c r="S538" i="9"/>
  <c r="S537" i="9"/>
  <c r="S134" i="9"/>
  <c r="S133" i="9"/>
  <c r="S132" i="9"/>
  <c r="S536" i="9"/>
  <c r="S131" i="9"/>
  <c r="S690" i="9"/>
  <c r="S535" i="9"/>
  <c r="S597" i="9"/>
  <c r="S130" i="9"/>
  <c r="S689" i="9"/>
  <c r="S129" i="9"/>
  <c r="S128" i="9"/>
  <c r="S596" i="9"/>
  <c r="S534" i="9"/>
  <c r="S127" i="9"/>
  <c r="S126" i="9"/>
  <c r="S125" i="9"/>
  <c r="S533" i="9"/>
  <c r="S124" i="9"/>
  <c r="S123" i="9"/>
  <c r="S122" i="9"/>
  <c r="S121" i="9"/>
  <c r="S120" i="9"/>
  <c r="S532" i="9"/>
  <c r="S119" i="9"/>
  <c r="S118" i="9"/>
  <c r="S117" i="9"/>
  <c r="S116" i="9"/>
  <c r="S688" i="9"/>
  <c r="S115" i="9"/>
  <c r="S531" i="9"/>
  <c r="S595" i="9"/>
  <c r="S114" i="9"/>
  <c r="S113" i="9"/>
  <c r="S594" i="9"/>
  <c r="S112" i="9"/>
  <c r="S111" i="9"/>
  <c r="S110" i="9"/>
  <c r="S109" i="9"/>
  <c r="S530" i="9"/>
  <c r="S108" i="9"/>
  <c r="S687" i="9"/>
  <c r="S529" i="9"/>
  <c r="S107" i="9"/>
  <c r="S686" i="9"/>
  <c r="S685" i="9"/>
  <c r="S528" i="9"/>
  <c r="S684" i="9"/>
  <c r="S106" i="9"/>
  <c r="S527" i="9"/>
  <c r="S683" i="9"/>
  <c r="S593" i="9"/>
  <c r="S105" i="9"/>
  <c r="S104" i="9"/>
  <c r="S103" i="9"/>
  <c r="S102" i="9"/>
  <c r="S101" i="9"/>
  <c r="S682" i="9"/>
  <c r="S681" i="9"/>
  <c r="S100" i="9"/>
  <c r="S526" i="9"/>
  <c r="S99" i="9"/>
  <c r="S98" i="9"/>
  <c r="S97" i="9"/>
  <c r="S96" i="9"/>
  <c r="S525" i="9"/>
  <c r="S95" i="9"/>
  <c r="S94" i="9"/>
  <c r="S93" i="9"/>
  <c r="S92" i="9"/>
  <c r="S524" i="9"/>
  <c r="S91" i="9"/>
  <c r="S90" i="9"/>
  <c r="S592" i="9"/>
  <c r="S89" i="9"/>
  <c r="S88" i="9"/>
  <c r="S87" i="9"/>
  <c r="S680" i="9"/>
  <c r="S591" i="9"/>
  <c r="S86" i="9"/>
  <c r="S523" i="9"/>
  <c r="S85" i="9"/>
  <c r="S84" i="9"/>
  <c r="S83" i="9"/>
  <c r="S522" i="9"/>
  <c r="S82" i="9"/>
  <c r="S81" i="9"/>
  <c r="S80" i="9"/>
  <c r="S521" i="9"/>
  <c r="S79" i="9"/>
  <c r="S78" i="9"/>
  <c r="S679" i="9"/>
  <c r="S77" i="9"/>
  <c r="S678" i="9"/>
  <c r="S76" i="9"/>
  <c r="S75" i="9"/>
  <c r="S74" i="9"/>
  <c r="S520" i="9"/>
  <c r="S677" i="9"/>
  <c r="S73" i="9"/>
  <c r="S72" i="9"/>
  <c r="S71" i="9"/>
  <c r="S70" i="9"/>
  <c r="S69" i="9"/>
  <c r="S68" i="9"/>
  <c r="S519" i="9"/>
  <c r="S518" i="9"/>
  <c r="S67" i="9"/>
  <c r="S66" i="9"/>
  <c r="S65" i="9"/>
  <c r="S64" i="9"/>
  <c r="S590" i="9"/>
  <c r="S517" i="9"/>
  <c r="S63" i="9"/>
  <c r="S62" i="9"/>
  <c r="S676" i="9"/>
  <c r="S61" i="9"/>
  <c r="S60" i="9"/>
  <c r="S675" i="9"/>
  <c r="S59" i="9"/>
  <c r="S516" i="9"/>
  <c r="S58" i="9"/>
  <c r="S57" i="9"/>
  <c r="S515" i="9"/>
  <c r="S514" i="9"/>
  <c r="S56" i="9"/>
  <c r="S55" i="9"/>
  <c r="S513" i="9"/>
  <c r="S54" i="9"/>
  <c r="S53" i="9"/>
  <c r="S52" i="9"/>
  <c r="S51" i="9"/>
  <c r="S674" i="9"/>
  <c r="S589" i="9"/>
  <c r="S50" i="9"/>
  <c r="S49" i="9"/>
  <c r="S48" i="9"/>
  <c r="S588" i="9"/>
  <c r="S47" i="9"/>
  <c r="S46" i="9"/>
  <c r="S45" i="9"/>
  <c r="S44" i="9"/>
  <c r="S43" i="9"/>
  <c r="S42" i="9"/>
  <c r="S512" i="9"/>
  <c r="S41" i="9"/>
  <c r="S40" i="9"/>
  <c r="S39" i="9"/>
  <c r="S38" i="9"/>
  <c r="S37" i="9"/>
  <c r="S36" i="9"/>
  <c r="S35" i="9"/>
  <c r="S34" i="9"/>
  <c r="S33" i="9"/>
  <c r="S32" i="9"/>
  <c r="S511" i="9"/>
  <c r="S31" i="9"/>
  <c r="S673" i="9"/>
  <c r="S30" i="9"/>
  <c r="S29" i="9"/>
  <c r="S28" i="9"/>
  <c r="S27" i="9"/>
  <c r="S672" i="9"/>
  <c r="S26" i="9"/>
  <c r="S25" i="9"/>
  <c r="S24" i="9"/>
  <c r="S23" i="9"/>
  <c r="S671" i="9"/>
  <c r="S670" i="9"/>
  <c r="S510" i="9"/>
  <c r="S509" i="9"/>
  <c r="S22" i="9"/>
  <c r="S21" i="9"/>
  <c r="S20" i="9"/>
  <c r="S19" i="9"/>
  <c r="S18" i="9"/>
  <c r="S669" i="9"/>
  <c r="S17" i="9"/>
  <c r="S668" i="9"/>
  <c r="S16" i="9"/>
  <c r="S15" i="9"/>
  <c r="S14" i="9"/>
  <c r="S13" i="9"/>
  <c r="S587" i="9"/>
  <c r="S12" i="9"/>
  <c r="S667" i="9"/>
  <c r="S11" i="9"/>
  <c r="S10" i="9"/>
  <c r="S9" i="9"/>
  <c r="S8" i="9"/>
  <c r="S7" i="9"/>
  <c r="S6" i="9"/>
  <c r="S5" i="9"/>
  <c r="S4" i="9"/>
  <c r="S3" i="9"/>
  <c r="S2" i="9"/>
  <c r="S666" i="9"/>
  <c r="S508" i="9"/>
  <c r="A3" i="11" l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H681" i="5" l="1"/>
  <c r="P681" i="5" s="1"/>
  <c r="A558" i="5"/>
  <c r="A559" i="5" s="1"/>
  <c r="A560" i="5" s="1"/>
  <c r="A561" i="5" s="1"/>
  <c r="A562" i="5" s="1"/>
  <c r="A563" i="5" s="1"/>
  <c r="A564" i="5" s="1"/>
  <c r="A565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2" i="5" s="1"/>
  <c r="A583" i="5" s="1"/>
  <c r="A584" i="5" s="1"/>
  <c r="A585" i="5" s="1"/>
  <c r="A586" i="5" s="1"/>
  <c r="A587" i="5" s="1"/>
  <c r="A588" i="5" s="1"/>
  <c r="A589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7" i="5" s="1"/>
  <c r="A608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2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433" i="5"/>
  <c r="A434" i="5" s="1"/>
  <c r="A435" i="5" s="1"/>
  <c r="A436" i="5" s="1"/>
  <c r="A437" i="5" s="1"/>
  <c r="A438" i="5" s="1"/>
  <c r="A439" i="5" s="1"/>
  <c r="A440" i="5" s="1"/>
  <c r="A441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7" i="5" s="1"/>
  <c r="A458" i="5" s="1"/>
  <c r="A459" i="5" s="1"/>
  <c r="A460" i="5" s="1"/>
  <c r="A461" i="5" s="1"/>
  <c r="A462" i="5" s="1"/>
  <c r="A463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2" i="5" s="1"/>
  <c r="A483" i="5" s="1"/>
  <c r="A484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7" i="5" s="1"/>
  <c r="A508" i="5" s="1"/>
  <c r="A509" i="5" s="1"/>
  <c r="A510" i="5" s="1"/>
  <c r="A511" i="5" s="1"/>
  <c r="A512" i="5" s="1"/>
  <c r="A513" i="5" s="1"/>
  <c r="A514" i="5" s="1"/>
  <c r="A515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1" i="5" s="1"/>
  <c r="A232" i="5" s="1"/>
  <c r="A233" i="5" s="1"/>
  <c r="A234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U4" i="1"/>
  <c r="A255" i="5" l="1"/>
  <c r="A257" i="5"/>
  <c r="A258" i="5" s="1"/>
  <c r="A259" i="5" s="1"/>
  <c r="A260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2" i="5" s="1"/>
  <c r="A283" i="5" s="1"/>
  <c r="A284" i="5" s="1"/>
  <c r="A285" i="5" s="1"/>
  <c r="A286" i="5" s="1"/>
  <c r="A287" i="5" s="1"/>
  <c r="A288" i="5" s="1"/>
  <c r="A289" i="5" s="1"/>
  <c r="A290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7" i="5" s="1"/>
  <c r="A308" i="5" s="1"/>
  <c r="A309" i="5" s="1"/>
  <c r="A310" i="5" s="1"/>
  <c r="A311" i="5" s="1"/>
  <c r="A312" i="5" s="1"/>
  <c r="A313" i="5" s="1"/>
  <c r="A314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7" i="5" s="1"/>
  <c r="A358" i="5" s="1"/>
  <c r="A359" i="5" s="1"/>
  <c r="A360" i="5" s="1"/>
  <c r="A361" i="5" s="1"/>
  <c r="A362" i="5" s="1"/>
  <c r="A363" i="5" s="1"/>
  <c r="A364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2" i="5" s="1"/>
  <c r="A383" i="5" s="1"/>
  <c r="A384" i="5" s="1"/>
  <c r="A385" i="5" s="1"/>
  <c r="A386" i="5" s="1"/>
  <c r="A387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7" i="5" s="1"/>
  <c r="A408" i="5" s="1"/>
  <c r="A409" i="5" s="1"/>
  <c r="A411" i="5" s="1"/>
  <c r="A412" i="5" s="1"/>
  <c r="A413" i="5" s="1"/>
  <c r="A414" i="5" s="1"/>
  <c r="A415" i="5" s="1"/>
  <c r="A416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T3" i="1" l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A358" i="1"/>
  <c r="W2" i="2"/>
  <c r="Y2" i="2" s="1"/>
  <c r="K4" i="2"/>
  <c r="A5" i="2"/>
  <c r="K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A190" i="2"/>
  <c r="A191" i="2" s="1"/>
  <c r="A192" i="2" s="1"/>
  <c r="A193" i="2" s="1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A223" i="2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A320" i="2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A522" i="2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6" i="2"/>
  <c r="A756" i="2" l="1"/>
  <c r="A194" i="2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36" i="2"/>
  <c r="A235" i="2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587" i="2"/>
  <c r="A598" i="2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DEV-AYU</author>
    <author>office</author>
  </authors>
  <commentList>
    <comment ref="H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DEV-AYU: 
Bulan Juni - Juli 2023 type toko SDP dan SDH di Rubah Menjadi SDN</t>
        </r>
      </text>
    </comment>
    <comment ref="U1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PILIHAN :</t>
        </r>
        <r>
          <rPr>
            <sz val="8"/>
            <color indexed="81"/>
            <rFont val="Tahoma"/>
            <family val="2"/>
          </rPr>
          <t xml:space="preserve">
1. REGULER
2. FRANCHISE
3. TUTUP PERMANEN</t>
        </r>
      </text>
    </comment>
    <comment ref="AH1" authorId="1" shapeId="0" xr:uid="{00000000-0006-0000-0700-000003000000}">
      <text>
        <r>
          <rPr>
            <b/>
            <sz val="8"/>
            <color indexed="81"/>
            <rFont val="Tahoma"/>
            <family val="2"/>
          </rPr>
          <t xml:space="preserve">PILIHAN :
</t>
        </r>
        <r>
          <rPr>
            <sz val="8"/>
            <color indexed="81"/>
            <rFont val="Tahoma"/>
            <family val="2"/>
          </rPr>
          <t xml:space="preserve">1. 1DS
2. 2DS
</t>
        </r>
      </text>
    </comment>
    <comment ref="AN1" authorId="1" shapeId="0" xr:uid="{00000000-0006-0000-0700-000004000000}">
      <text>
        <r>
          <rPr>
            <b/>
            <sz val="8"/>
            <color indexed="81"/>
            <rFont val="Tahoma"/>
            <family val="2"/>
          </rPr>
          <t>PILIHAN :</t>
        </r>
        <r>
          <rPr>
            <sz val="8"/>
            <color indexed="81"/>
            <rFont val="Tahoma"/>
            <family val="2"/>
          </rPr>
          <t xml:space="preserve">
1. BALI
2. LOMBOK</t>
        </r>
      </text>
    </comment>
  </commentList>
</comments>
</file>

<file path=xl/sharedStrings.xml><?xml version="1.0" encoding="utf-8"?>
<sst xmlns="http://schemas.openxmlformats.org/spreadsheetml/2006/main" count="43649" uniqueCount="5865">
  <si>
    <t>HITAM</t>
  </si>
  <si>
    <t>a</t>
  </si>
  <si>
    <t>pasek</t>
  </si>
  <si>
    <t>M</t>
  </si>
  <si>
    <t>DENPASAR</t>
  </si>
  <si>
    <t>Pemecutan Klod</t>
  </si>
  <si>
    <t>TEUKU UMAR 19 - DENPASAR</t>
  </si>
  <si>
    <t>FXXU</t>
  </si>
  <si>
    <t>Q3</t>
  </si>
  <si>
    <t>BADUNG</t>
  </si>
  <si>
    <t>I MOBILE CAB.BALI</t>
  </si>
  <si>
    <t>T6E2</t>
  </si>
  <si>
    <t>STANDART</t>
  </si>
  <si>
    <t>odi</t>
  </si>
  <si>
    <t>Werdhi Buana</t>
  </si>
  <si>
    <t>DENKAYU BALERAN - BADUNG</t>
  </si>
  <si>
    <t>FUR8</t>
  </si>
  <si>
    <t>STANDART NEW</t>
  </si>
  <si>
    <t>YCG.WERDHI BHUANA - BADUNG</t>
  </si>
  <si>
    <t>T8TZ</t>
  </si>
  <si>
    <t>abdul</t>
  </si>
  <si>
    <t>Tumbak Bayuh</t>
  </si>
  <si>
    <t>RAYA TUMBAK BAYUH</t>
  </si>
  <si>
    <t>F4YS</t>
  </si>
  <si>
    <t>Tibubeneng</t>
  </si>
  <si>
    <t>PANTAI BERAWA - BADUNG</t>
  </si>
  <si>
    <t>TETU</t>
  </si>
  <si>
    <t>ardian</t>
  </si>
  <si>
    <t>GIANYAR</t>
  </si>
  <si>
    <t>Temesi</t>
  </si>
  <si>
    <t>PAGESANGAN GYR/009</t>
  </si>
  <si>
    <t>FLLQ</t>
  </si>
  <si>
    <t>BANGLI</t>
  </si>
  <si>
    <t>Susut</t>
  </si>
  <si>
    <t>YCG.SUSUT - BANGLI</t>
  </si>
  <si>
    <t>TMHY</t>
  </si>
  <si>
    <t>TABANAN</t>
  </si>
  <si>
    <t>Sudimara</t>
  </si>
  <si>
    <t>YEH GANGGA SUDIMARA_TABANAN</t>
  </si>
  <si>
    <t>TK4R</t>
  </si>
  <si>
    <t>KARANGASEM</t>
  </si>
  <si>
    <t>Subagan</t>
  </si>
  <si>
    <t>YCG.A. YANI - KARANGASEM</t>
  </si>
  <si>
    <t>TQ41</t>
  </si>
  <si>
    <t>bisma</t>
  </si>
  <si>
    <t>Singapadu Kaler</t>
  </si>
  <si>
    <t>BR. KEDIRI SILAKARANG GYR</t>
  </si>
  <si>
    <t>T86C</t>
  </si>
  <si>
    <t>BULELENG</t>
  </si>
  <si>
    <t xml:space="preserve">Sinabun </t>
  </si>
  <si>
    <t>SINABUN - SINGARAJA</t>
  </si>
  <si>
    <t>T7PJ</t>
  </si>
  <si>
    <t>Sengkidu</t>
  </si>
  <si>
    <t>RAYA BUGBUG KSM</t>
  </si>
  <si>
    <t>FSU3</t>
  </si>
  <si>
    <t>Sembung</t>
  </si>
  <si>
    <t>SEMBUNG - BADUNG</t>
  </si>
  <si>
    <t>T1X2</t>
  </si>
  <si>
    <t>KLUNGKUNG</t>
  </si>
  <si>
    <t>Semarapura Tengah</t>
  </si>
  <si>
    <t>YCG.GAJAH MADA - KLUNGKUNG</t>
  </si>
  <si>
    <t>TL6C</t>
  </si>
  <si>
    <t>Sebatu</t>
  </si>
  <si>
    <t>YCG.SEBATU - GIANYAR</t>
  </si>
  <si>
    <t>FR6T</t>
  </si>
  <si>
    <t>Sanur Kauh</t>
  </si>
  <si>
    <t>BATUR SARI_ DPS</t>
  </si>
  <si>
    <t>FCHN</t>
  </si>
  <si>
    <t>Sanding</t>
  </si>
  <si>
    <t>SANDING- GIANYAR</t>
  </si>
  <si>
    <t>TAEE</t>
  </si>
  <si>
    <t>Samplangan</t>
  </si>
  <si>
    <t>TUKAD PETANU _GIANYAR</t>
  </si>
  <si>
    <t>F5IA</t>
  </si>
  <si>
    <t>Sambangan</t>
  </si>
  <si>
    <t>SRIKANDI - SINGARAJA</t>
  </si>
  <si>
    <t>FDUW</t>
  </si>
  <si>
    <t>bujanga</t>
  </si>
  <si>
    <t>Renon</t>
  </si>
  <si>
    <t>RAYA TUKAD BALIAN - DENPASAR</t>
  </si>
  <si>
    <t>TYP6</t>
  </si>
  <si>
    <t>Pitra</t>
  </si>
  <si>
    <t>RAYA BURUAN PENEBEL - TABANAN</t>
  </si>
  <si>
    <t>FC5Q</t>
  </si>
  <si>
    <t>Pering</t>
  </si>
  <si>
    <t>RAYA TOJAN - GIANYAR</t>
  </si>
  <si>
    <t>FC5Z</t>
  </si>
  <si>
    <t>Pengayaman</t>
  </si>
  <si>
    <t>PC.SHORTCUT SINGARAJA_BULELENG</t>
  </si>
  <si>
    <t>FMDD</t>
  </si>
  <si>
    <t>JEMBRANA</t>
  </si>
  <si>
    <t>Pengambengan</t>
  </si>
  <si>
    <t>PENGAMBENGAN - JEMBRANA</t>
  </si>
  <si>
    <t>FSSU</t>
  </si>
  <si>
    <t>Penatih Dangin Puri</t>
  </si>
  <si>
    <t>SIULAN-DPS</t>
  </si>
  <si>
    <t>F8RZ</t>
  </si>
  <si>
    <t>Penarukan</t>
  </si>
  <si>
    <t>YCG.WR SUPRATMAN - SINGARAJA</t>
  </si>
  <si>
    <t>TA95</t>
  </si>
  <si>
    <t>Pemaron</t>
  </si>
  <si>
    <t>PEMARON - SINGARAJA</t>
  </si>
  <si>
    <t>FLK6</t>
  </si>
  <si>
    <t>Peliatan</t>
  </si>
  <si>
    <t>GOA GAJAH - GIANYAR</t>
  </si>
  <si>
    <t>FEVA</t>
  </si>
  <si>
    <t xml:space="preserve">Pekutatan </t>
  </si>
  <si>
    <t>PEKUTATAN - JEMBRANA</t>
  </si>
  <si>
    <t>FG8R</t>
  </si>
  <si>
    <t>Patas</t>
  </si>
  <si>
    <t>PATAS - SRA</t>
  </si>
  <si>
    <t>FXD1</t>
  </si>
  <si>
    <t>Pandak Bandung</t>
  </si>
  <si>
    <t>PANDAK BANDUNG - TABANAN</t>
  </si>
  <si>
    <t>TKPE</t>
  </si>
  <si>
    <t>Padangsambian Kaja</t>
  </si>
  <si>
    <t>YCG.KEBO IWA NO.27 _DPS</t>
  </si>
  <si>
    <t>TLKQ</t>
  </si>
  <si>
    <t>Nongan</t>
  </si>
  <si>
    <t>NONGAN - KSM</t>
  </si>
  <si>
    <t>FP1M</t>
  </si>
  <si>
    <t>Lukluk</t>
  </si>
  <si>
    <t>ANGGUNGAN - BADUNG</t>
  </si>
  <si>
    <t>FJMM</t>
  </si>
  <si>
    <t>angga</t>
  </si>
  <si>
    <t>Legian</t>
  </si>
  <si>
    <t>NAKULA 93 - BADUNG</t>
  </si>
  <si>
    <t>TXXC</t>
  </si>
  <si>
    <t>Lalang Linggah</t>
  </si>
  <si>
    <t>SURABRATA - TABANAN</t>
  </si>
  <si>
    <t>FIUT</t>
  </si>
  <si>
    <t>Kuta</t>
  </si>
  <si>
    <t>KUTA - BADUNG</t>
  </si>
  <si>
    <t>TL5C</t>
  </si>
  <si>
    <t>CONVINIENCE KHUSUS</t>
  </si>
  <si>
    <t>YCG.LEGIAN 4 - BADUNG</t>
  </si>
  <si>
    <t>TFES</t>
  </si>
  <si>
    <t>Kerobokan Kelod</t>
  </si>
  <si>
    <t>MERTANADI - BADUNG</t>
  </si>
  <si>
    <t>TPHE</t>
  </si>
  <si>
    <t xml:space="preserve">Kerobokan </t>
  </si>
  <si>
    <t>BANJAR KANCIL - BADUNG</t>
  </si>
  <si>
    <t>TEAM</t>
  </si>
  <si>
    <t>SAWAN</t>
  </si>
  <si>
    <t>RAYA SANGSIT - SINGARAJA</t>
  </si>
  <si>
    <t>FIMD</t>
  </si>
  <si>
    <t>renove ycg(7=19 agst)</t>
  </si>
  <si>
    <t>Kerambitan</t>
  </si>
  <si>
    <t>RAYA KERAMBITAN_TBN</t>
  </si>
  <si>
    <t>TM5E</t>
  </si>
  <si>
    <t>Kemenuh</t>
  </si>
  <si>
    <t>YCG.PASUNG GERIGIS_GYR</t>
  </si>
  <si>
    <t>TSZJ</t>
  </si>
  <si>
    <t>Kedonganan</t>
  </si>
  <si>
    <t>PC.PC.KEDONGANAN 2 - BADUNG</t>
  </si>
  <si>
    <t>TFVP</t>
  </si>
  <si>
    <t>Kedisan</t>
  </si>
  <si>
    <t>KEDISAN_BANGLI</t>
  </si>
  <si>
    <t>FD5R</t>
  </si>
  <si>
    <t>Kawan</t>
  </si>
  <si>
    <t>KUSUMAYUDHA BARAT - BANGLI</t>
  </si>
  <si>
    <t>TNNX</t>
  </si>
  <si>
    <t>BRIGJEN NGURAH RAI_BANGLI</t>
  </si>
  <si>
    <t>FQ1A</t>
  </si>
  <si>
    <t>Kapal</t>
  </si>
  <si>
    <t>TUNJUNG KAPAL DUA - BDG</t>
  </si>
  <si>
    <t>TQ3N</t>
  </si>
  <si>
    <t>Jimbaran</t>
  </si>
  <si>
    <t>BALANGAN SUITE 5_BDG</t>
  </si>
  <si>
    <t>FVZU</t>
  </si>
  <si>
    <t>PURI GADING - BADUNG</t>
  </si>
  <si>
    <t>TA5A</t>
  </si>
  <si>
    <t>Giri Emas</t>
  </si>
  <si>
    <t>YCG.RAYA DESA - SINGARAJA</t>
  </si>
  <si>
    <t>TVUK</t>
  </si>
  <si>
    <t>Gilimanuk</t>
  </si>
  <si>
    <t>PC.PC.RAYA GILIMANUK_JEMBERANA</t>
  </si>
  <si>
    <t>FW5Y</t>
  </si>
  <si>
    <t>Gianyar</t>
  </si>
  <si>
    <t>CANDI BARU - GIANYAR</t>
  </si>
  <si>
    <t>T11A</t>
  </si>
  <si>
    <t>SAKURA - GIANYAR</t>
  </si>
  <si>
    <t>FBR4</t>
  </si>
  <si>
    <t>Dauh Yeh Cani</t>
  </si>
  <si>
    <t>JANGER - BADUNG</t>
  </si>
  <si>
    <t>FPO9</t>
  </si>
  <si>
    <t>Dauh Peken</t>
  </si>
  <si>
    <t>YCG.ANGGREK - TABANAN</t>
  </si>
  <si>
    <t>T16A</t>
  </si>
  <si>
    <t>Dangin Puri Klod</t>
  </si>
  <si>
    <t>TANTULAR_DPS</t>
  </si>
  <si>
    <t>FE1Z</t>
  </si>
  <si>
    <t>Dalung</t>
  </si>
  <si>
    <t>KWANJI - BADUNG</t>
  </si>
  <si>
    <t>FOFL</t>
  </si>
  <si>
    <t>Carangsari</t>
  </si>
  <si>
    <t>CARANGSARI - BADUNG</t>
  </si>
  <si>
    <t>TKBY</t>
  </si>
  <si>
    <t>Canggu</t>
  </si>
  <si>
    <t>CANGGU 2 - BADUNG</t>
  </si>
  <si>
    <t>T9AL</t>
  </si>
  <si>
    <t>Candi Kuning</t>
  </si>
  <si>
    <t xml:space="preserve">PC.PC.KEMBANG MERTA BEDUGUL – TABANAN </t>
  </si>
  <si>
    <t>TIIP</t>
  </si>
  <si>
    <t>Bongan</t>
  </si>
  <si>
    <t>YCG.ANYELIR - TABANAN</t>
  </si>
  <si>
    <t>TJHO</t>
  </si>
  <si>
    <t>Blahbatuh</t>
  </si>
  <si>
    <t>YCG.MAHENDRADATA - GIANYAR</t>
  </si>
  <si>
    <t>TYZX</t>
  </si>
  <si>
    <t>Benoa</t>
  </si>
  <si>
    <t>SILIGITA - BADUNG</t>
  </si>
  <si>
    <t>F01O</t>
  </si>
  <si>
    <t>PRATAMA 38 - BADUNG</t>
  </si>
  <si>
    <t>TV5I</t>
  </si>
  <si>
    <t>Batur Selatan</t>
  </si>
  <si>
    <t>PC.RAYA PENELOKAN - BANGLI</t>
  </si>
  <si>
    <t>TDDY</t>
  </si>
  <si>
    <t>renove FC (3=19 agt)</t>
  </si>
  <si>
    <t>Batubulan</t>
  </si>
  <si>
    <t>SMKI NO.46 GIANYAR</t>
  </si>
  <si>
    <t>FMRO</t>
  </si>
  <si>
    <t>Batuan Kaler</t>
  </si>
  <si>
    <t>CANGI - GIANYAR</t>
  </si>
  <si>
    <t>FXXM</t>
  </si>
  <si>
    <t>Batuan</t>
  </si>
  <si>
    <t>RAYA BATUAN</t>
  </si>
  <si>
    <t>FADB</t>
  </si>
  <si>
    <t>Banyubiru</t>
  </si>
  <si>
    <t>BANYUBIRU - JEMBRANA</t>
  </si>
  <si>
    <t>FGPX</t>
  </si>
  <si>
    <t>Banyuasri</t>
  </si>
  <si>
    <t>YCG.BANYUASRI - SINGARAJA</t>
  </si>
  <si>
    <t>T93Y</t>
  </si>
  <si>
    <t>Banjar Tegal</t>
  </si>
  <si>
    <t>PAHLAWAN - SINGARAJA</t>
  </si>
  <si>
    <t>TECP</t>
  </si>
  <si>
    <t>Baler Bale Agung</t>
  </si>
  <si>
    <t>UDAYANA - JEMBRANA</t>
  </si>
  <si>
    <t>F5II</t>
  </si>
  <si>
    <t>Astina</t>
  </si>
  <si>
    <t>NGURAH RAI 42 - SINGARAJA</t>
  </si>
  <si>
    <t>TPAT</t>
  </si>
  <si>
    <t>Anturan</t>
  </si>
  <si>
    <t>YCG.KALIBUKBUK - SINGARAJA</t>
  </si>
  <si>
    <t>TVCI</t>
  </si>
  <si>
    <t>Angantaka</t>
  </si>
  <si>
    <t>ANGANTAKA - BADUNG</t>
  </si>
  <si>
    <t>TLAU</t>
  </si>
  <si>
    <t>Abianbase</t>
  </si>
  <si>
    <t>TEDUNG - GIANYAR</t>
  </si>
  <si>
    <t>FHL8</t>
  </si>
  <si>
    <t>Ababi</t>
  </si>
  <si>
    <t>SPBU ABABI - KARANGASEM</t>
  </si>
  <si>
    <t>FS0T</t>
  </si>
  <si>
    <t>Q1</t>
  </si>
  <si>
    <t>Pemogan</t>
  </si>
  <si>
    <t>PC.PC.BY PASS NGURAH RAI 107_DPS</t>
  </si>
  <si>
    <t>T50P</t>
  </si>
  <si>
    <t xml:space="preserve"> CONVINIENCE ISTIMEWA</t>
  </si>
  <si>
    <t>Tuban</t>
  </si>
  <si>
    <t>PC.PC.BANDARA NGURAH RAI - BADUNG</t>
  </si>
  <si>
    <t>TWUM</t>
  </si>
  <si>
    <t>Senganan</t>
  </si>
  <si>
    <t>SENGANAN JATILUWIH - TABANAN</t>
  </si>
  <si>
    <t>TLJ4</t>
  </si>
  <si>
    <t>PANTAI GEGER - BADUNG</t>
  </si>
  <si>
    <t>T00V</t>
  </si>
  <si>
    <t>Padangsambian</t>
  </si>
  <si>
    <t>YCG.GUNUNG SANGHYANG NO.19A_DPS</t>
  </si>
  <si>
    <t>TYB6</t>
  </si>
  <si>
    <t>Sembung Gede</t>
  </si>
  <si>
    <t>MERANGGI - TABANAN</t>
  </si>
  <si>
    <t>TXX2</t>
  </si>
  <si>
    <t>CARANGSARI 2 - BADUNG</t>
  </si>
  <si>
    <t>TJIT</t>
  </si>
  <si>
    <t>Bugbug</t>
  </si>
  <si>
    <t>PC.PC.CANDIDASA - KARANGASEM</t>
  </si>
  <si>
    <t>TL9C</t>
  </si>
  <si>
    <t>Purwakerti</t>
  </si>
  <si>
    <t>RAYA AMED - KARANGASEM</t>
  </si>
  <si>
    <t>FQ4Q</t>
  </si>
  <si>
    <t>Lebih</t>
  </si>
  <si>
    <t>PC.PC.PANTAI LEBIH - GIANYAR</t>
  </si>
  <si>
    <t>TZ0Y</t>
  </si>
  <si>
    <t>JIMBARAN 111 - BADUNG</t>
  </si>
  <si>
    <t>T2OI</t>
  </si>
  <si>
    <t>Banyuning</t>
  </si>
  <si>
    <t>YCG.SETIA BUDI - SINGARAJA</t>
  </si>
  <si>
    <t>TTEB</t>
  </si>
  <si>
    <t>Keramas</t>
  </si>
  <si>
    <t>PANTAI KERAMAS - GIANYAR</t>
  </si>
  <si>
    <t>FUKP</t>
  </si>
  <si>
    <t>PC.PC.RAYA KUTA 21 - BDG</t>
  </si>
  <si>
    <t>TXSJ</t>
  </si>
  <si>
    <t>BATU BELIG - BADUNG</t>
  </si>
  <si>
    <t>TNAS</t>
  </si>
  <si>
    <t>renov fc mini(1=13buka</t>
  </si>
  <si>
    <t>Tanjung Benoa</t>
  </si>
  <si>
    <t>PRATAMA - BADUNG</t>
  </si>
  <si>
    <t>T55Y</t>
  </si>
  <si>
    <t>Abang</t>
  </si>
  <si>
    <t>IDA KT DJELANTIK - KSM</t>
  </si>
  <si>
    <t>FULB</t>
  </si>
  <si>
    <t>PC.PC.PETITENGET - BADUNG</t>
  </si>
  <si>
    <t>TLFA</t>
  </si>
  <si>
    <t>Kubutambahan</t>
  </si>
  <si>
    <t>KUBUTAMBAHAN - SINGARAJA</t>
  </si>
  <si>
    <t>TNPG</t>
  </si>
  <si>
    <t>Sanur Kaja</t>
  </si>
  <si>
    <t>TUKAD NYALI - DPS</t>
  </si>
  <si>
    <t>F2PA</t>
  </si>
  <si>
    <t>RAYA PERANG_LUKLUK</t>
  </si>
  <si>
    <t>FI5J</t>
  </si>
  <si>
    <t>PC.BY.PASS NGURAH RAI KELAN_BADUNG</t>
  </si>
  <si>
    <t>TCAX</t>
  </si>
  <si>
    <t>Kerobokan Kaja</t>
  </si>
  <si>
    <t>RAYA KEROBOKAN - BADUNG</t>
  </si>
  <si>
    <t>TSEV</t>
  </si>
  <si>
    <t>Kerobokan Klod</t>
  </si>
  <si>
    <t>GN TANGKUBAN PERAHU - BADUNG</t>
  </si>
  <si>
    <t>TAQT</t>
  </si>
  <si>
    <t>Bedulu</t>
  </si>
  <si>
    <t>SEMABAUNG - GIANYAR</t>
  </si>
  <si>
    <t>TQ95</t>
  </si>
  <si>
    <t>Temukus</t>
  </si>
  <si>
    <t>TEMUKUS - SINGARAJA</t>
  </si>
  <si>
    <t>TUUZ</t>
  </si>
  <si>
    <t>PC.PANTAI BALANGAN_BADUNG</t>
  </si>
  <si>
    <t>TXLZ</t>
  </si>
  <si>
    <t>Bengkala</t>
  </si>
  <si>
    <t>RAYA BENGKALA_SRA</t>
  </si>
  <si>
    <t>TLXK</t>
  </si>
  <si>
    <t>Yangapi</t>
  </si>
  <si>
    <t>BESAKIH NO.1_BANGLI</t>
  </si>
  <si>
    <t>FWD1</t>
  </si>
  <si>
    <t>Mengwitani</t>
  </si>
  <si>
    <t>YCG.BERINGKIT KAPAL - BADUNG</t>
  </si>
  <si>
    <t>T6PJ</t>
  </si>
  <si>
    <t>Abian Tuwung</t>
  </si>
  <si>
    <t>SPBU SANJIWANI - TABANAN</t>
  </si>
  <si>
    <t>FYOZ</t>
  </si>
  <si>
    <t>NEW CONVINIENCE</t>
  </si>
  <si>
    <t>PC.PC.PANTAI KUTA - BDG</t>
  </si>
  <si>
    <t>T9Z3</t>
  </si>
  <si>
    <t>renove fc(1=15 agt)</t>
  </si>
  <si>
    <t>Semarapura Klod</t>
  </si>
  <si>
    <t>SEMARAPURA - KLUNGKUNG</t>
  </si>
  <si>
    <t>TA52</t>
  </si>
  <si>
    <t>Kediri</t>
  </si>
  <si>
    <t>TERUNAJAYA_TABANAN</t>
  </si>
  <si>
    <t>T2TC</t>
  </si>
  <si>
    <t>Mekar Bhuana</t>
  </si>
  <si>
    <t>PC.RAYA MAMBAL - BADUNG</t>
  </si>
  <si>
    <t>T1PV</t>
  </si>
  <si>
    <t>PC.PC.LEGIAN 427 - BADUNG</t>
  </si>
  <si>
    <t>TATE</t>
  </si>
  <si>
    <t>Nyitdah</t>
  </si>
  <si>
    <t>PANTAI KEDUNGU - TABANAN</t>
  </si>
  <si>
    <t>TQQQ</t>
  </si>
  <si>
    <t>Sangsit</t>
  </si>
  <si>
    <t>YCG.SANGSIT - SINGARAJA</t>
  </si>
  <si>
    <t>TLA5</t>
  </si>
  <si>
    <t>Pacung</t>
  </si>
  <si>
    <t>PACUNG_SRA</t>
  </si>
  <si>
    <t>TKE9</t>
  </si>
  <si>
    <t>SUNSET ROAD 37 - BADUNG</t>
  </si>
  <si>
    <t>TVZL</t>
  </si>
  <si>
    <t>Kukuh</t>
  </si>
  <si>
    <t>KUKUH - TABANAN</t>
  </si>
  <si>
    <t>FVVJ</t>
  </si>
  <si>
    <t>YCG.PANTAI KEDUNGU NYITDAH_TBN</t>
  </si>
  <si>
    <t>TK7E</t>
  </si>
  <si>
    <t>Sesetan</t>
  </si>
  <si>
    <t>YCG.SUWUNG BATAN KENDAL - DENPASAR</t>
  </si>
  <si>
    <t>TOPH</t>
  </si>
  <si>
    <t>Abiansemal</t>
  </si>
  <si>
    <t>LATUSARI - BADUNG</t>
  </si>
  <si>
    <t>TUSA</t>
  </si>
  <si>
    <t>Sanur</t>
  </si>
  <si>
    <t>DANAU BUYAN - DENPASAR</t>
  </si>
  <si>
    <t>TAPN</t>
  </si>
  <si>
    <t>SESETAN - DENPASAR</t>
  </si>
  <si>
    <t>TQ33</t>
  </si>
  <si>
    <t>Sumerta Kauh</t>
  </si>
  <si>
    <t>HAYAM WURUK - DENPASAR</t>
  </si>
  <si>
    <t>TQ12</t>
  </si>
  <si>
    <t>Pejarakan</t>
  </si>
  <si>
    <t>PEJARAKAN - SINGARAJA</t>
  </si>
  <si>
    <t>FANN</t>
  </si>
  <si>
    <t>YCG.IMAM BONJOL - TABANAN</t>
  </si>
  <si>
    <t>TPAL</t>
  </si>
  <si>
    <t>Panji Anom</t>
  </si>
  <si>
    <t>YCG.TUKAD MUNGGA PEMARON_SRA</t>
  </si>
  <si>
    <t>TLYO</t>
  </si>
  <si>
    <t>Baktiseraga</t>
  </si>
  <si>
    <t>PC.PC.A YANI NO .167E_SRA</t>
  </si>
  <si>
    <t>TFS2</t>
  </si>
  <si>
    <t>Sekaan</t>
  </si>
  <si>
    <t>RAYA SEKAAN BGL</t>
  </si>
  <si>
    <t>FL8U</t>
  </si>
  <si>
    <t>YCG.TEUKU UMAR _TBN</t>
  </si>
  <si>
    <t>TT9Q</t>
  </si>
  <si>
    <t>RAYA SESETAN NO.232_DPS</t>
  </si>
  <si>
    <t>FO3V</t>
  </si>
  <si>
    <t>Pejeng</t>
  </si>
  <si>
    <t>PEJENG TENGAH - GIANYAR</t>
  </si>
  <si>
    <t>TORG</t>
  </si>
  <si>
    <t>PC.PC.MENGWITANI - BADUNG</t>
  </si>
  <si>
    <t>T1MN</t>
  </si>
  <si>
    <t>Batannyuh</t>
  </si>
  <si>
    <t>BATANNYUH - TABANAN</t>
  </si>
  <si>
    <t>TW0W</t>
  </si>
  <si>
    <t>Tegalalang</t>
  </si>
  <si>
    <t>GENTONG - GIANYAR</t>
  </si>
  <si>
    <t>FASI</t>
  </si>
  <si>
    <t>RAYA ULUWATU BDG</t>
  </si>
  <si>
    <t>FWS7</t>
  </si>
  <si>
    <t>MAWAR - TABANAN</t>
  </si>
  <si>
    <t>TMMX</t>
  </si>
  <si>
    <t>Delod Peken</t>
  </si>
  <si>
    <t>DIPONEGORO 2 - TABANAN</t>
  </si>
  <si>
    <t>TPNU</t>
  </si>
  <si>
    <t>Kaliuntu</t>
  </si>
  <si>
    <t>DEWI SARTIKA - SINGARAJA</t>
  </si>
  <si>
    <t>T5BX</t>
  </si>
  <si>
    <t>Ungasan</t>
  </si>
  <si>
    <t>RAYA BALI CLIFF - BADUNG</t>
  </si>
  <si>
    <t>TIBA</t>
  </si>
  <si>
    <t>Jegu</t>
  </si>
  <si>
    <t>GUNUNG BATUKARU JEGU_TBN</t>
  </si>
  <si>
    <t>T9JY</t>
  </si>
  <si>
    <t>BATU PAGEH - BADUNG</t>
  </si>
  <si>
    <t>TUHO</t>
  </si>
  <si>
    <t>KAMPUS UNUD 5 - BADUNG</t>
  </si>
  <si>
    <t>TUTZ</t>
  </si>
  <si>
    <t>Singakerta</t>
  </si>
  <si>
    <t>RAYA SINGAKERTA_GYR</t>
  </si>
  <si>
    <t>TKU5</t>
  </si>
  <si>
    <t>renove ycg(6=23 agst) buka</t>
  </si>
  <si>
    <t>Petulu</t>
  </si>
  <si>
    <t>PELIATAN - GIANYAR</t>
  </si>
  <si>
    <t>TRQQ</t>
  </si>
  <si>
    <t>GAGA_GIANYAR</t>
  </si>
  <si>
    <t>FYJY</t>
  </si>
  <si>
    <t>Meliling</t>
  </si>
  <si>
    <t>MELILING - TABANAN</t>
  </si>
  <si>
    <t>FHUN</t>
  </si>
  <si>
    <t>LAKSAMANA 29 - SINGARAJA</t>
  </si>
  <si>
    <t>TSVI</t>
  </si>
  <si>
    <t>TIRTA GIRI KUTRI-BANGLI</t>
  </si>
  <si>
    <t>FW2L</t>
  </si>
  <si>
    <t>Samsam</t>
  </si>
  <si>
    <t>PENYALIN 2 - TABANAN</t>
  </si>
  <si>
    <t>FR0Z</t>
  </si>
  <si>
    <t>Tegallalang</t>
  </si>
  <si>
    <t>RAYA TEGALALANG_GIANYAR</t>
  </si>
  <si>
    <t>FDCM</t>
  </si>
  <si>
    <t>Dangin Puri Kauh</t>
  </si>
  <si>
    <t>WERKUDARA NO 14E_DPS</t>
  </si>
  <si>
    <t>T45W</t>
  </si>
  <si>
    <t>Sukawati</t>
  </si>
  <si>
    <t>BR PALAK - GIANYAR</t>
  </si>
  <si>
    <t>FOFF</t>
  </si>
  <si>
    <t>RAYA MAS TEGES - GIANYAR</t>
  </si>
  <si>
    <t>TWTW</t>
  </si>
  <si>
    <t>Dauh Puri Kaja</t>
  </si>
  <si>
    <t>RAYA AHMAD YANI -DPS</t>
  </si>
  <si>
    <t>T4IV</t>
  </si>
  <si>
    <t>SO LAGI AGUSTUS</t>
  </si>
  <si>
    <t>GUNUNG AGUNG 2</t>
  </si>
  <si>
    <t>FLEE</t>
  </si>
  <si>
    <t>UNGASAN</t>
  </si>
  <si>
    <t>TT40</t>
  </si>
  <si>
    <t>tutup permanen</t>
  </si>
  <si>
    <t>29-8-2026( tobar)</t>
  </si>
  <si>
    <t>29-8-2026</t>
  </si>
  <si>
    <t>GILIMANUK SINGARAJA PEMUTERAN</t>
  </si>
  <si>
    <t>FXHX</t>
  </si>
  <si>
    <t>28-8-2026( tobar)</t>
  </si>
  <si>
    <t>28-8-2026</t>
  </si>
  <si>
    <t>RAYA PANTAI KEDUNGU_TBN</t>
  </si>
  <si>
    <t>FMW9</t>
  </si>
  <si>
    <t>25-8-2026( tobar)</t>
  </si>
  <si>
    <t>25-8-2026</t>
  </si>
  <si>
    <t>RAYA SEMAT KM 1_BDG</t>
  </si>
  <si>
    <t>TPRI</t>
  </si>
  <si>
    <t>22-8-2026( tobar)</t>
  </si>
  <si>
    <t>22-8-2026</t>
  </si>
  <si>
    <t>NANGKA UTARA NO.280 DPS</t>
  </si>
  <si>
    <t>TO6M</t>
  </si>
  <si>
    <t>15 agustus( tobar)</t>
  </si>
  <si>
    <t>peguyangan</t>
  </si>
  <si>
    <t>BEDAHULU NO.3-DENPASAR</t>
  </si>
  <si>
    <t>TZI3</t>
  </si>
  <si>
    <t>UTAMAKAN WAJIB S0</t>
  </si>
  <si>
    <t>Q2</t>
  </si>
  <si>
    <t>Melaya</t>
  </si>
  <si>
    <t>MELAYA - JEMBRANA</t>
  </si>
  <si>
    <t>FD2C</t>
  </si>
  <si>
    <t>Loloan Timur</t>
  </si>
  <si>
    <t>LOLOAN TIMUR - JEMBRANA</t>
  </si>
  <si>
    <t>FLCK</t>
  </si>
  <si>
    <t>Lelateng</t>
  </si>
  <si>
    <t>LELATENG - JEMBRANA</t>
  </si>
  <si>
    <t>F5KK</t>
  </si>
  <si>
    <t>renove FC(1=28 agt)</t>
  </si>
  <si>
    <t>A</t>
  </si>
  <si>
    <t>Ubung Kaja</t>
  </si>
  <si>
    <t>COKROAMINOTO 396 - DENPASAR</t>
  </si>
  <si>
    <t>TEHZ</t>
  </si>
  <si>
    <t>SELABIH</t>
  </si>
  <si>
    <t>RAYA SELABIH - TABANAN</t>
  </si>
  <si>
    <t>FADG</t>
  </si>
  <si>
    <t>PC.RAYA GOA GAJAH NO.88 - GYR</t>
  </si>
  <si>
    <t>FFU1</t>
  </si>
  <si>
    <t>Manggis</t>
  </si>
  <si>
    <t>PC.RAYA MANGGIS - KSM</t>
  </si>
  <si>
    <t>FEPR</t>
  </si>
  <si>
    <t>NAKULA - BADUNG</t>
  </si>
  <si>
    <t>TIHR</t>
  </si>
  <si>
    <t>PC.PC.DALUNG PERMAI - BADUNG</t>
  </si>
  <si>
    <t>TF43</t>
  </si>
  <si>
    <t>Sumerta Kelod</t>
  </si>
  <si>
    <t>MERDEKA - DENPASAR</t>
  </si>
  <si>
    <t>TQ64</t>
  </si>
  <si>
    <t>TAMAN GIRI NO .77 BDG</t>
  </si>
  <si>
    <t>F1HT</t>
  </si>
  <si>
    <t>Penarungan</t>
  </si>
  <si>
    <t>PC.PENARUNGAN - BADUNG</t>
  </si>
  <si>
    <t>TC5N</t>
  </si>
  <si>
    <t>PC.CIUNGWANARA - GIANYAR</t>
  </si>
  <si>
    <t>F2BK</t>
  </si>
  <si>
    <t>GREEN KORI - DENPASAR</t>
  </si>
  <si>
    <t>FVFA</t>
  </si>
  <si>
    <t>FRESH</t>
  </si>
  <si>
    <t>Panjer</t>
  </si>
  <si>
    <t>PC.PC.TUKAD BATANGHARI - DENPASAR</t>
  </si>
  <si>
    <t>TENE</t>
  </si>
  <si>
    <t>LEPAS</t>
  </si>
  <si>
    <t>PC.PC.BALI CLIFF - BADUNG</t>
  </si>
  <si>
    <t>T99R</t>
  </si>
  <si>
    <t>SUKAWATI 2 - GIANYAR</t>
  </si>
  <si>
    <t>T44N</t>
  </si>
  <si>
    <t>Pecatu</t>
  </si>
  <si>
    <t>PC.PC.PECATU INDAH - BADUNG</t>
  </si>
  <si>
    <t>TA8H</t>
  </si>
  <si>
    <t>GLOGOR CARIK - DENPASAR</t>
  </si>
  <si>
    <t>F9JZ</t>
  </si>
  <si>
    <t>RAYA SIDAKARYA NO 55 _DPS</t>
  </si>
  <si>
    <t>T9H5</t>
  </si>
  <si>
    <t>renove FC(1=14 agst)</t>
  </si>
  <si>
    <t>NGURAH RAI - BADUNG</t>
  </si>
  <si>
    <t>FJHJ</t>
  </si>
  <si>
    <t>PC.PC.KALIMUTU_DPS</t>
  </si>
  <si>
    <t>TIUF</t>
  </si>
  <si>
    <t>PC.PC.SUBAGAN - KARANGASEM</t>
  </si>
  <si>
    <t>T09A</t>
  </si>
  <si>
    <t>PIPITAN - BADUNG</t>
  </si>
  <si>
    <t>T6PY</t>
  </si>
  <si>
    <t>BYPASS IDA BAGUS MANTRA PERING - GIANYAR</t>
  </si>
  <si>
    <t>FAF8</t>
  </si>
  <si>
    <t>Seririt</t>
  </si>
  <si>
    <t>PC.PC.SERIRIT - SINGARAJA</t>
  </si>
  <si>
    <t>T8P8</t>
  </si>
  <si>
    <t>Medahan</t>
  </si>
  <si>
    <t>PC.PC.BY PASS BALI SAFARI - GYR</t>
  </si>
  <si>
    <t>TLQ5</t>
  </si>
  <si>
    <t>Kintamani</t>
  </si>
  <si>
    <t>YCG.KINTAMANI - BANGLI</t>
  </si>
  <si>
    <t>TQ22</t>
  </si>
  <si>
    <t>PC.PC.MAHENDRADATA NO.9_DPS</t>
  </si>
  <si>
    <t>FUAJ</t>
  </si>
  <si>
    <t>YCG.ULUWATU UNGASAN - BADUNG</t>
  </si>
  <si>
    <t>T97Q</t>
  </si>
  <si>
    <t>Tulamben</t>
  </si>
  <si>
    <t>TULAMBEN - KARANGASEM</t>
  </si>
  <si>
    <t>F0VA</t>
  </si>
  <si>
    <t>Tianyar</t>
  </si>
  <si>
    <t>TIANYAR - KUBU</t>
  </si>
  <si>
    <t>FHLZ</t>
  </si>
  <si>
    <t>Batur Tengah</t>
  </si>
  <si>
    <t>PC.PC.HIKING G.BATUR</t>
  </si>
  <si>
    <t>F4C8</t>
  </si>
  <si>
    <t>PC.PC.GEOPARK KINTAMANI-BGL</t>
  </si>
  <si>
    <t>FXZR</t>
  </si>
  <si>
    <t>Denbantas</t>
  </si>
  <si>
    <t>PC.BATUKARU TUAKILANG_TBN</t>
  </si>
  <si>
    <t>TDK6</t>
  </si>
  <si>
    <t>RAYA PADONAN - BADUNG</t>
  </si>
  <si>
    <t>FSUE</t>
  </si>
  <si>
    <t>renov ygc (1=19 agst) buka</t>
  </si>
  <si>
    <t>Kalibukbuk</t>
  </si>
  <si>
    <t>RAYA LOVINA 2 - SINGARAJA</t>
  </si>
  <si>
    <t>TK66</t>
  </si>
  <si>
    <t>PC.PC.BANGLI - BANGLI</t>
  </si>
  <si>
    <t>TF83</t>
  </si>
  <si>
    <t>Batunya</t>
  </si>
  <si>
    <t>PC.PC.TAMAN TANDA - TABANAN</t>
  </si>
  <si>
    <t>TZOG</t>
  </si>
  <si>
    <t>Semarapura Kauh</t>
  </si>
  <si>
    <t>PC.PC.FLAMBOYAN - KLUNGKUNG</t>
  </si>
  <si>
    <t>TQ89</t>
  </si>
  <si>
    <t>DEWI SRI 18 V - BADUNG</t>
  </si>
  <si>
    <t>TGET</t>
  </si>
  <si>
    <t>COKROAMINOTO - DENPASAR</t>
  </si>
  <si>
    <t>FD44</t>
  </si>
  <si>
    <t>15 S0 30 KON</t>
  </si>
  <si>
    <t>KENGETAN - GIANYAR</t>
  </si>
  <si>
    <t>TXEZ</t>
  </si>
  <si>
    <t>Bangbang</t>
  </si>
  <si>
    <t>YCG.RAYA BESAKIH - BANGLI</t>
  </si>
  <si>
    <t>TWUQ</t>
  </si>
  <si>
    <t>Gumbrih</t>
  </si>
  <si>
    <t>GUMBRIH - JEMBRANA</t>
  </si>
  <si>
    <t>F887</t>
  </si>
  <si>
    <t>MASALAH 4 BULAN</t>
  </si>
  <si>
    <t>Gulingan</t>
  </si>
  <si>
    <t>TAMAN AYUN - BADUNG</t>
  </si>
  <si>
    <t>T94J</t>
  </si>
  <si>
    <t>Sambirenteng</t>
  </si>
  <si>
    <t>SAMBIRENTENG TEJAKULA</t>
  </si>
  <si>
    <t>TLO6</t>
  </si>
  <si>
    <t>Pandak Gede</t>
  </si>
  <si>
    <t>YCG.PANDAK GEDE - TABANAN</t>
  </si>
  <si>
    <t>TI47</t>
  </si>
  <si>
    <t>Baturiti</t>
  </si>
  <si>
    <t>BATURITI - TABANAN</t>
  </si>
  <si>
    <t>F8I6</t>
  </si>
  <si>
    <t>Antiga</t>
  </si>
  <si>
    <t>PC.YEH MALET - KARANGASEM</t>
  </si>
  <si>
    <t>TR0F</t>
  </si>
  <si>
    <t>PADANG LUWIH 2 - BADUNG</t>
  </si>
  <si>
    <t>TFAB</t>
  </si>
  <si>
    <t>PC.PC.PENYALIN - TABANAN</t>
  </si>
  <si>
    <t>TQ75</t>
  </si>
  <si>
    <t>Bunutan</t>
  </si>
  <si>
    <t>BUNUTAN - KARANGASEM</t>
  </si>
  <si>
    <t>FAGN</t>
  </si>
  <si>
    <t>PC.PC.SUNRICE POIN KNTAMANI- BANGLI</t>
  </si>
  <si>
    <t>FLC5</t>
  </si>
  <si>
    <t>Bungaya Kangin</t>
  </si>
  <si>
    <t>BRIGHT BY INDOMARET NENAS - KSM</t>
  </si>
  <si>
    <t>FAHK</t>
  </si>
  <si>
    <t>Apuan</t>
  </si>
  <si>
    <t>APUAN_TABANAN</t>
  </si>
  <si>
    <t>TC9Q</t>
  </si>
  <si>
    <t>Penatih</t>
  </si>
  <si>
    <t>TRENGGANA 151A - DENPASAR</t>
  </si>
  <si>
    <t>FDA2</t>
  </si>
  <si>
    <t>Padang Kerta</t>
  </si>
  <si>
    <t>UNTUNG SURAPATI - KARANGASEM</t>
  </si>
  <si>
    <t>F90F</t>
  </si>
  <si>
    <t>Rendang</t>
  </si>
  <si>
    <t>GUNUNG AGUNG BESAKIH - KSM</t>
  </si>
  <si>
    <t>FRNN</t>
  </si>
  <si>
    <t>PC.PC.RAYA AIR SANIH_SRA</t>
  </si>
  <si>
    <t>FMPS</t>
  </si>
  <si>
    <t>RAYA TUKAD BARITO - DENPASAR</t>
  </si>
  <si>
    <t>FWUH</t>
  </si>
  <si>
    <t>Pering Sari</t>
  </si>
  <si>
    <t>RAYA SELAT_KSM</t>
  </si>
  <si>
    <t>FL4G</t>
  </si>
  <si>
    <t>Darmasaba</t>
  </si>
  <si>
    <t>PENENJOAN - BADUNG</t>
  </si>
  <si>
    <t>FTMA</t>
  </si>
  <si>
    <t>YCG.RAYA KATUNG KINTAMANI</t>
  </si>
  <si>
    <t>T1EN</t>
  </si>
  <si>
    <t>Catur</t>
  </si>
  <si>
    <t>CATUR KINTAMANI_BANGLI</t>
  </si>
  <si>
    <t>TE8I</t>
  </si>
  <si>
    <t>PC.PC.UDAYANA - SINGARAJA</t>
  </si>
  <si>
    <t>TA44</t>
  </si>
  <si>
    <t>Munggu</t>
  </si>
  <si>
    <t>PC.PC.BY PASS TANAH LOT NO.12_TBN</t>
  </si>
  <si>
    <t>TJAI</t>
  </si>
  <si>
    <t>Bona</t>
  </si>
  <si>
    <t>BONA - GIANYAR</t>
  </si>
  <si>
    <t>FPSE</t>
  </si>
  <si>
    <t>Pesinggahan</t>
  </si>
  <si>
    <t>YCG.RAYA GOA LAWAH_KLK</t>
  </si>
  <si>
    <t>FI23</t>
  </si>
  <si>
    <t>TIRTA NADI - DPS</t>
  </si>
  <si>
    <t>TLJZ</t>
  </si>
  <si>
    <t>PC.PC.NGURAH RAI 2 - BADUNG</t>
  </si>
  <si>
    <t>T5X9</t>
  </si>
  <si>
    <t>PC.PC.UBUD - GIANYAR</t>
  </si>
  <si>
    <t>TF66</t>
  </si>
  <si>
    <t>Buruan</t>
  </si>
  <si>
    <t>BY PASS DARMAGIRI 3 - GIANYAR</t>
  </si>
  <si>
    <t>TTWL</t>
  </si>
  <si>
    <t>Pemecutan Kaja</t>
  </si>
  <si>
    <t>WIBISANA BARAT - DENPASAR</t>
  </si>
  <si>
    <t>FIR0</t>
  </si>
  <si>
    <t>Beraban</t>
  </si>
  <si>
    <t>PANTAI NYANYI - TABANAN</t>
  </si>
  <si>
    <t>TAB0</t>
  </si>
  <si>
    <t>renov( ycg 18-31 agst)</t>
  </si>
  <si>
    <t>SPBU ANGKASA - BADUNG</t>
  </si>
  <si>
    <t>TSIA</t>
  </si>
  <si>
    <t>Bajera</t>
  </si>
  <si>
    <t>BAJERA - TABANAN</t>
  </si>
  <si>
    <t>TRGI</t>
  </si>
  <si>
    <t>YCG.IMAM BONJOL NO.83_DPS</t>
  </si>
  <si>
    <t>TWZ5</t>
  </si>
  <si>
    <t>Kutuh</t>
  </si>
  <si>
    <t>PC.PC.DHARMAWANGSA 64 - BADUNG</t>
  </si>
  <si>
    <t>TZEM</t>
  </si>
  <si>
    <t>Kuwum</t>
  </si>
  <si>
    <t>RAYA KUWUM - BADUNG</t>
  </si>
  <si>
    <t>FTOH</t>
  </si>
  <si>
    <t>Banjar</t>
  </si>
  <si>
    <t>PEMUDA - SINGARAJA</t>
  </si>
  <si>
    <t>TTIH</t>
  </si>
  <si>
    <t>BULUH INDAH NO 26 -DPS</t>
  </si>
  <si>
    <t>T3N9</t>
  </si>
  <si>
    <t>PC.PC.RAYA KAMPUS UNUD - BADUNG</t>
  </si>
  <si>
    <t>TTZZ</t>
  </si>
  <si>
    <t>Padang Sambian Kaja</t>
  </si>
  <si>
    <t>KEBO IWA - DENPASAR</t>
  </si>
  <si>
    <t>F08C</t>
  </si>
  <si>
    <t>SHINTA - DENPASAR</t>
  </si>
  <si>
    <t>FPRR</t>
  </si>
  <si>
    <t>SUTOMO-DPS</t>
  </si>
  <si>
    <t>T0BG</t>
  </si>
  <si>
    <t>Tegal Harum</t>
  </si>
  <si>
    <t>PC.GN RINJANI NO 51 - DENPASAR</t>
  </si>
  <si>
    <t>TGYF</t>
  </si>
  <si>
    <t>Tumbu</t>
  </si>
  <si>
    <t>YCG.TAMAN UJUNG _KSM</t>
  </si>
  <si>
    <t>TI8V</t>
  </si>
  <si>
    <t>GUNUNG SALAK - DENPASAR</t>
  </si>
  <si>
    <t>F9FD</t>
  </si>
  <si>
    <t>Sumerta</t>
  </si>
  <si>
    <t>PC.KATRANGAN DPS</t>
  </si>
  <si>
    <t>FJCT</t>
  </si>
  <si>
    <t>PC.PC.KESATRIAN 1 - GIANYAR</t>
  </si>
  <si>
    <t>TF70</t>
  </si>
  <si>
    <t>RAYA SEMER - BADUNG</t>
  </si>
  <si>
    <t>T7VV</t>
  </si>
  <si>
    <t>BUNG TOMO - DENPASAR</t>
  </si>
  <si>
    <t>TVR7</t>
  </si>
  <si>
    <t>Tukadmungga</t>
  </si>
  <si>
    <t>SERIRIT KM 6 -SRA</t>
  </si>
  <si>
    <t>F7PV</t>
  </si>
  <si>
    <t>Pujungan</t>
  </si>
  <si>
    <t>PUJUNGAN - TABANAN</t>
  </si>
  <si>
    <t>TUER</t>
  </si>
  <si>
    <t>Kaliasem</t>
  </si>
  <si>
    <t>RAYA SERIRIT_SRA</t>
  </si>
  <si>
    <t>FLFP</t>
  </si>
  <si>
    <t>GATSU BARAT NO 415 - DENPASAR</t>
  </si>
  <si>
    <t>FBRR</t>
  </si>
  <si>
    <t>TSIV</t>
  </si>
  <si>
    <t>RAYA NENAS - KSM</t>
  </si>
  <si>
    <t>FIXC</t>
  </si>
  <si>
    <t>Pedungan</t>
  </si>
  <si>
    <t>PULAU BANGKA NO.100 DPS</t>
  </si>
  <si>
    <t>TSZK</t>
  </si>
  <si>
    <t>YCG.BY PASS NGURAH RAI - BADUNG</t>
  </si>
  <si>
    <t>T7D5</t>
  </si>
  <si>
    <t>BY PASS JIMBARAN 19 - BADUNG</t>
  </si>
  <si>
    <t>T6Y5</t>
  </si>
  <si>
    <t>Tegal Tugu</t>
  </si>
  <si>
    <t>SERONGGA - GIANYAR</t>
  </si>
  <si>
    <t>FYAK</t>
  </si>
  <si>
    <t>PC.PC.LOVINA - SINGARAJA</t>
  </si>
  <si>
    <t>T15A</t>
  </si>
  <si>
    <t>YCG.KEBO IWA - GIANYAR</t>
  </si>
  <si>
    <t>TOBX</t>
  </si>
  <si>
    <t>PC.BLAHBATUH 1 - GIANYAR</t>
  </si>
  <si>
    <t>TA81</t>
  </si>
  <si>
    <t>PC.PC.RAYA PADONAN 25 - BADUNG</t>
  </si>
  <si>
    <t>TNAF</t>
  </si>
  <si>
    <t>BEDULU - GIANYAR</t>
  </si>
  <si>
    <t>T26O</t>
  </si>
  <si>
    <t>Peguyangan</t>
  </si>
  <si>
    <t>PC.PC.A YANI UTARA NO 196 DENPASAR</t>
  </si>
  <si>
    <t>TRKP</t>
  </si>
  <si>
    <t>Tibu Beneng</t>
  </si>
  <si>
    <t>PC.PC.TANDEG – BADUNG</t>
  </si>
  <si>
    <t>TA6A</t>
  </si>
  <si>
    <t>PC.PC.BULUH INDAH - DENPASAR</t>
  </si>
  <si>
    <t>TZUL</t>
  </si>
  <si>
    <t>SEDAP MALAM -DPS</t>
  </si>
  <si>
    <t>F3QZ</t>
  </si>
  <si>
    <t>YCG.RAYA DARMASABA_BDG</t>
  </si>
  <si>
    <t>TGVF</t>
  </si>
  <si>
    <t>Singapadu Tengah</t>
  </si>
  <si>
    <t>BR NEGARI - GIANYAR</t>
  </si>
  <si>
    <t>TGTF</t>
  </si>
  <si>
    <t>PERUM DALUNG PERMAI_BDG</t>
  </si>
  <si>
    <t>FAFH</t>
  </si>
  <si>
    <t>TUNJUNG KAPAL - BADUNG</t>
  </si>
  <si>
    <t>TXJN</t>
  </si>
  <si>
    <t>Padang Sambian Kelod</t>
  </si>
  <si>
    <t>TEGES - DENPASAR</t>
  </si>
  <si>
    <t>F17R</t>
  </si>
  <si>
    <t>Belantih</t>
  </si>
  <si>
    <t>RAYA BELANTIH_BANGLI</t>
  </si>
  <si>
    <t>FHO2</t>
  </si>
  <si>
    <t>PC.PC.SPBU KAPAL - BADUNG</t>
  </si>
  <si>
    <t>TB0S</t>
  </si>
  <si>
    <t>PC.PC.ULUWATU JIMBARAN - BADUNG</t>
  </si>
  <si>
    <t>TQ68</t>
  </si>
  <si>
    <t>Tegal Kertha</t>
  </si>
  <si>
    <t>GUNUNG BATUKARU - DENPASAR</t>
  </si>
  <si>
    <t>F1NI</t>
  </si>
  <si>
    <t>A YANI UTARA NO 388 - DENPASAR</t>
  </si>
  <si>
    <t>TOM7</t>
  </si>
  <si>
    <t>DALUNG 2 - BADUNG</t>
  </si>
  <si>
    <t>F26U</t>
  </si>
  <si>
    <t>PC.PC.PUJA MANDALA - BADUNG</t>
  </si>
  <si>
    <t>TOC1</t>
  </si>
  <si>
    <t>Celuk</t>
  </si>
  <si>
    <t>CELUK - GIANYAR</t>
  </si>
  <si>
    <t>TA76</t>
  </si>
  <si>
    <t>Keliki</t>
  </si>
  <si>
    <t>KELIKI_GIANYAR</t>
  </si>
  <si>
    <t>FD2P</t>
  </si>
  <si>
    <t>Mengwi</t>
  </si>
  <si>
    <t>YCG.SADING - BADUNG</t>
  </si>
  <si>
    <t>TCK4</t>
  </si>
  <si>
    <t>Ubud</t>
  </si>
  <si>
    <t>PC.FRESH SUWETA - GIANYAR</t>
  </si>
  <si>
    <t>TB8M</t>
  </si>
  <si>
    <t>Sembiran</t>
  </si>
  <si>
    <t>TEJAKULA - SINGARAJA</t>
  </si>
  <si>
    <t>FPUK</t>
  </si>
  <si>
    <t>Sumerta Kaja</t>
  </si>
  <si>
    <t>GN LEMPUYANG NO 88 - DENPASAR</t>
  </si>
  <si>
    <t>T1CS</t>
  </si>
  <si>
    <t>b</t>
  </si>
  <si>
    <t>YCG.PULAU BUNGIN NO.89_DPS</t>
  </si>
  <si>
    <t>TSWF</t>
  </si>
  <si>
    <t>DAUH PEKEN - TABANAN</t>
  </si>
  <si>
    <t>FYCA</t>
  </si>
  <si>
    <t>Pemecutan Kelod</t>
  </si>
  <si>
    <t>SPBU IMAM BONJOL - DENPASAR</t>
  </si>
  <si>
    <t>FOHP</t>
  </si>
  <si>
    <t>Guwang</t>
  </si>
  <si>
    <t>GOWANG - GIANYAR</t>
  </si>
  <si>
    <t>T1AA</t>
  </si>
  <si>
    <t>Mambal</t>
  </si>
  <si>
    <t>PC.RAYA SEMANA BDG</t>
  </si>
  <si>
    <t>TTRQ</t>
  </si>
  <si>
    <t>Yehembang Kauh</t>
  </si>
  <si>
    <t>YEH EMBANG- JEMBERANA</t>
  </si>
  <si>
    <t>FKQX</t>
  </si>
  <si>
    <t>TEGALALANG - GIANYAR</t>
  </si>
  <si>
    <t>FAIS</t>
  </si>
  <si>
    <t>Dangin Puri Kaja</t>
  </si>
  <si>
    <t>NANGKA SELATAN NO 76 - DENPASAR</t>
  </si>
  <si>
    <t>TWMC</t>
  </si>
  <si>
    <t>Kesiman Kertalangu</t>
  </si>
  <si>
    <t>PC.PC.BY PASS IDA BAGUS MANTRA NO.77_DPS</t>
  </si>
  <si>
    <t>TU0P</t>
  </si>
  <si>
    <t>Mas</t>
  </si>
  <si>
    <t>RAYA MAS UBUD - GIANYAR</t>
  </si>
  <si>
    <t>FNUR</t>
  </si>
  <si>
    <t>Seminyak</t>
  </si>
  <si>
    <t>PC.PC.KUNTI 2 - BADUNG</t>
  </si>
  <si>
    <t>TAIB</t>
  </si>
  <si>
    <t>Sukasada</t>
  </si>
  <si>
    <t>YCG.SUKASADA - SINGARAJA</t>
  </si>
  <si>
    <t>TA8A</t>
  </si>
  <si>
    <t>NEGARA - JEMBRANA</t>
  </si>
  <si>
    <t>F55L</t>
  </si>
  <si>
    <t>PC.PC.BY PASS NUSA DUA 333 - BADUNG</t>
  </si>
  <si>
    <t>TTW0</t>
  </si>
  <si>
    <t>Werdi Bhuwana</t>
  </si>
  <si>
    <t>PC.BR SAYAN BALERAN - BADUNG</t>
  </si>
  <si>
    <t>TQCW</t>
  </si>
  <si>
    <t>Petang</t>
  </si>
  <si>
    <t>PETANG - BADUNG</t>
  </si>
  <si>
    <t>FAAY</t>
  </si>
  <si>
    <t>Kaliakah</t>
  </si>
  <si>
    <t>KALIAKAH -  JEMBRANA</t>
  </si>
  <si>
    <t>TP2S</t>
  </si>
  <si>
    <t>Dauh Puri Kelod</t>
  </si>
  <si>
    <t>PC.PC.TEUKU UMAR - DENPASAR</t>
  </si>
  <si>
    <t>TC2L</t>
  </si>
  <si>
    <t>BALER BALE AGUNG - JBN</t>
  </si>
  <si>
    <t>FCD5</t>
  </si>
  <si>
    <t>Tegal Badeng Timur</t>
  </si>
  <si>
    <t>TEGAL BADENG - JEMBRANA</t>
  </si>
  <si>
    <t>FS25</t>
  </si>
  <si>
    <t>revove fc mini(6=22 agst) buka</t>
  </si>
  <si>
    <t>Tinga Tinga</t>
  </si>
  <si>
    <t>CELUKAN BAWANG - SINGARAJA</t>
  </si>
  <si>
    <t>TERZ</t>
  </si>
  <si>
    <t>Sulanyah</t>
  </si>
  <si>
    <t>SERIRIT SINGARAJA - SINGARAJA</t>
  </si>
  <si>
    <t>TUCU</t>
  </si>
  <si>
    <t>Pendem</t>
  </si>
  <si>
    <t>BANJAR SATRIA - JEMBRANA</t>
  </si>
  <si>
    <t>FEEI</t>
  </si>
  <si>
    <t>Negari</t>
  </si>
  <si>
    <t>YCG.BY PAS IDA BAGUS MANTRA NO.119</t>
  </si>
  <si>
    <t>F4UG</t>
  </si>
  <si>
    <t>PC.SUNSET ROAD 88 - BDG</t>
  </si>
  <si>
    <t>TL3T</t>
  </si>
  <si>
    <t>Sekardadi</t>
  </si>
  <si>
    <t>PENELOKAN SEKARDADI - BANGLI</t>
  </si>
  <si>
    <t>TOTJ</t>
  </si>
  <si>
    <t>TUKAD YEH AYA - DENPASAR</t>
  </si>
  <si>
    <t>TQ42</t>
  </si>
  <si>
    <t>BLAHBATUH 3 - GIANYAR</t>
  </si>
  <si>
    <t>FUFU</t>
  </si>
  <si>
    <t>Kerobokan</t>
  </si>
  <si>
    <t>KESAMBI - BADUNG</t>
  </si>
  <si>
    <t>TBEL</t>
  </si>
  <si>
    <t>Dangin Puri</t>
  </si>
  <si>
    <t>LETDA MADE PUTRA - DPS</t>
  </si>
  <si>
    <t>FCZM</t>
  </si>
  <si>
    <t>Dauh Puri Klod</t>
  </si>
  <si>
    <t>PULAU BUTON NO.12A _DPS</t>
  </si>
  <si>
    <t>T2OK</t>
  </si>
  <si>
    <t>Penyaringan</t>
  </si>
  <si>
    <t>PENYARINGAN - JEMBRANA</t>
  </si>
  <si>
    <t>TUWY</t>
  </si>
  <si>
    <t>Batubulan Kangin</t>
  </si>
  <si>
    <t>PASEKAN - GIANYAR</t>
  </si>
  <si>
    <t>FZ43</t>
  </si>
  <si>
    <t>TEBONGKANG - GIANYAR</t>
  </si>
  <si>
    <t>TZ8U</t>
  </si>
  <si>
    <t>Tegal Cangkring</t>
  </si>
  <si>
    <t>TEGAL CANGKRING -JBN</t>
  </si>
  <si>
    <t>FP7N</t>
  </si>
  <si>
    <t>Mendoyo Dangin Tukad</t>
  </si>
  <si>
    <t>MENDOYO - JEMBRANA</t>
  </si>
  <si>
    <t>TCQ3</t>
  </si>
  <si>
    <t>Dangin Tukadaya</t>
  </si>
  <si>
    <t>GAJAH MADA - JEMBRANA</t>
  </si>
  <si>
    <t>FDRS</t>
  </si>
  <si>
    <t>Panji</t>
  </si>
  <si>
    <t>KI BARAK PANJI - SINGARAJA</t>
  </si>
  <si>
    <t>FC0K</t>
  </si>
  <si>
    <t>Banjar Jawa</t>
  </si>
  <si>
    <t>PC.PC.GAJAH MADA - SINGARAJA</t>
  </si>
  <si>
    <t>TQ67</t>
  </si>
  <si>
    <t>IMAM BONJOL NO 210 DPS</t>
  </si>
  <si>
    <t>T5RY</t>
  </si>
  <si>
    <t>PULAU BELITUNG_DPS</t>
  </si>
  <si>
    <t>FKCD</t>
  </si>
  <si>
    <t>AKASIA-DPS</t>
  </si>
  <si>
    <t>F20T</t>
  </si>
  <si>
    <t>PC.IMAM BONJOL NO.415 - DPS</t>
  </si>
  <si>
    <t>T9V7</t>
  </si>
  <si>
    <t>SPBU SANUR - DENPASAR</t>
  </si>
  <si>
    <t>FLYD</t>
  </si>
  <si>
    <t>PC.FRRESH PANTAI LEBIH 2 - GIANYAR</t>
  </si>
  <si>
    <t>T95O</t>
  </si>
  <si>
    <t>Padang Sambian</t>
  </si>
  <si>
    <t>PC.PC.BUANA RAYA - DENPASAR</t>
  </si>
  <si>
    <t>TQ63</t>
  </si>
  <si>
    <t>GILIMANUK - JEMBRANA</t>
  </si>
  <si>
    <t>F68A</t>
  </si>
  <si>
    <t>Dauhwaru</t>
  </si>
  <si>
    <t>PC.PC.NEGARA 2 - JEMBRANA</t>
  </si>
  <si>
    <t>TLA3</t>
  </si>
  <si>
    <t>BAKTISERAGA - SINGARAJA</t>
  </si>
  <si>
    <t>TOSP</t>
  </si>
  <si>
    <t>KALIUNTU - SINGARAJA</t>
  </si>
  <si>
    <t>TURH</t>
  </si>
  <si>
    <t>renove(Fc 2=22 agt)</t>
  </si>
  <si>
    <t>ANGANTAKA 2 - BADUNG</t>
  </si>
  <si>
    <t>FEPF</t>
  </si>
  <si>
    <t>Tonja</t>
  </si>
  <si>
    <t>PC.PC.GATSU TIMUR - DENPASAR</t>
  </si>
  <si>
    <t>TQ86</t>
  </si>
  <si>
    <t>DANAU POSO NO.125_DPS</t>
  </si>
  <si>
    <t>FHIZ</t>
  </si>
  <si>
    <t>ada farud</t>
  </si>
  <si>
    <t>Saba</t>
  </si>
  <si>
    <t>PANTAI SABA 2 - GIANYAR</t>
  </si>
  <si>
    <t>FMH6</t>
  </si>
  <si>
    <t>PC.PC.BY PASS NGURAH RAI KUTA  BDG</t>
  </si>
  <si>
    <t>T6Q3</t>
  </si>
  <si>
    <t>Sibang Kaja</t>
  </si>
  <si>
    <t>YCG.SIBANG KAJA - BADUNG</t>
  </si>
  <si>
    <t>TCK7</t>
  </si>
  <si>
    <t>PENARUKAN - SINGARAJA</t>
  </si>
  <si>
    <t>TOYA</t>
  </si>
  <si>
    <t>JAGARAGA_GYR</t>
  </si>
  <si>
    <t>F37V</t>
  </si>
  <si>
    <t>Batu Bulan</t>
  </si>
  <si>
    <t>PC.PC.BATU BULAN - GIANYAR</t>
  </si>
  <si>
    <t>TQ08</t>
  </si>
  <si>
    <t>RAYA KINTAMANI - BANGLI</t>
  </si>
  <si>
    <t>FIU3</t>
  </si>
  <si>
    <t>PC.PC.RAYA PENELOKAN KINTAMANI</t>
  </si>
  <si>
    <t>TQX0</t>
  </si>
  <si>
    <t>PC.PC.IR SUKARNO - TABANAN</t>
  </si>
  <si>
    <t>T7I6</t>
  </si>
  <si>
    <t>PC.GUNUNG RINJANI NO.3 DPS</t>
  </si>
  <si>
    <t>TQW4</t>
  </si>
  <si>
    <t>Dauh Puri Kauh</t>
  </si>
  <si>
    <t>PC.PC.NUSA KAMBANGAN - DENPASAR</t>
  </si>
  <si>
    <t>TMR2</t>
  </si>
  <si>
    <t>RAYA ASTINA TIMUR - GIANYAR</t>
  </si>
  <si>
    <t>FVML</t>
  </si>
  <si>
    <t>RAJA IDA MADE RAI - SINGARAJA</t>
  </si>
  <si>
    <t>TKIU</t>
  </si>
  <si>
    <t>KUBU ANYAR 3 - BADUNG</t>
  </si>
  <si>
    <t>TOAN</t>
  </si>
  <si>
    <t>Melinggih</t>
  </si>
  <si>
    <t>YCG.PAYANGAN - GIANYAR</t>
  </si>
  <si>
    <t>TJQR</t>
  </si>
  <si>
    <t>Dangin Puri Kangin</t>
  </si>
  <si>
    <t>PC.SULI - DPS</t>
  </si>
  <si>
    <t>T88A</t>
  </si>
  <si>
    <t>RAYA SESETAN - DENPASAR</t>
  </si>
  <si>
    <t>TCLF</t>
  </si>
  <si>
    <t>renove  FC(3=21 agst)</t>
  </si>
  <si>
    <t>PULAU MOYO NO 50 - DENPASAR</t>
  </si>
  <si>
    <t>TZWC</t>
  </si>
  <si>
    <t>PC.PC.LEGIAN GROUND ZERO - BADUNG</t>
  </si>
  <si>
    <t>TIB4</t>
  </si>
  <si>
    <t>KARTINI - DENPASAR</t>
  </si>
  <si>
    <t>TJBM</t>
  </si>
  <si>
    <t>RAYA BUDUK - BADUNG</t>
  </si>
  <si>
    <t>FAIV</t>
  </si>
  <si>
    <t>YCG.MAJAPAHIT - TABANAN</t>
  </si>
  <si>
    <t>TZXF</t>
  </si>
  <si>
    <t>Lodtunduh</t>
  </si>
  <si>
    <t>PC.PC.RAYA LODTUNDUH</t>
  </si>
  <si>
    <t>F0PT</t>
  </si>
  <si>
    <t>Beng</t>
  </si>
  <si>
    <t>PATIH JELANTIK - GIANYAR</t>
  </si>
  <si>
    <t>FP01</t>
  </si>
  <si>
    <t>TUAKILANG - TABANAN</t>
  </si>
  <si>
    <t>F5NN</t>
  </si>
  <si>
    <t>SEROJA - DENPASAR</t>
  </si>
  <si>
    <t>T96Q</t>
  </si>
  <si>
    <t>PC.PC.CELUK 3 - GIANYAR</t>
  </si>
  <si>
    <t>TMUF</t>
  </si>
  <si>
    <t>TUKAD BARITO - DENPASAR</t>
  </si>
  <si>
    <t>FIKI</t>
  </si>
  <si>
    <t>Nyambu</t>
  </si>
  <si>
    <t>RAYA KABA-KABA_TBN</t>
  </si>
  <si>
    <t>FPO8</t>
  </si>
  <si>
    <t>YCG.RAYA TUKA _BADUNG</t>
  </si>
  <si>
    <t>FEY8</t>
  </si>
  <si>
    <t>PC.BAY PAS NGURAH RAI NO 101_DPS</t>
  </si>
  <si>
    <t>TF9J</t>
  </si>
  <si>
    <t>YCG.COKROAMINOTO NO 32 - DENPASAR</t>
  </si>
  <si>
    <t>T0XH</t>
  </si>
  <si>
    <t>PC.PC.RAYA MAS - GYR</t>
  </si>
  <si>
    <t>TVVM</t>
  </si>
  <si>
    <t>PADANG LUWIH - BADUNG</t>
  </si>
  <si>
    <t>T1AL</t>
  </si>
  <si>
    <t>PC.KEBO IWA UTARA NO. 2 - DPS</t>
  </si>
  <si>
    <t>TZDG</t>
  </si>
  <si>
    <t>Keroboka Kelod</t>
  </si>
  <si>
    <t>UMALAS_BDG</t>
  </si>
  <si>
    <t>FTSH</t>
  </si>
  <si>
    <t>RAYA BASANGKASA - BDG</t>
  </si>
  <si>
    <t>T5LP</t>
  </si>
  <si>
    <t>GATSU VI-DPS</t>
  </si>
  <si>
    <t>F2AA</t>
  </si>
  <si>
    <t>KEPAON INDAH_DPS</t>
  </si>
  <si>
    <t>FMJJ</t>
  </si>
  <si>
    <t>TUKAD BADUNG - DENPASAR</t>
  </si>
  <si>
    <t>TJOJ</t>
  </si>
  <si>
    <t>PC.PC.SEMER - BADUNG</t>
  </si>
  <si>
    <t>T8XU</t>
  </si>
  <si>
    <t>MONANG MANING - DENPASAR</t>
  </si>
  <si>
    <t>TCOA</t>
  </si>
  <si>
    <t>RAYA KEPAON_DPS</t>
  </si>
  <si>
    <t>FITT</t>
  </si>
  <si>
    <t>POS SHOP BATUKARU - DENPASAR</t>
  </si>
  <si>
    <t>TSWT</t>
  </si>
  <si>
    <t>IR.SUTAMI KEMENUH_GYR</t>
  </si>
  <si>
    <t>TTVE</t>
  </si>
  <si>
    <t>PC.PC.MUNGGU - BADUNG</t>
  </si>
  <si>
    <t>TQ45</t>
  </si>
  <si>
    <t>Dausa</t>
  </si>
  <si>
    <t>DAUSA_BANGLI</t>
  </si>
  <si>
    <t>FJAH</t>
  </si>
  <si>
    <t>KAPTEN DIPTA - GIANYAR</t>
  </si>
  <si>
    <t>TS5F</t>
  </si>
  <si>
    <t>PC.PC.PADONAN - BADUNG</t>
  </si>
  <si>
    <t>TTTH</t>
  </si>
  <si>
    <t>Gerokgak</t>
  </si>
  <si>
    <t>BATU AGUNG - SINGARAJA</t>
  </si>
  <si>
    <t>TEGT</t>
  </si>
  <si>
    <t>Musi</t>
  </si>
  <si>
    <t>MUSI - SINGARAJA</t>
  </si>
  <si>
    <t>TO8O</t>
  </si>
  <si>
    <t>Batur Utara</t>
  </si>
  <si>
    <t>GUNUNG BATUR - BANGLI</t>
  </si>
  <si>
    <t>FFEN</t>
  </si>
  <si>
    <t>PESIAPAN - TABANAN</t>
  </si>
  <si>
    <t>TEUN</t>
  </si>
  <si>
    <t>PC.NGURAH RAI 3 - BADUNG</t>
  </si>
  <si>
    <t>TMGG</t>
  </si>
  <si>
    <t>PC.RAYA PEMOGAN NO.245 - DPS</t>
  </si>
  <si>
    <t>TZRI</t>
  </si>
  <si>
    <t>Antosari</t>
  </si>
  <si>
    <t>ANTOSARI - TABANAN</t>
  </si>
  <si>
    <t>FQUA</t>
  </si>
  <si>
    <t>Kampung Anyar</t>
  </si>
  <si>
    <t>PLUS DEWI SARTIKA SRA/009</t>
  </si>
  <si>
    <t>TL7C</t>
  </si>
  <si>
    <t>KEROBOKAN 2 - BADUNG</t>
  </si>
  <si>
    <t>TTXS</t>
  </si>
  <si>
    <t>PC.PC.DALUNG - BADUNG</t>
  </si>
  <si>
    <t>TCIT</t>
  </si>
  <si>
    <t>TANJUNG BENOA - BADUNG</t>
  </si>
  <si>
    <t>TA7A</t>
  </si>
  <si>
    <t>RAYA KEROBOKAN 72 - BADUNG</t>
  </si>
  <si>
    <t>TSN2</t>
  </si>
  <si>
    <t>PC.PC.ANDONG II - GIANYAR</t>
  </si>
  <si>
    <t>TQFV</t>
  </si>
  <si>
    <t>RAYA SEMAT_BDG</t>
  </si>
  <si>
    <t>F3AR</t>
  </si>
  <si>
    <t>PC.PC.TOHPATI KESIMAN - DENPASAR</t>
  </si>
  <si>
    <t>TQBJ</t>
  </si>
  <si>
    <t>Sidakarya</t>
  </si>
  <si>
    <t>YCG.MERTASARI - DENPASAR</t>
  </si>
  <si>
    <t>TQ65</t>
  </si>
  <si>
    <t>PC.PC.BY PASS NGURAH RAI NO.269_DPS</t>
  </si>
  <si>
    <t>TYER</t>
  </si>
  <si>
    <t>PC.PC.PENGOSEKAN - GIANYAR</t>
  </si>
  <si>
    <t>TQ28</t>
  </si>
  <si>
    <t>PC.PC.NANGKA UTARA 2 - DENPASAR</t>
  </si>
  <si>
    <t>TQ13</t>
  </si>
  <si>
    <t>MUDING BATU_BADUNG</t>
  </si>
  <si>
    <t>F8DK</t>
  </si>
  <si>
    <t>SIDAKARYA - DENPASAR</t>
  </si>
  <si>
    <t>TAUH</t>
  </si>
  <si>
    <t>MUDING KELOD - BADUNG</t>
  </si>
  <si>
    <t>TSOD</t>
  </si>
  <si>
    <t>renove fc (1=14 agst)</t>
  </si>
  <si>
    <t>PANDU - BADUNG</t>
  </si>
  <si>
    <t>FAWE</t>
  </si>
  <si>
    <t xml:space="preserve">PC.PC.FRESH  RAYA PUTUTAN_DPS </t>
  </si>
  <si>
    <t>TKWM</t>
  </si>
  <si>
    <t>Lokapaksa</t>
  </si>
  <si>
    <t>LOKAPAKSA - SINGARAJA</t>
  </si>
  <si>
    <t>TNGU</t>
  </si>
  <si>
    <t>Tianyar Barat</t>
  </si>
  <si>
    <t>RAYA TIANYAR - KSM</t>
  </si>
  <si>
    <t>FX44</t>
  </si>
  <si>
    <t>Luwus</t>
  </si>
  <si>
    <t>PC.FRESH LUWUS BATURITI - TBN</t>
  </si>
  <si>
    <t>T9MR</t>
  </si>
  <si>
    <t>KENYERI NO. 53A - DENPASAR</t>
  </si>
  <si>
    <t>TU6Y</t>
  </si>
  <si>
    <t>Banjar Anyar</t>
  </si>
  <si>
    <t>PC.PC.GATOT SUBROTO - TABANAN</t>
  </si>
  <si>
    <t>TQ30</t>
  </si>
  <si>
    <t>BUANA RAYA NO 07-DPS</t>
  </si>
  <si>
    <t>TC7G</t>
  </si>
  <si>
    <t>PC.RAYA LUWUS TBN</t>
  </si>
  <si>
    <t>F7W8</t>
  </si>
  <si>
    <t>SASIH - GIANYAR</t>
  </si>
  <si>
    <t>TCAZ</t>
  </si>
  <si>
    <t>Geluntung</t>
  </si>
  <si>
    <t>GELUNTUNG_TABANAN</t>
  </si>
  <si>
    <t>T5ZA</t>
  </si>
  <si>
    <t>PC.PC.WR SUPRATMAN NO.279_DPS</t>
  </si>
  <si>
    <t>TOMJ</t>
  </si>
  <si>
    <t>YCG.PULAU BATANTA NO.45 DPS</t>
  </si>
  <si>
    <t>T8ER</t>
  </si>
  <si>
    <t>renove ycg(3= 15 agt)</t>
  </si>
  <si>
    <t>BR. SAYAN - BADUNG</t>
  </si>
  <si>
    <t>TF6V</t>
  </si>
  <si>
    <t>TANGKUBAN PERAHU - DENPASAR</t>
  </si>
  <si>
    <t>TFFV</t>
  </si>
  <si>
    <t>RAYA BAYAD_GYR</t>
  </si>
  <si>
    <t>FYKH</t>
  </si>
  <si>
    <t>WANAYU - GIANYAR</t>
  </si>
  <si>
    <t>TWWT</t>
  </si>
  <si>
    <t>renov (6-20 agt )buka</t>
  </si>
  <si>
    <t>PATIH NAMBI_DPS</t>
  </si>
  <si>
    <t>FNF1</t>
  </si>
  <si>
    <t>Peguyangan Kaja</t>
  </si>
  <si>
    <t>SURADIPA NO .18 - DPS</t>
  </si>
  <si>
    <t>T4LI</t>
  </si>
  <si>
    <t>MERPATI - DENPASAR</t>
  </si>
  <si>
    <t>TSIT</t>
  </si>
  <si>
    <t>ABIANBASE - BADUNG</t>
  </si>
  <si>
    <t>TCK3</t>
  </si>
  <si>
    <t>KAPAL - BADUNG</t>
  </si>
  <si>
    <t>TQ24</t>
  </si>
  <si>
    <t>Sempidi</t>
  </si>
  <si>
    <t>SEMPIDI 2 - BADUNG</t>
  </si>
  <si>
    <t>FADM</t>
  </si>
  <si>
    <t>YCG.JUNCTION BATUR LAKE - BANGLI</t>
  </si>
  <si>
    <t>TOCF</t>
  </si>
  <si>
    <t>SPBU NGURAH RAI - BADUNG</t>
  </si>
  <si>
    <t>FRRA</t>
  </si>
  <si>
    <t>Takmung</t>
  </si>
  <si>
    <t>LEPANG - KLUNGKUNG</t>
  </si>
  <si>
    <t>FY76</t>
  </si>
  <si>
    <t>renovasi (10==17 agst)buka</t>
  </si>
  <si>
    <t>RAYA BATURITI - TABANAN</t>
  </si>
  <si>
    <t>F34V</t>
  </si>
  <si>
    <t>Sampalan Kelod</t>
  </si>
  <si>
    <t>RAYA SAMPALAN KELUNGKUNG</t>
  </si>
  <si>
    <t>FWR8</t>
  </si>
  <si>
    <t>renovasi fc mini(1=5 agst)buka</t>
  </si>
  <si>
    <t>KERTANEGARA - DENPASAR</t>
  </si>
  <si>
    <t>T5DA</t>
  </si>
  <si>
    <t>WINDU SARA - BANGLI</t>
  </si>
  <si>
    <t>THIT</t>
  </si>
  <si>
    <t>Penyabangan</t>
  </si>
  <si>
    <t>PENYABANGAN - SINGARAJA</t>
  </si>
  <si>
    <t>TNIB</t>
  </si>
  <si>
    <t>Banyupoh</t>
  </si>
  <si>
    <t>BANYUPOH - SINGARAJA</t>
  </si>
  <si>
    <t>FIFF</t>
  </si>
  <si>
    <t>Pelaga</t>
  </si>
  <si>
    <t>PC.PC.RAYA PUNCAK MANGGU - BDG</t>
  </si>
  <si>
    <t>FAH8</t>
  </si>
  <si>
    <t>MAS UBUD - GIANYAR</t>
  </si>
  <si>
    <t>TQ31</t>
  </si>
  <si>
    <t>Lod Tunduh</t>
  </si>
  <si>
    <t>LOD TUNDUH - GIANYAR</t>
  </si>
  <si>
    <t>TQJB</t>
  </si>
  <si>
    <t>Banyuatis</t>
  </si>
  <si>
    <t>BANYUATIS - SINGARAJA</t>
  </si>
  <si>
    <t>FUDU</t>
  </si>
  <si>
    <t>Bantas</t>
  </si>
  <si>
    <t>BANTAS - TABANAN</t>
  </si>
  <si>
    <t>F0L0</t>
  </si>
  <si>
    <t>PENDIDIKAN NO 37 - DENPASAR</t>
  </si>
  <si>
    <t>TJE6</t>
  </si>
  <si>
    <t>PC.PC.A YANI - BADUNG</t>
  </si>
  <si>
    <t>T2Z8</t>
  </si>
  <si>
    <t>YCG.NGURAH RAI - TABANAN</t>
  </si>
  <si>
    <t>TA02</t>
  </si>
  <si>
    <t>YCG.PULAU KAWE NO 35 - DENPASAR</t>
  </si>
  <si>
    <t>TIHA</t>
  </si>
  <si>
    <t xml:space="preserve">Singapadu Kaler </t>
  </si>
  <si>
    <t>RAYA SILAKARANG GYR</t>
  </si>
  <si>
    <t>FBWE</t>
  </si>
  <si>
    <t>UDAYANA_GIANYAR</t>
  </si>
  <si>
    <t>FAOH</t>
  </si>
  <si>
    <t>ASEMAN - BADUNG</t>
  </si>
  <si>
    <t>T6L1</t>
  </si>
  <si>
    <t>Sangeh</t>
  </si>
  <si>
    <t>RAYA SANGEH - BADUNG</t>
  </si>
  <si>
    <t>FHX6</t>
  </si>
  <si>
    <t>Tangguwisia</t>
  </si>
  <si>
    <t>SERIRIT 2 - SINGARAJA</t>
  </si>
  <si>
    <t>TACL</t>
  </si>
  <si>
    <t>PC.PC.BRABAN - BADUNG</t>
  </si>
  <si>
    <t>TOCE</t>
  </si>
  <si>
    <t>Penatahan</t>
  </si>
  <si>
    <t>PC.PC.PURA BATUKARU_TBN</t>
  </si>
  <si>
    <t>FA84</t>
  </si>
  <si>
    <t xml:space="preserve">Jimbaran </t>
  </si>
  <si>
    <t>JEPUN_BADUNG</t>
  </si>
  <si>
    <t>F2MV</t>
  </si>
  <si>
    <t>Wanasari</t>
  </si>
  <si>
    <t>BATU KARU 76 - TABANAN</t>
  </si>
  <si>
    <t>TRUW</t>
  </si>
  <si>
    <t>MAWAR 2 - TABANAN</t>
  </si>
  <si>
    <t>TLA8</t>
  </si>
  <si>
    <t>renove lay out (10=17) buka</t>
  </si>
  <si>
    <t>PC.PC.PULAU KAWE - DENPASAR</t>
  </si>
  <si>
    <t>TAL5</t>
  </si>
  <si>
    <t>renove  ycg(8-15 ags)</t>
  </si>
  <si>
    <t>PEMARON MUNGGU - BADUNG</t>
  </si>
  <si>
    <t>T69T</t>
  </si>
  <si>
    <t>RAYA KUBU_KSM</t>
  </si>
  <si>
    <t>TP2U</t>
  </si>
  <si>
    <t>Cempaga</t>
  </si>
  <si>
    <t>SPBU CEMPAGA - BANGLI</t>
  </si>
  <si>
    <t>FHEN</t>
  </si>
  <si>
    <t>PC.PC.DIPONEGORO NO.226_DPS</t>
  </si>
  <si>
    <t>TSV9</t>
  </si>
  <si>
    <t>MATARAM - BADUNG</t>
  </si>
  <si>
    <t>TTJQ</t>
  </si>
  <si>
    <t>Peguyangan Kangin</t>
  </si>
  <si>
    <t>CEKOMARIA_DPS</t>
  </si>
  <si>
    <t>FDRX</t>
  </si>
  <si>
    <t>YCG.SEMPIDI - BADUNG</t>
  </si>
  <si>
    <t>TMM7</t>
  </si>
  <si>
    <t>Bongkasa</t>
  </si>
  <si>
    <t>BONGKASA - BADUNG</t>
  </si>
  <si>
    <t>TKVY</t>
  </si>
  <si>
    <t>renove FC (3=21 agst)</t>
  </si>
  <si>
    <t>PATIMURA NO 9-11 - DENPASAR</t>
  </si>
  <si>
    <t>T5NG</t>
  </si>
  <si>
    <t>BURUAN - GIANYAR</t>
  </si>
  <si>
    <t>FSOE</t>
  </si>
  <si>
    <t>YCG.PULAU GALANG - DENPASAR</t>
  </si>
  <si>
    <t>FLKA</t>
  </si>
  <si>
    <t>Kesiman Petilan</t>
  </si>
  <si>
    <t>SPBU GATOT SUBROTO TIMUR DPS</t>
  </si>
  <si>
    <t>F4SD</t>
  </si>
  <si>
    <t>PC.PC.HANGTUAH SANUR - DENPASAR</t>
  </si>
  <si>
    <t>TWJZ</t>
  </si>
  <si>
    <t>YCG.TUKAD BANYUSARI - DENPASAR</t>
  </si>
  <si>
    <t>T3AL</t>
  </si>
  <si>
    <t>PC.RAYA TUBAN NO.52B_BADUNG</t>
  </si>
  <si>
    <t>TR6G</t>
  </si>
  <si>
    <t>Sidan</t>
  </si>
  <si>
    <t>SIDAN - GIANYAR</t>
  </si>
  <si>
    <t>FCUU</t>
  </si>
  <si>
    <t>PUDAK - GIANYAR</t>
  </si>
  <si>
    <t>FPBP</t>
  </si>
  <si>
    <t>PC.PC.RAYA IR SOEKARNO _TBN</t>
  </si>
  <si>
    <t>FON4</t>
  </si>
  <si>
    <t>PULAU BUNGIN -  DENPASAR</t>
  </si>
  <si>
    <t>T9HS</t>
  </si>
  <si>
    <t>YANGGAPI_BANGLI</t>
  </si>
  <si>
    <t>FMY8</t>
  </si>
  <si>
    <t>Ketewel</t>
  </si>
  <si>
    <t>KETEWEL - GIANYAR</t>
  </si>
  <si>
    <t>FDN4</t>
  </si>
  <si>
    <t>SPBU KETEWEL - GIANYAR</t>
  </si>
  <si>
    <t>FGLC</t>
  </si>
  <si>
    <t>RAYA KINTAMANI 602 - BANGLI</t>
  </si>
  <si>
    <t>F31B</t>
  </si>
  <si>
    <t>renove FC (1=28 agst)</t>
  </si>
  <si>
    <t>Bondalem</t>
  </si>
  <si>
    <t>BONDALEM - SINGARAJA</t>
  </si>
  <si>
    <t>TSAP</t>
  </si>
  <si>
    <t>BATU BOLONG 12 - BADUNG</t>
  </si>
  <si>
    <t>FV3G</t>
  </si>
  <si>
    <t>YCG.KAMPUS UNUD 3 - BADUNG</t>
  </si>
  <si>
    <t>TESF</t>
  </si>
  <si>
    <t>DEWI SRI LEGIAN - BADUNG</t>
  </si>
  <si>
    <t>TMXX</t>
  </si>
  <si>
    <t>PULAU SAELUS - DENPASAR</t>
  </si>
  <si>
    <t>T4AL</t>
  </si>
  <si>
    <t>GUNUNG RINJANI - DENPASAR</t>
  </si>
  <si>
    <t>F44K</t>
  </si>
  <si>
    <t>PC.RAYA SEMPIDI - BDG</t>
  </si>
  <si>
    <t>FAOG</t>
  </si>
  <si>
    <t>Cepaka</t>
  </si>
  <si>
    <t>CEPAKA - TABANAN</t>
  </si>
  <si>
    <t>FSE5</t>
  </si>
  <si>
    <t>TANAH LOT - TABANAN</t>
  </si>
  <si>
    <t>FISH</t>
  </si>
  <si>
    <t>Kedewatan</t>
  </si>
  <si>
    <t>YCG.KEDEWATAN - GIANYAR</t>
  </si>
  <si>
    <t>TA2V</t>
  </si>
  <si>
    <t>NAKULA 73 - BADUNG</t>
  </si>
  <si>
    <t>TMCS</t>
  </si>
  <si>
    <t>PATIMURA - BADUNG</t>
  </si>
  <si>
    <t>TJ6U</t>
  </si>
  <si>
    <t>BUNISARI - BADUNG</t>
  </si>
  <si>
    <t>TQ09</t>
  </si>
  <si>
    <t>GRIYA ANYAR - BADUNG</t>
  </si>
  <si>
    <t>T0OP</t>
  </si>
  <si>
    <t>SRIKANDI NO .12_SRA</t>
  </si>
  <si>
    <t>FZJ7</t>
  </si>
  <si>
    <t>Liligundi</t>
  </si>
  <si>
    <t>YCG.MAYOR METRA - SINGARAJA</t>
  </si>
  <si>
    <t>TBAJ</t>
  </si>
  <si>
    <t>BY PAS NGURAH RAI NO 192-DPS</t>
  </si>
  <si>
    <t>FIEX</t>
  </si>
  <si>
    <t>PC.NGURAH RAI - GIANYAR</t>
  </si>
  <si>
    <t>TR65</t>
  </si>
  <si>
    <t>RAYA UBUD -  GIANYAR</t>
  </si>
  <si>
    <t>TDR0</t>
  </si>
  <si>
    <t>BANJAR ALANGKAJENG - BADUNG</t>
  </si>
  <si>
    <t>FIJJ</t>
  </si>
  <si>
    <t>TEGEH SARI - DENPASAR</t>
  </si>
  <si>
    <t>FAPA</t>
  </si>
  <si>
    <t>dauh peken</t>
  </si>
  <si>
    <t>PULAU MENJANGAN - TABANAN</t>
  </si>
  <si>
    <t>FUZ6</t>
  </si>
  <si>
    <t>PC.PC.TAMAN GRIYA 2 - BADUNG</t>
  </si>
  <si>
    <t>TUKP</t>
  </si>
  <si>
    <t>PC.PC.DIPONEGORO_DPS</t>
  </si>
  <si>
    <t>TLFV</t>
  </si>
  <si>
    <t>Manukaya</t>
  </si>
  <si>
    <t>PC.TAMPAK SIRING 2 - GIANYAR</t>
  </si>
  <si>
    <t>T0P4</t>
  </si>
  <si>
    <t>AHMAD YANI - DENPASAR</t>
  </si>
  <si>
    <t>T0AL</t>
  </si>
  <si>
    <t>PC.PC.DARMAWANGSA 2 - BADUNG</t>
  </si>
  <si>
    <t>TSAD</t>
  </si>
  <si>
    <t>PC.PC.PECATU - BADUNG</t>
  </si>
  <si>
    <t>TKV3</t>
  </si>
  <si>
    <t>Tiga</t>
  </si>
  <si>
    <t>KAYUAMBUA - BANGLI</t>
  </si>
  <si>
    <t>FFOA</t>
  </si>
  <si>
    <t xml:space="preserve">Abiansemal </t>
  </si>
  <si>
    <t>SPBU LATUSARI 2 - BADUNG</t>
  </si>
  <si>
    <t>FEHU</t>
  </si>
  <si>
    <t>Padangsambian Kelod</t>
  </si>
  <si>
    <t>PC.PC.GUNUNG ATHENA_DPS</t>
  </si>
  <si>
    <t>FFXV8</t>
  </si>
  <si>
    <t>CANGGU - BADUNG</t>
  </si>
  <si>
    <t>T4AA</t>
  </si>
  <si>
    <t>SUKASADA 2 - SINGARAJA</t>
  </si>
  <si>
    <t>FALD</t>
  </si>
  <si>
    <t>TUKAD BALIAN - DENPASAR</t>
  </si>
  <si>
    <t>FTFD</t>
  </si>
  <si>
    <t>BATU BULAN 2 - GIANYAR</t>
  </si>
  <si>
    <t>FAVO</t>
  </si>
  <si>
    <t>PALGUNA NO 101X-GYR</t>
  </si>
  <si>
    <t>TFOD</t>
  </si>
  <si>
    <t>RAYA IR. SUTAMI - GYR</t>
  </si>
  <si>
    <t>FBIE</t>
  </si>
  <si>
    <t>MELATI NO 53 - DENPASAR</t>
  </si>
  <si>
    <t>TM2C</t>
  </si>
  <si>
    <t>ANTASURA - BADUNG</t>
  </si>
  <si>
    <t>TAEO</t>
  </si>
  <si>
    <t>Les</t>
  </si>
  <si>
    <t>LES - SINGARAJA</t>
  </si>
  <si>
    <t>T8JB</t>
  </si>
  <si>
    <t>renove ycg(1=12 agt)</t>
  </si>
  <si>
    <t>GATSU TIMUR 608 - DENPASAR</t>
  </si>
  <si>
    <t>TGE1</t>
  </si>
  <si>
    <t>KUBUANYAR- BADUNG</t>
  </si>
  <si>
    <t>TD36</t>
  </si>
  <si>
    <t>Dajan Peken</t>
  </si>
  <si>
    <t>GUNUNG AGUNG - TABANAN</t>
  </si>
  <si>
    <t>TTXT</t>
  </si>
  <si>
    <t>ANTASURA - DENPASAR</t>
  </si>
  <si>
    <t>TQ87</t>
  </si>
  <si>
    <t>Banjarangkan</t>
  </si>
  <si>
    <t>BANJARANGKAN 2 - KLUNGKUNG</t>
  </si>
  <si>
    <t>TES2</t>
  </si>
  <si>
    <t>GUNUNG ANDAKASA - DENPASAR</t>
  </si>
  <si>
    <t>T6XJ</t>
  </si>
  <si>
    <t>DEN KAYU 2 - BADUNG</t>
  </si>
  <si>
    <t>FGFU</t>
  </si>
  <si>
    <t>KEDIRI 27 - BADUNG</t>
  </si>
  <si>
    <t>TARH</t>
  </si>
  <si>
    <t>Wanagiri</t>
  </si>
  <si>
    <t>RAYA WANAGIRI SRA</t>
  </si>
  <si>
    <t>FJUT</t>
  </si>
  <si>
    <t>WANAGIRI - SINGARAJA</t>
  </si>
  <si>
    <t>FKOM</t>
  </si>
  <si>
    <t>KERAMBITAN - TABANAN</t>
  </si>
  <si>
    <t>FX2V</t>
  </si>
  <si>
    <t>NUSANTARA - BANGLI</t>
  </si>
  <si>
    <t>F3EW</t>
  </si>
  <si>
    <t>Bebalang</t>
  </si>
  <si>
    <t>TIRTA GEDUH - BANGLI</t>
  </si>
  <si>
    <t>FLUT</t>
  </si>
  <si>
    <t>KUSUMA YUDA - BANGLI</t>
  </si>
  <si>
    <t>TLA6</t>
  </si>
  <si>
    <t>Abuan</t>
  </si>
  <si>
    <t>RAYA SEROKADAN - BANGLI</t>
  </si>
  <si>
    <t>T5Y0</t>
  </si>
  <si>
    <t>PC.PC.KAMPUS UNUD - BADUNG</t>
  </si>
  <si>
    <t>THY8</t>
  </si>
  <si>
    <t>PC.PC.ULUWATU 68 AA - BADUNG</t>
  </si>
  <si>
    <t>TIT4</t>
  </si>
  <si>
    <t>DARMAWANGSA - TABANAN</t>
  </si>
  <si>
    <t>TCHJ</t>
  </si>
  <si>
    <t>GOA GONG - BADUNG</t>
  </si>
  <si>
    <t>T020</t>
  </si>
  <si>
    <t>WR SUPRATMAN - DENPASAR</t>
  </si>
  <si>
    <t>FEEO</t>
  </si>
  <si>
    <t>Padangsambian Klod</t>
  </si>
  <si>
    <t>TANGKUBAN PERAHU NO 111D -DPS</t>
  </si>
  <si>
    <t>FFG0</t>
  </si>
  <si>
    <t>FRESH CARGO PERMAI - DENPASAR</t>
  </si>
  <si>
    <t>T8BU</t>
  </si>
  <si>
    <t>Kesiman</t>
  </si>
  <si>
    <t>KEMBANG MATAHARI - DENPASAR</t>
  </si>
  <si>
    <t>FH20</t>
  </si>
  <si>
    <t>BEDUGUL NO.11_DPS</t>
  </si>
  <si>
    <t>FWDT</t>
  </si>
  <si>
    <t>Gubug</t>
  </si>
  <si>
    <t>YEH GANGGA - TABANAN</t>
  </si>
  <si>
    <t>TIQI</t>
  </si>
  <si>
    <t>YCG.MERTASARI NO 68 _DPS</t>
  </si>
  <si>
    <t>T67C</t>
  </si>
  <si>
    <t>IMAM BONJOL - DENPASAR</t>
  </si>
  <si>
    <t>F02X</t>
  </si>
  <si>
    <t>YCG.WATURENGGONG_DPS</t>
  </si>
  <si>
    <t>FOT0</t>
  </si>
  <si>
    <t>YCG.NUSA INDAH NO.56 - DPS</t>
  </si>
  <si>
    <t>TVIF</t>
  </si>
  <si>
    <t>BY PAS IDA BAGUS MANTRA</t>
  </si>
  <si>
    <t>FTDJ</t>
  </si>
  <si>
    <t>Bungkulan</t>
  </si>
  <si>
    <t>BUNGKULAN - SINGARAJA</t>
  </si>
  <si>
    <t>T0NY</t>
  </si>
  <si>
    <t>DEWI SARTIKA - BADUNG</t>
  </si>
  <si>
    <t>TJMT</t>
  </si>
  <si>
    <t>MAJAPAHIT - BADUNG</t>
  </si>
  <si>
    <t>TWG4</t>
  </si>
  <si>
    <t>RAMA - GIANYAR</t>
  </si>
  <si>
    <t>FFLG</t>
  </si>
  <si>
    <t>TEGEHE - GIANYAR</t>
  </si>
  <si>
    <t>TUUQ</t>
  </si>
  <si>
    <t>LEMBU SORA - DENPASAR</t>
  </si>
  <si>
    <t>F3XG</t>
  </si>
  <si>
    <t>GUNUNG CATUR - DENPASAR</t>
  </si>
  <si>
    <t>FUIZ</t>
  </si>
  <si>
    <t>TEGAL PERMAI - BADUNG</t>
  </si>
  <si>
    <t>T20P</t>
  </si>
  <si>
    <t>PC.PC.DEWI SRI 18 - BADUNG</t>
  </si>
  <si>
    <t>T301</t>
  </si>
  <si>
    <t>PADANG LUWIH 3 - BADUNG</t>
  </si>
  <si>
    <t>TDNO</t>
  </si>
  <si>
    <t>Buduk</t>
  </si>
  <si>
    <t>PC.BUDUK - BADUNG</t>
  </si>
  <si>
    <t>FI1W</t>
  </si>
  <si>
    <t>Ubung</t>
  </si>
  <si>
    <t>UBUNG - DENPASAR</t>
  </si>
  <si>
    <t>TWIZ</t>
  </si>
  <si>
    <t>BUANA PERMATA HIJAU - DPS</t>
  </si>
  <si>
    <t>F7Q6</t>
  </si>
  <si>
    <t>MAHENDRADATTA UTARA 101 DPS</t>
  </si>
  <si>
    <t>FGYD</t>
  </si>
  <si>
    <t>PADMA NO.4 _DPS</t>
  </si>
  <si>
    <t>FOEB</t>
  </si>
  <si>
    <t>RAYA PEMOGAN - DENPASAR</t>
  </si>
  <si>
    <t>FXCZ</t>
  </si>
  <si>
    <t>BY PASS NGURAH RAI - DENPASAR</t>
  </si>
  <si>
    <t>FGRE</t>
  </si>
  <si>
    <t>YCG.PULAU MENJANGAN - SINGARAJA</t>
  </si>
  <si>
    <t>TQE0</t>
  </si>
  <si>
    <t>GATSU TIMUR NO. 100 X DPS</t>
  </si>
  <si>
    <t>FDDY</t>
  </si>
  <si>
    <t>KEDIRI 3 - BADUNG</t>
  </si>
  <si>
    <t>TEEK</t>
  </si>
  <si>
    <t>Karangasem</t>
  </si>
  <si>
    <t>YCG.NGURAH RAI - KARANGASEM</t>
  </si>
  <si>
    <t>TTTT</t>
  </si>
  <si>
    <t>PC.PC.BANDARA INTERNATIONAL NGURAH RAI BDG</t>
  </si>
  <si>
    <t>FQX2</t>
  </si>
  <si>
    <t>PC.PC.GARUDA WISNU KENCANA - BADUNG</t>
  </si>
  <si>
    <t>TIDN</t>
  </si>
  <si>
    <t>Telaga Tawang</t>
  </si>
  <si>
    <t>SIDEMEN_KSM</t>
  </si>
  <si>
    <t>F7EF</t>
  </si>
  <si>
    <t>WIBISANA BARAT  NO.90 DPS</t>
  </si>
  <si>
    <t>T2RW</t>
  </si>
  <si>
    <t>YCG.SANGGULAN PERMAI - TABANAN</t>
  </si>
  <si>
    <t>TTTK</t>
  </si>
  <si>
    <t>PC.PC.GATSU BARAT - DENPASAR</t>
  </si>
  <si>
    <t>TD99</t>
  </si>
  <si>
    <t>PC.PC.WR SUPRATMAN - DENPASAR</t>
  </si>
  <si>
    <t>T28Q</t>
  </si>
  <si>
    <t>PC.PC.TRENGGANA - DENPASAR</t>
  </si>
  <si>
    <t>TQ84</t>
  </si>
  <si>
    <t>TUKAD PETANU - DENPASAR</t>
  </si>
  <si>
    <t>FTZZ</t>
  </si>
  <si>
    <t>Mekar Bhuwana</t>
  </si>
  <si>
    <t>SAMU - BADUNG</t>
  </si>
  <si>
    <t>FHXH</t>
  </si>
  <si>
    <t>TUKAD BILOK _DPS</t>
  </si>
  <si>
    <t>FOBJ</t>
  </si>
  <si>
    <t>Cau Belayu</t>
  </si>
  <si>
    <t>PC.ABIMAYU_TABANAN</t>
  </si>
  <si>
    <t>FJZX</t>
  </si>
  <si>
    <t>SUNSET ROAD 767</t>
  </si>
  <si>
    <t>TO7K</t>
  </si>
  <si>
    <t>KUKUH MARGA - TABANAN</t>
  </si>
  <si>
    <t>FAAD</t>
  </si>
  <si>
    <t>SPBU DEWI SRI - BADUNG</t>
  </si>
  <si>
    <t>FKEZ</t>
  </si>
  <si>
    <t>BENESARI</t>
  </si>
  <si>
    <t>TQ90</t>
  </si>
  <si>
    <t>MERTASARI 58 - BADUNG</t>
  </si>
  <si>
    <t>THTY</t>
  </si>
  <si>
    <t>renove(1=12 agt)</t>
  </si>
  <si>
    <t>MERTASARI - BADUNG</t>
  </si>
  <si>
    <t>TR2F</t>
  </si>
  <si>
    <t>Muncan</t>
  </si>
  <si>
    <t>RAYA MUNCAN KARANGANSEM</t>
  </si>
  <si>
    <t>FTUG</t>
  </si>
  <si>
    <t>TIGA - BANGLI</t>
  </si>
  <si>
    <t>F91E</t>
  </si>
  <si>
    <t>PURA DEMAK - DENPASAR</t>
  </si>
  <si>
    <t>TZD1</t>
  </si>
  <si>
    <t>GUNUNG SOPUTAN - DENPASAR</t>
  </si>
  <si>
    <t>FQIE</t>
  </si>
  <si>
    <t>YCG.RAYA KUTA 4 - BADUNG</t>
  </si>
  <si>
    <t>TD8L</t>
  </si>
  <si>
    <t>YCG.GEMPOL - SINGARAJA</t>
  </si>
  <si>
    <t>TMPO</t>
  </si>
  <si>
    <t>ANTASURA 60 - DENPASAR</t>
  </si>
  <si>
    <t>F6KP</t>
  </si>
  <si>
    <t>RAYA GAJAH MADA - SINGARAJA</t>
  </si>
  <si>
    <t>F1RX</t>
  </si>
  <si>
    <t>SIBANG KAJA 2 - BADUNG</t>
  </si>
  <si>
    <t>TNAL</t>
  </si>
  <si>
    <t>Tunjuk</t>
  </si>
  <si>
    <t>WISNU MARGA TUNJUK_TBN</t>
  </si>
  <si>
    <t>T3F0</t>
  </si>
  <si>
    <t>TUKAD UNDA - DENPASAR</t>
  </si>
  <si>
    <t>FBAS</t>
  </si>
  <si>
    <t>Jinengdalem</t>
  </si>
  <si>
    <t>JINENGDALEM - SINGARAJA</t>
  </si>
  <si>
    <t>TAHY</t>
  </si>
  <si>
    <t>RAYA MENGWI - BADUNG</t>
  </si>
  <si>
    <t>TAHR</t>
  </si>
  <si>
    <t>BY PASS DARMAGIRI 2 - GIANYAR</t>
  </si>
  <si>
    <t>TI66</t>
  </si>
  <si>
    <t>YCG.BEDUGUL - TABANAN</t>
  </si>
  <si>
    <t>TDWD</t>
  </si>
  <si>
    <t>TAMAN GRIYA - BADUNG</t>
  </si>
  <si>
    <t>FE70</t>
  </si>
  <si>
    <t>KARANG MAS - BADUNG</t>
  </si>
  <si>
    <t>TSAB</t>
  </si>
  <si>
    <t>BAKUNG SARI - BADUNG</t>
  </si>
  <si>
    <t>TAUZ</t>
  </si>
  <si>
    <t>RAYA KUTA 2 - BADUNG</t>
  </si>
  <si>
    <t>TNJB</t>
  </si>
  <si>
    <t>DARMAGIRI - GIANYAR</t>
  </si>
  <si>
    <t>TCVZ</t>
  </si>
  <si>
    <t>Banjar Bali</t>
  </si>
  <si>
    <t>IMAM BONJOL - SINGARAJA</t>
  </si>
  <si>
    <t>T9NA</t>
  </si>
  <si>
    <t>Dauh Puri</t>
  </si>
  <si>
    <t>MALUKU DPS</t>
  </si>
  <si>
    <t>T5NI</t>
  </si>
  <si>
    <t>TIBUNG SARI - BADUNG</t>
  </si>
  <si>
    <t>TROD</t>
  </si>
  <si>
    <t>PADANG LUWIH 188 - BADUNG</t>
  </si>
  <si>
    <t>T2G1</t>
  </si>
  <si>
    <t>RAYA TUKAD BALIAN 123</t>
  </si>
  <si>
    <t>FL1E</t>
  </si>
  <si>
    <t>YCG.RAYA SIDAKARYA NO 142 _DPS</t>
  </si>
  <si>
    <t>TH7Y</t>
  </si>
  <si>
    <t>BEDUGUL 2 - TABANAN</t>
  </si>
  <si>
    <t>TWWS</t>
  </si>
  <si>
    <t>PC.PC.TUKAD PAKERISAN - DENPASAR</t>
  </si>
  <si>
    <t>T5AL</t>
  </si>
  <si>
    <t>IR SOEKARNO 8X - TABANAN</t>
  </si>
  <si>
    <t>THKK</t>
  </si>
  <si>
    <t>RAYA BUNUTAN - GIANYAR</t>
  </si>
  <si>
    <t>FGD1</t>
  </si>
  <si>
    <t>LUKLUK - BADUNG</t>
  </si>
  <si>
    <t>FFZ4</t>
  </si>
  <si>
    <t>Melinggih Kelod</t>
  </si>
  <si>
    <t>MELINGGIH KELOD - GIANYAR</t>
  </si>
  <si>
    <t>FGNM</t>
  </si>
  <si>
    <t>MAMBAL - BADUNG</t>
  </si>
  <si>
    <t>FTUH</t>
  </si>
  <si>
    <t>Pengulon</t>
  </si>
  <si>
    <t>YCG.PENGULON - SINGARAJA</t>
  </si>
  <si>
    <t>T70T</t>
  </si>
  <si>
    <t>TOKO BARU</t>
  </si>
  <si>
    <t>Serangan</t>
  </si>
  <si>
    <t>TUKAD PUNGGAWA - DPS</t>
  </si>
  <si>
    <t>TR2V</t>
  </si>
  <si>
    <t>Pejeng Kaja</t>
  </si>
  <si>
    <t>PEJENG KAJA - GIANYAR</t>
  </si>
  <si>
    <t>TXVX</t>
  </si>
  <si>
    <t>PELABUHAN BENOA - DENPASAR</t>
  </si>
  <si>
    <t>FTTV</t>
  </si>
  <si>
    <t>Berembeng</t>
  </si>
  <si>
    <t>BEREMBENG - TABANAN</t>
  </si>
  <si>
    <t>FSUC</t>
  </si>
  <si>
    <t>ALAS KEDATON - TABANAN</t>
  </si>
  <si>
    <t>TLID</t>
  </si>
  <si>
    <t>TEUKU UMAR BARAT - BADUNG</t>
  </si>
  <si>
    <t>T1R6</t>
  </si>
  <si>
    <t>CIUNGWANARA - BADUNG</t>
  </si>
  <si>
    <t>T1FF</t>
  </si>
  <si>
    <t>HAYAM WURUK NO.80_DPS</t>
  </si>
  <si>
    <t>F93J</t>
  </si>
  <si>
    <t>YCG.COKROAMINOTO NO.137_DPS</t>
  </si>
  <si>
    <t>TJOI</t>
  </si>
  <si>
    <t>Pemecutan</t>
  </si>
  <si>
    <t>RAYA GN.AGUNG - DENPASAR</t>
  </si>
  <si>
    <t>TV0W</t>
  </si>
  <si>
    <t>MERAH 3</t>
  </si>
  <si>
    <t>BLAHBATUH 2 - GIANYAR</t>
  </si>
  <si>
    <t>T99A</t>
  </si>
  <si>
    <t>RAYA MUNGGU_BDG</t>
  </si>
  <si>
    <t>F1RC</t>
  </si>
  <si>
    <t>ANDONG - GIANYAR</t>
  </si>
  <si>
    <t>TLA7</t>
  </si>
  <si>
    <t>Busung Biu</t>
  </si>
  <si>
    <t>KISKINDA - SINGARAJA</t>
  </si>
  <si>
    <t>FCRP</t>
  </si>
  <si>
    <t>PEJENG - GIANYAR</t>
  </si>
  <si>
    <t>FXV8</t>
  </si>
  <si>
    <t>TAMAN GIRI - BADUNG</t>
  </si>
  <si>
    <t>T36T</t>
  </si>
  <si>
    <t>YCG.DARMAWANGSA 102 - BADUNG</t>
  </si>
  <si>
    <t>TAIT</t>
  </si>
  <si>
    <t>Pererenan</t>
  </si>
  <si>
    <t>PC.PC.PERERENAN - BADUNG</t>
  </si>
  <si>
    <t>TRWI</t>
  </si>
  <si>
    <t>BY PASS NUSA DUA 4 - BADUNG</t>
  </si>
  <si>
    <t>TGVY</t>
  </si>
  <si>
    <t>BUANA RAYA 41 - DENPASAR</t>
  </si>
  <si>
    <t>FU88</t>
  </si>
  <si>
    <t>TAMAN GIRI 9 - BADUNG</t>
  </si>
  <si>
    <t>TKVL</t>
  </si>
  <si>
    <t>COK AGUNG TRESNA NO.19 DPS</t>
  </si>
  <si>
    <t>FIUZ</t>
  </si>
  <si>
    <t>YCG.PACUNG - TABANAN</t>
  </si>
  <si>
    <t>TAXO</t>
  </si>
  <si>
    <t>CANDI KUNING - TABANAN</t>
  </si>
  <si>
    <t>TQ20</t>
  </si>
  <si>
    <t>CAMPUHAN - GIANYAR</t>
  </si>
  <si>
    <t>FQ18</t>
  </si>
  <si>
    <t>PC.FRESH RAYA GUNUNG SOPUTAN_DPS</t>
  </si>
  <si>
    <t>TLEZ</t>
  </si>
  <si>
    <t>BUKA 31 JULI</t>
  </si>
  <si>
    <t>DANAU BERATAN NO.17A - DPS</t>
  </si>
  <si>
    <t>T7F6</t>
  </si>
  <si>
    <t>ARJUNA - BADUNG</t>
  </si>
  <si>
    <t>TMPP</t>
  </si>
  <si>
    <t>BONGAN - TABANAN</t>
  </si>
  <si>
    <t>FJXK</t>
  </si>
  <si>
    <t>Singapadu</t>
  </si>
  <si>
    <t>RAYA CELUK - GIANYAR</t>
  </si>
  <si>
    <t>FLLF</t>
  </si>
  <si>
    <t>KUBUANYAR 2 - BADUNG</t>
  </si>
  <si>
    <t>FHWW</t>
  </si>
  <si>
    <t>RAYA SAKAH - GIANYAR</t>
  </si>
  <si>
    <t>TOOI</t>
  </si>
  <si>
    <t>RAYA SUKAWATI GYR</t>
  </si>
  <si>
    <t>TVOF</t>
  </si>
  <si>
    <t>RAYA PRATAMA - BADUNG</t>
  </si>
  <si>
    <t>FMAE</t>
  </si>
  <si>
    <t>SRIKANDI - BADUNG</t>
  </si>
  <si>
    <t>TEKA</t>
  </si>
  <si>
    <t>Pupuan</t>
  </si>
  <si>
    <t>PUPUAN - TABANAN</t>
  </si>
  <si>
    <t>FCZ5</t>
  </si>
  <si>
    <t>YCG.SESETAN 2 - DENPASAR</t>
  </si>
  <si>
    <t>T10Q</t>
  </si>
  <si>
    <t>SESETAN NO .239 DPS</t>
  </si>
  <si>
    <t>F8YX</t>
  </si>
  <si>
    <t>RAYA SINGAPADU_GYR</t>
  </si>
  <si>
    <t>FCME</t>
  </si>
  <si>
    <t>GN. SANGHYANG - BADUNG</t>
  </si>
  <si>
    <t>TP2F</t>
  </si>
  <si>
    <t>GUNUNG SANGHYANG 227 BADUNG</t>
  </si>
  <si>
    <t>F2G2</t>
  </si>
  <si>
    <t>PALAPA NO 55 - DENPASAR</t>
  </si>
  <si>
    <t>FE7O</t>
  </si>
  <si>
    <t>BATUKARU_TBN</t>
  </si>
  <si>
    <t>FT9V</t>
  </si>
  <si>
    <t>BENGKALA SRA</t>
  </si>
  <si>
    <t>FZD9</t>
  </si>
  <si>
    <t>Cemagi</t>
  </si>
  <si>
    <t>CEMAGI - BADUNG</t>
  </si>
  <si>
    <t>TLBL</t>
  </si>
  <si>
    <t>TIANYAR BARAT - KARANGASEM</t>
  </si>
  <si>
    <t>FZ2I</t>
  </si>
  <si>
    <t>Ambengan</t>
  </si>
  <si>
    <t>YCG.AMBENGAN - SINGARAJA</t>
  </si>
  <si>
    <t>TIWC</t>
  </si>
  <si>
    <t>SPBU SAYAN BALERAN - BADUNG</t>
  </si>
  <si>
    <t>F3W7</t>
  </si>
  <si>
    <t>KUWUM - BADUNG</t>
  </si>
  <si>
    <t>TSMS</t>
  </si>
  <si>
    <t>SPBU ULUWATU - BADUNG</t>
  </si>
  <si>
    <t>FETS</t>
  </si>
  <si>
    <t>DIPONEGORO - TABANAN</t>
  </si>
  <si>
    <t>F2QU</t>
  </si>
  <si>
    <t>A YANI 2 - KARANGASEM</t>
  </si>
  <si>
    <t>FP76</t>
  </si>
  <si>
    <t>KEROBOKAN KAJA - BADUNG</t>
  </si>
  <si>
    <t>TQ74</t>
  </si>
  <si>
    <t>GOA GONG JIMBARAN - BADUNG</t>
  </si>
  <si>
    <t>TTTQ</t>
  </si>
  <si>
    <t>UNGASAN 2 - BADUNG</t>
  </si>
  <si>
    <t>TGQ0</t>
  </si>
  <si>
    <t>BADAK AGUNG - DENPASAR</t>
  </si>
  <si>
    <t>TE6V</t>
  </si>
  <si>
    <t>SUDIMARA - TABANAN</t>
  </si>
  <si>
    <t>FA5A</t>
  </si>
  <si>
    <t>PULAU TARAKAN - DENPASAR</t>
  </si>
  <si>
    <t>F3QQ</t>
  </si>
  <si>
    <t>PATIMURA - DENPASAR</t>
  </si>
  <si>
    <t>FT5N</t>
  </si>
  <si>
    <t>PC.PC.DANAU TAMBLINGAN - DENPASAR</t>
  </si>
  <si>
    <t>T8LJ</t>
  </si>
  <si>
    <t>Blahkiuh</t>
  </si>
  <si>
    <t>BLAHKIUH - BADUNG</t>
  </si>
  <si>
    <t>FROK</t>
  </si>
  <si>
    <t>BANJAR - SINGARAJA</t>
  </si>
  <si>
    <t>TQ88</t>
  </si>
  <si>
    <t>BUBUNAN - SINGARAJA</t>
  </si>
  <si>
    <t>TA4A</t>
  </si>
  <si>
    <t>PANTAI SABA - GIANYAR</t>
  </si>
  <si>
    <t>TQCY</t>
  </si>
  <si>
    <t>PC.PC.RAYA ULUWATU - BADUNG</t>
  </si>
  <si>
    <t>TAGI</t>
  </si>
  <si>
    <t>UNGASAN - BADUNG</t>
  </si>
  <si>
    <t>ANDAKASA - DENPASAR</t>
  </si>
  <si>
    <t>T11Q</t>
  </si>
  <si>
    <t>TANGGAYUDHA-BDG</t>
  </si>
  <si>
    <t>FOKP</t>
  </si>
  <si>
    <t>GUNUNG AGUNG - DENPASAR</t>
  </si>
  <si>
    <t>TZQQ</t>
  </si>
  <si>
    <t>BANJARANGKAN - KLUNGKUNG</t>
  </si>
  <si>
    <t>F5LI</t>
  </si>
  <si>
    <t>Marga Dajan Puri</t>
  </si>
  <si>
    <t>RAYA MARGA APUAN_TBN</t>
  </si>
  <si>
    <t>FMHN</t>
  </si>
  <si>
    <t>YCG.RATNA NO.20 DPS</t>
  </si>
  <si>
    <t>T1M0</t>
  </si>
  <si>
    <t>Semarapura Kaja</t>
  </si>
  <si>
    <t>NGURAH RAI_KELUNGKUNG</t>
  </si>
  <si>
    <t>FW28</t>
  </si>
  <si>
    <t>HAYAM WURUK NO.185 - DPS</t>
  </si>
  <si>
    <t>F2MD</t>
  </si>
  <si>
    <t>Marga</t>
  </si>
  <si>
    <t>WISNU MARGA - TABANAN</t>
  </si>
  <si>
    <t>FYOK</t>
  </si>
  <si>
    <t>Perean Tengah</t>
  </si>
  <si>
    <t>PEREAN TENGAH - TABANAN</t>
  </si>
  <si>
    <t>FCCF</t>
  </si>
  <si>
    <t>TUMBAK BAYUH - BADUNG</t>
  </si>
  <si>
    <t>FORY</t>
  </si>
  <si>
    <t>KEBO IWA - GYR</t>
  </si>
  <si>
    <t>FP58</t>
  </si>
  <si>
    <t>NOJA NO.124_DPS</t>
  </si>
  <si>
    <t>FKCM</t>
  </si>
  <si>
    <t>AMED VIEW - KARANGASEM</t>
  </si>
  <si>
    <t>FVDH</t>
  </si>
  <si>
    <t>TUKAD PAKERISAN NO.56 _ DPS</t>
  </si>
  <si>
    <t>FFYJ</t>
  </si>
  <si>
    <t>TRENGGULI - DENPASAR</t>
  </si>
  <si>
    <t>TNHH</t>
  </si>
  <si>
    <t>STP DARMAWANGSA - BADUNG</t>
  </si>
  <si>
    <t>TTVV</t>
  </si>
  <si>
    <t>renove FC (1=14 agt)</t>
  </si>
  <si>
    <t>AHMAD YANI - SINGARAJA</t>
  </si>
  <si>
    <t>TQ76</t>
  </si>
  <si>
    <t>Megati</t>
  </si>
  <si>
    <t>MEGATI - TABANAN</t>
  </si>
  <si>
    <t>TQ5Q</t>
  </si>
  <si>
    <t>Antap</t>
  </si>
  <si>
    <t>ANTAP - TABANAN</t>
  </si>
  <si>
    <t>FATM</t>
  </si>
  <si>
    <t>GADUNG NO.69 DPS</t>
  </si>
  <si>
    <t>F8CO</t>
  </si>
  <si>
    <t>PADANG KERTA</t>
  </si>
  <si>
    <t>PADANG KERTA - KARANGASEM</t>
  </si>
  <si>
    <t>FR0E</t>
  </si>
  <si>
    <t>Badung</t>
  </si>
  <si>
    <t>RAYA TUMBAK BAYUH NO 105 - BADUNG</t>
  </si>
  <si>
    <t>FSWE</t>
  </si>
  <si>
    <t>TUKAD IRAWADI NO 47 - DENPASAR</t>
  </si>
  <si>
    <t>F6CV</t>
  </si>
  <si>
    <t>MATARAM 2 - BADUNG</t>
  </si>
  <si>
    <t>TCUW</t>
  </si>
  <si>
    <t>Belimbing</t>
  </si>
  <si>
    <t>BELIMBING RICE TERRACE TBN</t>
  </si>
  <si>
    <t>F9BL</t>
  </si>
  <si>
    <t>UNTUNG SUROPATI - SINGARAJA</t>
  </si>
  <si>
    <t>T29Q</t>
  </si>
  <si>
    <t>Taman Bali</t>
  </si>
  <si>
    <t>TAMAN BALI - BANGLI</t>
  </si>
  <si>
    <t>TEUM</t>
  </si>
  <si>
    <t>MERDEKA - BANGLI</t>
  </si>
  <si>
    <t>THAK</t>
  </si>
  <si>
    <t>PC.PC.SUNSET ROAD - BADUNG</t>
  </si>
  <si>
    <t>TQ0B</t>
  </si>
  <si>
    <t>WR. SUPRATMAN 246 - DENPASAR</t>
  </si>
  <si>
    <t>TRI3</t>
  </si>
  <si>
    <t>DARMAWANGSA - BADUNG</t>
  </si>
  <si>
    <t>FFD8</t>
  </si>
  <si>
    <t>WARIBANG - DPS</t>
  </si>
  <si>
    <t>FG68</t>
  </si>
  <si>
    <t>BLAHKIUH 2 - BADUNG</t>
  </si>
  <si>
    <t>FTSN</t>
  </si>
  <si>
    <t>PC.ABIANTUWUNG - TBN</t>
  </si>
  <si>
    <t>TIAI</t>
  </si>
  <si>
    <t>Tampaksiring</t>
  </si>
  <si>
    <t>TAMPAKSIRING - GIANYAR</t>
  </si>
  <si>
    <t>T3AA</t>
  </si>
  <si>
    <t>SUKAWATI - GIANYAR</t>
  </si>
  <si>
    <t>F01U</t>
  </si>
  <si>
    <t>PC.PC.AHMAD YANI - TABANAN</t>
  </si>
  <si>
    <t>TCK8</t>
  </si>
  <si>
    <t>PC.PC.TIRTA_GIANYAR</t>
  </si>
  <si>
    <t>FM0K</t>
  </si>
  <si>
    <t>PC.CARGO PERMAI 42 -  DENPASAR</t>
  </si>
  <si>
    <t>TQ2I</t>
  </si>
  <si>
    <t>PC.PC.RAYA TUKAD BADUNG_DPS</t>
  </si>
  <si>
    <t>TQWG</t>
  </si>
  <si>
    <t>RAYA TUBAN - BADUNG</t>
  </si>
  <si>
    <t>TN5R</t>
  </si>
  <si>
    <t>KEDONGANAN - BADUNG</t>
  </si>
  <si>
    <t>TDVX</t>
  </si>
  <si>
    <t>ZONA</t>
  </si>
  <si>
    <t>ket</t>
  </si>
  <si>
    <t>SO AGUSTUS</t>
  </si>
  <si>
    <t>SO JULI</t>
  </si>
  <si>
    <t>SO JUNI</t>
  </si>
  <si>
    <t>SO MEI</t>
  </si>
  <si>
    <t>JUL,AGST,SEPT'26</t>
  </si>
  <si>
    <t>will</t>
  </si>
  <si>
    <t>sal</t>
  </si>
  <si>
    <t>nama</t>
  </si>
  <si>
    <t>kdtk</t>
  </si>
  <si>
    <t>NO</t>
  </si>
  <si>
    <t>jumat</t>
  </si>
  <si>
    <t xml:space="preserve">rabu </t>
  </si>
  <si>
    <t>selasa</t>
  </si>
  <si>
    <t>senin</t>
  </si>
  <si>
    <t/>
  </si>
  <si>
    <t xml:space="preserve">SEPTEMBER </t>
  </si>
  <si>
    <t xml:space="preserve">TARGET TOKO SO </t>
  </si>
  <si>
    <t>NIK</t>
  </si>
  <si>
    <t>NAMA</t>
  </si>
  <si>
    <t>KOORDINATOR</t>
  </si>
  <si>
    <t>KORLAP</t>
  </si>
  <si>
    <t>2015478551</t>
  </si>
  <si>
    <t>ATHILA HARVE SEPTANANDO</t>
  </si>
  <si>
    <t>2013182311</t>
  </si>
  <si>
    <t>YOGI SEPTA ARIF PRATAMA</t>
  </si>
  <si>
    <t>2013180506</t>
  </si>
  <si>
    <t>I WAYAN ANGGA RISTA</t>
  </si>
  <si>
    <t>2015733322</t>
  </si>
  <si>
    <t>ABIL YAHYA ASSYADILI</t>
  </si>
  <si>
    <t>2015644524</t>
  </si>
  <si>
    <t>WAHYU SULISTYO NUR ADI</t>
  </si>
  <si>
    <t>2015478550</t>
  </si>
  <si>
    <t>AGUSTINUS SAFRUDIN</t>
  </si>
  <si>
    <t>2015100909</t>
  </si>
  <si>
    <t>CAHYO PRASETYO UTOMO</t>
  </si>
  <si>
    <t>2015742253</t>
  </si>
  <si>
    <t>JULIO BOY NENOTEK</t>
  </si>
  <si>
    <t>2015762238</t>
  </si>
  <si>
    <t>SYAHRUL HANAFI</t>
  </si>
  <si>
    <t>2015632428</t>
  </si>
  <si>
    <t>JOVAN FALAH MAULANA</t>
  </si>
  <si>
    <t>2015154121</t>
  </si>
  <si>
    <t>MUHAMMAD BAGUS MAULANA</t>
  </si>
  <si>
    <t>2013060277</t>
  </si>
  <si>
    <t>ODI TRI ANGGARA</t>
  </si>
  <si>
    <t>2015675462</t>
  </si>
  <si>
    <t>FEBRI DWI PRATAMA</t>
  </si>
  <si>
    <t>2015362961</t>
  </si>
  <si>
    <t>KETUT SATRIA DINATA</t>
  </si>
  <si>
    <t>2015471984</t>
  </si>
  <si>
    <t>I GUSTI NGURAH KRISNA PUTRA</t>
  </si>
  <si>
    <t>2015060270</t>
  </si>
  <si>
    <t>I MADE RUDIARTA</t>
  </si>
  <si>
    <t>2015742254</t>
  </si>
  <si>
    <t>I KETUT KRISNATA</t>
  </si>
  <si>
    <t>2015747088</t>
  </si>
  <si>
    <t>I PUTU AGUNG FEBRIANTO</t>
  </si>
  <si>
    <t>2015408869</t>
  </si>
  <si>
    <t>SAEPUL BAHRI</t>
  </si>
  <si>
    <t>2015302836</t>
  </si>
  <si>
    <t>RAFLI SALMAN ADITYA</t>
  </si>
  <si>
    <t>2013090888</t>
  </si>
  <si>
    <t>ANGGA ARDIYANSYAH</t>
  </si>
  <si>
    <t>2015161965</t>
  </si>
  <si>
    <t>ANTON TRI SUCITRO</t>
  </si>
  <si>
    <t>2015644525</t>
  </si>
  <si>
    <t xml:space="preserve">SUBHAN MAULANA ISHAQ </t>
  </si>
  <si>
    <t>2015467115</t>
  </si>
  <si>
    <t>MUHAMMAD GUFRON</t>
  </si>
  <si>
    <t>2015377937</t>
  </si>
  <si>
    <t>IKADEK GALANG SURYA DARMA</t>
  </si>
  <si>
    <t>2015583887</t>
  </si>
  <si>
    <t>FIKI SANDHIKA  PUTRA</t>
  </si>
  <si>
    <t>2015655271</t>
  </si>
  <si>
    <t>MARCHEL BAGAS</t>
  </si>
  <si>
    <t>2015503577</t>
  </si>
  <si>
    <t>AHMAD RYOS AJI HERLIAN</t>
  </si>
  <si>
    <t>2015170503</t>
  </si>
  <si>
    <t>I GEDE JULIANTO</t>
  </si>
  <si>
    <t>2013159827</t>
  </si>
  <si>
    <t>ABDUL RAHMAN</t>
  </si>
  <si>
    <t>2015640856</t>
  </si>
  <si>
    <t>RISKI BAYU RAMADHAN</t>
  </si>
  <si>
    <t>2015731683</t>
  </si>
  <si>
    <t>DWI CAHYA PUTRA</t>
  </si>
  <si>
    <t>2015748049</t>
  </si>
  <si>
    <t xml:space="preserve">MOCH FAHRUL ROSI </t>
  </si>
  <si>
    <t>2015497215</t>
  </si>
  <si>
    <t>LALU FARA AZIS</t>
  </si>
  <si>
    <t>2015178874</t>
  </si>
  <si>
    <t>AHMAD BAGUS AKBAR</t>
  </si>
  <si>
    <t>2015496206</t>
  </si>
  <si>
    <t>I GEDE AGUS BUDI SUARNATA</t>
  </si>
  <si>
    <t>2015743981</t>
  </si>
  <si>
    <t>I PUTU AGUS PUTRA WIJAYA</t>
  </si>
  <si>
    <t>2015552796</t>
  </si>
  <si>
    <t>ADAM FAJAR RAMADHAN</t>
  </si>
  <si>
    <t>2015082091</t>
  </si>
  <si>
    <t>AGUNG DWI SETIAWAN</t>
  </si>
  <si>
    <t>2013217571</t>
  </si>
  <si>
    <t>I GEDE PASEK SANTIKA</t>
  </si>
  <si>
    <t>2015709471</t>
  </si>
  <si>
    <t>FANI SULISTIYO</t>
  </si>
  <si>
    <t>2015653867</t>
  </si>
  <si>
    <t>DIMAS SETIAWAN</t>
  </si>
  <si>
    <t>2015762233</t>
  </si>
  <si>
    <t>PUTU PRIA ASTIKA WIDNYANA</t>
  </si>
  <si>
    <t>2015640857</t>
  </si>
  <si>
    <t>PUTRA BILAL INZHAGI</t>
  </si>
  <si>
    <t>2015458087</t>
  </si>
  <si>
    <t>M LUTFILAH</t>
  </si>
  <si>
    <t>2015687144</t>
  </si>
  <si>
    <t>MUHAMMAD ERI FARHANDI</t>
  </si>
  <si>
    <t>2015739793</t>
  </si>
  <si>
    <t>BENEDIKTUS FEBRIANO JANGGU</t>
  </si>
  <si>
    <t>2015586328</t>
  </si>
  <si>
    <t>IMANUEL MUSA J LAKAPU</t>
  </si>
  <si>
    <t>2015076423</t>
  </si>
  <si>
    <t>GEDE ARIASA</t>
  </si>
  <si>
    <t>2013178647</t>
  </si>
  <si>
    <t>PUTU BISMA</t>
  </si>
  <si>
    <t>2015458084</t>
  </si>
  <si>
    <t>IKOMANG PUTRA YASA</t>
  </si>
  <si>
    <t>2015705789</t>
  </si>
  <si>
    <t>I GEDE  MADE ADI GUNA</t>
  </si>
  <si>
    <t>2015378206</t>
  </si>
  <si>
    <t>BUJANGGA JONATHAN ADI PUTRA</t>
  </si>
  <si>
    <t>2015565553</t>
  </si>
  <si>
    <t>MUOH FARISAL</t>
  </si>
  <si>
    <t>2015675463</t>
  </si>
  <si>
    <t>DIYO TRI JANUAR</t>
  </si>
  <si>
    <t>Grand Total</t>
  </si>
  <si>
    <t>(All)</t>
  </si>
  <si>
    <t>Count of NAMA</t>
  </si>
  <si>
    <t>Total</t>
  </si>
  <si>
    <t xml:space="preserve">PERSONIL </t>
  </si>
  <si>
    <t>hari kerja</t>
  </si>
  <si>
    <t>CAB: BALI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</si>
  <si>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</si>
  <si>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PEDOMAN JADWAL SO AUDIT BIC</t>
  </si>
  <si>
    <t>GROUP</t>
  </si>
  <si>
    <t>PERSONIL</t>
  </si>
  <si>
    <t>HARI</t>
  </si>
  <si>
    <t>Jml Orang</t>
  </si>
  <si>
    <t>IDM</t>
  </si>
  <si>
    <t>TOKO</t>
  </si>
  <si>
    <t>STOCK RP</t>
  </si>
  <si>
    <t>AS</t>
  </si>
  <si>
    <t>SO_AKTIVA</t>
  </si>
  <si>
    <t>TEAM 1</t>
  </si>
  <si>
    <t>ANGGA RISTA</t>
  </si>
  <si>
    <t>YOGI SEPTA</t>
  </si>
  <si>
    <t>SABTU</t>
  </si>
  <si>
    <t>TEAM GABUNG</t>
  </si>
  <si>
    <t>ANGGA EKSTRA</t>
  </si>
  <si>
    <t>TEAM 2</t>
  </si>
  <si>
    <t>CAHYO</t>
  </si>
  <si>
    <t>TEAM 3</t>
  </si>
  <si>
    <t>ODI TRI</t>
  </si>
  <si>
    <t>BAGUS MAULANA</t>
  </si>
  <si>
    <t>ODI TRI EKSTRA</t>
  </si>
  <si>
    <t>TEAM 4</t>
  </si>
  <si>
    <t>RUDIARTA</t>
  </si>
  <si>
    <t xml:space="preserve">TEAM 5 </t>
  </si>
  <si>
    <t>ANGGA ARDIAN</t>
  </si>
  <si>
    <t>RAFLI</t>
  </si>
  <si>
    <t>ANGGA AR EXTRA</t>
  </si>
  <si>
    <t>TEAM 6</t>
  </si>
  <si>
    <t>KADEK GALANG</t>
  </si>
  <si>
    <t xml:space="preserve">TEAM 7  </t>
  </si>
  <si>
    <t>ABDUL</t>
  </si>
  <si>
    <t>JULIANTO</t>
  </si>
  <si>
    <t>ABDUL EXTRA</t>
  </si>
  <si>
    <t xml:space="preserve">TEAM 8  </t>
  </si>
  <si>
    <t>BAGUS AKBAR</t>
  </si>
  <si>
    <t xml:space="preserve">TEAM 9  </t>
  </si>
  <si>
    <t>PASEK</t>
  </si>
  <si>
    <t>AGUNG DWI</t>
  </si>
  <si>
    <t>PASEK EKSTRA</t>
  </si>
  <si>
    <t xml:space="preserve">TEAM 10  </t>
  </si>
  <si>
    <t>M.LUTFI</t>
  </si>
  <si>
    <t>TIM GABUNG</t>
  </si>
  <si>
    <t xml:space="preserve">TEAM 11  </t>
  </si>
  <si>
    <t>BISMA</t>
  </si>
  <si>
    <t>BUJANGGA</t>
  </si>
  <si>
    <t>BISMA EKSTRA</t>
  </si>
  <si>
    <t xml:space="preserve">TEAM 12  </t>
  </si>
  <si>
    <t>MINGGU</t>
  </si>
  <si>
    <t>SENIN</t>
  </si>
  <si>
    <t>SELASA</t>
  </si>
  <si>
    <t>RABU</t>
  </si>
  <si>
    <t>KAMIS</t>
  </si>
  <si>
    <t>JUMAT</t>
  </si>
  <si>
    <t>ZONA HITAM</t>
  </si>
  <si>
    <t>TAMBAHAN</t>
  </si>
  <si>
    <t>AGUS BUDI</t>
  </si>
  <si>
    <t>BABAKAN - BADUNG</t>
  </si>
  <si>
    <t>GUNUNG AGUNG 2 - DENPASAR</t>
  </si>
  <si>
    <t>Type SO</t>
  </si>
  <si>
    <t>ANYELIR - TABANAN</t>
  </si>
  <si>
    <t>RAYA WANAGIRI - BULELENG</t>
  </si>
  <si>
    <t>RAYA MANGGIS - KARANGASEM</t>
  </si>
  <si>
    <t>PULAU KAWE NO 35 - DENPASAR</t>
  </si>
  <si>
    <t>JAGARAGA - GIANYAR</t>
  </si>
  <si>
    <t>BENGKALA - BULELENG</t>
  </si>
  <si>
    <t>IMAM BONJOL NO 415 - DENPASAR</t>
  </si>
  <si>
    <t>TGHK</t>
  </si>
  <si>
    <t>CEKOMARIA - DENPASAR</t>
  </si>
  <si>
    <t>YEH GANGGA SUDIMARA - TABANAN</t>
  </si>
  <si>
    <t>KEDISAN - BANGLI</t>
  </si>
  <si>
    <t>SO JUNI '26</t>
  </si>
  <si>
    <t>SO JULI '26</t>
  </si>
  <si>
    <t>KABUPATEN</t>
  </si>
  <si>
    <t>SO AGUSTUS '26</t>
  </si>
  <si>
    <t>KDTK</t>
  </si>
  <si>
    <t>WILAYAH</t>
  </si>
  <si>
    <t>COVERAGE</t>
  </si>
  <si>
    <t>BALI</t>
  </si>
  <si>
    <t>IGR</t>
  </si>
  <si>
    <t>DC</t>
  </si>
  <si>
    <t>RAYA LODTUNDUH - GIANYAR</t>
  </si>
  <si>
    <t>TAMAN GIRI NO 77 - BADUNG</t>
  </si>
  <si>
    <t>AKASIA - DENPASAR</t>
  </si>
  <si>
    <t>GATSU VI - DENPASAR</t>
  </si>
  <si>
    <t>JEPUN - BADUNG</t>
  </si>
  <si>
    <t>TUKAD NYALI - DENPASAR</t>
  </si>
  <si>
    <t>RAYA SEMAT - BADUNG</t>
  </si>
  <si>
    <t>SEDAP MALAM - DENPASAR</t>
  </si>
  <si>
    <t>RAYA TUMBAK BAYUH - BADUNG</t>
  </si>
  <si>
    <t>TUKAD PETANU - GIANYAR</t>
  </si>
  <si>
    <t>SIDEMEN - KARANGASEM</t>
  </si>
  <si>
    <t>RAYA LUWUS - TABANAN</t>
  </si>
  <si>
    <t>GADUNG NO 69 - DENPASAR</t>
  </si>
  <si>
    <t>MUDING BATU - BADUNG</t>
  </si>
  <si>
    <t>SIULAN - DENPASAR</t>
  </si>
  <si>
    <t>SESETAN NO 239 - DENPASAR</t>
  </si>
  <si>
    <t>HAYAM WURUK NO 80 - DENPASAR</t>
  </si>
  <si>
    <t>BELIMBING RICE TERRACE - TABANAN</t>
  </si>
  <si>
    <t>PURA BATUKARU - TABANAN</t>
  </si>
  <si>
    <t>RAYA BATUAN - GIANYAR</t>
  </si>
  <si>
    <t>PERUM DALUNG PERMAI - BADUNG</t>
  </si>
  <si>
    <t>RAYA PUNCAK MANGU - BADUNG</t>
  </si>
  <si>
    <t>RAYA SEMPIDI - BADUNG</t>
  </si>
  <si>
    <t>UDAYANA - GIANYAR</t>
  </si>
  <si>
    <t>RAYA IR SUTAMI - GIANYAR</t>
  </si>
  <si>
    <t>BALER BALE AGUNG - JEMBRANA</t>
  </si>
  <si>
    <t>BATUR SARI - DENPASAR</t>
  </si>
  <si>
    <t>RAYA SINGAPADU - GIANYAR</t>
  </si>
  <si>
    <t>LETDA MADE PUTRA - DENPASAR</t>
  </si>
  <si>
    <t>KELIKI - GIANYAR</t>
  </si>
  <si>
    <t>TANTULAR - DENPASAR</t>
  </si>
  <si>
    <t>RAYA TUKA - BADUNG</t>
  </si>
  <si>
    <t>WARIBANG - DENPASAR</t>
  </si>
  <si>
    <t>DANAU POSO NO 125 - DENPASAR</t>
  </si>
  <si>
    <t>RAYA BELANTIH - BANGLI</t>
  </si>
  <si>
    <t>RAYA GOA LAWAH - KLUNGKUNG</t>
  </si>
  <si>
    <t>RAYA PERANG - BADUNG</t>
  </si>
  <si>
    <t>RAYA KEPAON - DENPASAR</t>
  </si>
  <si>
    <t>RAYA NENAS - KARANGASEM</t>
  </si>
  <si>
    <t>DAUSA - BANGLI</t>
  </si>
  <si>
    <t>KATRANGAN - DENPASAR</t>
  </si>
  <si>
    <t>ABIMANYU - TABANAN</t>
  </si>
  <si>
    <t>PULAU BELITUNG - DENPASAR</t>
  </si>
  <si>
    <t>NOJA NO 124 - DENPASAR</t>
  </si>
  <si>
    <t>RAYA SELAT - KARANGASEM</t>
  </si>
  <si>
    <t>RAYA SEKAAN - BANGLI</t>
  </si>
  <si>
    <t>SUNRISE POINT KINTAMANI - BANGLI</t>
  </si>
  <si>
    <t>TIRTA - GIANYAR</t>
  </si>
  <si>
    <t>RAYA MARGA APUAN - TABANAN</t>
  </si>
  <si>
    <t>KEPAON INDAH - DENPASAR</t>
  </si>
  <si>
    <t>SMKI NO. 46 - GIANYAR</t>
  </si>
  <si>
    <t>YANGAPI - BANGLI</t>
  </si>
  <si>
    <t>RAYA SESETAN NO 232 - DENPASAR</t>
  </si>
  <si>
    <t>TUKAD BILOK - DENPASAR</t>
  </si>
  <si>
    <t>PADMA NO 4 - DENPASAR</t>
  </si>
  <si>
    <t>RAYA IR SOEKARNO - TABANAN</t>
  </si>
  <si>
    <t>WATURENGGONG - DENPASAR</t>
  </si>
  <si>
    <t>NONGAN - KARANGASEM</t>
  </si>
  <si>
    <t>KEBO IWA - GIANYAR</t>
  </si>
  <si>
    <t>TEGAL CANGKRING - JEMBRANA</t>
  </si>
  <si>
    <t>BRIGJEN NGURAH RAI - BANGLI</t>
  </si>
  <si>
    <t>FSQV</t>
  </si>
  <si>
    <t>BATUKARU - TABANAN</t>
  </si>
  <si>
    <t>UMALAS - BADUNG</t>
  </si>
  <si>
    <t>RAYA MUNCAN - KARANGASEM</t>
  </si>
  <si>
    <t>IDA KT DJELANTIK - KARANGASEM</t>
  </si>
  <si>
    <t>BALANGAN SUITE 5 - BADUNG</t>
  </si>
  <si>
    <t>NGURAH RAI - KLUNGKUNG</t>
  </si>
  <si>
    <t>RAYA GILIMANUK - JEMBRANA</t>
  </si>
  <si>
    <t>BEDUGUL NO 11 - DENPASAR</t>
  </si>
  <si>
    <t>RAYA SAMPALAN - KLUNGKUNG</t>
  </si>
  <si>
    <t>RAYA ULUWATU - BADUNG</t>
  </si>
  <si>
    <t>GEOPARK KINTAMANI - BANGLI</t>
  </si>
  <si>
    <t>GAGA - GIANYAR</t>
  </si>
  <si>
    <t>SUTOMO - DENPASAR</t>
  </si>
  <si>
    <t>RAYA KATUNG KINTAMANI - BANGLI</t>
  </si>
  <si>
    <t>RATNA NO 20 - DENPASAR</t>
  </si>
  <si>
    <t>RAYA MAMBAL - BADUNG</t>
  </si>
  <si>
    <t>PULAU BUTON NO 12A - DENPASAR</t>
  </si>
  <si>
    <t>TERUNAJAYA - TABANAN</t>
  </si>
  <si>
    <t>WISNU MARGA TUNJUK - TABANAN</t>
  </si>
  <si>
    <t>BULUH INDAH NO 126 - DENPASAR</t>
  </si>
  <si>
    <t>POINT PANTAI KUTA - BADUNG</t>
  </si>
  <si>
    <t>WERKUDARA NO 14E - DENPASAR</t>
  </si>
  <si>
    <t>RAYA AHMAD YANI - DENPASAR</t>
  </si>
  <si>
    <t>SURADIPA NO 18 - DENPASAR</t>
  </si>
  <si>
    <t>BY PASS NGURAH RAI NO 107 - DENPASAR</t>
  </si>
  <si>
    <t>IMAM BONJOL NO 210 - DENPASAR</t>
  </si>
  <si>
    <t>MERTASARI NO 68 - DENPASAR</t>
  </si>
  <si>
    <t>BERINGKIT KAPAL - BADUNG</t>
  </si>
  <si>
    <t>SULI - DENPASAR</t>
  </si>
  <si>
    <t>PULAU BUNGIN - DENPASAR</t>
  </si>
  <si>
    <t>GUNUNG BATUKARU JEGU - TABANAN</t>
  </si>
  <si>
    <t>FRESH SUWETA - GIANYAR</t>
  </si>
  <si>
    <t>APUAN - TABANAN</t>
  </si>
  <si>
    <t>BY PASS NGURAH RAI KELAN - BADUNG</t>
  </si>
  <si>
    <t>BATUKARU TUAKILANG - TABANAN</t>
  </si>
  <si>
    <t>CATUR KINTAMANI - BANGLI</t>
  </si>
  <si>
    <t>GUNUNG ATHENA - DENPASAR</t>
  </si>
  <si>
    <t>RAYA DARMASABA - BADUNG</t>
  </si>
  <si>
    <t>TAMAN UJUNG - KARANGASEM</t>
  </si>
  <si>
    <t>ABIAN TUWUNG - TABANAN</t>
  </si>
  <si>
    <t>KALIMUTU - DENPASAR</t>
  </si>
  <si>
    <t>COKROAMINOTO NO 317 - DENPASAR</t>
  </si>
  <si>
    <t>PANTAI KEDUNGU NYITDAH - TABANAN</t>
  </si>
  <si>
    <t>RAYA SINGAKERTA - GIANYAR</t>
  </si>
  <si>
    <t>FRESH RAYA GUNUNG SOPUTAN - DENPASAR</t>
  </si>
  <si>
    <t>DIPONEGORO - DENPASAR</t>
  </si>
  <si>
    <t>TIRTA NADI - DENPASAR</t>
  </si>
  <si>
    <t>KEBO IWA NO 26 - DENPASAR</t>
  </si>
  <si>
    <t>BY PASS BALI SAFARI - GIANYAR</t>
  </si>
  <si>
    <t>RAYA KERAMBITAN - TABANAN</t>
  </si>
  <si>
    <t>POINT ARJUNA - BADUNG</t>
  </si>
  <si>
    <t>NANGKA UTARA NO 280 - DENPASAR</t>
  </si>
  <si>
    <t>WR SUPRATMAN NO 279 - DENPASAR</t>
  </si>
  <si>
    <t>RAYA KUBU - KARANGASEM</t>
  </si>
  <si>
    <t>RAYA SEMAT KM. 1 - BADUNG</t>
  </si>
  <si>
    <t>GUNUNG RINJANI NO 3 - DENPASAR</t>
  </si>
  <si>
    <t>RAYA TUKAD BADUNG - DENPASAR</t>
  </si>
  <si>
    <t>RAYA PENELOKAN KINTAMANI - BANGLI</t>
  </si>
  <si>
    <t>RAYA TUBAN NO 52B - BADUNG</t>
  </si>
  <si>
    <t>DIPONEGORO NO 226 - DENPASAR</t>
  </si>
  <si>
    <t>PULAU BUNGIN NO 89 - DENPASAR</t>
  </si>
  <si>
    <t>PASUNG GERIGIS - GIANYAR</t>
  </si>
  <si>
    <t>PULAU BANGKA NO 100 - DENPASAR</t>
  </si>
  <si>
    <t>TEUKU UMAR - TABANAN</t>
  </si>
  <si>
    <t>IR. SUTAMI KEMENUH - GIANYAR</t>
  </si>
  <si>
    <t>BY PASS IDA BAGUS MANTRA NO 77 - DENPASAR</t>
  </si>
  <si>
    <t>NUSA INDAH NO 56 - DENPASAR</t>
  </si>
  <si>
    <t>RAYA SUKAWATI - GIANYAR</t>
  </si>
  <si>
    <t>MAS - GIANYAR</t>
  </si>
  <si>
    <t>IMAM BONJOL NO 83 - DENPASAR</t>
  </si>
  <si>
    <t>PANTAI BALANGAN - BADUNG</t>
  </si>
  <si>
    <t>KEBO IWA UTARA NO 2 - DENPASAR</t>
  </si>
  <si>
    <t>RAYA PEMOGAN NO 245 - DENPASAR</t>
  </si>
  <si>
    <t>SO MEI '26</t>
  </si>
  <si>
    <t>KETERANGAN</t>
  </si>
  <si>
    <t>TOKO EKSIS</t>
  </si>
  <si>
    <t>TOKO BARU AGUSTUS</t>
  </si>
  <si>
    <t>STOK</t>
  </si>
  <si>
    <t>15-8-2026</t>
  </si>
  <si>
    <t>20-8-2026</t>
  </si>
  <si>
    <t>RAYA GAJAH MADA_SRA</t>
  </si>
  <si>
    <t>21-8-2026</t>
  </si>
  <si>
    <t>TPEI</t>
  </si>
  <si>
    <t>NON ZONA HITAM</t>
  </si>
  <si>
    <t>FREKUENSI TIDAK SO</t>
  </si>
  <si>
    <t>SO SEPTEMBER '26</t>
  </si>
  <si>
    <t>REGULAR</t>
  </si>
  <si>
    <t>EXTRA</t>
  </si>
  <si>
    <t>TOTAL</t>
  </si>
  <si>
    <t>SEMINGGU 4 KALI</t>
  </si>
  <si>
    <t>PERSONIL PER KORLAP</t>
  </si>
  <si>
    <t>EXTRA SEPTEMBER</t>
  </si>
  <si>
    <t>RENCANA SO BULAN SEPTEMBER 2026</t>
  </si>
  <si>
    <t>SALDO TOKO AGUSTUS</t>
  </si>
  <si>
    <t>KOORDINAT</t>
  </si>
  <si>
    <t>S8 48 05.7 E115 13 01.6</t>
  </si>
  <si>
    <t>S8 35 37.4 E115 16 57.4</t>
  </si>
  <si>
    <t>S8 66 59.96 E115 20 66.90</t>
  </si>
  <si>
    <t>S8 38 04.7 E115 11 04.0</t>
  </si>
  <si>
    <t>S8 30 06.8 E115 03 46.2</t>
  </si>
  <si>
    <t>S8 39 28.4 E115 10 53.7</t>
  </si>
  <si>
    <t>S8 6 35.40 E115  5 28.67</t>
  </si>
  <si>
    <t>S8 32 13.3 E115 19 23.1</t>
  </si>
  <si>
    <t>S8 38 48.00 E11510 30.30</t>
  </si>
  <si>
    <t>S8 39 42.39 E115 14 23.86</t>
  </si>
  <si>
    <t>S8 31 59.3 E115 08 01.0</t>
  </si>
  <si>
    <t>S8 14 57.96 E11519 45.16</t>
  </si>
  <si>
    <t>S08 18 24.86 E115 10 41.77</t>
  </si>
  <si>
    <t>S8 26 48.7 E115 21 22.9</t>
  </si>
  <si>
    <t>S8 40 36.7 E115 12 35.0</t>
  </si>
  <si>
    <t>S8 30 12.32 E115 11 7.27</t>
  </si>
  <si>
    <t>S8 37 11.4 E115 12 15.1</t>
  </si>
  <si>
    <t>S8 15 1.36  115 23 50.67</t>
  </si>
  <si>
    <t>S8 38 08.9 E115 14 15.5</t>
  </si>
  <si>
    <t>S8 21 38.2 E114 37 26.8</t>
  </si>
  <si>
    <t>S8 21 17.0 E114 36 45.2</t>
  </si>
  <si>
    <t>S8 22 01.4 E114 37 08.4</t>
  </si>
  <si>
    <t>S8 32 58.6 E115 22 07.4</t>
  </si>
  <si>
    <t>S8 30 52.6 E115 07 50.8</t>
  </si>
  <si>
    <t>S8 10 16.1 E114 26 08.7</t>
  </si>
  <si>
    <t>S8 41 1.87 E115 13 17.62</t>
  </si>
  <si>
    <t>S8 36 59.9 E115 13 22.0</t>
  </si>
  <si>
    <t>S8 26 33.7 E114 52 43.3</t>
  </si>
  <si>
    <t>S8 37 3.44 E115 14 45.15</t>
  </si>
  <si>
    <t>S8 23 1.12 E115 21 14.12</t>
  </si>
  <si>
    <t>S8 40 06.2 E115 10 40.7</t>
  </si>
  <si>
    <t>S8 42 8.26  E115 11 26.40</t>
  </si>
  <si>
    <t>S8 34 17.67 E115  5 17.42</t>
  </si>
  <si>
    <t>S8 30 49.6 E115 09 29.1</t>
  </si>
  <si>
    <t>S8 23 36.7 E115 13 07.6</t>
  </si>
  <si>
    <t>S8 36 27.0 E115 10 52.5</t>
  </si>
  <si>
    <t>S8 27 17.28 E115 16 45.36</t>
  </si>
  <si>
    <t>S8 08 39.3 E114 35 29.7</t>
  </si>
  <si>
    <t>S8 37 54.52 E115 13 15.08</t>
  </si>
  <si>
    <t>S8 28 52.0 E115 16 42.0</t>
  </si>
  <si>
    <t>S8 30 04.6 E115 01 24.5</t>
  </si>
  <si>
    <t>S8 36 48.7 E115 15 12.6</t>
  </si>
  <si>
    <t>S8 37 00.2 E115 10 04.3</t>
  </si>
  <si>
    <t>S8 40 35.77 E115 13 55.65</t>
  </si>
  <si>
    <t>S8 33 24.1 E115 20 01.9</t>
  </si>
  <si>
    <t>S8 25 47.32  E115 8 36.89</t>
  </si>
  <si>
    <t>S8 34 46.82 E115 18 20.01</t>
  </si>
  <si>
    <t>S8 26 08.6 E115 11 51.1</t>
  </si>
  <si>
    <t>S8 21 25.27 E114 37 19.26</t>
  </si>
  <si>
    <t>S8 31 52.8 E115 20 54.5</t>
  </si>
  <si>
    <t>S8 19 04.2 E115 00 23.4</t>
  </si>
  <si>
    <t>S8 37 40.0 E115 12 02.6</t>
  </si>
  <si>
    <t>S8 38 8.28 E115 14 31.75</t>
  </si>
  <si>
    <t>S8 38 14.3 E115 16 50.2</t>
  </si>
  <si>
    <t>S8 21 52.4 E114 39 18.9</t>
  </si>
  <si>
    <t>S8 08 13.1 E115 05 28.3</t>
  </si>
  <si>
    <t>S8 47 59.0 E115 11 07.1</t>
  </si>
  <si>
    <t>S842 17.85 E115 13 25.19</t>
  </si>
  <si>
    <t>S8 21 27.4 E114 37 38.3</t>
  </si>
  <si>
    <t>S8 38 10.7 E115 15 19.1</t>
  </si>
  <si>
    <t>S8 35 01.5 E115 14 23.0</t>
  </si>
  <si>
    <t>S8 46 55.2 E115 10 30.2</t>
  </si>
  <si>
    <t>S8 31 25.6 E115 16 23.4</t>
  </si>
  <si>
    <t>S8 48 21.8 E115 12 09.1</t>
  </si>
  <si>
    <t>S8 15 13.6 E115 20 01.4</t>
  </si>
  <si>
    <t>S8 38 44.8 E115 16 33.4</t>
  </si>
  <si>
    <t>S8 21 46.4 E115 20 45.2</t>
  </si>
  <si>
    <t>S8 35 18.4 E115 11 13.2</t>
  </si>
  <si>
    <t>S8 25 18.94 E114 49 27.42</t>
  </si>
  <si>
    <t>S8 31 32.4 E115 10 22.2</t>
  </si>
  <si>
    <t>S8 27 00.2 E115 14 33.0</t>
  </si>
  <si>
    <t>S8 20 52.12 E114 34 34.48</t>
  </si>
  <si>
    <t>S8 43 9.92 E115 11 57.89</t>
  </si>
  <si>
    <t>S8 39 26.46 E115 11 29.07</t>
  </si>
  <si>
    <t>S8 39 11.87 E115 14 22.81</t>
  </si>
  <si>
    <t>S8 33 08.5 E115 19 37.4</t>
  </si>
  <si>
    <t>S8 30 33.9 E115 04 50.6</t>
  </si>
  <si>
    <t>S8 43 33.5 E115 10 28.3</t>
  </si>
  <si>
    <t>S8 28 51.21 E115 12 33.23</t>
  </si>
  <si>
    <t>S8 33 03.0 E115 13 33.0</t>
  </si>
  <si>
    <t>S8 36 22.3 E115 09 52.4</t>
  </si>
  <si>
    <t>S8 09 02.8 E114 41 49.8</t>
  </si>
  <si>
    <t>S8 32 44.3 E115 10 12.1</t>
  </si>
  <si>
    <t>S8 05 21.8 E115 07 43.5</t>
  </si>
  <si>
    <t>S8 39 3.50  E115 12 20.79</t>
  </si>
  <si>
    <t>S8 36 28.2 E115 06 05.4</t>
  </si>
  <si>
    <t>S8 14 19.91 E115 19 29.99</t>
  </si>
  <si>
    <t>S8 29 39.7 E114 57 48.2</t>
  </si>
  <si>
    <t>S8 33 29.5 E115 10 17.4</t>
  </si>
  <si>
    <t>S8 34 32.1 E115 11 34.4</t>
  </si>
  <si>
    <t>S8 33 30.7 E115 07 15.4</t>
  </si>
  <si>
    <t>S8 42 09.9 E115 10 32.7</t>
  </si>
  <si>
    <t>S8 14 13.3 E115 07 23.0</t>
  </si>
  <si>
    <t>S8 41 17.52 E115 14 30.53</t>
  </si>
  <si>
    <t>S8 21 39.36 E114 37 46.02</t>
  </si>
  <si>
    <t>S8 07 50.3 E115 03 44.6</t>
  </si>
  <si>
    <t>S8 41 43.4 E115 11 25.0</t>
  </si>
  <si>
    <t>S8 36 11.3 E115 16 40.1</t>
  </si>
  <si>
    <t>S8 32 29.6 E115 20 54.9</t>
  </si>
  <si>
    <t>S8 27 58.9 E115 21 04.3</t>
  </si>
  <si>
    <t>S8 46 42.1 E115 13 25.5</t>
  </si>
  <si>
    <t>S8 33 04.4 E115 16 21.2</t>
  </si>
  <si>
    <t>S8 35 55.9 E115 17 21.1</t>
  </si>
  <si>
    <t>S8 36 48.3 E115 10 45.2</t>
  </si>
  <si>
    <t>S8 41 45.86 E115 11 13.61</t>
  </si>
  <si>
    <t>S8 36 54.2 E115 08 41.8</t>
  </si>
  <si>
    <t>S8 32 08.1 E115 19 38.5</t>
  </si>
  <si>
    <t>S8 28 01.5 E115 36 43.6</t>
  </si>
  <si>
    <t>S8 37 51.5 E115 15 40.3</t>
  </si>
  <si>
    <t>S8 31 27.78 E115 12 12.66</t>
  </si>
  <si>
    <t>S8 42 37.1 E115 11 59.2</t>
  </si>
  <si>
    <t>S8 06 09.8 E115 17 02.7</t>
  </si>
  <si>
    <t>S8 29 48.5 E115 15 11.7</t>
  </si>
  <si>
    <t>S8 20 08.7 E115 38 46.6</t>
  </si>
  <si>
    <t>S8 41 16.5 E115 11 18.8</t>
  </si>
  <si>
    <t>S8 29 53.4 E115 01 09.6</t>
  </si>
  <si>
    <t>S8 32 06.6 E115 06 28.5</t>
  </si>
  <si>
    <t>S8 23 38.2 E115 17 34.2</t>
  </si>
  <si>
    <t>S8 31 08.2 E115 12 34.9</t>
  </si>
  <si>
    <t>S8 44 19.79 E115 10 46.71</t>
  </si>
  <si>
    <t>S8 24 07.9 E115 35 21.9</t>
  </si>
  <si>
    <t>S8 22 20.03 E114 36 0.26</t>
  </si>
  <si>
    <t>S8 36 25.1 E115 08 38.3</t>
  </si>
  <si>
    <t>S8 32 47.7 E115 18 11.8</t>
  </si>
  <si>
    <t>S8 23 28.8 E114 35 11.1</t>
  </si>
  <si>
    <t>S8 29 54.3 E115 02 00.9</t>
  </si>
  <si>
    <t>S8 37 36.6 E115 09 42.4</t>
  </si>
  <si>
    <t>S8 38 56.7 E115 13 19.0</t>
  </si>
  <si>
    <t>S8 35 12.3 E115 12 44.2</t>
  </si>
  <si>
    <t>S8 27 29.4 E115 11 09.9</t>
  </si>
  <si>
    <t>S8 44 35.3 E115 12 27.2</t>
  </si>
  <si>
    <t>S8 33 10.6 E115 13 09.4</t>
  </si>
  <si>
    <t>S8 41 39.54 E115 13 43.39</t>
  </si>
  <si>
    <t>S8 39 58.20 E115 11 17.09</t>
  </si>
  <si>
    <t>S8 15 35.79 E115 1 39.35</t>
  </si>
  <si>
    <t>S8 37 57.4 E115 11 25.4</t>
  </si>
  <si>
    <t>S8 35 48.8 E115 19 51.9</t>
  </si>
  <si>
    <t>S8 31 13.3 E115 10 29.1</t>
  </si>
  <si>
    <t>S8 36 39.0 E115 11 57.3</t>
  </si>
  <si>
    <t>S8 32 31.14 E115 19 54.62</t>
  </si>
  <si>
    <t>S8 32 41.4 E115 05 17.5</t>
  </si>
  <si>
    <t>S8 27 56.73 E115 21 5.78</t>
  </si>
  <si>
    <t>S8 32 43.0 E115 04 48.8</t>
  </si>
  <si>
    <t>S8 42 24.12 E115 11 53.73</t>
  </si>
  <si>
    <t>S8 33 52.6 E115 16 47.4</t>
  </si>
  <si>
    <t>S8 34 05.3 E115 23 04.4</t>
  </si>
  <si>
    <t>S8 33 46.1 E115 20 21.6</t>
  </si>
  <si>
    <t>S8 28 20.1 E115 10 11.0</t>
  </si>
  <si>
    <t>S8 48 33.7 E115 13 26.4</t>
  </si>
  <si>
    <t>S8 48 07.0 E115 10 20.4</t>
  </si>
  <si>
    <t>S8 27 12.0 E115 36 07.6</t>
  </si>
  <si>
    <t>S8 37 29.6 E115 12 30.5</t>
  </si>
  <si>
    <t>S8 04 48.4 E115 09 05.4</t>
  </si>
  <si>
    <t>S8 24 46.9 E115 18 39.8</t>
  </si>
  <si>
    <t>S8 38 36.77 E115 12 34.37</t>
  </si>
  <si>
    <t>S8 41 38.2 E115 13 07.3</t>
  </si>
  <si>
    <t>S8 32 55.8 E115 19 29.0</t>
  </si>
  <si>
    <t>S8 38 56.6 E115 11 24.7</t>
  </si>
  <si>
    <t>S8 09 33.8 E115 01 53.5</t>
  </si>
  <si>
    <t>S8 32 31.3 E115 07 25.5</t>
  </si>
  <si>
    <t>S8 31 30.2 E115 12 36.7</t>
  </si>
  <si>
    <t>S8 33 47.9 E115 09 56.6</t>
  </si>
  <si>
    <t>S8 32 59.20 E115 14 6.40</t>
  </si>
  <si>
    <t>S8 40 25.1 E115 10 42.4</t>
  </si>
  <si>
    <t>S8 28 11.1 E115 11 06.3</t>
  </si>
  <si>
    <t>S8 37 47.7 E115 10 21.7</t>
  </si>
  <si>
    <t>S8 31 33.1 E115 17 34.2</t>
  </si>
  <si>
    <t>S8 38 56.2 E115 13 44.4</t>
  </si>
  <si>
    <t>S8 06 03.0 E115 05 58.3</t>
  </si>
  <si>
    <t>S8 37 57.5 E115 10 33.2</t>
  </si>
  <si>
    <t>S8 47 01.6 E115 09 58.4</t>
  </si>
  <si>
    <t>S8 42 20.7 E115 10 38.2</t>
  </si>
  <si>
    <t>S8 47 48.4 E115 11 37.9</t>
  </si>
  <si>
    <t>S8 25 46.9 E115 18 27.0</t>
  </si>
  <si>
    <t>S8 38 21.85 E115 11 47.82</t>
  </si>
  <si>
    <t>S8 38 44.01 E115 12 46.84</t>
  </si>
  <si>
    <t>S8 46 29.6 E115 13 21.8</t>
  </si>
  <si>
    <t>S8 41 19.6 E115 13 34.4</t>
  </si>
  <si>
    <t>S8 37 21.69 115 12 9.74</t>
  </si>
  <si>
    <t>S8 41 1.18 E115 9 59.89</t>
  </si>
  <si>
    <t>S8 39 53.78 E115 12 53.88</t>
  </si>
  <si>
    <t>S8 36 50.2 E115 07 51.6</t>
  </si>
  <si>
    <t>S8 31 51.8 E115 12 42.3</t>
  </si>
  <si>
    <t>S8 34 2.14 E115 10 36.89</t>
  </si>
  <si>
    <t>S8 38 14.1 E115 08 51.0</t>
  </si>
  <si>
    <t>S8 38 23.19 E115 11 29.27</t>
  </si>
  <si>
    <t>S8 45 29.4 E115 10 44.6</t>
  </si>
  <si>
    <t>S8 12 01.1 E114 50 02.8</t>
  </si>
  <si>
    <t>S8 32 54.0 E115 07 12.0</t>
  </si>
  <si>
    <t>S8 6 29.67 E115 7 54.70</t>
  </si>
  <si>
    <t>S8 33 58.5 E115 15 16.1</t>
  </si>
  <si>
    <t>S8 38 22.80 E115 13 28.54</t>
  </si>
  <si>
    <t>S8 37 32.06 E115 11 38.72</t>
  </si>
  <si>
    <t>S839 50.97 E115 11 37.28</t>
  </si>
  <si>
    <t>S8 08 10.2 E115 22 17.9</t>
  </si>
  <si>
    <t>S8 41 32.43 E115 15 48.73</t>
  </si>
  <si>
    <t>S8 11 33.7 E114 56 05.2</t>
  </si>
  <si>
    <t>S8 29 30.0 E115 11 05.2</t>
  </si>
  <si>
    <t>S8 07 14.1 E115 04 21.7</t>
  </si>
  <si>
    <t>S8 34 47.8 E115 21 19.6</t>
  </si>
  <si>
    <t>S8 47 59.8 E115 09 38.1</t>
  </si>
  <si>
    <t>S8 33 41.5 E115 18 04.6</t>
  </si>
  <si>
    <t>S8 49 25.4 E115 09 50.0</t>
  </si>
  <si>
    <t>S8 38 43.1 E115 10 07.3</t>
  </si>
  <si>
    <t>S 8 41 25.60 E115 12 21.36</t>
  </si>
  <si>
    <t>S8 22 52.62 E115 11 43.16</t>
  </si>
  <si>
    <t>S8 06 26.6 E115 05 24.5</t>
  </si>
  <si>
    <t>S8 43 11.02 E115 10 9.65</t>
  </si>
  <si>
    <t>S8 28 40.8 E115 14 53.7</t>
  </si>
  <si>
    <t>S8 11 44.8 E114 56 04.1</t>
  </si>
  <si>
    <t>S8 32 05.8 E115 24 01.4</t>
  </si>
  <si>
    <t>S8 48 11.2 E115 09 08.4</t>
  </si>
  <si>
    <t>S8 36 08.7 E115 15 40.9</t>
  </si>
  <si>
    <t>S8 45 25.1 E115 13 16.7</t>
  </si>
  <si>
    <t>S8 33 57.6 E115 17 52.1</t>
  </si>
  <si>
    <t>S8 08 11.5 E115 06 06.0</t>
  </si>
  <si>
    <t>S8 05 49.7 E115 06 28.1</t>
  </si>
  <si>
    <t>S8 36 33.1 E115 06 42.0</t>
  </si>
  <si>
    <t>S8 11 30.9 E114 56 59.3</t>
  </si>
  <si>
    <t>S8 27 07.4 E115 18 26.5</t>
  </si>
  <si>
    <t>S8 35 44.6 E115 13 07.6</t>
  </si>
  <si>
    <t>S8 48 18.1 E115 09 33.9</t>
  </si>
  <si>
    <t>S8 33 43.7 E115 09 40.8</t>
  </si>
  <si>
    <t>S8 06 39.3 E115 07 31.3</t>
  </si>
  <si>
    <t>S8 41 20.1 E115 10 23.2</t>
  </si>
  <si>
    <t>S8 48 09.5 E115 12 36.2</t>
  </si>
  <si>
    <t>S8 40 53.92 E115 15 15.44</t>
  </si>
  <si>
    <t>S8 40 27.13 E115 10 22.38</t>
  </si>
  <si>
    <t>S8 44 14.4 E115 10 34.4</t>
  </si>
  <si>
    <t>S8 42 15.3 E115 10 14.2</t>
  </si>
  <si>
    <t>S8 42 02.3 E115 13 40.6</t>
  </si>
  <si>
    <t>S8 43 28.3 E115 10 21.3</t>
  </si>
  <si>
    <t>S8 20 25.6 E115 11 19.7</t>
  </si>
  <si>
    <t>S8 34 39.1 E115 10 49.5</t>
  </si>
  <si>
    <t>S8 30 12.20 E115 15 49.20</t>
  </si>
  <si>
    <t>S8 39 13.9 E115 10 20.1</t>
  </si>
  <si>
    <t>S8 40 23.3 E115 12 29.8</t>
  </si>
  <si>
    <t>S8 31 54.4 E115 12 01.4</t>
  </si>
  <si>
    <t>S8 38 15.0 E115 15 55.5</t>
  </si>
  <si>
    <t>S8 32 28.1 E115 07 56.7</t>
  </si>
  <si>
    <t>S8 36 20.4 E115 10 16.2</t>
  </si>
  <si>
    <t>S8 35 59.8 E115 10 23.8</t>
  </si>
  <si>
    <t>S8 36 02.6 E115 11 39.7</t>
  </si>
  <si>
    <t>S8 33 19.9 E115 08 34.8</t>
  </si>
  <si>
    <t>S8 41 25.68 E115 13 2.66</t>
  </si>
  <si>
    <t>S8 39 52.4 E115 11 50.7</t>
  </si>
  <si>
    <t>S8 22 14.26 E114 40 33.54</t>
  </si>
  <si>
    <t>S8 43 10.5 E115 10 36.2</t>
  </si>
  <si>
    <t>S8 32 28.8 E115 19 19.1</t>
  </si>
  <si>
    <t>S8 44 09.5 E115 10 07.0</t>
  </si>
  <si>
    <t>S8 42 54.0 E115 10 52.6</t>
  </si>
  <si>
    <t>S8 38 13.3 E115 10 56.9</t>
  </si>
  <si>
    <t>S8 16 06.3 E115 20 32.2</t>
  </si>
  <si>
    <t>S8 36 43.0 E115 10 33.6</t>
  </si>
  <si>
    <t>S8 30 32.1 E115 16 08.2</t>
  </si>
  <si>
    <t>S8 45 27.3 E115 10 36.1</t>
  </si>
  <si>
    <t>S8 16 37.1 E115 09 53.6</t>
  </si>
  <si>
    <t>S8 39 50.90 E115 13 49.78</t>
  </si>
  <si>
    <t>S8 38 57.7 E115 10 10.8</t>
  </si>
  <si>
    <t>S8 07 30.2 E115 05 21.7</t>
  </si>
  <si>
    <t>S8 44 19.2 E115 10 18.4</t>
  </si>
  <si>
    <t>S8 11 00.6 E114 47 02.9</t>
  </si>
  <si>
    <t>S8 37 08.4 E115 11 48.7</t>
  </si>
  <si>
    <t>S8 48 15.3 E115 13 23.2</t>
  </si>
  <si>
    <t>S8 41 01.2 E115 13 48.8</t>
  </si>
  <si>
    <t>S8 12 03.2 E114 51 11.2</t>
  </si>
  <si>
    <t>S8 33 02.4 E115 22 33.2</t>
  </si>
  <si>
    <t>S8 38 36.4 E115 09 15.5</t>
  </si>
  <si>
    <t>S8 29 42.8 E115 20 54.6</t>
  </si>
  <si>
    <t>S8 32 28.1 E115 06 46.7</t>
  </si>
  <si>
    <t>S8 31 16.0 E115 16 06.0</t>
  </si>
  <si>
    <t>S8 30 23.2 E115 10 47.1</t>
  </si>
  <si>
    <t>S8 32 47.5 E115 19 32.5</t>
  </si>
  <si>
    <t>S8 27 37.0 E115 21 10.1</t>
  </si>
  <si>
    <t>S8 42 47.6 E115 10 23.6</t>
  </si>
  <si>
    <t>S8 39 11.6 E115 11 11.1</t>
  </si>
  <si>
    <t>S8 45 50.1 E115 10 29.7</t>
  </si>
  <si>
    <t>S8 31 51.59 E115 13 48.10</t>
  </si>
  <si>
    <t>S8 42 12.5 E115 10 35.0</t>
  </si>
  <si>
    <t>S8 49 01.1 E115 09 17.0</t>
  </si>
  <si>
    <t>S8 34 33.7 E115 15 26.3</t>
  </si>
  <si>
    <t>S8 47 30.1 E115 12 50.4</t>
  </si>
  <si>
    <t>S8 39 56.98 E115 11 55.4</t>
  </si>
  <si>
    <t>S8 42 16.29 E115 14 1.28</t>
  </si>
  <si>
    <t>S8 28 21.4 E115 21 09.5</t>
  </si>
  <si>
    <t>S8 33 09.5 E115 07 59.6</t>
  </si>
  <si>
    <t>S8 40 00.1 E115 10 17.3</t>
  </si>
  <si>
    <t>S8 47 17.0 E115 10 38.7</t>
  </si>
  <si>
    <t>S8 32 27.3 E115 19 08.1</t>
  </si>
  <si>
    <t>S8 33 35.73 E115 9 3.44</t>
  </si>
  <si>
    <t>S8 43 01.4 E115 10 28.0</t>
  </si>
  <si>
    <t>S8 49 06.3 E115 09 33.4</t>
  </si>
  <si>
    <t>S8 48 32.1 E115 09 56.2</t>
  </si>
  <si>
    <t>S8 41 52.7 E115 10 24.8</t>
  </si>
  <si>
    <t>S8 15 29.0 E115 09 42.8</t>
  </si>
  <si>
    <t>S8 33 01.4 E115 06 21.4</t>
  </si>
  <si>
    <t>S8 46 58.2 E115 10 23.5</t>
  </si>
  <si>
    <t>S8 09 51.6 E115 07 02.0</t>
  </si>
  <si>
    <t>S8 42 42.2 E115 10 34.8</t>
  </si>
  <si>
    <t>S8 39 2.66 E115 12 47.40</t>
  </si>
  <si>
    <t>S8 33 11.7 E115 06 37.5</t>
  </si>
  <si>
    <t>S8 26 58.3 E115 13 17.3</t>
  </si>
  <si>
    <t>S8 44 20.9 E115 10 04.4</t>
  </si>
  <si>
    <t>S8 26 09.2 E115 14 41.3</t>
  </si>
  <si>
    <t>S8 09 45.4 E115 01 31.1</t>
  </si>
  <si>
    <t>S8 27 14.1 E115 13 13.9</t>
  </si>
  <si>
    <t>S8 11 48.3 E114 57 53.8</t>
  </si>
  <si>
    <t>S8 34 19.4 E115 08 22.3</t>
  </si>
  <si>
    <t>S8 49 45.8 E115 08 10.4</t>
  </si>
  <si>
    <t>S8 47 14.61 E115 11 49.79</t>
  </si>
  <si>
    <t>S8 30 21.6 E115 13 49.9</t>
  </si>
  <si>
    <t>S8 43 43.5 E115 10 36.9</t>
  </si>
  <si>
    <t>S8 31 38.0 E115 24 14.8</t>
  </si>
  <si>
    <t>S8 06 29.7 E115 05 00.6</t>
  </si>
  <si>
    <t>S8 30 30.7 E115 34 01.4</t>
  </si>
  <si>
    <t>S8 21 39.9 E114 38 13.3</t>
  </si>
  <si>
    <t>S8 05 08.5 E115 08 05.5</t>
  </si>
  <si>
    <t>S8 27 14.3 E115 21 16.2</t>
  </si>
  <si>
    <t>S8 30 21.9 E115 16 17.9</t>
  </si>
  <si>
    <t>S8 34 44.6 E115 14 19.9</t>
  </si>
  <si>
    <t>S8 37 26.5 E115 06 55.2</t>
  </si>
  <si>
    <t>S8 40 19.5 E115 09 48.6</t>
  </si>
  <si>
    <t>S8 42 41.24 E115 12 56.54</t>
  </si>
  <si>
    <t>S8 31 34.2 E115 09 01.7</t>
  </si>
  <si>
    <t>S8 22 22.43 E115 9 25.85</t>
  </si>
  <si>
    <t>S8 39 5.41 E115 13 20.49</t>
  </si>
  <si>
    <t>S8 43 17.4 E115 11 08.5</t>
  </si>
  <si>
    <t>S8 25 11.5 E115 20 53.8</t>
  </si>
  <si>
    <t>S8 36 07.7 E115 11 10.3</t>
  </si>
  <si>
    <t>S8 06 56.9 E115 05 55.9</t>
  </si>
  <si>
    <t>S8 41 48.49 E115  9 53.11</t>
  </si>
  <si>
    <t>S8 42 33.5 E115 10 46.7</t>
  </si>
  <si>
    <t>S8 44 22.4 E115 10 43.1</t>
  </si>
  <si>
    <t>S8 33 51.5 E115 13 13.9</t>
  </si>
  <si>
    <t>S8 40 22.3 E115 09 10.7</t>
  </si>
  <si>
    <t>S8 11 37.2 E114 55 15.3</t>
  </si>
  <si>
    <t>S8 37 27.96 E115 14 26.94</t>
  </si>
  <si>
    <t>S8 09 27.3 E114 42 56.4</t>
  </si>
  <si>
    <t>S8 44 04.3 E115 10 39.6</t>
  </si>
  <si>
    <t>S8 27 13.30 E115 21 2.55</t>
  </si>
  <si>
    <t>S8 04 43.9 E115 10 16.5</t>
  </si>
  <si>
    <t>S8 42 51.63 115 11 11.34</t>
  </si>
  <si>
    <t>S8 10 36.0 E114 44 56.3</t>
  </si>
  <si>
    <t>S8 43 55.5 E115 10 16.2</t>
  </si>
  <si>
    <t>S8 32 53.81 E115 19 24.42</t>
  </si>
  <si>
    <t>S8 48 03.0 E115 12 51.4</t>
  </si>
  <si>
    <t>S8 40 53.3 E115 09 36.2</t>
  </si>
  <si>
    <t>S8 16 55.0 E115 21 47.5</t>
  </si>
  <si>
    <t>S8 34 05.0 E115 16 29.2</t>
  </si>
  <si>
    <t>S8 42 38.91 E115 13 25.99</t>
  </si>
  <si>
    <t>S8 30 12.7 E115 17 34.1</t>
  </si>
  <si>
    <t>S8 07 48.6 E115 04 23.5</t>
  </si>
  <si>
    <t>S8 05 56.7 E115 07 07.5</t>
  </si>
  <si>
    <t>S8 38 51.0 E115 10 43.4</t>
  </si>
  <si>
    <t>S8 20 7.04 E114 33 18.70</t>
  </si>
  <si>
    <t>S8 33 34.6 E115 08 15.8</t>
  </si>
  <si>
    <t>S8 07 08.2 E115 05 31.0</t>
  </si>
  <si>
    <t>S8 40 26.6 E115 10 02.5</t>
  </si>
  <si>
    <t>S8 32 16.8 E115 07 53.8</t>
  </si>
  <si>
    <t>S8 37 10.7 E115 15 18.4</t>
  </si>
  <si>
    <t>S8 42 10.6 E115 10 48.3</t>
  </si>
  <si>
    <t>S8 39 26.0 E115 13 40.2</t>
  </si>
  <si>
    <t>S8 17 01.1 E115 09 43.2</t>
  </si>
  <si>
    <t>S8 14 50.7 E115 19 40.6</t>
  </si>
  <si>
    <t>S8 34 51.5 E115 10 51.7</t>
  </si>
  <si>
    <t>S 8 37 55.01 E115 11 53.17</t>
  </si>
  <si>
    <t>S8 40 48.2 E115 12 54.1</t>
  </si>
  <si>
    <t>S8 34 42.89 E115 10 35.22</t>
  </si>
  <si>
    <t>S8 27 22.0 E115 36 06.2</t>
  </si>
  <si>
    <t>S8 37 21.9 E115 07 14.0</t>
  </si>
  <si>
    <t>S8 29 52.7 E115 03 18.4</t>
  </si>
  <si>
    <t>S8 39 39.8 E115 11 15.8</t>
  </si>
  <si>
    <t>S8 39 52.6 E115 14 25.1</t>
  </si>
  <si>
    <t>S8 06 46.9 E115 05 37.7</t>
  </si>
  <si>
    <t>S8 37 58.1 E115 10 10.1</t>
  </si>
  <si>
    <t>S8 06 49.5 E115 04 56.2</t>
  </si>
  <si>
    <t>S8 37 05.3 E115 14 26.8</t>
  </si>
  <si>
    <t>S8 37 28.2 E115 13 25.6</t>
  </si>
  <si>
    <t>S8 11 23.1 E114 58 03.2</t>
  </si>
  <si>
    <t>S8 32 15.8 E115 23 42.9</t>
  </si>
  <si>
    <t>S8 42 44.3 E115 10 20.3</t>
  </si>
  <si>
    <t>S8 31 58.9 E115 18 12.0</t>
  </si>
  <si>
    <t>S8 30 0.11 E115 11 3.45</t>
  </si>
  <si>
    <t>S8 34 06.7 E115 17 49.4</t>
  </si>
  <si>
    <t>S8 7 10.81 E115 6 37.24</t>
  </si>
  <si>
    <t>S8 34 01.2 E115 15 42.7</t>
  </si>
  <si>
    <t>S8 34 37.9 E115 07 05.0</t>
  </si>
  <si>
    <t>S8 40 16.9 E115 10 20.1</t>
  </si>
  <si>
    <t>S8 32 29.1 E115 19 38.8</t>
  </si>
  <si>
    <t>S8 30 12.4 E115 01 40.2</t>
  </si>
  <si>
    <t>S 838 32.95 E115 15 2.18</t>
  </si>
  <si>
    <t>S8 37 38.97 E115 12 29.98</t>
  </si>
  <si>
    <t>S8 37 22.4 E115 10 50.2</t>
  </si>
  <si>
    <t>S8 30 58.4 E115 16 10.1</t>
  </si>
  <si>
    <t>S8 28 30.4 E115 08 12.0</t>
  </si>
  <si>
    <t>S8 37 57.9 E115 08 02.6</t>
  </si>
  <si>
    <t>S8 32 41.30 E115 19 43.10</t>
  </si>
  <si>
    <t>S8 47 19.7 E115 09 24.3</t>
  </si>
  <si>
    <t>S8 49 10.9 E115 11 21.5</t>
  </si>
  <si>
    <t>S8 07 10.3 E115 19 19.0</t>
  </si>
  <si>
    <t>S8 38 17.9 E115 10 27.1</t>
  </si>
  <si>
    <t>S8 44 36.7 E115 10 31.0</t>
  </si>
  <si>
    <t>S8 39 21.34 E115 11 44.15</t>
  </si>
  <si>
    <t>S8 26 58.9 E115 11 23.0</t>
  </si>
  <si>
    <t>S8 40 38.76 E115 9 52.32</t>
  </si>
  <si>
    <t>S8 39 17.2 E115 10 37.6</t>
  </si>
  <si>
    <t>S8 7 30.78 E115 4 57.90</t>
  </si>
  <si>
    <t>S8 39 35.9 E115 11 57.9</t>
  </si>
  <si>
    <t>S8 33 59.19 E115 8' 5.11</t>
  </si>
  <si>
    <t>S8 12 05.9 E114 56 10.9</t>
  </si>
  <si>
    <t>S8 42 52.8 E115 10 35.2</t>
  </si>
  <si>
    <t>S8 31 51.59 E 1151348.10</t>
  </si>
  <si>
    <t>S8 37 52.4 E115 09 39.7</t>
  </si>
  <si>
    <t>S8 32 20.8 E115 08 23.2</t>
  </si>
  <si>
    <t>S8 48 14.5 E115 10 41.9</t>
  </si>
  <si>
    <t>S8 26 15.6 E115 36 44.5</t>
  </si>
  <si>
    <t>S8 48 50.3 E115 11 33.1</t>
  </si>
  <si>
    <t>S8 32 54.2 E115 18 31.6</t>
  </si>
  <si>
    <t>S8 40 19.3 E115 10 03.7</t>
  </si>
  <si>
    <t>S8 31 53.6 E115 07 39.2</t>
  </si>
  <si>
    <t>S8 47 49.9 E115 10 30.9</t>
  </si>
  <si>
    <t>S8 11 32.8 E114 56 39.3</t>
  </si>
  <si>
    <t>S8 19 28.5 E115 01 47.2</t>
  </si>
  <si>
    <t>S8 49 45.3 E115 09 55.9</t>
  </si>
  <si>
    <t>S8 06 40.3 E115 05 10.9</t>
  </si>
  <si>
    <t>S8 47 59.4 E115 09 56.5</t>
  </si>
  <si>
    <t>S8 37 38.3 E115 15 52.9</t>
  </si>
  <si>
    <t>S8 10 42.1 E114 59 32.2</t>
  </si>
  <si>
    <t>S8 23 4.67 E114 42 21.59</t>
  </si>
  <si>
    <t>S8 39 7.30 E115 11 54.50</t>
  </si>
  <si>
    <t>S8 47 01.1 E115 13 30.4</t>
  </si>
  <si>
    <t>S8 09 27.7 E115 02 16.9</t>
  </si>
  <si>
    <t>S8 38 27.49 E115 12 8.22</t>
  </si>
  <si>
    <t>S8 5 5.60 E115 8 48.40</t>
  </si>
  <si>
    <t>S8 33 25.73 S E115 16 21.23</t>
  </si>
  <si>
    <t>S8 42 29.8 E115 11 03.2</t>
  </si>
  <si>
    <t>S8 29 56.2 E115 10 10.4</t>
  </si>
  <si>
    <t>S8 43 03.8 E115 10 45.1</t>
  </si>
  <si>
    <t>S8 38 03.8 E115 12 24.5</t>
  </si>
  <si>
    <t>S8 38 38.10 E115 13 13.30</t>
  </si>
  <si>
    <t>S8 31 44.0 E115 16 17.4</t>
  </si>
  <si>
    <t>S8 44 37.61 E115 9 49.78</t>
  </si>
  <si>
    <t>S8 16 20.1 E115 09 49.3</t>
  </si>
  <si>
    <t>S8 34 35.4 E115 10 40.7</t>
  </si>
  <si>
    <t>S8 42 28.76 E115 10 53.47</t>
  </si>
  <si>
    <t>S8 28 22.3 E115 17 36.6</t>
  </si>
  <si>
    <t>S8 30 53.1 E115 05 27.5</t>
  </si>
  <si>
    <t>S8 41 55.94 E115 10 32.94</t>
  </si>
  <si>
    <t>S8 40 48.20 E115 14 32.10</t>
  </si>
  <si>
    <t>S8 32 05.8 E115 18 24.8</t>
  </si>
  <si>
    <t>S8 34 51.4 E115 21 11.7</t>
  </si>
  <si>
    <t>S8 31 34.8 E115 14 35.6</t>
  </si>
  <si>
    <t>S8 40 47.61 E115 11 34.87</t>
  </si>
  <si>
    <t>S8 17 22.3 E115 10 05.4</t>
  </si>
  <si>
    <t>S8 39 03.9 E115 11 21.0</t>
  </si>
  <si>
    <t>S8 41 56.51 E115 12 42.73</t>
  </si>
  <si>
    <t>S8 31 34.5 E115 08 07.8</t>
  </si>
  <si>
    <t>S8 06 47.3 E115 06 29.7</t>
  </si>
  <si>
    <t>S8 32 56.5 E115 07 26.0</t>
  </si>
  <si>
    <t>S8 39 38.32 E115 13 17.73</t>
  </si>
  <si>
    <t>S8 40 30.23 E115 15 33.52</t>
  </si>
  <si>
    <t>S8 33 30.8 E115 18 43.4</t>
  </si>
  <si>
    <t>S8 36 49.3 E115 17 01.4</t>
  </si>
  <si>
    <t>S8 43 34.4 E115 10 50.2</t>
  </si>
  <si>
    <t>S8 43 39.6 E115 10 47.2</t>
  </si>
  <si>
    <t>S8 07 33.1 E115 05 50.3</t>
  </si>
  <si>
    <t>S8 34 19.9 E115 13 07.4</t>
  </si>
  <si>
    <t>S8 40 46.10 E115 12 25.85</t>
  </si>
  <si>
    <t>S8 42 2.13 E115 15 14.58</t>
  </si>
  <si>
    <t>S8 38 00.4 E115 13 23.9</t>
  </si>
  <si>
    <t>S8 47 13.3 E115 11 14.6</t>
  </si>
  <si>
    <t>S8 31 50.5 E115 18 00.0</t>
  </si>
  <si>
    <t>S8 40 04.4 E115 11 57.1</t>
  </si>
  <si>
    <t>S8 33 58.3 E115 17 45.5</t>
  </si>
  <si>
    <t>S8 41 05.0 E115 12 50.3</t>
  </si>
  <si>
    <t>S8 39 35.0 E115 09 47.4</t>
  </si>
  <si>
    <t>S8 47 01.0 E115 10 43.7</t>
  </si>
  <si>
    <t>S8 31 33.0 E115 15 49.6</t>
  </si>
  <si>
    <t>S8 32 42.0 E115 08 33.5</t>
  </si>
  <si>
    <t>S8 37 41.4 E115 09 06.6</t>
  </si>
  <si>
    <t>S8 41 03.8 E115 14 16.1</t>
  </si>
  <si>
    <t>S8 41 43.6 E115 15 32.8</t>
  </si>
  <si>
    <t>S8 32 15.9 E115 07 16.2</t>
  </si>
  <si>
    <t>S8 38 50.24 E115 8 24.55</t>
  </si>
  <si>
    <t>S8 32 42.0 E115 07 14.4</t>
  </si>
  <si>
    <t>S8 33 35.7 E115 09 14.5</t>
  </si>
  <si>
    <t>S8 38 44.5 E115 09 44.9</t>
  </si>
  <si>
    <t>S8 39 04.6 E115 09 43.0</t>
  </si>
  <si>
    <t>S8 33 10.9 E115 08 27.1</t>
  </si>
  <si>
    <t>S8 07 05.9 E115 05 02.1</t>
  </si>
  <si>
    <t>S8 16 42.8 E115 22 46.8</t>
  </si>
  <si>
    <t>S8 40 51.0 E115 14 16.7</t>
  </si>
  <si>
    <t>S8 17 07.4 E115 21 53.2</t>
  </si>
  <si>
    <t>S8 40 37.9 E115 14 07.9</t>
  </si>
  <si>
    <t>S8 37 36.1 E115 10 14.8</t>
  </si>
  <si>
    <t>S8 26 29.6 E115 35 54.5</t>
  </si>
  <si>
    <t>S8 36 10.17 E115 14 2.89</t>
  </si>
  <si>
    <t>S8 41 4.29 E115 14 0.33</t>
  </si>
  <si>
    <t>S8 43 09.0 E115 11 13.4</t>
  </si>
  <si>
    <t>S8 35 43.2 E115 12 54.3</t>
  </si>
  <si>
    <t>S8 38 03.1 E115 13 46.9</t>
  </si>
  <si>
    <t>S8 41 25.66 115 10 21.00</t>
  </si>
  <si>
    <t>S8 40 16.92 E115 12 28.66</t>
  </si>
  <si>
    <t>S8 36 30.49 E115 12 48.65</t>
  </si>
  <si>
    <t>S8 43 23.4 E115 10 31.4</t>
  </si>
  <si>
    <t>S8 42 22.4 E115 14 16.7</t>
  </si>
  <si>
    <t>S8 38 2.38 E115 15 25.04</t>
  </si>
  <si>
    <t>S8 39 35.9 E115 11 55.9</t>
  </si>
  <si>
    <t>S8 08 26.5 E115 06 13.6</t>
  </si>
  <si>
    <t>S8 39 50.97 E115 11 37.28</t>
  </si>
  <si>
    <t>S8 33 03.3 E115 07 23.2</t>
  </si>
  <si>
    <t>S8 38 12.39 E115 11 21.85</t>
  </si>
  <si>
    <t>S8 38 29.48 E11513 50.38</t>
  </si>
  <si>
    <t>S8 19 34.6 E115 11 09.3</t>
  </si>
  <si>
    <t>S8 20 42.1 E115 40 15.3</t>
  </si>
  <si>
    <t>S8 32 40.3 E115 12 50.9</t>
  </si>
  <si>
    <t>S8 38 57.19 E115 13 5.29</t>
  </si>
  <si>
    <t>S8 32 38.8 E115 10 24.1</t>
  </si>
  <si>
    <t>S8 41 57.6 E115 10 45.7</t>
  </si>
  <si>
    <t>S8 45 13.1 E115 10 40.4</t>
  </si>
  <si>
    <t>S8 32 00.1 E115 06 31.5</t>
  </si>
  <si>
    <t>S8 38 08.6 E115 13 34.8</t>
  </si>
  <si>
    <t>S8 32 48.7 E115 29 10.4</t>
  </si>
  <si>
    <t>S8 32 33.7 E115 12 50.4</t>
  </si>
  <si>
    <t>S8 38 35.6 E115 11 45.3</t>
  </si>
  <si>
    <t>S8 42 16.8 E115 14 20.9</t>
  </si>
  <si>
    <t>S8 38 07.1 E115 10 31.8</t>
  </si>
  <si>
    <t>S8 40 41.8 E115 13 00.8</t>
  </si>
  <si>
    <t>S8 38 52.3 E115 08 59.6</t>
  </si>
  <si>
    <t>S8 49 15.2 E115 08 46.3</t>
  </si>
  <si>
    <t>S8 42 14.89 E115 13 46.81</t>
  </si>
  <si>
    <t>S8 32 35.8 E115 16 19.7</t>
  </si>
  <si>
    <t>S8 29 53.3 E115 16 22.9</t>
  </si>
  <si>
    <t>S8 40 26.09 E115 15 42.46</t>
  </si>
  <si>
    <t>S8 32 48.2 E115 15 00.1</t>
  </si>
  <si>
    <t>S8 36 25.5 E115 10 14.7</t>
  </si>
  <si>
    <t>S8 38 8.33 E115 17 11.47</t>
  </si>
  <si>
    <t>S8 35 41.0 E115 17 03.6</t>
  </si>
  <si>
    <t>S8 40 40.0 E115 12 23.9</t>
  </si>
  <si>
    <t>S8 37 43.1 E115 10 18.6</t>
  </si>
  <si>
    <t>S8 37 04.4 E115 10 32.1</t>
  </si>
  <si>
    <t>S8 36 11.7 E115 15 28.3</t>
  </si>
  <si>
    <t>S8 49 41.8 E115 10 49.3</t>
  </si>
  <si>
    <t>S8 16 30.2 E115 35 24.6</t>
  </si>
  <si>
    <t>S8 12 13.14 E115 30 10.30</t>
  </si>
  <si>
    <t>S8 38 22.6 E115 09 25.6</t>
  </si>
  <si>
    <t>S8 47 50.4 E115 13 13.2</t>
  </si>
  <si>
    <t>S8 26 40.6 E115 21 46.1</t>
  </si>
  <si>
    <t>S8 26 45.87 E115 24 10.06</t>
  </si>
  <si>
    <t>S8 35 2.06 E115 7 33.01</t>
  </si>
  <si>
    <t>AM</t>
  </si>
  <si>
    <t>MIL</t>
  </si>
  <si>
    <t>ARH</t>
  </si>
  <si>
    <t>ATN</t>
  </si>
  <si>
    <t>MRS</t>
  </si>
  <si>
    <t>THJ</t>
  </si>
  <si>
    <t>DOM</t>
  </si>
  <si>
    <t>THR</t>
  </si>
  <si>
    <t>BAS</t>
  </si>
  <si>
    <t>JPT</t>
  </si>
  <si>
    <t>INP</t>
  </si>
  <si>
    <t>WWD</t>
  </si>
  <si>
    <t>REN</t>
  </si>
  <si>
    <t>LAO</t>
  </si>
  <si>
    <t>SAM</t>
  </si>
  <si>
    <t>APA</t>
  </si>
  <si>
    <t>AMN</t>
  </si>
  <si>
    <t>MKH</t>
  </si>
  <si>
    <t>DTO</t>
  </si>
  <si>
    <t>IGN</t>
  </si>
  <si>
    <t>DDY</t>
  </si>
  <si>
    <t>SFH</t>
  </si>
  <si>
    <t>JUN</t>
  </si>
  <si>
    <t>IKN</t>
  </si>
  <si>
    <t>KAR</t>
  </si>
  <si>
    <t>JSR</t>
  </si>
  <si>
    <t>IHN</t>
  </si>
  <si>
    <t>MRZ</t>
  </si>
  <si>
    <t>SKI</t>
  </si>
  <si>
    <t>KDI</t>
  </si>
  <si>
    <t>IDA</t>
  </si>
  <si>
    <t>EKS</t>
  </si>
  <si>
    <t>TSD</t>
  </si>
  <si>
    <t>GNA</t>
  </si>
  <si>
    <t>STN</t>
  </si>
  <si>
    <t>ANT</t>
  </si>
  <si>
    <t>IBN</t>
  </si>
  <si>
    <t>ADR</t>
  </si>
  <si>
    <t>AMP</t>
  </si>
  <si>
    <t>MRI</t>
  </si>
  <si>
    <t>LKH</t>
  </si>
  <si>
    <t>IWS</t>
  </si>
  <si>
    <t>MAS</t>
  </si>
  <si>
    <t>IPM</t>
  </si>
  <si>
    <t>IGS</t>
  </si>
  <si>
    <t>IGJ</t>
  </si>
  <si>
    <t>ERI</t>
  </si>
  <si>
    <t>IKS</t>
  </si>
  <si>
    <t>GMJ</t>
  </si>
  <si>
    <t>ISN</t>
  </si>
  <si>
    <t>KSM</t>
  </si>
  <si>
    <t>DSI</t>
  </si>
  <si>
    <t>MAH</t>
  </si>
  <si>
    <t>NHY</t>
  </si>
  <si>
    <t>IKD</t>
  </si>
  <si>
    <t>SNI</t>
  </si>
  <si>
    <t>NWI</t>
  </si>
  <si>
    <t>KBA</t>
  </si>
  <si>
    <t>RDT</t>
  </si>
  <si>
    <t>DMA</t>
  </si>
  <si>
    <t>GPS</t>
  </si>
  <si>
    <t>YRA</t>
  </si>
  <si>
    <t>MTA</t>
  </si>
  <si>
    <t>KSA</t>
  </si>
  <si>
    <t>ANC</t>
  </si>
  <si>
    <t>PERIODE : SEPTEMBER 2026</t>
  </si>
  <si>
    <t>SO AKTIVA</t>
  </si>
  <si>
    <t>Q/M</t>
  </si>
  <si>
    <t>TGL SO SEP</t>
  </si>
  <si>
    <t>RENTANG HARI SO</t>
  </si>
  <si>
    <t>DANAU BERATAN NO 17A - DENPASAR</t>
  </si>
  <si>
    <t>NAMA TOKO</t>
  </si>
  <si>
    <t>TYXM</t>
  </si>
  <si>
    <t>KODE TOKO</t>
  </si>
  <si>
    <t>TYPE TOKO</t>
  </si>
  <si>
    <t>TGL PENGISIAN TYPE ORACLE</t>
  </si>
  <si>
    <t>TGL RELAUNCHING</t>
  </si>
  <si>
    <t>NAMA KOMPETITOR</t>
  </si>
  <si>
    <t>JARAK DENGAN IDM</t>
  </si>
  <si>
    <t>ILC</t>
  </si>
  <si>
    <t>KATEGORI TOKO ICON</t>
  </si>
  <si>
    <t>MOTHERSTORE</t>
  </si>
  <si>
    <t>POINT COFFEE</t>
  </si>
  <si>
    <t>I KIOS</t>
  </si>
  <si>
    <t>DOMAIN</t>
  </si>
  <si>
    <t>SUBDOMAIN</t>
  </si>
  <si>
    <t>SOSIOCLASS</t>
  </si>
  <si>
    <t>TIPE JALAN</t>
  </si>
  <si>
    <t>STATUS TOKO</t>
  </si>
  <si>
    <t>∑ KK</t>
  </si>
  <si>
    <t>∑RAK</t>
  </si>
  <si>
    <t>LUAS TANAH (M2)</t>
  </si>
  <si>
    <t>LUAS BANGUNAN (M2)</t>
  </si>
  <si>
    <t>LUAS AREA SALES (M2)</t>
  </si>
  <si>
    <t>LUAS PARKIR (M2)</t>
  </si>
  <si>
    <t>LUAS TERAS (M2)</t>
  </si>
  <si>
    <t>LUAS GUDANG (M2)</t>
  </si>
  <si>
    <t>KATEGORI GUDANG</t>
  </si>
  <si>
    <t>LETAKGUDANG</t>
  </si>
  <si>
    <t>JAM BUKA</t>
  </si>
  <si>
    <t>JAM TUTUP</t>
  </si>
  <si>
    <t>TYPE KIRIMAN</t>
  </si>
  <si>
    <t>KELURAHAN</t>
  </si>
  <si>
    <t>KECAMATAN</t>
  </si>
  <si>
    <t>ALAMAT</t>
  </si>
  <si>
    <t>NO TELP</t>
  </si>
  <si>
    <t>TGL BUKA</t>
  </si>
  <si>
    <t>UMUR TOKO (BULAN)</t>
  </si>
  <si>
    <t>TGL TAKE OVER</t>
  </si>
  <si>
    <t>TGL RENOVASI</t>
  </si>
  <si>
    <t>TGL TUTUP RENOVASI</t>
  </si>
  <si>
    <t>SPD RAB</t>
  </si>
  <si>
    <t>JARAK KE DC (KM)</t>
  </si>
  <si>
    <t>KODE POS</t>
  </si>
  <si>
    <t>KODE TOKO LAMA</t>
  </si>
  <si>
    <t>F</t>
  </si>
  <si>
    <t>GUMBRIH</t>
  </si>
  <si>
    <t>SDS</t>
  </si>
  <si>
    <t xml:space="preserve"> </t>
  </si>
  <si>
    <t xml:space="preserve">ALFA PULUKAN PEKUTATAN - JBN </t>
  </si>
  <si>
    <t>SA</t>
  </si>
  <si>
    <t>TRAFFIC</t>
  </si>
  <si>
    <t>RESIDENTIAL</t>
  </si>
  <si>
    <t>MENENGAH BAWAH</t>
  </si>
  <si>
    <t>Highway</t>
  </si>
  <si>
    <t>FRANCHISE</t>
  </si>
  <si>
    <t>61+8</t>
  </si>
  <si>
    <t>KECIL</t>
  </si>
  <si>
    <t>LT1</t>
  </si>
  <si>
    <t>2DS</t>
  </si>
  <si>
    <t>G034</t>
  </si>
  <si>
    <t>PEKUTATAN</t>
  </si>
  <si>
    <t>Jl. Denpasar - Gilimanuk, Jembrana - Bali</t>
  </si>
  <si>
    <t>12/03/2022 - 25/03/2022</t>
  </si>
  <si>
    <t>TANPA TUTUP</t>
  </si>
  <si>
    <t>T</t>
  </si>
  <si>
    <t>TANGKUBAN PERAHU</t>
  </si>
  <si>
    <t>ALFA (TOKO SHINTA AGUNG)</t>
  </si>
  <si>
    <t>HC 400</t>
  </si>
  <si>
    <t>OK</t>
  </si>
  <si>
    <t>MENENGAH ATAS</t>
  </si>
  <si>
    <t>Mainstreet</t>
  </si>
  <si>
    <t>REGULER</t>
  </si>
  <si>
    <t>62+8</t>
  </si>
  <si>
    <t>BESAR</t>
  </si>
  <si>
    <t>LT2</t>
  </si>
  <si>
    <t>DENPASAR BARAT</t>
  </si>
  <si>
    <t>Jl. Tangkuban Perahu No. 18X, Denpasar – Bali</t>
  </si>
  <si>
    <t>19/02/2021 - 28/03/2021</t>
  </si>
  <si>
    <t>16/03/2021 - 27/03/2021</t>
  </si>
  <si>
    <t>F965</t>
  </si>
  <si>
    <t>NEGARA</t>
  </si>
  <si>
    <t>FAMILY_MART</t>
  </si>
  <si>
    <t>HH 100</t>
  </si>
  <si>
    <t>67+8</t>
  </si>
  <si>
    <t xml:space="preserve">Jl. Gatot Subroto No.22 Negara - Bali </t>
  </si>
  <si>
    <t>15/02/2023 - 06/03/2023</t>
  </si>
  <si>
    <t>13/02/2023 - 19/02/2023</t>
  </si>
  <si>
    <t>TF24</t>
  </si>
  <si>
    <t>DALUNG PERMAI</t>
  </si>
  <si>
    <t>SDN</t>
  </si>
  <si>
    <t>CIRCLE K RAYA DALUNG PERMAI</t>
  </si>
  <si>
    <t>Street</t>
  </si>
  <si>
    <t>64+10</t>
  </si>
  <si>
    <t>1DS</t>
  </si>
  <si>
    <t>KUTA UTARA</t>
  </si>
  <si>
    <t xml:space="preserve">Jl. Dalung Permai No.A9 - A10,Badung - Bali </t>
  </si>
  <si>
    <t>20/08/2022 - 07/09/2022</t>
  </si>
  <si>
    <t>01/09/2022 - 09/09/2022</t>
  </si>
  <si>
    <t>SUKAWATI</t>
  </si>
  <si>
    <t>CIRCLE K RAYA SUKAWATI</t>
  </si>
  <si>
    <t>66+8</t>
  </si>
  <si>
    <t>SEDANG</t>
  </si>
  <si>
    <t>G288</t>
  </si>
  <si>
    <t>Jl. Raya Sukowati no. -   , Gianyar - Bali</t>
  </si>
  <si>
    <t>10/02/2023 - 25/02/2023</t>
  </si>
  <si>
    <t>09/03/2023 - 16/03/2023</t>
  </si>
  <si>
    <t>TF57</t>
  </si>
  <si>
    <t>KESATRIAN 1</t>
  </si>
  <si>
    <t>ALFA CANDI BARU (KESATRIAN)</t>
  </si>
  <si>
    <t>64+8</t>
  </si>
  <si>
    <t>Jl. Ksatrian No. 11, Gianyar - Bali</t>
  </si>
  <si>
    <t>19/01/2022 - 07/02/2022</t>
  </si>
  <si>
    <t>17/01/2022 - 06/02/2022</t>
  </si>
  <si>
    <t>UBUD GIANYAR</t>
  </si>
  <si>
    <t>ALFA RAYA UBUD</t>
  </si>
  <si>
    <t>WISATA/HIBURAN</t>
  </si>
  <si>
    <t>Mainstreet (ICON)</t>
  </si>
  <si>
    <t>UBUD</t>
  </si>
  <si>
    <t xml:space="preserve">Jl. Cok Gde Rai No.50 Ubud - Bali </t>
  </si>
  <si>
    <t>ALFA BANGLI - BGL</t>
  </si>
  <si>
    <t>65+8</t>
  </si>
  <si>
    <t>Jl. Ngurah Rai No. 14, Bangli - Bali</t>
  </si>
  <si>
    <t>25/06/2022 - 27/07/2022</t>
  </si>
  <si>
    <t>23/06/2022 - 01/08/2022</t>
  </si>
  <si>
    <t>NGURAH RAI</t>
  </si>
  <si>
    <t>-</t>
  </si>
  <si>
    <t>65+10</t>
  </si>
  <si>
    <t>KEDIRI</t>
  </si>
  <si>
    <t>Jl. Ngurah Rai No. 85, Kediri - Bali</t>
  </si>
  <si>
    <t>15/11/2019 - 13/12/2019</t>
  </si>
  <si>
    <t>28/11/2019 - 12/12/2019</t>
  </si>
  <si>
    <t>BAJERA</t>
  </si>
  <si>
    <t>ALFA BAJERA</t>
  </si>
  <si>
    <t>PASAR</t>
  </si>
  <si>
    <t>LT1,LT2</t>
  </si>
  <si>
    <t>SELEMADEG</t>
  </si>
  <si>
    <t>Jl. Ngurah Rai No. 03, Bajera - Bali</t>
  </si>
  <si>
    <t>11/1/2008, 01/11/2023</t>
  </si>
  <si>
    <t>24/02/2020 - 16/03/2020</t>
  </si>
  <si>
    <t>27/02/2020 - 15/03/2020</t>
  </si>
  <si>
    <t>TA03, F78A</t>
  </si>
  <si>
    <t>GILIMANUK</t>
  </si>
  <si>
    <t>ALFA GILIMANUK 3 (TOKO WIJAYA) - JBN</t>
  </si>
  <si>
    <t>MC 800</t>
  </si>
  <si>
    <t>MELAYA</t>
  </si>
  <si>
    <t>Jl. Raya Gilimanuk No. 38, Jembrana</t>
  </si>
  <si>
    <t>26/10/2023 - 24/11/2023</t>
  </si>
  <si>
    <t>24/10/2023 - 16/11/2023</t>
  </si>
  <si>
    <t>TA10</t>
  </si>
  <si>
    <t>GREEN KORI</t>
  </si>
  <si>
    <t xml:space="preserve">ALFA GREEN KORI - DPS </t>
  </si>
  <si>
    <t>DENPASAR UTARA</t>
  </si>
  <si>
    <t>Jl. Nuansa Hijau Timur No. 2, Denpasar</t>
  </si>
  <si>
    <t>10/02/2022 - 25/02/2022</t>
  </si>
  <si>
    <t>F657</t>
  </si>
  <si>
    <t>SETIA BUDI</t>
  </si>
  <si>
    <t>ALFA SETIA BUDI 2 - SRA</t>
  </si>
  <si>
    <t>Jl. Setiabudi No. 15, Buleleng - Bali</t>
  </si>
  <si>
    <t>01/07/2009, 01/12/19</t>
  </si>
  <si>
    <t>20/01/2025 - 29/01/2025</t>
  </si>
  <si>
    <t>TA39, F10E</t>
  </si>
  <si>
    <t>IMAM BONJOL</t>
  </si>
  <si>
    <t xml:space="preserve">ALFA IMAM BONJOL - TBN </t>
  </si>
  <si>
    <t>Jl. Imam Bonjol No. 05, Tabanan - Bali</t>
  </si>
  <si>
    <t>20/02/2025 - 27/03/2025</t>
  </si>
  <si>
    <t>18/02/2025 - 09/03/2025</t>
  </si>
  <si>
    <t>TA45, FC45</t>
  </si>
  <si>
    <t>PUPUAN</t>
  </si>
  <si>
    <t>ALFA PUPUAN</t>
  </si>
  <si>
    <t>Jl. Gajah Mada No. 02, Tabanan - Bali</t>
  </si>
  <si>
    <t>06/11/2023 - 21/11/2023</t>
  </si>
  <si>
    <t>TA42</t>
  </si>
  <si>
    <t>SERIRIT</t>
  </si>
  <si>
    <t>6//23/24</t>
  </si>
  <si>
    <t>ALFA SERIRIT (AMO)</t>
  </si>
  <si>
    <t>Jl. PB. Sudirman No. 21, Seririt - Bali</t>
  </si>
  <si>
    <t>05/11/2024 - 18/11/2024</t>
  </si>
  <si>
    <t>FT03(TA38,01/02/2010)</t>
  </si>
  <si>
    <t>SEMARAPURA</t>
  </si>
  <si>
    <t>ALFA KEMUNING DIPONEGORO</t>
  </si>
  <si>
    <t>56+8</t>
  </si>
  <si>
    <t>Jl. Untung Surapati No. 14, Klungkung - Bali</t>
  </si>
  <si>
    <t>GUNUNG AGUNG</t>
  </si>
  <si>
    <t>ALFA GUNUNG AGUNG - TBN</t>
  </si>
  <si>
    <t>60+8</t>
  </si>
  <si>
    <t>Jl. Gunung Agung No. 72, Tabanan - Bali</t>
  </si>
  <si>
    <t>01/05/2019, 01/05/2024</t>
  </si>
  <si>
    <t>20/02/2025 - 13/03/2025</t>
  </si>
  <si>
    <t>18/02/2025 - 06/03/2025</t>
  </si>
  <si>
    <t>TA53, FC85</t>
  </si>
  <si>
    <t>KUBUTAMBAHAN</t>
  </si>
  <si>
    <t>ALFA KUBUTAMBAHAN - SRA</t>
  </si>
  <si>
    <t>59+8</t>
  </si>
  <si>
    <t>Jl. Wr. Supratman No. 68, Kubu Tambahan - Buleleng</t>
  </si>
  <si>
    <t xml:space="preserve">1/5/2012, 1/5/2022  </t>
  </si>
  <si>
    <t>09/05/2022 - 19/05/2022</t>
  </si>
  <si>
    <t>TA58, FQPL</t>
  </si>
  <si>
    <t>MAWAR TABANAN</t>
  </si>
  <si>
    <t>ALFAMART MAWAR 2 - TBN</t>
  </si>
  <si>
    <t>Jl. Mawar No. 49, Tabanan - Bali</t>
  </si>
  <si>
    <t>01/05/2015, 01/05/2020</t>
  </si>
  <si>
    <t>TA62, FHHM</t>
  </si>
  <si>
    <t>UDAYANA</t>
  </si>
  <si>
    <t>MFF</t>
  </si>
  <si>
    <t>ALFA UDAYANA - SRA</t>
  </si>
  <si>
    <t>Jl. Udayana No. 6A, Buleleng - Bali</t>
  </si>
  <si>
    <t>20/01/2025 - 11/02/2025</t>
  </si>
  <si>
    <t>30/01/2025 - 13/01/2025</t>
  </si>
  <si>
    <t>BANYUASRI</t>
  </si>
  <si>
    <t>ALFA BANYUASRI</t>
  </si>
  <si>
    <t>57+8</t>
  </si>
  <si>
    <t xml:space="preserve">Jl. Ahmad Yani No. 189X, Banyuasri - Buleleng </t>
  </si>
  <si>
    <t>1/11/2014;10/1/2009</t>
  </si>
  <si>
    <t>20/01/2025  - 29/01/2025</t>
  </si>
  <si>
    <t>F07F,TA69</t>
  </si>
  <si>
    <t>PATIH JELANTIK</t>
  </si>
  <si>
    <t>ALFA PATIH JELATIK</t>
  </si>
  <si>
    <t>Jl. Patih Jelantik No. 56, Gianyar - Bali</t>
  </si>
  <si>
    <t>24/01/2025 - 11/02/2025</t>
  </si>
  <si>
    <t>24/01/2025 - 09/02/2025</t>
  </si>
  <si>
    <t>TA75</t>
  </si>
  <si>
    <t>CELUK GIANYAR</t>
  </si>
  <si>
    <t>ALFA CELUK SUKAWATI - GYR</t>
  </si>
  <si>
    <t>Jl. Raya Celuk No.   , Gianyar - Bali</t>
  </si>
  <si>
    <t>BLAHBATUH 1</t>
  </si>
  <si>
    <t>ALFA BLAH BATUH</t>
  </si>
  <si>
    <t>64+9</t>
  </si>
  <si>
    <t xml:space="preserve">BLAHBATUH </t>
  </si>
  <si>
    <t>Jl. Wisma Gajah Mada No. 8, Gianyar - Bali</t>
  </si>
  <si>
    <t>15/10/2025 - 28/10/2025</t>
  </si>
  <si>
    <t>PAYANGAN</t>
  </si>
  <si>
    <t>ALFA PAYANGAN</t>
  </si>
  <si>
    <t>Jl. Raya Payangan No.   , Gianyar - Bali</t>
  </si>
  <si>
    <t>1/11/2014;11/1/2009</t>
  </si>
  <si>
    <t>08/11/2024 - 24/11/2024</t>
  </si>
  <si>
    <t>F35F,TA86</t>
  </si>
  <si>
    <t>ALFA GAJAH MADA</t>
  </si>
  <si>
    <t>Jl. Ngurah Rai No,354 A,Karangasem - Bali</t>
  </si>
  <si>
    <t>22/01/2025 - 03/02/2025</t>
  </si>
  <si>
    <t>FR18,TA91</t>
  </si>
  <si>
    <t>WR SUPRATMAN</t>
  </si>
  <si>
    <t>ALFA WR. SUPRATMAN</t>
  </si>
  <si>
    <t>66+9</t>
  </si>
  <si>
    <t>Jl. WR.Supratman 7c Singaraja-Bali</t>
  </si>
  <si>
    <t>14/04/2025 - 24/04/2025</t>
  </si>
  <si>
    <t>DALUNG 2</t>
  </si>
  <si>
    <t>ALFAMART DALUNG PERMAI 3 - BDG</t>
  </si>
  <si>
    <t>Perum Dalung Permai Blok.00 No.25 - Badung</t>
  </si>
  <si>
    <t>18/01/2024 - 15/02/2024</t>
  </si>
  <si>
    <t>BANJARANGKAN</t>
  </si>
  <si>
    <t>ALFA BANJARANGKAN</t>
  </si>
  <si>
    <t>Jl. Lettu Ida Bagus Puja No.19 Klungkung - Bali</t>
  </si>
  <si>
    <t>08/02/2023 - 29/03/2023</t>
  </si>
  <si>
    <t>06/02/2023 - 29/03/2023</t>
  </si>
  <si>
    <t>T05A</t>
  </si>
  <si>
    <t>BAKTISERAGA</t>
  </si>
  <si>
    <t>ALFA LAKSAMANA BARU - SRA (RELOKASI ALFA BAKTISERAGA)</t>
  </si>
  <si>
    <t>63+8</t>
  </si>
  <si>
    <t>Jl. Serma Karma No.72 Buleleng Bali</t>
  </si>
  <si>
    <t>01/11/2009,01/11/2019</t>
  </si>
  <si>
    <t>14/08/2020 - 02/09/2020</t>
  </si>
  <si>
    <t>TA0H,F30F</t>
  </si>
  <si>
    <t>KEBO IWA</t>
  </si>
  <si>
    <t xml:space="preserve">ALFA TIBUNG SARI 2 - DPS </t>
  </si>
  <si>
    <t>Jl. Kebo iwa No: 50 X,Denpasar - Bali</t>
  </si>
  <si>
    <t>24/06/2024 - 23/06/2024</t>
  </si>
  <si>
    <t>SUBAGAN</t>
  </si>
  <si>
    <t>ALFA UNTUNG SUROPATI - KSM</t>
  </si>
  <si>
    <t>63+10</t>
  </si>
  <si>
    <t>Jl. PB.Sudirman No.7 Karangasem - Bali</t>
  </si>
  <si>
    <t>CANDI BARU</t>
  </si>
  <si>
    <t xml:space="preserve">ALFA ASTINA - GYR </t>
  </si>
  <si>
    <t>Jl. Astina Selatan No,09, Gianyar - Bali</t>
  </si>
  <si>
    <t>10/03/2023 - 18/03/2023</t>
  </si>
  <si>
    <t>10/03/2023 - 17/03/2023</t>
  </si>
  <si>
    <t>DIPONEGORO</t>
  </si>
  <si>
    <t>ALFA DIPONEGORO - TBN</t>
  </si>
  <si>
    <t>Jl. Diponegoro No.48,Tabanan - Bali</t>
  </si>
  <si>
    <t>T14A</t>
  </si>
  <si>
    <t>LOVINA</t>
  </si>
  <si>
    <t>ALFA LOVINA</t>
  </si>
  <si>
    <t>TOKO ICON</t>
  </si>
  <si>
    <t>Jl. Seririt No,  , Singaraja - Bali</t>
  </si>
  <si>
    <t>23/11/2024 - 23/12/2024</t>
  </si>
  <si>
    <t>16/12/2024 - 19/12/2024</t>
  </si>
  <si>
    <t>UNTUNG SURAPATI</t>
  </si>
  <si>
    <t>ALFA UNTUNG SUROPATI 2 (TOKO KITA )</t>
  </si>
  <si>
    <t>Jl. Untung surapati No.99 Karang asem-Bali</t>
  </si>
  <si>
    <t>02/05/2025 - 16/05/2025</t>
  </si>
  <si>
    <t>ANGGREK</t>
  </si>
  <si>
    <t>ALFA RATNA</t>
  </si>
  <si>
    <t>Jl. Anggrek No.24,Tabanan - Bali</t>
  </si>
  <si>
    <t>02/05/2025 - 09/05/2025</t>
  </si>
  <si>
    <t>BLAHBATUH 2</t>
  </si>
  <si>
    <t>Jl. Wisma Gajah Mada No.18 Blahbatuh Gianyar - Bali</t>
  </si>
  <si>
    <t>13/03/2019 - 05/04/2019</t>
  </si>
  <si>
    <t>11/03/2019 - 04/04/2019</t>
  </si>
  <si>
    <t>TAMPAKSIRING</t>
  </si>
  <si>
    <t>ALFA TAMPAK SIRING</t>
  </si>
  <si>
    <t>TAMPAK SIRING</t>
  </si>
  <si>
    <t>Jl. Astina pura selatan No. Tampaksiring -Gianyar</t>
  </si>
  <si>
    <t>12/01/2026 -26/01/2026</t>
  </si>
  <si>
    <t>GOWANG</t>
  </si>
  <si>
    <t>Jl. Raya Guwang No.  Sukawati - Gianyar</t>
  </si>
  <si>
    <t>12/01/2026 - 01/02/2026</t>
  </si>
  <si>
    <t>CANGGU</t>
  </si>
  <si>
    <t>ALFA CANGGU</t>
  </si>
  <si>
    <t>Jl. Kerobokan Canggu No.99 , Kuta Utara - Badung</t>
  </si>
  <si>
    <t>30/10/2020 - 11/11/2020</t>
  </si>
  <si>
    <t>FRESH NEGARA 2</t>
  </si>
  <si>
    <t xml:space="preserve">ALFA SUDIRMAN DAUH WARU - JBN </t>
  </si>
  <si>
    <t>102+10</t>
  </si>
  <si>
    <t>Jl. Ngurah Rai No.159 C, Jembrana - Bali</t>
  </si>
  <si>
    <t>01/07/2022 - 11/08/2022</t>
  </si>
  <si>
    <t>MONANG MANING</t>
  </si>
  <si>
    <t>ALFA GUNUNG RINJANI ( TOKO MUTIARA )- DPS</t>
  </si>
  <si>
    <t>Jl. Gunung Lempuyang No. 40B, Denpasar</t>
  </si>
  <si>
    <t>10/07/2022 - 24/08/2022</t>
  </si>
  <si>
    <t>16/08/2022 - 26/08/2022</t>
  </si>
  <si>
    <t>FE24</t>
  </si>
  <si>
    <t>ANDONG</t>
  </si>
  <si>
    <t xml:space="preserve">ALFA AMBENGAN UBUD - GYR </t>
  </si>
  <si>
    <t>Jl. Andong No.34, Ubud - Gianyar</t>
  </si>
  <si>
    <t>02/06/2020 - 11/07/2020</t>
  </si>
  <si>
    <t>SANGSIT</t>
  </si>
  <si>
    <t>ALFA SANGSIT</t>
  </si>
  <si>
    <t>Jl. Raya Sangsit No.94, Buleleng - Singaraja</t>
  </si>
  <si>
    <t>05/05/2019 - 24/15/2019</t>
  </si>
  <si>
    <t>02/05/2019 - 23/04/2019</t>
  </si>
  <si>
    <t>KUSUMA YUDA</t>
  </si>
  <si>
    <t>ALFA NLC - BGL</t>
  </si>
  <si>
    <t>Jl. Kusuma Yuda No.13, Bangli - Bali</t>
  </si>
  <si>
    <t>20/09/2025 - 11/10/2025</t>
  </si>
  <si>
    <t>18/09/2025 - 13/10/2025</t>
  </si>
  <si>
    <t>MAWAR 2</t>
  </si>
  <si>
    <t>ALFA GEROKGAK GEDE - TBN</t>
  </si>
  <si>
    <t>Jl. Mawar No.58 C, Tabanan - Bali</t>
  </si>
  <si>
    <t>05/09/2025 - 19/09/2025</t>
  </si>
  <si>
    <t>MAYOR METRA</t>
  </si>
  <si>
    <t>ALFA MAYOR METRA - SRA (RELOKASI ALFA LILIGUNDI)</t>
  </si>
  <si>
    <t>Jl. Mayor Metra No.12,Buleleng - Singaraja</t>
  </si>
  <si>
    <t>01/06/2015, 01/06/2020</t>
  </si>
  <si>
    <t>03/07/2025 - 10/07/2025</t>
  </si>
  <si>
    <t>TLA4, FZ4Z</t>
  </si>
  <si>
    <t>BLAHKIUH</t>
  </si>
  <si>
    <t>ALFA BLAHKIUH</t>
  </si>
  <si>
    <t>ABIANSEMAL</t>
  </si>
  <si>
    <t>Jl. Ciung Wanara, Badung - Bali</t>
  </si>
  <si>
    <t>10/06/2021 - 04/07/2021</t>
  </si>
  <si>
    <t>23/06/2021 - 03/07/2021</t>
  </si>
  <si>
    <t>TAL0</t>
  </si>
  <si>
    <t>FRESH PULAU KAWE</t>
  </si>
  <si>
    <t xml:space="preserve">ALFA PULAU KAWE UTARA - DPS </t>
  </si>
  <si>
    <t>78+10</t>
  </si>
  <si>
    <t>Jl  Pulau Kawe no.12 Denpasar - Bali</t>
  </si>
  <si>
    <t>04/09/2021 - 28/09/2021</t>
  </si>
  <si>
    <t>TAMAN GRIYA</t>
  </si>
  <si>
    <t>ALFA KORI NUANSA - BDG</t>
  </si>
  <si>
    <t>KUTA SELATAN</t>
  </si>
  <si>
    <t>Jl. Nuansa Utama No.    ,Badung - bali</t>
  </si>
  <si>
    <t>03/08/2024 - 22/08/2024</t>
  </si>
  <si>
    <t>01/08/2024 - 28/08/2024</t>
  </si>
  <si>
    <t>AHMAD YANI</t>
  </si>
  <si>
    <t>ALFA TOKO KIRANA - DPS</t>
  </si>
  <si>
    <t>Jl .Ahmad Yani No.229 B-C ,Denpasar - Bali</t>
  </si>
  <si>
    <t>06/01/2026 - 20/01/2026</t>
  </si>
  <si>
    <t>PADANG LUWIH</t>
  </si>
  <si>
    <t>ALFA PADANG LUWIH DALUNG</t>
  </si>
  <si>
    <t>Jl. Padang Luwih No.    ,Badung - Bali</t>
  </si>
  <si>
    <t>12/10/2019 - 02/11/2019</t>
  </si>
  <si>
    <t>23/10/2019 - 01/11/2019</t>
  </si>
  <si>
    <t>TUKAD BANYUSARI</t>
  </si>
  <si>
    <t>ALFA TUKAD BANYUSARI - DPS</t>
  </si>
  <si>
    <t>DENPASAR SELATAN</t>
  </si>
  <si>
    <t>Jl.Tukad Banyusari No.     ,Denpasar - Bali</t>
  </si>
  <si>
    <t>15/01/2020 - 01/02/2020</t>
  </si>
  <si>
    <t>22/01/2020 - 31/01/2020</t>
  </si>
  <si>
    <t>PULAU SAELUS</t>
  </si>
  <si>
    <t>ALFA SESETAN 2 (AMO)</t>
  </si>
  <si>
    <t>Jl. Pulau Saelus No.16,Denpasar - Bali</t>
  </si>
  <si>
    <t>31/10/2019 - 01/12/2019</t>
  </si>
  <si>
    <t>21/11/2019 - 30/11/2019</t>
  </si>
  <si>
    <t>TUKAD PAKERISAN</t>
  </si>
  <si>
    <t>CIRCLE K TUKAD PAKERISAN</t>
  </si>
  <si>
    <t>Jl. Tukad Pakerisan, Denpasar - Bali</t>
  </si>
  <si>
    <t>17/01/2022 - 10/02/2022</t>
  </si>
  <si>
    <t>15/01/2022 - 09/02/2022</t>
  </si>
  <si>
    <t>CANGGU 2</t>
  </si>
  <si>
    <t>ALFA CANGGU 2</t>
  </si>
  <si>
    <t>Jl. Raya Canggu No,    Badung - Bali</t>
  </si>
  <si>
    <t>03/02/2026 - 16/02/2026</t>
  </si>
  <si>
    <t>TEUKU UMAR</t>
  </si>
  <si>
    <t>ALFA NUSA KAMBANGAN - DPS (EX MIDI)</t>
  </si>
  <si>
    <t>Jl. Teuku Umar No.85 X Denpasar - Bali</t>
  </si>
  <si>
    <t>17/11/2025 - 02/12/2025</t>
  </si>
  <si>
    <t>24/11/2025 - 04/12/2025</t>
  </si>
  <si>
    <t>MERANGGI</t>
  </si>
  <si>
    <t>ALFA MERANGGI - TBN</t>
  </si>
  <si>
    <t>KERAMBITAN</t>
  </si>
  <si>
    <t>Jl.  Raya Sembung Meranggi No. ,Tabanan - Bali</t>
  </si>
  <si>
    <t>1/8/2012, 1/8/2022</t>
  </si>
  <si>
    <t>20/08/2022 - 24/09/2022</t>
  </si>
  <si>
    <t>TLOC, FWGC</t>
  </si>
  <si>
    <t>PESIAPAN</t>
  </si>
  <si>
    <t>ALFA YEH GANGGA - TBN</t>
  </si>
  <si>
    <t>Jl. By Pass Pesiapan No.   , Tabanan - Bali</t>
  </si>
  <si>
    <t>TL4C,FSGM</t>
  </si>
  <si>
    <t>KUTA BADUNG</t>
  </si>
  <si>
    <t>ALFA RAYA KUTA (KUTA PRIMA)</t>
  </si>
  <si>
    <t>46+8</t>
  </si>
  <si>
    <t>KUTA</t>
  </si>
  <si>
    <t>Jl. Raya Kuta No. 81 Badung - Bali</t>
  </si>
  <si>
    <t>14/02/2020 - 02/03/2020</t>
  </si>
  <si>
    <t>GAJAH MADA</t>
  </si>
  <si>
    <t>Jl. Gajah Mada No.   Klungkung - Bali</t>
  </si>
  <si>
    <t>20/01/2025 - 24/01/2025</t>
  </si>
  <si>
    <t>ABIANBASE</t>
  </si>
  <si>
    <t>ALFA ABIANBASE</t>
  </si>
  <si>
    <t>54+8</t>
  </si>
  <si>
    <t>MENGWI</t>
  </si>
  <si>
    <t>Jl. Raya Abianbase No. 137 Badung - bali</t>
  </si>
  <si>
    <t>DEWI SARTIKA</t>
  </si>
  <si>
    <t>ALFA DEWI SARTIKA</t>
  </si>
  <si>
    <t>64+12</t>
  </si>
  <si>
    <t>Jl. Dewi sartika utara Singaraja- Bali</t>
  </si>
  <si>
    <t>13/05/2022 - 01/06/2022</t>
  </si>
  <si>
    <t>CANDIDASA</t>
  </si>
  <si>
    <t>ALFA CANDIDASA</t>
  </si>
  <si>
    <t>Jl. Raya candidasa No.  Karang Asem - Bali</t>
  </si>
  <si>
    <t>30/04/2020 - 27/03/2021</t>
  </si>
  <si>
    <t>TEGEHE</t>
  </si>
  <si>
    <t>62+9</t>
  </si>
  <si>
    <t>Jl. Batu Yang - Gianyar - Bali</t>
  </si>
  <si>
    <t>01/06/2013, 01/06/2023</t>
  </si>
  <si>
    <t>17/07/2023 - 07/08/2023</t>
  </si>
  <si>
    <t>TL8C, FK2C</t>
  </si>
  <si>
    <t>SADING</t>
  </si>
  <si>
    <t>Jl. Raya Sading No.37, Badung - Bali</t>
  </si>
  <si>
    <t>SIBANG KAJA</t>
  </si>
  <si>
    <t>ALFA SIBANGKAJA 2 - BDG</t>
  </si>
  <si>
    <t>Jl. Sibang Kaja No.   Badung - Bali</t>
  </si>
  <si>
    <t>26/06/2025 - 03/07/2025</t>
  </si>
  <si>
    <t>ALFA A. YANI KEDIRI - TBN</t>
  </si>
  <si>
    <t>Jl. Raya Ahmad Yani No. 22 Kediri, Tabanan - Bali</t>
  </si>
  <si>
    <t>19/10/2019 - 22/11/2019</t>
  </si>
  <si>
    <t>12/11/2019 - 21/11/2019</t>
  </si>
  <si>
    <t>SEMPIDI</t>
  </si>
  <si>
    <t>ALFA MANGUPURA ( SEMPIDI )</t>
  </si>
  <si>
    <t>Jl. Raya Sempidi No. 25 Badung, Denpasar - Bali</t>
  </si>
  <si>
    <t>01/02/2015, 01/02/2020</t>
  </si>
  <si>
    <t>19/02/2025 - 26/02/2025</t>
  </si>
  <si>
    <t>TA1A, FPJJ</t>
  </si>
  <si>
    <t>FRESH TANDEG</t>
  </si>
  <si>
    <t>ALFA CANGGU TANDEG</t>
  </si>
  <si>
    <t>Jl. Pantai Berawe No.  , Badung - Bali</t>
  </si>
  <si>
    <t>29/08/2025 - 18/09/2025</t>
  </si>
  <si>
    <t>08/09/2025 - 20/09/2025</t>
  </si>
  <si>
    <t>BUBUNAN</t>
  </si>
  <si>
    <t>ALFA SUDIRMAN SERIRIT</t>
  </si>
  <si>
    <t>58+8</t>
  </si>
  <si>
    <t>Jl. Raya Bubunan No.  , Buleleng - Bali</t>
  </si>
  <si>
    <t>28/07/2020 - 28/08/2020</t>
  </si>
  <si>
    <t>BATURITI</t>
  </si>
  <si>
    <t>Jl. Gunung Agung No.47, Baturiti - Bali</t>
  </si>
  <si>
    <t>15/08/2022 - 15/09/2022</t>
  </si>
  <si>
    <t>15/08/2022 - 19/09/2022</t>
  </si>
  <si>
    <t>TA3A</t>
  </si>
  <si>
    <t>PURI GADING</t>
  </si>
  <si>
    <t>ALFA PURI GADING - BDG</t>
  </si>
  <si>
    <t>48+8</t>
  </si>
  <si>
    <t>Jl. Puri Gading B2 No. 1 Badung - Bali</t>
  </si>
  <si>
    <t>12/05/2020 - 11/06/2020</t>
  </si>
  <si>
    <t>BATU BULAN</t>
  </si>
  <si>
    <t>CIRCLE K BATU BULAN</t>
  </si>
  <si>
    <t>Jl. Raya Batu Bulan No. 99 X, Gianyar - Bali</t>
  </si>
  <si>
    <t>03/08/2020 - 20/09/2020</t>
  </si>
  <si>
    <t>TANJUNG BENOA</t>
  </si>
  <si>
    <t>ALFA TANJUNG BENOA - BDG</t>
  </si>
  <si>
    <t>Jl. Pratama No. 99 Tanjung Benoa - Bali</t>
  </si>
  <si>
    <t>03/07/2019 - 22/07/2019</t>
  </si>
  <si>
    <t>01/07/2019 - 21/07/2019</t>
  </si>
  <si>
    <t>SUKASADA</t>
  </si>
  <si>
    <t>ALFA SUKASADA 2 - SRA</t>
  </si>
  <si>
    <t>Jl. Jelantik Gingsir No. 21, Buleleng - Bali</t>
  </si>
  <si>
    <t>30/09/2025 -14/10/2025</t>
  </si>
  <si>
    <t>09/10/2025 - 15/10/2025</t>
  </si>
  <si>
    <t>NUSANTARA</t>
  </si>
  <si>
    <t>ALFA NUSANTARA - BGL</t>
  </si>
  <si>
    <t>Jl. Nusantara No. 70, Bangli - Bali</t>
  </si>
  <si>
    <t>16/01/2023 - 27/01/2023</t>
  </si>
  <si>
    <t>TQ07</t>
  </si>
  <si>
    <t>BUNISARI</t>
  </si>
  <si>
    <t>ALFA BR.TEMACUN</t>
  </si>
  <si>
    <t>Street (ICON)</t>
  </si>
  <si>
    <t>Jl. Bunisari No. 14A, Badung - Bali</t>
  </si>
  <si>
    <t>21/01/2019 - 28/01/2021</t>
  </si>
  <si>
    <t>21/01/2019 - 27/01/2021</t>
  </si>
  <si>
    <t>BUDUK MENGWI</t>
  </si>
  <si>
    <t>ALFA SAT RAYA BUDUK</t>
  </si>
  <si>
    <t>Jl. Raya Buduk, Badung - Bali</t>
  </si>
  <si>
    <t>12/10/2025 - 26/10/2025</t>
  </si>
  <si>
    <t>TQ11</t>
  </si>
  <si>
    <t>HAYAM WURUK</t>
  </si>
  <si>
    <t>ALFA HAYAM WURUK - DPS</t>
  </si>
  <si>
    <t>DENPASAR TIMUR</t>
  </si>
  <si>
    <t>Jl. Hayam Wuruk No. 54, Denpasar - Bali</t>
  </si>
  <si>
    <t>18/11/2019 - 27/11/2019</t>
  </si>
  <si>
    <t>18/11/2019 - 26/11/2019</t>
  </si>
  <si>
    <t>FRESH NANGKA UTARA 2</t>
  </si>
  <si>
    <t>ALFA NANGKA UTARA</t>
  </si>
  <si>
    <t>81+8</t>
  </si>
  <si>
    <t>Jl. Nangka Utara No. 234, Denpasar Timur - Bali</t>
  </si>
  <si>
    <t>11/09/2021 - 28/10/2021</t>
  </si>
  <si>
    <t>CANDI KUNING</t>
  </si>
  <si>
    <t>ALFA CANDI KUNING</t>
  </si>
  <si>
    <t>Jl. Raya Candi Kuning, Tabanan - Bali</t>
  </si>
  <si>
    <t>01/05/2020 - 07/06/2020</t>
  </si>
  <si>
    <t>KAPAL MENGWI</t>
  </si>
  <si>
    <t>ALFA ABIANBASE 2</t>
  </si>
  <si>
    <t>Jl. Raya Abianbase , Badung - Bali</t>
  </si>
  <si>
    <t>28/11/2025 - 12/12/2025</t>
  </si>
  <si>
    <t>KINTAMANI</t>
  </si>
  <si>
    <t>ALFA KINTAMANI - BGL</t>
  </si>
  <si>
    <t>63+9</t>
  </si>
  <si>
    <t>Jl. Raya Kintamani, Bangli - Bali</t>
  </si>
  <si>
    <t>20/01/2025 - 27/01/2025</t>
  </si>
  <si>
    <t>CAMPUHAN</t>
  </si>
  <si>
    <t>CIRCLE K SANGGINGAN</t>
  </si>
  <si>
    <t>Jl. Raya Campuhan No. 88 X Gyr - Bali</t>
  </si>
  <si>
    <t>02/04/2026 - 09/04/2026</t>
  </si>
  <si>
    <t>FRESH PENGOSEKAN</t>
  </si>
  <si>
    <t>ALFA PENGOSEKAN 2</t>
  </si>
  <si>
    <t>125+10</t>
  </si>
  <si>
    <t>Jl. Raya Pengosekan, Gianyar - Bali</t>
  </si>
  <si>
    <t>19/10/2022 - 02/12/2022</t>
  </si>
  <si>
    <t>FRESH GATOT SUBROTO BARAT</t>
  </si>
  <si>
    <t>ALFA GATSU BARAT</t>
  </si>
  <si>
    <t>88+10</t>
  </si>
  <si>
    <t>Jl. Gatot Subroto Barat No. 178, Denpasarat - Bali</t>
  </si>
  <si>
    <t>16/07/2021 - 24/08/2021</t>
  </si>
  <si>
    <t>30/07/2021 - 23/08/2021</t>
  </si>
  <si>
    <t>SESETAN</t>
  </si>
  <si>
    <t>CIRCLE K SESETAN 2</t>
  </si>
  <si>
    <t>49+10</t>
  </si>
  <si>
    <t>Jl. Raya Sesetan  No. 24 Denpasar - Bali</t>
  </si>
  <si>
    <t>26/07/2021 - 17/08/2021</t>
  </si>
  <si>
    <t>06/08/2021 - 16/08/2021</t>
  </si>
  <si>
    <t>TEGES DENPASAR BARAT</t>
  </si>
  <si>
    <t>ALFA TEGES</t>
  </si>
  <si>
    <t>Jl. Tangkuban Perahu, Denpasar - Bali</t>
  </si>
  <si>
    <t>09/10/2020 - 18/11/2020</t>
  </si>
  <si>
    <t>KUBUANYAR</t>
  </si>
  <si>
    <t>CIRKLE K WANASEGARA</t>
  </si>
  <si>
    <t>44+8</t>
  </si>
  <si>
    <t>Jl. Kubuanyar, Badung - Bali</t>
  </si>
  <si>
    <t>MAS UBUD</t>
  </si>
  <si>
    <t>ALFA RAYA MAS</t>
  </si>
  <si>
    <t>Jl. Raya Mas Ubud No. 211, Gianyar - Bali</t>
  </si>
  <si>
    <t>22/01/2024 - 05/02/2024</t>
  </si>
  <si>
    <t>AHMAD YANI 18</t>
  </si>
  <si>
    <t>ALFA KECICANG</t>
  </si>
  <si>
    <t>Jl. Ahmad Yani No. 18, Karang Asem - Bali</t>
  </si>
  <si>
    <t>30/05/2025 - 06/06/2025</t>
  </si>
  <si>
    <t>TUKAD YEH AYA</t>
  </si>
  <si>
    <t>ALFA TUKAD YEH AYA BARAT - DPS</t>
  </si>
  <si>
    <t>50+8</t>
  </si>
  <si>
    <t>Jl. Tukad Yeh Aya No. 105, Denpasar - Bali</t>
  </si>
  <si>
    <t>09/07/2020 - 19/08/2020</t>
  </si>
  <si>
    <t>MUNGGU</t>
  </si>
  <si>
    <t>ALFA MUNGGU PEMPETAN - BDG</t>
  </si>
  <si>
    <t>Jl. Raya Munggu No. 68, Badung - Bali</t>
  </si>
  <si>
    <t>21/07/2021 - 12/08/2021</t>
  </si>
  <si>
    <t>02/08/2021 - 11/08/2021</t>
  </si>
  <si>
    <t>PAGESANGAN</t>
  </si>
  <si>
    <t>Jl. Samplangan, Gianyar - Bali</t>
  </si>
  <si>
    <t>FHPQ</t>
  </si>
  <si>
    <t>COKROAMINOTO</t>
  </si>
  <si>
    <t>CIRCLE K COKROAMINOTO</t>
  </si>
  <si>
    <t>51+9</t>
  </si>
  <si>
    <t>Jl. Cokroaminoto No. 53, Denpasar - Bali</t>
  </si>
  <si>
    <t>13/06/2022 - 16/06/2022</t>
  </si>
  <si>
    <t>MERDEKA</t>
  </si>
  <si>
    <t xml:space="preserve">ALFA HAYAM WURUK 224 (TOKO LIMAS) - DPS </t>
  </si>
  <si>
    <t>Jl. Merdeka No. 12 - 13 B, Denpasar - Bali</t>
  </si>
  <si>
    <t>26/04/2021 - 09-05/2021</t>
  </si>
  <si>
    <t>MERTASARI</t>
  </si>
  <si>
    <t>ALFA KSO MERTASARI - DPS (ATRIS MART)</t>
  </si>
  <si>
    <t>55+10</t>
  </si>
  <si>
    <t>Jl. Mertasari No. 171, Denpasar- Bali</t>
  </si>
  <si>
    <t>12/06/2020 - 27/06/2020</t>
  </si>
  <si>
    <t>ALFA GAJAH MADA - SRA</t>
  </si>
  <si>
    <t>64+11</t>
  </si>
  <si>
    <t>Jl. Gajah Mada No. 116, Singaraja - Bali</t>
  </si>
  <si>
    <t>20/06/2020 - 30/07/2020</t>
  </si>
  <si>
    <t>FRESH GATOT SUBROTO</t>
  </si>
  <si>
    <t>ALFA SANGGULAN - TBN</t>
  </si>
  <si>
    <t>83+10</t>
  </si>
  <si>
    <t>Jl. Gatot Subroto, Tabanan - Bali</t>
  </si>
  <si>
    <t>16/01/2023 - 20/02/2023</t>
  </si>
  <si>
    <t>PENYALIN</t>
  </si>
  <si>
    <t>ALFA PENYALIN - TBN</t>
  </si>
  <si>
    <t>Jl. Penyalin No. 15X, Tabanan - Balli</t>
  </si>
  <si>
    <t>04/10/2021 - 10/10/2021</t>
  </si>
  <si>
    <t>ULUWATU JIMBARAN</t>
  </si>
  <si>
    <t>ALFA KEDONGANAN</t>
  </si>
  <si>
    <t>Jl. Uluwatu, Badung - Bali</t>
  </si>
  <si>
    <t>19/07/2025 - 26/07/2025</t>
  </si>
  <si>
    <t>ALFA A. YANI 2 - SRA</t>
  </si>
  <si>
    <t>54+9</t>
  </si>
  <si>
    <t>Jl. Ahmad Yani No. 89, Singaraja - Bali</t>
  </si>
  <si>
    <t>02/02/2024 - 16/02/2024</t>
  </si>
  <si>
    <t>02/02/2024 - 09/02/2024</t>
  </si>
  <si>
    <t>TEDUNG</t>
  </si>
  <si>
    <t>ALFA TEDUNG</t>
  </si>
  <si>
    <t>Jl. Mulawarman No. 126A, Gianyar - Bali</t>
  </si>
  <si>
    <t>29/01/2020 - 19/02/2020</t>
  </si>
  <si>
    <t>10/02/2020 - 18/02/2020</t>
  </si>
  <si>
    <t>TQ83</t>
  </si>
  <si>
    <t>KWANJI</t>
  </si>
  <si>
    <t>ALFA KWANJI</t>
  </si>
  <si>
    <t>Jl. Kwanji dalung, Badung - Bali</t>
  </si>
  <si>
    <t>07/04/2026 - 14/04/2026</t>
  </si>
  <si>
    <t>TQ85</t>
  </si>
  <si>
    <t>KEROBOKAN KAJA</t>
  </si>
  <si>
    <t xml:space="preserve">ALFA DALUNG BHUANA ASRI - BDG </t>
  </si>
  <si>
    <t>42+8</t>
  </si>
  <si>
    <t>Jl. Perum Dalung Permai Blok 1 No. 38B, Badung - Bali</t>
  </si>
  <si>
    <t>24/04/2020 - 09/06/2020</t>
  </si>
  <si>
    <t>BANJAR</t>
  </si>
  <si>
    <t>ALFA BANJAR (AMO)</t>
  </si>
  <si>
    <t>Jl. Raya Seririt, Buleleng - Bali</t>
  </si>
  <si>
    <t>ANTASURA</t>
  </si>
  <si>
    <t xml:space="preserve">ALFA NANGKA TANGGUNTITI - DPS </t>
  </si>
  <si>
    <t>Jl. Antasura No. 14, Denpasar - Bali</t>
  </si>
  <si>
    <t>10/05/2023 - 29/05/2023</t>
  </si>
  <si>
    <t>FRESH GATOT SUBROTO TIMUR</t>
  </si>
  <si>
    <t xml:space="preserve">ALFA GATSU TIMUR 2  - DPS </t>
  </si>
  <si>
    <t>82+8</t>
  </si>
  <si>
    <t>Jl. Gatot Subroto, Denpasar - Bali</t>
  </si>
  <si>
    <t>12/09/2021 - 28/09/2021</t>
  </si>
  <si>
    <t>10/09/2021 - 11/10/2021</t>
  </si>
  <si>
    <t>FRESH TRENGGANA</t>
  </si>
  <si>
    <t>95+10</t>
  </si>
  <si>
    <t>Jl. Trenggana No. 55, Denpasar - Bali</t>
  </si>
  <si>
    <t>01/17/2022 - 05/08/2022</t>
  </si>
  <si>
    <t>SEMABAUNG</t>
  </si>
  <si>
    <t>ALFA SEMABAUNG</t>
  </si>
  <si>
    <t>Jl. Semabaung No. 08, Gianyar - Bali</t>
  </si>
  <si>
    <t>09/07/2020 - 15/08/2020</t>
  </si>
  <si>
    <t>UNTUNG SUROPATI</t>
  </si>
  <si>
    <t>ALFA KAMPUNG BARU - SRA</t>
  </si>
  <si>
    <t>Jl. Untung Surapati No.142B, Singaraja - Bali</t>
  </si>
  <si>
    <t>28/07/2021 - 16/08/2021</t>
  </si>
  <si>
    <t>02/08/2021 - 15/08/2021</t>
  </si>
  <si>
    <t>LUKLUK</t>
  </si>
  <si>
    <t>ALFA DELOD PEMPATAN LUKLUK – BDG</t>
  </si>
  <si>
    <t>Jl. Raya Lukluk No. 221, Badung - Bali</t>
  </si>
  <si>
    <t>21/01/2021 - 06/02/2021</t>
  </si>
  <si>
    <t>23/01/2021 - 05/02/2021</t>
  </si>
  <si>
    <t>T60Q</t>
  </si>
  <si>
    <t>BUANA RAYA</t>
  </si>
  <si>
    <t>ALFA BUANA RAYA 2 - BDG (BAGUS UTAMA MART)</t>
  </si>
  <si>
    <t>Jl. Buana Raya No. 103 – 104, Denpasar - Bali</t>
  </si>
  <si>
    <t>03/08/2020 - 06/09/2020</t>
  </si>
  <si>
    <t>SESETAN 2</t>
  </si>
  <si>
    <t>CIRCKE K SESETAN 1</t>
  </si>
  <si>
    <t>62+10</t>
  </si>
  <si>
    <t>Jl. Sesetan No. 221, Denpasar - Bali</t>
  </si>
  <si>
    <t>ANDAKASA</t>
  </si>
  <si>
    <t>ALFA ANDAKASA - DPS (Toko Mertasari)</t>
  </si>
  <si>
    <t>Jl. Gunung Andakasa No.22, Denpasar - Bali</t>
  </si>
  <si>
    <t>23/09/2023 - 07/10/2023</t>
  </si>
  <si>
    <t>21/09/2023 - 07/10/2023</t>
  </si>
  <si>
    <t xml:space="preserve">ALFA WR SUPRATMAN 2 - DPS </t>
  </si>
  <si>
    <t>Jl. Wr. Supratman No. 19 A, Denpasar - Bali</t>
  </si>
  <si>
    <t>16/05/2024 - 22/06/2024</t>
  </si>
  <si>
    <t>30/05/2024 - 25/06/2024</t>
  </si>
  <si>
    <t>BENESARI KUTA</t>
  </si>
  <si>
    <t>CIRCLE K PANTAI KUTA</t>
  </si>
  <si>
    <t>35+6</t>
  </si>
  <si>
    <t>Jl. Benesari No. 10, Badung - Bali</t>
  </si>
  <si>
    <t>SEROJA</t>
  </si>
  <si>
    <t>ALFA SEROJA</t>
  </si>
  <si>
    <t>Jl. Seroja No. 09, Denpasar - Bali</t>
  </si>
  <si>
    <t>05/06/2022 - 10/07/2022</t>
  </si>
  <si>
    <t>01/07/2022 - 12/07/2022</t>
  </si>
  <si>
    <t>ULUWATU UNGASAN</t>
  </si>
  <si>
    <t>ALFA JIMBARAN 3</t>
  </si>
  <si>
    <t>Jl. Uluwatu, Badung - Bali</t>
  </si>
  <si>
    <t>08/02/2021 - 10/03/2021</t>
  </si>
  <si>
    <t>06/02/2021 - 09/03/2021</t>
  </si>
  <si>
    <t>UBUNG DENPASAR UTARA</t>
  </si>
  <si>
    <t>ALFA UBUNG</t>
  </si>
  <si>
    <t>Jl. Cokroaminoto No.166, Denpasar - Bali</t>
  </si>
  <si>
    <t>01/08/2015, 01/08/2020</t>
  </si>
  <si>
    <t>16/07/2021 - 18/08/2021</t>
  </si>
  <si>
    <t>14/07/2021 - 17/08/2021</t>
  </si>
  <si>
    <t>TK64, FX6T</t>
  </si>
  <si>
    <t>RAYA CELUK</t>
  </si>
  <si>
    <t>ALFA RAYA CELUK SUKAWATI - GYR</t>
  </si>
  <si>
    <t>Jl. Raya Celuk No. 08, Gianyar - Bali</t>
  </si>
  <si>
    <t>21/04/2026 - 01/05/2026</t>
  </si>
  <si>
    <t>20/04/2026 - 03/05/2026</t>
  </si>
  <si>
    <t>TK65</t>
  </si>
  <si>
    <t>RAYA LOVINA 2</t>
  </si>
  <si>
    <t>Jl. Seririt, Singaraja - Bali</t>
  </si>
  <si>
    <t>24/04/2026 - 08/05/2026</t>
  </si>
  <si>
    <t>Jl. Ngurah Rai - Gyr Bali</t>
  </si>
  <si>
    <t>04/09/2025 - 18/09/2025</t>
  </si>
  <si>
    <t>FLAMBOYAN</t>
  </si>
  <si>
    <t>ALFA FLAMBOYAN</t>
  </si>
  <si>
    <t>Jl. Flamboyan, Klungkung - Bali</t>
  </si>
  <si>
    <t>15/06/2025 - 25/06/2025</t>
  </si>
  <si>
    <t>DARMAWANGSA</t>
  </si>
  <si>
    <t>ALFA DARMAWANGSA 1 - BDG</t>
  </si>
  <si>
    <t>Jl. Dharmawangsa, Badung - Bali</t>
  </si>
  <si>
    <t>09/01/2023 - 11/10/2023</t>
  </si>
  <si>
    <t>TR66</t>
  </si>
  <si>
    <t>TAMAN AYUN</t>
  </si>
  <si>
    <t>ALFA TAMAN AYUN - BDG</t>
  </si>
  <si>
    <t>Jl. Drowati, Mengwi, Badung - Bali</t>
  </si>
  <si>
    <t>26/02/2021 - 27/03/2021</t>
  </si>
  <si>
    <t>15/3/2021 - 26/03/2021</t>
  </si>
  <si>
    <t>Jl. Darmawangsa No. 11 , Tabanan - Bali</t>
  </si>
  <si>
    <t>01/03/2015, 01/03/2020</t>
  </si>
  <si>
    <t>01/07/2020 - 14/08/2020</t>
  </si>
  <si>
    <t>T95J, FFP5</t>
  </si>
  <si>
    <t>TAMAN GIRI</t>
  </si>
  <si>
    <t>ALFA TAMAN GIRI 2 - BDG</t>
  </si>
  <si>
    <t>Jl. Perum Taman Giri No. , Badung - Bali</t>
  </si>
  <si>
    <t>27/01/2021 - 16/02/2021</t>
  </si>
  <si>
    <t>25/01/2021 - 15/02/2021</t>
  </si>
  <si>
    <t>PENGULON</t>
  </si>
  <si>
    <t>ALFA CELUKAN BAWANG - SRA</t>
  </si>
  <si>
    <t>GEROKGAK</t>
  </si>
  <si>
    <t>Jl. Seririt - Gilimanuk, Gerokgak, Singaraja - Bali</t>
  </si>
  <si>
    <t>Jl. Kerambitan Piloh, Br. Tengah, Tabanan – Bali</t>
  </si>
  <si>
    <t>20/05/2023 - 31/05/2023</t>
  </si>
  <si>
    <t>T68T</t>
  </si>
  <si>
    <t>PEMARON MUNGGU</t>
  </si>
  <si>
    <t>Jl. Raya Munggu, Mengwi, Badung - Bali</t>
  </si>
  <si>
    <t>03/12/2019 - 20/12/2019</t>
  </si>
  <si>
    <t>10/12/2019 - 19/12/2019</t>
  </si>
  <si>
    <t>BLAHBATUH 3</t>
  </si>
  <si>
    <t>CIRCLE K WISMA GAJAH MADA</t>
  </si>
  <si>
    <t>Jl. Raya Sakah, Ubud - Gianyar</t>
  </si>
  <si>
    <t>18/05/2020 - 29/05/2020</t>
  </si>
  <si>
    <t>PANTAI SABA</t>
  </si>
  <si>
    <t>ALFA PANTAI SABA - GYR</t>
  </si>
  <si>
    <t>JL. Pantai Saba No.21, Gianyar - Bali</t>
  </si>
  <si>
    <t>12/1/2015, 01/12/2020</t>
  </si>
  <si>
    <t>23/08/2021 - 24/09/2021</t>
  </si>
  <si>
    <t>04/09/2021 - 23/09/2021</t>
  </si>
  <si>
    <t>TT41, FQQT</t>
  </si>
  <si>
    <t>KUBUANYAR 2</t>
  </si>
  <si>
    <t>ALFA KUBU ANYAR</t>
  </si>
  <si>
    <t>JL. Kubu Anyar No.18, Kuta Badung – Bali</t>
  </si>
  <si>
    <t>01/03/2015, 01/03/2020, 01/02/2024</t>
  </si>
  <si>
    <t>18/11/2020 - 10/12/2020</t>
  </si>
  <si>
    <t>TT97, FHH1, TNT8</t>
  </si>
  <si>
    <t>DARMAWANGSA 2</t>
  </si>
  <si>
    <t>ALFA DARMAWANGSA 2 - BDG</t>
  </si>
  <si>
    <t>JL. Darmawangsa no. 53, Kuta Selatan, Badung – Bali</t>
  </si>
  <si>
    <t>01/03/2013, 1/3/2018</t>
  </si>
  <si>
    <t>29/06/2025 - 08/07/2025</t>
  </si>
  <si>
    <t>TT96,  FT9J</t>
  </si>
  <si>
    <t>PEMARON</t>
  </si>
  <si>
    <t>ALFA BAKTI SERAGA 2</t>
  </si>
  <si>
    <t>53+8</t>
  </si>
  <si>
    <t>JL. Raya Seririt-Singaraja, Singaraja – Bali</t>
  </si>
  <si>
    <t>06/02/2024 - 22/02/2024</t>
  </si>
  <si>
    <t>TT98</t>
  </si>
  <si>
    <t>GN. SANGHYANG</t>
  </si>
  <si>
    <t>ALFA GUNUNG SANGHYANG 2</t>
  </si>
  <si>
    <t>49+8</t>
  </si>
  <si>
    <t>Jl. Gunung Sanghyang No. 126 A, Badung Bali</t>
  </si>
  <si>
    <t>17/01/2019 - 03/02/2019</t>
  </si>
  <si>
    <t>17/01/2019 - 02/02/2019</t>
  </si>
  <si>
    <t>FRESH BALI CLIFF</t>
  </si>
  <si>
    <t>ALFA BALI CLIF</t>
  </si>
  <si>
    <t>71+10</t>
  </si>
  <si>
    <t>Jl. Bali Cliff, Unggasan , Kuta Selatan – Bali</t>
  </si>
  <si>
    <t>27/06/2022 - 18/07/2022</t>
  </si>
  <si>
    <t>RAYA KUTA 2</t>
  </si>
  <si>
    <t>CIRKLE K RAYA KUTA</t>
  </si>
  <si>
    <t>Jl. Raya Kuta, No. 65, Kuta, Badung – Bali</t>
  </si>
  <si>
    <t>13/01/2021 - 31/01/2021</t>
  </si>
  <si>
    <t>18/01/2021 - 30/01/2021</t>
  </si>
  <si>
    <t>BR NEGARI</t>
  </si>
  <si>
    <t>ALFA BANJAR NEGARI</t>
  </si>
  <si>
    <t>Jl. Raya Negari – Singapadu, Gianyar – Bali</t>
  </si>
  <si>
    <t>28/06/2021 - 19/07/2021</t>
  </si>
  <si>
    <t>09/07/2021 - 18/07/2021</t>
  </si>
  <si>
    <t>SEMER KUTA UTARA</t>
  </si>
  <si>
    <t xml:space="preserve">ALFA DUKUH SARI - BDG </t>
  </si>
  <si>
    <t>Jl. Raya Semer, Kuta Utara, Badung -  Bali</t>
  </si>
  <si>
    <t>01/02/2015/, 01/03/2020</t>
  </si>
  <si>
    <t>11/11/2024 - 04/12/2024</t>
  </si>
  <si>
    <t>TQGY , FTFN</t>
  </si>
  <si>
    <t>SASIH SUKAWATI</t>
  </si>
  <si>
    <t>Jl. Pratu Made Rambug, No.20 A , Gianyar – Bali</t>
  </si>
  <si>
    <t>01/02/2014, 01/02/2024</t>
  </si>
  <si>
    <t>13/06/2024 - 29/06/2024</t>
  </si>
  <si>
    <t>21/06/2024 - 30/06/2024</t>
  </si>
  <si>
    <t>T2GN, FQ3R</t>
  </si>
  <si>
    <t>PENARUNGAN</t>
  </si>
  <si>
    <t>ALFA PENARUNGAN</t>
  </si>
  <si>
    <t>Jl. Oleg, Penarungan – Bdg Bali</t>
  </si>
  <si>
    <t>16/07/2025 - 28/07/2025</t>
  </si>
  <si>
    <t>DIPONEGORO 2</t>
  </si>
  <si>
    <t>Jl . Diponegoro No. 08 Tabanan – Bali</t>
  </si>
  <si>
    <t>16/02/2023 - 23/02/2023</t>
  </si>
  <si>
    <t>TWPQ, FNGG</t>
  </si>
  <si>
    <t>PANTAI LEBIH</t>
  </si>
  <si>
    <t>ALFA PANTAI LEBIH</t>
  </si>
  <si>
    <t>Jl. By Pass Ida Bagus Mantra, Gianyar – Bali</t>
  </si>
  <si>
    <t>03/08/2020 - 25/09/2020</t>
  </si>
  <si>
    <t>SAKURA</t>
  </si>
  <si>
    <t>Jl. Sakura, gianyar -bali</t>
  </si>
  <si>
    <t>TURM</t>
  </si>
  <si>
    <t>TUNJUNG KAPAL</t>
  </si>
  <si>
    <t>ALFA RAYA KAPAL</t>
  </si>
  <si>
    <t>Jl. Tunjung No. 2</t>
  </si>
  <si>
    <t>07/06/2022 - 02/07/2022</t>
  </si>
  <si>
    <t>20/06/2022 - 03/07/2022</t>
  </si>
  <si>
    <t>GOA GAJAH</t>
  </si>
  <si>
    <t>ALFA GOA GAJAH - GYR</t>
  </si>
  <si>
    <t>Jl.Goa Gajah, Gianyar - Bali</t>
  </si>
  <si>
    <t>17/04/2026 - 25/04/2026</t>
  </si>
  <si>
    <t>T3U1</t>
  </si>
  <si>
    <t>KAMPUS UNUD</t>
  </si>
  <si>
    <t>ALFA KAMPUS UNUD</t>
  </si>
  <si>
    <t>JL.Kampus Unud , Badung - Bali</t>
  </si>
  <si>
    <t>10/05/2024 - 24/05/2024</t>
  </si>
  <si>
    <t>RAMA GIANYAR</t>
  </si>
  <si>
    <t>ALFA BY PASS IDA BGS MANTRA</t>
  </si>
  <si>
    <t>65+9</t>
  </si>
  <si>
    <t>Jl. By Pass Ida Bagus Mantra No., Gianyar - Bali</t>
  </si>
  <si>
    <t>11/03/2022 - 21/03/2022</t>
  </si>
  <si>
    <t>CIRCLE K BY PASS NGURAH RAI</t>
  </si>
  <si>
    <t>Jl. I Gusti Ngurah Rai, Badung - Bali</t>
  </si>
  <si>
    <t>13/06/2025 - 04/07/2025</t>
  </si>
  <si>
    <t>04/07/2025 - 06/07/2025</t>
  </si>
  <si>
    <t>TWY1</t>
  </si>
  <si>
    <t>SPBU GATOT SUBROTO TIMUR</t>
  </si>
  <si>
    <t>CIRCLE K GATSU TIMUR</t>
  </si>
  <si>
    <t>SPBU</t>
  </si>
  <si>
    <t>Jl. Gatot Subroto No. 394X, Denpasar - Bali.</t>
  </si>
  <si>
    <t>ANGANTAKA</t>
  </si>
  <si>
    <t>LAIN_LAIN</t>
  </si>
  <si>
    <t>Jl. Angantaka, Abiansemal - Badung</t>
  </si>
  <si>
    <t>01/08/2022 - 28/08/2022</t>
  </si>
  <si>
    <t>20/08/2022 - 30/08/2022</t>
  </si>
  <si>
    <t>KEDONGANAN</t>
  </si>
  <si>
    <t>ALFA KUBU ALIT (KEDONGANAN 2)</t>
  </si>
  <si>
    <t>Jl. Uluwatu No.6, Kuta Selatan - Badung</t>
  </si>
  <si>
    <t>29/12/2025 - 12/01/2026</t>
  </si>
  <si>
    <t>ALFA KAMPUNG BUGIS - SRA</t>
  </si>
  <si>
    <t>Jl.Imam Bonjol No.34, Buleleng, Singaraja - Bali</t>
  </si>
  <si>
    <t>03/07/2019 - 13/07/2019</t>
  </si>
  <si>
    <t>01/07/2019 - 12/07/2019</t>
  </si>
  <si>
    <t>Jl. Dewi Sartika No, 8 kuta - Badung</t>
  </si>
  <si>
    <t>PEJENG</t>
  </si>
  <si>
    <t>Jl. Tampak Siring, Gianyar - Bali</t>
  </si>
  <si>
    <t>S8 30 51.2 E115 17 34.2</t>
  </si>
  <si>
    <t>29/05/2022 - 13/06/2022</t>
  </si>
  <si>
    <t>POINT LEGIAN GROUND ZERO</t>
  </si>
  <si>
    <t>MCK</t>
  </si>
  <si>
    <t>CIRCLE K POPIES II</t>
  </si>
  <si>
    <t>32+14</t>
  </si>
  <si>
    <t>Jl. Legian Ground Zero - Badung</t>
  </si>
  <si>
    <t>20/04/2026 - 27/04/2026</t>
  </si>
  <si>
    <t>RXTJ</t>
  </si>
  <si>
    <t>RAYA TUBAN</t>
  </si>
  <si>
    <t>ALFA RAYA TUBAN 2</t>
  </si>
  <si>
    <t>50+9</t>
  </si>
  <si>
    <t>Jl. Raya Tuban No. 31 Badung - Bali</t>
  </si>
  <si>
    <t>28/07/2020 - 26/08/2020</t>
  </si>
  <si>
    <t>MENGWITANI</t>
  </si>
  <si>
    <t>ALFA MENGWITANI</t>
  </si>
  <si>
    <t>Jl. Raya Mengwitani Badung - Bali</t>
  </si>
  <si>
    <t>28/09/2020 - 15/11/2020</t>
  </si>
  <si>
    <t>24/10/2020 - 28/10/2020</t>
  </si>
  <si>
    <t>PADANG LUWIH 2</t>
  </si>
  <si>
    <t>ALFA DALUNG PENDEM - BDG</t>
  </si>
  <si>
    <t>Jl. Padang Luwih No.70 Badung</t>
  </si>
  <si>
    <t>1/11/2014, 1/11/2024</t>
  </si>
  <si>
    <t>13/01/2025 - 01/02/2025</t>
  </si>
  <si>
    <t>24/01/2025 - 03/02/2025</t>
  </si>
  <si>
    <t>TFT7, FSRU</t>
  </si>
  <si>
    <t>KEDONGANAN 2</t>
  </si>
  <si>
    <t>ALFA MARIOBORO - BDG</t>
  </si>
  <si>
    <t xml:space="preserve">KUTA </t>
  </si>
  <si>
    <t>24/01/2025  - 08/02/2025</t>
  </si>
  <si>
    <t>SUNSET ROAD</t>
  </si>
  <si>
    <t>55+9</t>
  </si>
  <si>
    <t>Jl. Sunset Road , Kuta - Badung</t>
  </si>
  <si>
    <t>01/10/2019 - 25/10/2019</t>
  </si>
  <si>
    <t>RAYA KUTA 4</t>
  </si>
  <si>
    <t>ALFA ABIAN KUTA</t>
  </si>
  <si>
    <t>43+8</t>
  </si>
  <si>
    <t>Jl. Raya Kuta No. 88, Kuta - Badung</t>
  </si>
  <si>
    <t xml:space="preserve">30/04/2025 - 07/05/2025 </t>
  </si>
  <si>
    <t>BY PASS NGURAH RAI</t>
  </si>
  <si>
    <t>ALFA - BY PASS NGURAH RAI</t>
  </si>
  <si>
    <t>41+10</t>
  </si>
  <si>
    <t>Jl. By Pass Ngurah Rai No. 17E, Badung - Bali</t>
  </si>
  <si>
    <t>01/07/2025 - 08/07/2025</t>
  </si>
  <si>
    <t>NGURAH RAI 2</t>
  </si>
  <si>
    <t>ALFA BYPASS NGURAH RAI 4</t>
  </si>
  <si>
    <t>Jl. By Pass Ngurah Rai, Badung - Bali</t>
  </si>
  <si>
    <t>NGURAH RAI 3</t>
  </si>
  <si>
    <t>ALFAMART</t>
  </si>
  <si>
    <t>20/10/2025 - 11/11/2025</t>
  </si>
  <si>
    <t>28/10/2025 - 13/11/2025</t>
  </si>
  <si>
    <t>TAMAN GRIYA 2</t>
  </si>
  <si>
    <t>ALFA BY PASS KALANGANYAR - BDG</t>
  </si>
  <si>
    <t>Jl. Batu Raya No. 14, Badung - Bali</t>
  </si>
  <si>
    <t>11/11/2024 - 02/11/2024</t>
  </si>
  <si>
    <t>A YANI</t>
  </si>
  <si>
    <t>ALFA DARMASABA</t>
  </si>
  <si>
    <t>Jl. Raya Darmasaba, Badung - Bali</t>
  </si>
  <si>
    <t>12/10/2020 - 21/11/2020</t>
  </si>
  <si>
    <t>27/10/2020 - 31/10/2020</t>
  </si>
  <si>
    <t>BEDULU</t>
  </si>
  <si>
    <t>ALFA BEDULU - GYR</t>
  </si>
  <si>
    <t>Jl. Bedulu, Gianyar - Bali</t>
  </si>
  <si>
    <t>14/05/2024- 08/06/2024</t>
  </si>
  <si>
    <t>31/05/2024 - 11/06/2024</t>
  </si>
  <si>
    <t>KESAMBI</t>
  </si>
  <si>
    <t>ALFA KESAMBI 2 - BDG</t>
  </si>
  <si>
    <t>Jl. Raya Kesambi No. 300, Kerobokan - Badung</t>
  </si>
  <si>
    <t>04/08/2020 - 26/08/2020</t>
  </si>
  <si>
    <t>POS SHOP BATUKARU</t>
  </si>
  <si>
    <t>CIRCLE K BATUKARU</t>
  </si>
  <si>
    <t>28+6</t>
  </si>
  <si>
    <t>Jl. Batu Karu, Denpasar - Bali</t>
  </si>
  <si>
    <t>01/08/2020 - 14/08/2020</t>
  </si>
  <si>
    <t>YEH MALET</t>
  </si>
  <si>
    <t>ALFA GOA LAWAH - KLK (OPENING OKT)</t>
  </si>
  <si>
    <t>59+10</t>
  </si>
  <si>
    <t>MANGGIS</t>
  </si>
  <si>
    <t>Jl. Amlapura Yeh Malet, Karangasem - Bali</t>
  </si>
  <si>
    <t>14/10/2025 - 14/11/2025</t>
  </si>
  <si>
    <t>28/10/2025 - 16/11/2025</t>
  </si>
  <si>
    <t>KEROBOKAN 2</t>
  </si>
  <si>
    <t>ALFA TANGKUBAN PERAHU 1</t>
  </si>
  <si>
    <t xml:space="preserve">Jl. Tangkuban Perahu No A1, A2 - badung </t>
  </si>
  <si>
    <t>PUJA MANDALA</t>
  </si>
  <si>
    <t>ALFA PUJA MANDALA</t>
  </si>
  <si>
    <t>Jl. Kurusetra, Kuta - Badung</t>
  </si>
  <si>
    <t>PATIMURA</t>
  </si>
  <si>
    <t>ALFA PATIMURA</t>
  </si>
  <si>
    <t>Jl. Patimura, Kuta - Badung</t>
  </si>
  <si>
    <t>17/04/2021 - 08/05/2021</t>
  </si>
  <si>
    <t>T2L5, FTAN</t>
  </si>
  <si>
    <t>ASEMAN</t>
  </si>
  <si>
    <t>ALFA ABIANSEMAL</t>
  </si>
  <si>
    <t>Jl. Raya Sangeh, Abiansemal - Badung</t>
  </si>
  <si>
    <t>19/01/2024 - 27/02/2024</t>
  </si>
  <si>
    <t>16/02/2024 - 27/02/2024</t>
  </si>
  <si>
    <t>A YANI 2</t>
  </si>
  <si>
    <t>Jl. A Yani, Karangasem - Bali</t>
  </si>
  <si>
    <t xml:space="preserve">10/12/2023 - 18/12/2023 </t>
  </si>
  <si>
    <t>GUNUNG SALAK</t>
  </si>
  <si>
    <t>Jl. Gunung Salak, Denpasar - Bali</t>
  </si>
  <si>
    <t>05/02/2024 - 16/02/2024</t>
  </si>
  <si>
    <t>UNGASAN 2</t>
  </si>
  <si>
    <t>ALFA DREAMLAND - BDG</t>
  </si>
  <si>
    <t>Jl. Uluwatu Ungasan No. 81- Badung</t>
  </si>
  <si>
    <t>15/07/2025 - 29/07/2025</t>
  </si>
  <si>
    <t>KETEWEL</t>
  </si>
  <si>
    <t>CIRCLE K IDA BAGUS MANTRA</t>
  </si>
  <si>
    <t>Jl. By Pass Ketewel - Gianyar</t>
  </si>
  <si>
    <t>30/10/2020 - 12/11/2020</t>
  </si>
  <si>
    <t>TOEF, FIGT</t>
  </si>
  <si>
    <t>MATARAM</t>
  </si>
  <si>
    <t xml:space="preserve">ALFA MATARAM - BDG </t>
  </si>
  <si>
    <t>52+8</t>
  </si>
  <si>
    <t>Jl. Mataram, Kuta - Badung</t>
  </si>
  <si>
    <t>26/06/2020 - 15/07/2020</t>
  </si>
  <si>
    <t>MAJAPAHIT</t>
  </si>
  <si>
    <t>ALFA MAJAPAHIT 2 (AMO)</t>
  </si>
  <si>
    <t>Jl. Majapahit, Kuta - Badung</t>
  </si>
  <si>
    <t>28/04/2020 - 05/06/2020</t>
  </si>
  <si>
    <t>TAMPAK SIRING 2</t>
  </si>
  <si>
    <t>Jl. Ir Soekarno, Gianyar - Bali</t>
  </si>
  <si>
    <t>11/08/2025 - 28/08/2025</t>
  </si>
  <si>
    <t>SUNSET ROAD 37</t>
  </si>
  <si>
    <t>ALFAMART KUTA RAYA - BDG</t>
  </si>
  <si>
    <t>15/08/2025 - 29/08/2025</t>
  </si>
  <si>
    <t>PANDU KUTA UTARA</t>
  </si>
  <si>
    <t>ALFA PANDU - BDG</t>
  </si>
  <si>
    <t>Jl. Pandu, Kuta Utara - Badung</t>
  </si>
  <si>
    <t>31/10/2021 - 05/11/2021</t>
  </si>
  <si>
    <t>31/10/2021 - 04/11/2021</t>
  </si>
  <si>
    <t>TGXY</t>
  </si>
  <si>
    <t>CIUNGWANARA</t>
  </si>
  <si>
    <t>Jl. Ciungwanara No. 3, Gianyar - Bali</t>
  </si>
  <si>
    <t>11/11/2025 - 20/11/2025</t>
  </si>
  <si>
    <t>TYAF</t>
  </si>
  <si>
    <t>FRESH PECATU INDAH</t>
  </si>
  <si>
    <t>CIRCLE K ULUWATU1</t>
  </si>
  <si>
    <t>90+10</t>
  </si>
  <si>
    <t>Jl. Raya Uluwatu Pecatu, Badung - Bali</t>
  </si>
  <si>
    <t>19/10/2022 - 18/11/2022</t>
  </si>
  <si>
    <t>SIBANG KAJA 2</t>
  </si>
  <si>
    <t>ALFA SIBANG KAJA</t>
  </si>
  <si>
    <t>Jl. Sibang Kaja, Abiansemal - Badung</t>
  </si>
  <si>
    <t>07/08/2019 - 26/058/2019</t>
  </si>
  <si>
    <t>05/08/2019 - 25/08/2019</t>
  </si>
  <si>
    <t>F2IZ</t>
  </si>
  <si>
    <t>KEDEWATAN</t>
  </si>
  <si>
    <t>ALFA KEDEWATAN</t>
  </si>
  <si>
    <t>Jl. Kedewatan, Ubud - Gianyar</t>
  </si>
  <si>
    <t>18/02/2025 - 25/02/2025</t>
  </si>
  <si>
    <t>GOA GONG</t>
  </si>
  <si>
    <t>ALFA GOA GONG - BDG</t>
  </si>
  <si>
    <t>Jl. Goa Gong No. 21 A, Kuta Selatan - Badung</t>
  </si>
  <si>
    <t>14/10/2025 - 28/10/2025</t>
  </si>
  <si>
    <t>GENTONG</t>
  </si>
  <si>
    <t>COCOMART ANDONG</t>
  </si>
  <si>
    <t>Jl. Raya Gentong - Tegalalang, Gianyar - Bali</t>
  </si>
  <si>
    <t>15/02/2021 - 26/02/2021</t>
  </si>
  <si>
    <t>18/02/2021 - 25/02/2021</t>
  </si>
  <si>
    <t>TBV4</t>
  </si>
  <si>
    <t>PECATU</t>
  </si>
  <si>
    <t>Jl. Pecatu - Kuta Selatan, Badung - Bali</t>
  </si>
  <si>
    <t>20/08/2023 - 30/09/2023</t>
  </si>
  <si>
    <t>SAMU BADUNG</t>
  </si>
  <si>
    <t>ALFA MAMBAL SAMU - BDG</t>
  </si>
  <si>
    <t>Jl. Raya Mambal, Abiansemal - Badung</t>
  </si>
  <si>
    <t>02/06/2021 - 18/06/2021</t>
  </si>
  <si>
    <t>10/06/2021 - 17/06/2021</t>
  </si>
  <si>
    <t>TB9L, FHXH</t>
  </si>
  <si>
    <t>PANTAI KERAMAS</t>
  </si>
  <si>
    <t>25/01/2021 - 05/02/2021</t>
  </si>
  <si>
    <t>TBI5</t>
  </si>
  <si>
    <t>CARANGSARI</t>
  </si>
  <si>
    <t>PETANG</t>
  </si>
  <si>
    <t>Jl. Carang sari, Petang - Badung</t>
  </si>
  <si>
    <t>04/05/2024 - 14/05/2024</t>
  </si>
  <si>
    <t>SEMBUNG</t>
  </si>
  <si>
    <t>ALFA SEMBUNG - BDG</t>
  </si>
  <si>
    <t>Jl. Denpasar - Singaraja, Badung - Bali</t>
  </si>
  <si>
    <t>28/07/2020 - 14/08/2020</t>
  </si>
  <si>
    <t>PIPITAN</t>
  </si>
  <si>
    <t>CIRCLE K RAYA BABAKAN</t>
  </si>
  <si>
    <t>Jl. Raya Canggu,No.31A - Kuta Utara, Badung - Bali</t>
  </si>
  <si>
    <t>01/12/2015, 01/12/2025</t>
  </si>
  <si>
    <t>14/02/2026 - 28/02/2026</t>
  </si>
  <si>
    <t>TUBS, FL4L</t>
  </si>
  <si>
    <t>IR SUKARNO</t>
  </si>
  <si>
    <t xml:space="preserve">ALFA  IR. SOEKARNO - TBN </t>
  </si>
  <si>
    <t>Jl. Ir Soekarno No. 77X, Tabanan - Bali</t>
  </si>
  <si>
    <t>MERTANADI</t>
  </si>
  <si>
    <t>ALFA MERTANADI</t>
  </si>
  <si>
    <t>Jl. Mertanadi, Kuta Utara - Badung</t>
  </si>
  <si>
    <t>23/02/2026 - 10/03/2026</t>
  </si>
  <si>
    <t>KENGETAN</t>
  </si>
  <si>
    <t>Jl. Raya Kengetan - Ubud, Gianyar - Bali</t>
  </si>
  <si>
    <t>05/01/2022 - 17/01/2022</t>
  </si>
  <si>
    <t>07/01/2022 - 16/01/2022</t>
  </si>
  <si>
    <t>LEPANG</t>
  </si>
  <si>
    <t>ALFA TULIKUP - GYR</t>
  </si>
  <si>
    <t>Jl. Ida Bagud Mantra, Klungkung - Bali</t>
  </si>
  <si>
    <t>16/02/2024 - 25/02/2024</t>
  </si>
  <si>
    <t>BY PASS JIMBARAN 19</t>
  </si>
  <si>
    <t>Jl. By Pass Ngurah Rai, Kedonganan - Badung</t>
  </si>
  <si>
    <t>DARMAGIRI</t>
  </si>
  <si>
    <t>ALFA DARMA GIRI</t>
  </si>
  <si>
    <t>Jl. Darma Giri No. 01, Gianyar - Bali</t>
  </si>
  <si>
    <t>26/06/2020 - 16/07/2020</t>
  </si>
  <si>
    <t>SPBU SANJIWANI</t>
  </si>
  <si>
    <t>ALFA ABIAN TUWUNG</t>
  </si>
  <si>
    <t>51+8</t>
  </si>
  <si>
    <t xml:space="preserve">Jl. A. Yani, Kediri - Tabanan </t>
  </si>
  <si>
    <t>23/01/2023 - 03/02/2023</t>
  </si>
  <si>
    <t>NAKULA</t>
  </si>
  <si>
    <t>ALFA NAKULA 2 - BDG</t>
  </si>
  <si>
    <t>52+10</t>
  </si>
  <si>
    <t>Jl. Nakula, Kuta - Badung</t>
  </si>
  <si>
    <t>08/01/2026 - 22/01/2026</t>
  </si>
  <si>
    <t>PADANG LUWIH 3</t>
  </si>
  <si>
    <t>ALFA UNTAL - UNTAL - BDG (RELOKASI)</t>
  </si>
  <si>
    <t>Jl. Raya Padang Luwih, Dalung - Badung</t>
  </si>
  <si>
    <t>21/05/2025 -17/06/2025</t>
  </si>
  <si>
    <t>19/05/2025 - 02/06/2025</t>
  </si>
  <si>
    <t>SUSUT BANGLI</t>
  </si>
  <si>
    <t>SUSUT</t>
  </si>
  <si>
    <t>Jl. Putra Yudha, Susut - Bangli</t>
  </si>
  <si>
    <t>DENKAYU BALERAN</t>
  </si>
  <si>
    <t>ALFA DEN KAYU BALERAN 2 - BDG</t>
  </si>
  <si>
    <t>Jl. Denkayu Baleran, Mengwi - Badung</t>
  </si>
  <si>
    <t>18/05/2024 - 05/06/2024</t>
  </si>
  <si>
    <t>18/05/2024 - 26/06/2024</t>
  </si>
  <si>
    <t>BATU BULAN 2</t>
  </si>
  <si>
    <t>ALFA BATU BULAN 2</t>
  </si>
  <si>
    <t>Jl. Raya Batu Bulan - Sukawati, Gianyar - Bali</t>
  </si>
  <si>
    <t>21/10/2021 - 04/11/2021</t>
  </si>
  <si>
    <t>TY35</t>
  </si>
  <si>
    <t>ANDONG II</t>
  </si>
  <si>
    <t>ALFA ANDONG - GYR</t>
  </si>
  <si>
    <t>Jl. Raya Andong, Ubud - Gianyar</t>
  </si>
  <si>
    <t>12/07/2025 - 19/07/2025</t>
  </si>
  <si>
    <t>WERDHI BHUANA</t>
  </si>
  <si>
    <t>ALFA BINONG - BDG</t>
  </si>
  <si>
    <t>Jl. Raya Mengwi Singaraja No.17 Br. Binong, Badung - Bali</t>
  </si>
  <si>
    <t>02/11/2025 - 16/11/2025</t>
  </si>
  <si>
    <t>30/10/2025 - 18/11/2025</t>
  </si>
  <si>
    <t>CIRCLE K KARTINI - DPS</t>
  </si>
  <si>
    <t>Jl. Patimura No.71, Denpasar - Bali</t>
  </si>
  <si>
    <t>04/09/2024 - 14/09/2024</t>
  </si>
  <si>
    <t>PRATAMA 38</t>
  </si>
  <si>
    <t>CIRCLE K 195 PRATAMA</t>
  </si>
  <si>
    <t>Jl. Pratama No.38 - Kuta Selatan, Badung - Bali</t>
  </si>
  <si>
    <t>08/08/2019 - 27/08/2019</t>
  </si>
  <si>
    <t>SPBU ABABI</t>
  </si>
  <si>
    <t>ABANG</t>
  </si>
  <si>
    <t>Jl. Raya Ababi, Karangasem - Bali</t>
  </si>
  <si>
    <t>30/05/2024 - 12/06/2024</t>
  </si>
  <si>
    <t>PADANG LUWIH 188</t>
  </si>
  <si>
    <t xml:space="preserve">ALFA PADANG LUWIH  </t>
  </si>
  <si>
    <t>Jl. Padang Luwih No.188 Kuta Utara, Badung - Bali</t>
  </si>
  <si>
    <t>FRESH PANTAI LEBIH 2</t>
  </si>
  <si>
    <t>ALFA PANTAI LEBIH 2</t>
  </si>
  <si>
    <t>Jl. By Pass Prof. Ida Bagus Mantra, Gianyar -Bali</t>
  </si>
  <si>
    <t>01/10/2025 - 25/10/2025</t>
  </si>
  <si>
    <t>06/10/2025 - 27/10/2025</t>
  </si>
  <si>
    <t>LOD TUNDUH</t>
  </si>
  <si>
    <t>Jl. Raya Lod Tunduh - Ubud, Gianyar - Bali</t>
  </si>
  <si>
    <t>26/03/2026 - 09/04/2026</t>
  </si>
  <si>
    <t>PANTAI GEGER</t>
  </si>
  <si>
    <t>ALFA PANTAI GEGER</t>
  </si>
  <si>
    <t>Jl. Raya Pantai Geger, Kuta Selatan - Badung</t>
  </si>
  <si>
    <t>03/07/2019 - 18/08/2019</t>
  </si>
  <si>
    <t>TEUKU UMAR BARAT</t>
  </si>
  <si>
    <t>ALFA TEUKU UMAR 3</t>
  </si>
  <si>
    <t>Jl. Teuku Umar Barat, Kuta Utara - Badung</t>
  </si>
  <si>
    <t>18/05/2023 - 07/06/2023</t>
  </si>
  <si>
    <t>15/05/2023 - 31/05/2023</t>
  </si>
  <si>
    <t>MUDING KELOD</t>
  </si>
  <si>
    <t>ALFA MUDING KELOD - BDG</t>
  </si>
  <si>
    <t>Jl. Padang Kartika - Kuta Utara, Badung - Bali.</t>
  </si>
  <si>
    <t>20/07/2019 - 23/08/2019</t>
  </si>
  <si>
    <t>JIMBARAN 111</t>
  </si>
  <si>
    <t>CIRCLE K ULUWATU</t>
  </si>
  <si>
    <t>Jl. Uluwatu Jimbaran, Kuta Selatan - Badung</t>
  </si>
  <si>
    <t>20/01/2026 - 04/02/2026</t>
  </si>
  <si>
    <t>PENENJOAN</t>
  </si>
  <si>
    <t>ALFA DARMASABA 2</t>
  </si>
  <si>
    <t>Jl. Raya Darmasaba Br. Penenjoan, Badung - Bali</t>
  </si>
  <si>
    <t>23/10/2021 -  06/11/2021</t>
  </si>
  <si>
    <t>T4OY</t>
  </si>
  <si>
    <t>TUMBAK BAYUH</t>
  </si>
  <si>
    <t>Jl. Raya Tumbak Bayuh. Mengwi - Badung</t>
  </si>
  <si>
    <t>10/11/2023 - 20/11/2023</t>
  </si>
  <si>
    <t>TSNP</t>
  </si>
  <si>
    <t>CEMAGI</t>
  </si>
  <si>
    <t>Jl. Raya Pantai Mengening, Mengwi - Badung</t>
  </si>
  <si>
    <t>ANGGUNGAN</t>
  </si>
  <si>
    <t>ALFA MUNCAN KAPAL</t>
  </si>
  <si>
    <t>Jl. Raya Anggungan, Luk - Luk, Mengwi - Badung</t>
  </si>
  <si>
    <t>09/07/2021 - 03/08/2021</t>
  </si>
  <si>
    <t>19/07/2021 - 02/07/2021</t>
  </si>
  <si>
    <t>TAA6</t>
  </si>
  <si>
    <t>PERERENAN</t>
  </si>
  <si>
    <t>ALFA PERERENAN</t>
  </si>
  <si>
    <t>Jl. Raya Pererenan, Mengwi - Badung</t>
  </si>
  <si>
    <t>1/1/2019, 01/01/2024</t>
  </si>
  <si>
    <t>16/07/2025 - 23/07/2025</t>
  </si>
  <si>
    <t>TKBG, FQZZ</t>
  </si>
  <si>
    <t>ANTASURA 60</t>
  </si>
  <si>
    <t xml:space="preserve">ALFA ANTASURA 75 - DPS </t>
  </si>
  <si>
    <t xml:space="preserve">Jl. Antasura No. 61 Denpasar                                              </t>
  </si>
  <si>
    <t>BR. KEDIRI SILAKARANG</t>
  </si>
  <si>
    <t>Jl. Raya Silakarang, Sukawati - Gianyar</t>
  </si>
  <si>
    <t>05/07/2025 - 26/07/2025</t>
  </si>
  <si>
    <t>04/07/2025 - 13/07/2025</t>
  </si>
  <si>
    <t>BONGKASA</t>
  </si>
  <si>
    <t>Jl. Raya Bongkasa - Abiansemal, Badung - Bali</t>
  </si>
  <si>
    <t>TEBONGKANG</t>
  </si>
  <si>
    <t>ALFA TEBONGKANG</t>
  </si>
  <si>
    <t>Jl. Raya Tebongkang - Gianyar</t>
  </si>
  <si>
    <t>20/04/2020 - 09/06/2020</t>
  </si>
  <si>
    <t>CEPAKA</t>
  </si>
  <si>
    <t>ALFA RAYA MUNGGU - TBN</t>
  </si>
  <si>
    <t>Jl. Raya Kapal, Munggu - Tabanan</t>
  </si>
  <si>
    <t>09/09/2024 - 16/09/2024</t>
  </si>
  <si>
    <t>SEBATU</t>
  </si>
  <si>
    <t>Jl. Sebatu, Gianyar - Bali</t>
  </si>
  <si>
    <t>14/10/2024 - 21/10/2024</t>
  </si>
  <si>
    <t>14/10/2024 - 22/10/2024</t>
  </si>
  <si>
    <t>ALFA ABIANSEMAL - BDG</t>
  </si>
  <si>
    <t>Jl. Ciungwanara, Abiansemal - Badung</t>
  </si>
  <si>
    <t>04/05/2025 - 11/05/2025</t>
  </si>
  <si>
    <t>ALFA TEUKU UMAR BARAT</t>
  </si>
  <si>
    <t>Jl. Mertasari, Kuta Utara - Badung</t>
  </si>
  <si>
    <t>10/05/2020 - 11/06/2020</t>
  </si>
  <si>
    <t>FRESH BY PASS NUSA DUA 333</t>
  </si>
  <si>
    <t>CIRCLE K BY PASS NUSA DUA1</t>
  </si>
  <si>
    <t>Jl. By Pass Nusa Dua, Kuta Selatan - Badung</t>
  </si>
  <si>
    <t>08/07/2025 - 31/07/2025</t>
  </si>
  <si>
    <t>23/07/2025 - 28/07/2025</t>
  </si>
  <si>
    <t>BONA GIANYAR</t>
  </si>
  <si>
    <t>Jl. Raya Bona, Br. Bona Kelod</t>
  </si>
  <si>
    <t>21/12/2024</t>
  </si>
  <si>
    <t>15/11/2024  - 26/11/2024</t>
  </si>
  <si>
    <t>18/11/2024 - 29/11/2024</t>
  </si>
  <si>
    <t>F2MG</t>
  </si>
  <si>
    <t>Jl. Antasura, Darmasaba - Badung</t>
  </si>
  <si>
    <t>01/12/2018, 01/12/2023</t>
  </si>
  <si>
    <t>23/05/2024 - 06/06/2024</t>
  </si>
  <si>
    <t>31/05/2024 - 07/06/2024</t>
  </si>
  <si>
    <t>TTVR, FIAU</t>
  </si>
  <si>
    <t>BY PASS NUSA DUA 4</t>
  </si>
  <si>
    <t>ALFA BY PASS MUMBUL - BDG</t>
  </si>
  <si>
    <t>Jl. By Pass Ngurah Rai, Br. Bualu, Kuta Selatan, Badung - Bali</t>
  </si>
  <si>
    <t>01/1/02018, 01/10/2023</t>
  </si>
  <si>
    <t>01/02/2024 - 17/02/2024</t>
  </si>
  <si>
    <t>01/02/2024 - 12/02/2024</t>
  </si>
  <si>
    <t>TXTF, FROG</t>
  </si>
  <si>
    <t>TEGAL PERMAI</t>
  </si>
  <si>
    <t>ALFA TEGAL PERMAI</t>
  </si>
  <si>
    <t>Jl. Tegal Permai, Kuta Utara - Badung</t>
  </si>
  <si>
    <t>15/08/2025- 29/08/2025</t>
  </si>
  <si>
    <t>TUKAD BALIAN</t>
  </si>
  <si>
    <t>COCO_MART</t>
  </si>
  <si>
    <t>Jl. Tukad Balian No.200,Sidakarya, Denpasar Selatan - Denpasar</t>
  </si>
  <si>
    <t>22/07/2020 - 30/07/2020</t>
  </si>
  <si>
    <t>ULUWATU 68 AA</t>
  </si>
  <si>
    <t>CIRCLE K ULUWATU JIMBARAN</t>
  </si>
  <si>
    <t>LT2,LT3</t>
  </si>
  <si>
    <t>Jl, Uluwatu II, Kuta Selatan - Badung</t>
  </si>
  <si>
    <t>03/02/2023 - 13/02/2023</t>
  </si>
  <si>
    <t>MELINGGIH KELOD</t>
  </si>
  <si>
    <t>Jl. Raya Payangan, Br. Bayad, Desa Melinggih Kelod, Payangan - Gianyar</t>
  </si>
  <si>
    <t>24/03/2023 - 03/04/2023</t>
  </si>
  <si>
    <t>TUTS</t>
  </si>
  <si>
    <t>SIDAN GIANYAR</t>
  </si>
  <si>
    <t>Jl. Raya Sidan, Gianyar - Bali</t>
  </si>
  <si>
    <t>12/01/2024 - 19/01/2024</t>
  </si>
  <si>
    <t>TGR1</t>
  </si>
  <si>
    <t>CANGI SUKAWATI</t>
  </si>
  <si>
    <t>ALFA KEMENUH - GYR</t>
  </si>
  <si>
    <t>30/03/2020 - 05/02/2020</t>
  </si>
  <si>
    <t>TAMAN BALI</t>
  </si>
  <si>
    <t>ALFA TAMAN BALI - BGL</t>
  </si>
  <si>
    <t>Jl. Merdeka, Taman Bali - Bangli</t>
  </si>
  <si>
    <t>1/9/2016, 1/1/2022</t>
  </si>
  <si>
    <t>20/01/2022 - 28/01/2022</t>
  </si>
  <si>
    <t>20/01/2022 - 27/01/2022</t>
  </si>
  <si>
    <t>T500, FG4G</t>
  </si>
  <si>
    <t>ANGANTAKA 2</t>
  </si>
  <si>
    <t>Jl. Angantaka, Badung - Bali</t>
  </si>
  <si>
    <t>28/06/2021 - 28/07/2021</t>
  </si>
  <si>
    <t>17/07/2021 - 27/07/2021</t>
  </si>
  <si>
    <t>TX5X</t>
  </si>
  <si>
    <t>PEJENG KAJA</t>
  </si>
  <si>
    <t>ALFA PEJENG</t>
  </si>
  <si>
    <t>Jl. Raya Pejeng Kaja, Gianyar - Bali</t>
  </si>
  <si>
    <t>ALFA PETANG - BDG</t>
  </si>
  <si>
    <t>Jl. Ngurah Rai - Petang,Badung - Bali</t>
  </si>
  <si>
    <t>18/01/2024 - 25/01/2024</t>
  </si>
  <si>
    <t>TGPL</t>
  </si>
  <si>
    <t>MAHENDRADATA</t>
  </si>
  <si>
    <t>Jl. Mahendradata, Blahbatu - Gianyar</t>
  </si>
  <si>
    <t>RAYA MAS UBUD</t>
  </si>
  <si>
    <t xml:space="preserve">ALFA MAS UBUD - GYR </t>
  </si>
  <si>
    <t>Jl. Raya Mas Ubud, Br. Abian Seke, Ds. Mas Ubud - Gianyar</t>
  </si>
  <si>
    <t>25/06/2020 - 13/07/2020</t>
  </si>
  <si>
    <t>F95S</t>
  </si>
  <si>
    <t>PELIATAN</t>
  </si>
  <si>
    <t>COCOMART PELIATAN</t>
  </si>
  <si>
    <t>47+8</t>
  </si>
  <si>
    <t>Jl.Cok Gede Rai Peliatan ,Ubud - Gianyar</t>
  </si>
  <si>
    <t>BR PALAK</t>
  </si>
  <si>
    <t>COCOMART SUKOWATI</t>
  </si>
  <si>
    <t>Jl. Pantai Purnama, Sukawati - GYR</t>
  </si>
  <si>
    <t>23/11/2021 - 06/12/2021</t>
  </si>
  <si>
    <t>23/11/2021 - 05/12/2021</t>
  </si>
  <si>
    <t>TLHH</t>
  </si>
  <si>
    <t>SUKAWATI 2</t>
  </si>
  <si>
    <t>Jl. Yudistira, Sukowati, Gianyar - Bali0</t>
  </si>
  <si>
    <t>19/09/2025 - 29/09/2025</t>
  </si>
  <si>
    <t>18/09/2025 - 01/10/2025</t>
  </si>
  <si>
    <t>GUNUNG BATUR</t>
  </si>
  <si>
    <t>ALFA GUNUNG BATUR - BGL</t>
  </si>
  <si>
    <t>Jl. Raya Kintamani - Desa Batur Utara, Kintamani - Bangli      Bali</t>
  </si>
  <si>
    <t>01/11/2021 - 07/11/2021</t>
  </si>
  <si>
    <t>01/11/2021 - 06/11/2021</t>
  </si>
  <si>
    <t>T5K5</t>
  </si>
  <si>
    <t>PEJENG TENGAH</t>
  </si>
  <si>
    <t>Jl. Raya Pejeng, Tampaksiring - Gianyar</t>
  </si>
  <si>
    <t>1/8/2018, 1/8/2023</t>
  </si>
  <si>
    <t>09/10/2023 - 27/10/2023</t>
  </si>
  <si>
    <t>TGUR, FACI</t>
  </si>
  <si>
    <t>KUWUM MENGWI</t>
  </si>
  <si>
    <t xml:space="preserve">ALFA KUWUM - BDG </t>
  </si>
  <si>
    <t>Jl. Denpasar Singaraja - Badung</t>
  </si>
  <si>
    <t>1/5/2017, 1/5/2022</t>
  </si>
  <si>
    <t>22/06/2022 - 11/07/2022</t>
  </si>
  <si>
    <t>20/06/2022 - 30/06/2022</t>
  </si>
  <si>
    <t>T9VZ, FY0N</t>
  </si>
  <si>
    <t>PANDAK BANDUNG</t>
  </si>
  <si>
    <t>ALFA PANDAK BANDUNG - TBN</t>
  </si>
  <si>
    <t>39+6</t>
  </si>
  <si>
    <t>Jl. Raya Tanah Lot, kediri - Tabanan</t>
  </si>
  <si>
    <t>1/3/2019, 01/03/2024</t>
  </si>
  <si>
    <t>TZRR, FSUF</t>
  </si>
  <si>
    <t>BEDUGUL</t>
  </si>
  <si>
    <t>CIRCLE K CANDIKUNING</t>
  </si>
  <si>
    <t>Jl. Raya Bedugul, Baturiti - Tabanan</t>
  </si>
  <si>
    <t>15/06/2024 - 29/06/2024</t>
  </si>
  <si>
    <t>23/06/2024 - 30/06/2024</t>
  </si>
  <si>
    <t>PRATAMA</t>
  </si>
  <si>
    <t>Jl.Pratama , Tanjung Benoa - Badung</t>
  </si>
  <si>
    <t>15/06/2020 - 30/06/2020</t>
  </si>
  <si>
    <t>SILIGITA</t>
  </si>
  <si>
    <t>ALFA SILIGITA</t>
  </si>
  <si>
    <t>Jl. Siligita No.14, Lingk. Pande, Kel. Benoa, Kec. Kuta Selatan, Kab. Badung</t>
  </si>
  <si>
    <t>PENYABANGAN</t>
  </si>
  <si>
    <t>ALFA PENYABANGAN - SRA</t>
  </si>
  <si>
    <t>Jl. Raya Penyabangan - Gerokgak, Buleleng - Bali</t>
  </si>
  <si>
    <t>14/05/2020 - 25/05/2020</t>
  </si>
  <si>
    <t>KUKUH TABANAN</t>
  </si>
  <si>
    <t>45+8</t>
  </si>
  <si>
    <t>Br. Dinas Samsaman Kelod Ds. Kukuh, Kec. Kerambitan, Kab. Tabanan</t>
  </si>
  <si>
    <t>GRIYA ANYAR</t>
  </si>
  <si>
    <t>ALFA GRIYA ANYAR</t>
  </si>
  <si>
    <t>60+9</t>
  </si>
  <si>
    <t>Jl. Gelogor Carik No.9, Kuta – Badung, Bali</t>
  </si>
  <si>
    <t>WISNU MARGA</t>
  </si>
  <si>
    <t>ALFA MARGA</t>
  </si>
  <si>
    <t>MARGA</t>
  </si>
  <si>
    <t>Jl. Wisnu Marga, Marga - Tabanan</t>
  </si>
  <si>
    <t>T0MM</t>
  </si>
  <si>
    <t>BABAKAN</t>
  </si>
  <si>
    <t>CIRCLE K BABAKAN</t>
  </si>
  <si>
    <t>Jl. Raya Babakan, Kuta Utara - Badung</t>
  </si>
  <si>
    <t>09/10/2023 - 19/10/2023</t>
  </si>
  <si>
    <t>TWWP</t>
  </si>
  <si>
    <t>TUKAD BADUNG</t>
  </si>
  <si>
    <t xml:space="preserve">ALFA TUKAD BADUNG 106 - DPS </t>
  </si>
  <si>
    <t>Jl. Tukad Badung No. 20 D, Denpasar - Bali</t>
  </si>
  <si>
    <t>22/01/2026 - 26/02/2026</t>
  </si>
  <si>
    <t>ALAS KEDATON</t>
  </si>
  <si>
    <t>ALFA ALAS KEDATON - TBN</t>
  </si>
  <si>
    <t>Jl. Tendean No. 66, Br. Pemenang, Ds. Banjar Anyar, Kediri - Tabanan</t>
  </si>
  <si>
    <t>09/07/2025 - 23/07/2025</t>
  </si>
  <si>
    <t>KUKUH MARGA</t>
  </si>
  <si>
    <t>Jl. Raya Alas Kedaton, Br. Denumuh, Desa Kukuh, Marga - Tabanan</t>
  </si>
  <si>
    <t>29/01/2024 - 19/02/2024</t>
  </si>
  <si>
    <t>TAHM</t>
  </si>
  <si>
    <t>RAYA UBUD</t>
  </si>
  <si>
    <t>CIRCLE K JEMBAWAN</t>
  </si>
  <si>
    <t>48+10</t>
  </si>
  <si>
    <t>Jl. Raya Mas Ubud, Ubud - Gianyar</t>
  </si>
  <si>
    <t>CARANGSARI 2</t>
  </si>
  <si>
    <t>Jl. Carangsari, Abiansemal - Badung</t>
  </si>
  <si>
    <t>21/01/2026 - 04/02/2026</t>
  </si>
  <si>
    <t>KEDIRI 3</t>
  </si>
  <si>
    <t>CIRKLE K RAYA KEDIRI</t>
  </si>
  <si>
    <t>Jl. Kediri No.43, Tuban - Kuta, Badung - Bali</t>
  </si>
  <si>
    <t>LATUSARI</t>
  </si>
  <si>
    <t>Jl. Pendet No.1, Latusari - Abiansemal, Badung - Bali</t>
  </si>
  <si>
    <t>TULAMBEN</t>
  </si>
  <si>
    <t>KUBU</t>
  </si>
  <si>
    <t>Br. Dinas Tulamben, Tulamben Kubu-Karangasem, Bali</t>
  </si>
  <si>
    <t>24/01/2026 - 12/02/2026</t>
  </si>
  <si>
    <t>23/01/2026 - 09/02/2026</t>
  </si>
  <si>
    <t>TANAH LOT</t>
  </si>
  <si>
    <t>ALFA TANAH LOT 2 - TBN</t>
  </si>
  <si>
    <t>09/06/2023 - 24/06/2023</t>
  </si>
  <si>
    <t>TESX</t>
  </si>
  <si>
    <t>PENGAMBENGAN</t>
  </si>
  <si>
    <t>Br. Munduk - Pengambengan, Negara - Jembrana, Bali</t>
  </si>
  <si>
    <t>08/01/2021 - 31/01/2021</t>
  </si>
  <si>
    <t>Buka Kembali 13/3/2016,Tutup Sementara 4/1/2016</t>
  </si>
  <si>
    <t>SERIRIT 2</t>
  </si>
  <si>
    <t>ALFA SERIRIT 2 - SRA</t>
  </si>
  <si>
    <t>Jl. Raya Seririt - Singaraja</t>
  </si>
  <si>
    <t>19/04/2026 - 29/04/2026</t>
  </si>
  <si>
    <t>18/04/2026 - 01/05/2026</t>
  </si>
  <si>
    <t>BATU AGUNG</t>
  </si>
  <si>
    <t>ALFA GEROKGAK BULELENG - SRA</t>
  </si>
  <si>
    <t>Jl. Gilimanuk Singaraja, Br. Batu Agung, Desa Gerokgak, Kec. Gerokgak</t>
  </si>
  <si>
    <t>06/12/2021 - 13/12/2021</t>
  </si>
  <si>
    <t>06/12/2021 - 12/12/2021</t>
  </si>
  <si>
    <t>RAYA PEMOGAN 88</t>
  </si>
  <si>
    <t xml:space="preserve">ALFA NE DUKUH - DPS </t>
  </si>
  <si>
    <t>Jl. Raya Pemogan No.88, Pemogan - Denpasar Selatan, Denpasar - Bali</t>
  </si>
  <si>
    <t>31/12/2025</t>
  </si>
  <si>
    <t>23/02/2026 - 03/03/2026</t>
  </si>
  <si>
    <t>FACT</t>
  </si>
  <si>
    <t>CIRCLE K GUNUNG AGUNG</t>
  </si>
  <si>
    <t>Jl. Gunung Agung, Desa Padang Sambian, Kec. Denpasar Barat, Denpasar - Bali</t>
  </si>
  <si>
    <t>14/07/2020 - 19/08/2020</t>
  </si>
  <si>
    <t>CELUKAN BAWANG</t>
  </si>
  <si>
    <t>ALFA BANJAR ASEMAN - SRA</t>
  </si>
  <si>
    <t>Jl. Raya Seririt Gilimanuk, Br. Juntal, Ds. Tinga Tinga, Gerokgak - Singaraja</t>
  </si>
  <si>
    <t>MELILING</t>
  </si>
  <si>
    <t>ALFAMART MELILING - TBN</t>
  </si>
  <si>
    <t>Jl. Raya Meliling Gilimanuk - Tabanan</t>
  </si>
  <si>
    <t>04/12/2023 - 12/12/2023</t>
  </si>
  <si>
    <t>T090</t>
  </si>
  <si>
    <t>BATU BELIG</t>
  </si>
  <si>
    <t>ALFA BATU BELIQ</t>
  </si>
  <si>
    <t>Jl. Batu Belig No. 39, Br. Batu Belig Kangin, Kerobokan Kelod, Kuta Utara - Badung</t>
  </si>
  <si>
    <t>01/07/2019 - 16/08/2019</t>
  </si>
  <si>
    <t>ALFA MENDOYO (SWT GAJAH MADA) - JBN</t>
  </si>
  <si>
    <t>Jl. Gajah Mada , No. 16, Banjar Sebual, Desa Dangin Tukad Aya, Kec. Jembrana - Jembrana</t>
  </si>
  <si>
    <t>18/01/2021 - 15/02/2021</t>
  </si>
  <si>
    <t>LEMBU SORA</t>
  </si>
  <si>
    <t>JL. Lembusora No. 18, Ubung Kaje Denpasar Utara, Denpasar - Bali</t>
  </si>
  <si>
    <t>21/01/2021 - 01/02/2021</t>
  </si>
  <si>
    <t>BR. SAYAN</t>
  </si>
  <si>
    <t>Jl. Raya Denpasar - Singaraja, Br. Sayan Baleran, Desa Werdhi Bhuana, Mengwi, Badung - Bali</t>
  </si>
  <si>
    <t>28/09/2020 - 13/10/2020</t>
  </si>
  <si>
    <t>LEGIAN 4</t>
  </si>
  <si>
    <t>ALFA LEGIAN (EXPRESS)</t>
  </si>
  <si>
    <t>30+8</t>
  </si>
  <si>
    <t>Jl. Legian, Kuta - Badung</t>
  </si>
  <si>
    <t>15/04/2021 - 06/05/2021</t>
  </si>
  <si>
    <t>TUKAD BARITO</t>
  </si>
  <si>
    <t xml:space="preserve">ALFA TUKAD BADUNG 100 - DPS </t>
  </si>
  <si>
    <t>Jl. Tukad Badung No. 64, Renon - Denpasar Selatan, Denpasar - Bali</t>
  </si>
  <si>
    <t>09/02/2021 - 21/02/2021</t>
  </si>
  <si>
    <t>CELUK 3</t>
  </si>
  <si>
    <t>ALFA CELUK 2</t>
  </si>
  <si>
    <t>Jl. Celuk, Br. Celuk – Ds. Celuk, Kec. Sukawati - Gianyar</t>
  </si>
  <si>
    <t>23/04/2026 - 23/05/2026</t>
  </si>
  <si>
    <t>PEJARAKAN</t>
  </si>
  <si>
    <t>ALFA SUMBERKIMA - SRA</t>
  </si>
  <si>
    <t>Jl. Singaraja – Gilimanuk, Br. Gomis, Ds. Pejarakan – Gerogak, Singaraja - Bali</t>
  </si>
  <si>
    <t>16/10/2024 - 22/10/2024</t>
  </si>
  <si>
    <t>TBAS</t>
  </si>
  <si>
    <t>WANAYU</t>
  </si>
  <si>
    <t>ALFA WANAYU - GYR</t>
  </si>
  <si>
    <t>67+9</t>
  </si>
  <si>
    <t xml:space="preserve">Jl. Raya Wanayu, Br. Wanayu, Ds. Bedulu, kec. Blahbatuh - Gianyar </t>
  </si>
  <si>
    <t>25/06/2023 - 13/07/2023</t>
  </si>
  <si>
    <t>GUNUNG RINJANI</t>
  </si>
  <si>
    <t>ALFA MONANG MANING</t>
  </si>
  <si>
    <t>Jl. Gunung Rinjani, Br. Monang Maning -  Pemecutan Klod, Denpasar Barat - Denpasar, Bali</t>
  </si>
  <si>
    <t>08/06/2021 - 20/06/2021</t>
  </si>
  <si>
    <t>BANJAR SATRIA</t>
  </si>
  <si>
    <t xml:space="preserve">ALFA SUDIRMAN PENDEM - JBN </t>
  </si>
  <si>
    <t>Jl. Sudirman No. 16, Lingk. Satria, Kel. Pendem Jembrana, Kab. Jembrana - Bali</t>
  </si>
  <si>
    <t>18/01/2021 - 29/01/2021</t>
  </si>
  <si>
    <t>FRESH BULUH INDAH 89</t>
  </si>
  <si>
    <t>CIRCLE K BULUH INDAH</t>
  </si>
  <si>
    <t>92+10</t>
  </si>
  <si>
    <t>Jl. Buluh Indah No.89 Denpasar, Denpasar - Bali</t>
  </si>
  <si>
    <t>05/08/2021 - 27/08/2021</t>
  </si>
  <si>
    <t>16/08/2021 - 26/08/2021</t>
  </si>
  <si>
    <t>PULAU TARAKAN</t>
  </si>
  <si>
    <t>ALFA (TOKO) KEPIN MESARI - DPS</t>
  </si>
  <si>
    <t>Jl. Pulau Tarakan No. 3, Dauh Puri Kelod, Denpasar Barat</t>
  </si>
  <si>
    <t>19/03/2021 - 27/03/2021</t>
  </si>
  <si>
    <t>17/03/2021 - 26/03/2021</t>
  </si>
  <si>
    <t>RAYA SAKAH</t>
  </si>
  <si>
    <t>ALFA SAKAH</t>
  </si>
  <si>
    <t>Jl. Raya Sakah, Br. Cangi, Desa Batuan Kaler, Kec. Sukawati Gianyar</t>
  </si>
  <si>
    <t>SIDAKARYA</t>
  </si>
  <si>
    <t>ALFA KSO+ BEDUGUL - DPS</t>
  </si>
  <si>
    <t xml:space="preserve">Jl. Sidakarya No 95, Denpasar - Bali </t>
  </si>
  <si>
    <t>26/01/2026 - 10/02/2026</t>
  </si>
  <si>
    <t>COKROAMINOTO 396</t>
  </si>
  <si>
    <t xml:space="preserve">CIRCLE K COKROAMINOTO 2 - DPS </t>
  </si>
  <si>
    <t>Jl. Cokroaminoto No. 396, Br. Merta Gangga, Denpasar Utara</t>
  </si>
  <si>
    <t>26/06/2019 - 15/08/2019</t>
  </si>
  <si>
    <t>FRESH TUKAD BATANGHARI</t>
  </si>
  <si>
    <t>ALFA TUKAD BARITO - DPS</t>
  </si>
  <si>
    <t>90+8</t>
  </si>
  <si>
    <t xml:space="preserve">Jl. Tukad Batanghari No.70, Panjer, Denpasar - Bali </t>
  </si>
  <si>
    <t>02/09/2022 - 03/10/2022</t>
  </si>
  <si>
    <t>PANTAI KEDUNGU</t>
  </si>
  <si>
    <t>Jl.Raya Pantai Kedungu , Kediri – Tabanan</t>
  </si>
  <si>
    <t>IR SOEKARNO 8X</t>
  </si>
  <si>
    <t>CIRCLE K IR. SOEKARNO</t>
  </si>
  <si>
    <t>Jl. Ir. Soekarno, Br. Sanggulan, Desa Banjar Anyar, Kec. Kediri, Tabanan - Bali</t>
  </si>
  <si>
    <t>26/07/2021 - 08/08/2021</t>
  </si>
  <si>
    <t>PEREAN TENGAH</t>
  </si>
  <si>
    <t>ALFA PEREAN TENGAH - TBN</t>
  </si>
  <si>
    <t>Jl. Raya Bedugul - Singaraja, Br. Tuka, Ds. Perean Tengah, Baturiti, Tabanan - Bali</t>
  </si>
  <si>
    <t>08/08/2024 - 18/08/2024</t>
  </si>
  <si>
    <t>TPIS</t>
  </si>
  <si>
    <t>GUNUNG SOPUTAN</t>
  </si>
  <si>
    <t xml:space="preserve">ALFA KERTA PURA - DPS </t>
  </si>
  <si>
    <t>Jl. Gunung Soputan No. 26X, Pemecutan Kelod, Denpasar Barat-Denpasar</t>
  </si>
  <si>
    <t>02/07/2021 - 19/07/2021</t>
  </si>
  <si>
    <t>BANJARANGKAN 2</t>
  </si>
  <si>
    <t>62+6</t>
  </si>
  <si>
    <t xml:space="preserve">Jl. Raya Banjarangkan , Ds. Kuripan, Kec. Banjanrangkan, Klungkung </t>
  </si>
  <si>
    <t>BEDUGUL 2</t>
  </si>
  <si>
    <t>ALFA RAYA BEDUGUL - TBN</t>
  </si>
  <si>
    <t>Jl. Bedugul - Singaraja, Br. Candi Kuning1, Ds. Candi Kuning, Baturiti, Tabanan</t>
  </si>
  <si>
    <t>BUNGKULAN</t>
  </si>
  <si>
    <t>ALFA BUNGKULAN - SRA</t>
  </si>
  <si>
    <t xml:space="preserve">Jl. Raya Bungkulan, Kec. Sawan, Buleleng - Bali </t>
  </si>
  <si>
    <t>30/01/2021 - 19/02/2021</t>
  </si>
  <si>
    <t>TUAKILANG</t>
  </si>
  <si>
    <t xml:space="preserve">ALFA DENBANTAS - TBN </t>
  </si>
  <si>
    <t>Jl. Batukaru, No. 69X, Br. Tuakilang, Ds. Denbantas, tabanan</t>
  </si>
  <si>
    <t>26/07/2021 - 05/08/2021</t>
  </si>
  <si>
    <t>PULAU MENJANGAN</t>
  </si>
  <si>
    <t>Jl. Pulau Manjangan No. 35, Br. Dauh Pala Pengabetan, Ds. Dauh Peken Tabanan</t>
  </si>
  <si>
    <t>SERIRIT SINGARAJA</t>
  </si>
  <si>
    <t>ALFA SULANYAH - SRA</t>
  </si>
  <si>
    <t>Jl. Seririt Singaraja, Desa Sulanyah, Kec. Seririt, Buleleng - Bali</t>
  </si>
  <si>
    <t>05/04/2021 - 18/04/2021</t>
  </si>
  <si>
    <t>BY PASS DARMAGIRI 2</t>
  </si>
  <si>
    <t>ALFA DARMAGIRI</t>
  </si>
  <si>
    <t>Jl. By Pass Darmagiri, Link. Candibaru, Kel. Gianyar, Kec. Gianyar</t>
  </si>
  <si>
    <t>01/07/2019 - 18/08/2019</t>
  </si>
  <si>
    <t>SRIKANDI</t>
  </si>
  <si>
    <t>ALFA SAMBANGAN (AMO)</t>
  </si>
  <si>
    <t>Jl. Srikandi No. 125 X, Br. Babakan, Desa Sambangan - Singaraja</t>
  </si>
  <si>
    <t>TYNK</t>
  </si>
  <si>
    <t>PENARUKAN</t>
  </si>
  <si>
    <t>ALFA PENARUKAN - SRA (OPENING 1 NOV)</t>
  </si>
  <si>
    <t>Jl. Samratulangi No. 40 A, Br. Penarukan Desa</t>
  </si>
  <si>
    <t>18/02/2026 - 05/03/2026</t>
  </si>
  <si>
    <t>RAYA AMED</t>
  </si>
  <si>
    <t>Jl. Raya Amed - Bunukan, Br. Amed, Desa Purwakerthi, Kec. Abang</t>
  </si>
  <si>
    <t>19/10/2021 - 03/11/2021</t>
  </si>
  <si>
    <t>BANJAR KANCIL</t>
  </si>
  <si>
    <t>ALFA RAYA KEROBOKAN</t>
  </si>
  <si>
    <t>Jl. Raya Kerobokan, Banjar Kancil, Desa Kerobokan, Kuta Utara</t>
  </si>
  <si>
    <t>KEMBANG MERTA BEDUGUL</t>
  </si>
  <si>
    <t>ALFAMART KEMBANG MERTHA - TBN</t>
  </si>
  <si>
    <t>Jl. Raya Candikuning - Bedugul, Desa Candikuning, Kec. Baturiti, Tabanan</t>
  </si>
  <si>
    <t>28/09/2020 - 07/11/2020</t>
  </si>
  <si>
    <t>MUSI BULELENG</t>
  </si>
  <si>
    <t>Jl. Singaraja - Gilimanuk, Desa Musi, Kec. Gerokgak</t>
  </si>
  <si>
    <t>KUBU ANYAR 3</t>
  </si>
  <si>
    <t>CIRCLE K KUBU ANYAR</t>
  </si>
  <si>
    <t>Jl. Kubu Anyar No. 36, Banjar Anyar, Desa Kuta, Kec. Kuta</t>
  </si>
  <si>
    <t>03/02/2026 - 18/02/2026</t>
  </si>
  <si>
    <t>PENYALIN 2</t>
  </si>
  <si>
    <t>ALFA PANGKUNG KARUNG KERAMBITAN - TBN</t>
  </si>
  <si>
    <t>Jl.Garuda No.9 A,B,C, Br.Penyalin, Ds Samsam, Kec. Kerambitan, Tabanan-Bali</t>
  </si>
  <si>
    <t>TEMUKUS</t>
  </si>
  <si>
    <t>ALFA TEMUKUS - SRA</t>
  </si>
  <si>
    <t>Jl. Seririt Singaraja, Desa Temukus, Kec. Banjar, Kabupaten Singaraja - Bali</t>
  </si>
  <si>
    <t>18/12/2020 - 30/12/2020</t>
  </si>
  <si>
    <t>TEJAKULA</t>
  </si>
  <si>
    <t>67+10</t>
  </si>
  <si>
    <t>Jl. Raya Singaraja - Amlapura, Desa Sembiran, Kec. Tejakula, Singaraja</t>
  </si>
  <si>
    <t>12/08/2022 - 18/08/2022</t>
  </si>
  <si>
    <t>12/08/2022 - 22/08/2022</t>
  </si>
  <si>
    <t>T4V4</t>
  </si>
  <si>
    <t>SUKASADA 2</t>
  </si>
  <si>
    <t>ALFA SUKASADA - SRA</t>
  </si>
  <si>
    <t>61+9</t>
  </si>
  <si>
    <t>Jl. Jelantik Gingsir, Br. Bantang Banua, Sukasada, Singaraja - Bali</t>
  </si>
  <si>
    <t>11/04/2025 - 21/04/2025</t>
  </si>
  <si>
    <t>TUHA</t>
  </si>
  <si>
    <t>MEGATI</t>
  </si>
  <si>
    <t>ALFA MEGATI - TBN</t>
  </si>
  <si>
    <t>SELEMADEG TIMUR</t>
  </si>
  <si>
    <t>Jl. Yudistira No. 26, Br. Megati, Kec. Selemadeg Timur, Kab. Tabanan - Bali</t>
  </si>
  <si>
    <t>RAYA MAS TEGES</t>
  </si>
  <si>
    <t>Jl. Cok Rai Pudak,Teges, Peliatan,Ubud, Gianyar, Bali</t>
  </si>
  <si>
    <t>15/06/2020 - 27/06/2020</t>
  </si>
  <si>
    <t>YEH GANGGA</t>
  </si>
  <si>
    <t>ALFA TANAH PEGAT - TBN</t>
  </si>
  <si>
    <t>57+10</t>
  </si>
  <si>
    <t>Jl. Raya Yeh Gangga, Banjar Tengah Pegat, Desa Gubug, Kec. Tabanan</t>
  </si>
  <si>
    <t xml:space="preserve">ALFA UDAYANA - JBN </t>
  </si>
  <si>
    <t>Jl.Udayana, Desa Baler Bale Agung</t>
  </si>
  <si>
    <t>22/01/2022 - 05/02/2022</t>
  </si>
  <si>
    <t>KAYUAMBUA</t>
  </si>
  <si>
    <t>53+10</t>
  </si>
  <si>
    <t>Jl. Raya Kayuambua, Desa Penglumbaran, Kec Susut, Bangli - Bali</t>
  </si>
  <si>
    <t>20/01/2022 - 03/02/2022</t>
  </si>
  <si>
    <t>SPBU LATUSARI 2</t>
  </si>
  <si>
    <t>Jl. Raya Mambal, Badung - Bali</t>
  </si>
  <si>
    <t>19/04/2021 - 02/05/2021</t>
  </si>
  <si>
    <t>BANYUPOH</t>
  </si>
  <si>
    <t>Jl. Raya Singaraja - Gilimanuk, Desa Banyupoh, Kec. Gerokgak</t>
  </si>
  <si>
    <t>09/03/2022 - 22/05/2022</t>
  </si>
  <si>
    <t>PACUNG</t>
  </si>
  <si>
    <t>CIRCLE K PACUNG</t>
  </si>
  <si>
    <t>Jl. Raya Denpasar Singaraja, Br. Pacung, Desa Baturiti, Kec. Baturiti- Tabanan</t>
  </si>
  <si>
    <t>RAYA SEMER</t>
  </si>
  <si>
    <t>ALFA SEMER</t>
  </si>
  <si>
    <t>Jl. Raya Semer, Br. Peliatan, Desa Kerobokan, Kuta Utara, Badung - Bali</t>
  </si>
  <si>
    <t>BANTAS</t>
  </si>
  <si>
    <t>ALFA BANTAS - TBN</t>
  </si>
  <si>
    <t>LT1,BASEMENT</t>
  </si>
  <si>
    <t>Jl. Denpasar - Gilimanuk, Ds. Bantas, Kec. Selemadeg Timur</t>
  </si>
  <si>
    <t>SANGGULAN PERMAI</t>
  </si>
  <si>
    <t>ALFA SANGGULAN PERMAI</t>
  </si>
  <si>
    <t>Jl. Yeh Ho, Perum Sanggulan Indah - Tabanan</t>
  </si>
  <si>
    <t>DEN KAYU 2</t>
  </si>
  <si>
    <t>Jl. Raya Denpasar, Br. Den Kayu Baleran, Desa Werdi Bhuana</t>
  </si>
  <si>
    <t>THT2</t>
  </si>
  <si>
    <t>BY PASS DARMAGIRI 3</t>
  </si>
  <si>
    <t>CIRCLE K I WAYAN DIPTA</t>
  </si>
  <si>
    <t>Jl. By Pass Darmagiri, Br. Getas, Buruan, Kec. Blah Batuh, Kab. Gianyar - Bali</t>
  </si>
  <si>
    <t>20/04/2026 - 08/05/2026</t>
  </si>
  <si>
    <t>DEWI SRI 18 V</t>
  </si>
  <si>
    <t>ALFA DEWI SRI - BDG</t>
  </si>
  <si>
    <t>Jl. Dewi Sri No. 112, Ds. Kuta, Kec. Kuta, Badung - Bali</t>
  </si>
  <si>
    <t>31/01/2026 - 14/02/2026</t>
  </si>
  <si>
    <t>LELATENG</t>
  </si>
  <si>
    <t>ALFA NEGARA</t>
  </si>
  <si>
    <t xml:space="preserve">Jl. Mangga No. 89, Br. Lelateng, Ds. Lelateng, Kec. Negara, Jembrana - Bali </t>
  </si>
  <si>
    <t>09/05/2022 - 22/05/2022</t>
  </si>
  <si>
    <t>JINENGDALEM</t>
  </si>
  <si>
    <t>Jl. Jinengdalem, Br. Dalem, Ds. Jinengdalem, Kec. Buleleng-Singaraja</t>
  </si>
  <si>
    <t>BURUAN</t>
  </si>
  <si>
    <t>ALFA UDAYANA - GYR</t>
  </si>
  <si>
    <t xml:space="preserve">Jl. Raya Udayana, Br. Buruan, Desa Buruan, Kec. Blahbatuh, Kab. Gianyar </t>
  </si>
  <si>
    <t>10/07/2022 - 24/07/2022</t>
  </si>
  <si>
    <t>POINT SPBU KAPAL</t>
  </si>
  <si>
    <t>MCN</t>
  </si>
  <si>
    <t>CIRCLE K RSUD KAPAL</t>
  </si>
  <si>
    <t>30+4</t>
  </si>
  <si>
    <t>Jl. Raya Kapal, Desa Kapal, Kec. Mengwi, Badung - Bali</t>
  </si>
  <si>
    <t>03/03/2023 - 02/04/2023</t>
  </si>
  <si>
    <t>01/03/2023 - 10/03/2023</t>
  </si>
  <si>
    <t>RAYA KEROBOKAN</t>
  </si>
  <si>
    <t>ALFA BATU BIDAK - BDG</t>
  </si>
  <si>
    <t>Jl. Kerobokan No. 5, Br. Banyu Culung, Ds. Kerobokan Kaja, Kec. Kuta Utara</t>
  </si>
  <si>
    <t>FRESH DALUNG</t>
  </si>
  <si>
    <t>ALFA ABIANBASE, DALUNG</t>
  </si>
  <si>
    <t>117+10</t>
  </si>
  <si>
    <t>Jl. Raya Dalung No. 91, Br. Dalung kaja, Desa Dalung, Kuta Utara, Badung</t>
  </si>
  <si>
    <t>03/05/2023 - 02/06/2023</t>
  </si>
  <si>
    <t>TAMAN TANDA</t>
  </si>
  <si>
    <t xml:space="preserve">ALFA TAMAN TANDA - TBN </t>
  </si>
  <si>
    <t>58+9</t>
  </si>
  <si>
    <t>Jl. Baturiti - Bedugul, Br.Taman Tanda, Ds Batunya, Baturiti - Tabanan</t>
  </si>
  <si>
    <t>03/05/2019 - 24/05/2019</t>
  </si>
  <si>
    <t>LOKAPAKSA</t>
  </si>
  <si>
    <t>ALFA LOKAPAKSA - SRA</t>
  </si>
  <si>
    <t>Jl. Raya Seririt - Gilimanuk, Br. Dinas Carik Agung, Desa Lokapaksa</t>
  </si>
  <si>
    <t>06/01/2026 - 26/01/2026</t>
  </si>
  <si>
    <t>KALIBUKBUK</t>
  </si>
  <si>
    <t>Jl. Raya Anturan, Kalibukbuk, Br. Dinas Banyualit, Kec. Buleleng</t>
  </si>
  <si>
    <t>BONGAN</t>
  </si>
  <si>
    <t>ALFA (TOKO MAWAR )</t>
  </si>
  <si>
    <t>Jl. Mawar No. 127, Desa Bongan, Kec. Tabanan, Kab. Tabanan</t>
  </si>
  <si>
    <t>17/09/2022 - 01/10/2022</t>
  </si>
  <si>
    <t>FCAM</t>
  </si>
  <si>
    <t>SANDING</t>
  </si>
  <si>
    <t>61+10</t>
  </si>
  <si>
    <t>Jl. Pejeng Kaja, Kec. Tampak Siring, Kab. Gianyar - Bali</t>
  </si>
  <si>
    <t>BATANNYUH</t>
  </si>
  <si>
    <t>Jl. Wisnu Marga,Br. Dinas,Ds. Batannyuh Kelod,Kec. Marga, Tabanan - Bali</t>
  </si>
  <si>
    <t>BATU KARU 76</t>
  </si>
  <si>
    <t>ALFA TAMAN KUPU - KUPU</t>
  </si>
  <si>
    <t>Jl. Batu Karu No.76, Ds.Wanasari Kec.Tabanan, Tabanan - Bali</t>
  </si>
  <si>
    <t>09/09/2024 - 19/09/2024</t>
  </si>
  <si>
    <t>RAYA BUDUK</t>
  </si>
  <si>
    <t>Jl. Raya Buduk, Br. Cempaka, Ds. Dalung, Kec. Kuta Utara, Badung - Bali</t>
  </si>
  <si>
    <t>25/08/2022 - 08/09/2022</t>
  </si>
  <si>
    <t>PANTAI NYANYI</t>
  </si>
  <si>
    <t>Jl. By Pass Tanah Lot,Br. Pandak Pasti,Ds. Braban,Kec. Kediri, Tabanan - Bali</t>
  </si>
  <si>
    <t>51+10</t>
  </si>
  <si>
    <t>Jl. Tianyar,Ds. Les,Kec. Tejakula, Singaraja - Bali</t>
  </si>
  <si>
    <t>19/09/2025 - 26/09/2025</t>
  </si>
  <si>
    <t>18/09/2025 - 27/09/2025</t>
  </si>
  <si>
    <t>Jl. Majapahit, Br Kamasan, Ds Denbantas, Kec. Tabanan, Tabanan - Bali.</t>
  </si>
  <si>
    <t>56+10</t>
  </si>
  <si>
    <t>Jl. Anyelir,Br. Bongan Kauh,Ds. Bongan - Tabanan</t>
  </si>
  <si>
    <t>06/06/2025 -03/07/2025</t>
  </si>
  <si>
    <t>MAMBAL</t>
  </si>
  <si>
    <t>ALFA MAMBAL (REPLACE MIDI)</t>
  </si>
  <si>
    <t>Jl. Mambal, Kec. Abiansemal, Kab. Badung - Bali</t>
  </si>
  <si>
    <t>15/11/2022 - 30/11/2022</t>
  </si>
  <si>
    <t>BUNUTAN</t>
  </si>
  <si>
    <t>Jl. Amed, Br. Bunutan, Desa/Kel. Bunutan, Kec. Abang, Kab. Karangasem - Bali</t>
  </si>
  <si>
    <t>10/05/2023 - 27/05/2023</t>
  </si>
  <si>
    <t>DAUH PEKEN</t>
  </si>
  <si>
    <t>ALFA PASAR KODOK - TBN</t>
  </si>
  <si>
    <t>38+8</t>
  </si>
  <si>
    <t>Jl. Jepun, Br. Tegal Arum, Dauh Peken - Tabanan</t>
  </si>
  <si>
    <t>12/05/2023 - 20/05/2023</t>
  </si>
  <si>
    <t>WANAGIRI</t>
  </si>
  <si>
    <t>Jl. Raya Wanagiri, Br. Buana, Ds. Wanagiri, Kec. Sukasada, Singaraja</t>
  </si>
  <si>
    <t>07/08/2023 - 16/08/2023</t>
  </si>
  <si>
    <t>ANTOSARI</t>
  </si>
  <si>
    <t>SELEMADEG BARAT</t>
  </si>
  <si>
    <t>Jl. Denpasar-Gilimanuk,Delod Rurung,Ds.Antosari, Selemadeg Barat - Tabanan</t>
  </si>
  <si>
    <t>BANJAR ALANGKAJENG</t>
  </si>
  <si>
    <t>Jl. Ngurah Rai, Br. Alangkajeng, Kel. Mengwi, Kec. Mengwi, Kab. Badung - Bali</t>
  </si>
  <si>
    <t>03/04/2023 - 14/04/2023</t>
  </si>
  <si>
    <t>CIRCLE K W.R SUPRATMAN</t>
  </si>
  <si>
    <t xml:space="preserve">Jl. WR. Supratman No. 312, Br/Link. Tohpati, Kel. Kesiman Kertalangu, Kec.Denpasar Timur, Kota. Denpasar </t>
  </si>
  <si>
    <t>09/06/2023 - 20/06/2023</t>
  </si>
  <si>
    <t>BATU PAGEH</t>
  </si>
  <si>
    <t>58+10</t>
  </si>
  <si>
    <t>Jl. Batu Pageh,Br. Mekarsari,Ds. Ungasan,Kec. Kuta Selatan,Badung - Bali</t>
  </si>
  <si>
    <t>13/04/2020 - 15/106/2020</t>
  </si>
  <si>
    <t>PUDAK GIANYAR</t>
  </si>
  <si>
    <t>ALFA DEWI CANDRA (TERMINAL BATU BULAN)</t>
  </si>
  <si>
    <t>Jl. Raya Pudak, Kel. Batu Bulan, kec.Sukawati, Kab. Gianyar</t>
  </si>
  <si>
    <t>25/06/2023 - 06/07/2023</t>
  </si>
  <si>
    <t>JUNCTION BATUR LAKE</t>
  </si>
  <si>
    <t>ALFAMART RAYA PENELOKAN - BGL</t>
  </si>
  <si>
    <t>Jl. Raya Penelokan,Ds. Batur Tengah, Ds. Batur Tengah, Kec.Kintamani,  Kab. Bangli-Bali</t>
  </si>
  <si>
    <t>13/05/2025 - 20/05/2025</t>
  </si>
  <si>
    <t>PUJUNGAN</t>
  </si>
  <si>
    <t>Jl. Raya Pujungan, Kel. Pujungan, Kec. Pupuan, Kab. Tabanan</t>
  </si>
  <si>
    <t>RAYA PENELOKAN</t>
  </si>
  <si>
    <t>ALFA KINTAMANI 2 - BGL</t>
  </si>
  <si>
    <t>Jl. Raya Penelokan, Br. Juwet, Ds. Batur, Kel. Batur Selatan, Kec. Kintamani, Kab. Bangli</t>
  </si>
  <si>
    <t>18/07/2025 - 28/07/2025</t>
  </si>
  <si>
    <t>NGURAH RAI 42</t>
  </si>
  <si>
    <t>ALFA NGURAH RAI 2 - SRA</t>
  </si>
  <si>
    <t>37+8</t>
  </si>
  <si>
    <t>Jl. Ngurah Rai No.42, Kel. Astina, Kec. Buleleng, Kab. Buleleng - Bali</t>
  </si>
  <si>
    <t>FRESH RAYA KAMPUS UNUD</t>
  </si>
  <si>
    <t>MINIMART RAYA KAMPUS UNUD 2</t>
  </si>
  <si>
    <t>94+10</t>
  </si>
  <si>
    <t>Jl. Raya Kampus Unud,Kel. Jimbaran, Kec. Kuta Selatan, Kab.,Badung - Bali</t>
  </si>
  <si>
    <t>27/02/2023 - 13/04/2023</t>
  </si>
  <si>
    <t>GUNUNG BATUKARU</t>
  </si>
  <si>
    <t xml:space="preserve">ALFA MONANG MANING 2 - DPS </t>
  </si>
  <si>
    <t>41+8</t>
  </si>
  <si>
    <t>Jl. Gn. Batukaru, Br. Manuk Negara, Monang Maning, Denpasar Barat</t>
  </si>
  <si>
    <t>09/10/2023 - 15/10/2023</t>
  </si>
  <si>
    <t>SPBU ANGKASA</t>
  </si>
  <si>
    <t>CIRCLE K RAYA TUBAN</t>
  </si>
  <si>
    <t>9+6</t>
  </si>
  <si>
    <t>Jl. Waringin, Kel. Tuban, Kec. Kuta, Kab. Badung-Bali</t>
  </si>
  <si>
    <t>20/04/2020 - 20-04/2020</t>
  </si>
  <si>
    <t>KUNTI 2</t>
  </si>
  <si>
    <t>CIRCLE K KUNTI II</t>
  </si>
  <si>
    <t>60+10</t>
  </si>
  <si>
    <t>Jl. Kunti II,No.101, Kel. Seminyak, Kec. Kuta, Kab. Badung - Bali</t>
  </si>
  <si>
    <t>TIBUNG SARI</t>
  </si>
  <si>
    <t>ALFA TIBUNG SARI</t>
  </si>
  <si>
    <t>Jl. Tibung Sari, Kel. Dalung, Kec.Kuta Utara, Kab, Badung-Bali</t>
  </si>
  <si>
    <t>BAKUNG SARI</t>
  </si>
  <si>
    <t>CIRCLE K BAKUNG SARI</t>
  </si>
  <si>
    <t>SubStreet</t>
  </si>
  <si>
    <t>Jl. Bakung Sari no. 52, Kuta, Badung - Bali</t>
  </si>
  <si>
    <t>STP DARMAWANGSA</t>
  </si>
  <si>
    <t>CIRCLE K DHARMAWANGSA</t>
  </si>
  <si>
    <t>Jl. Raya Darmawangsa, Kel. Benoa, Kec. Kuta Selatan, Kab. Badung - Bali</t>
  </si>
  <si>
    <t>22/08/2025 - 05/09/2025</t>
  </si>
  <si>
    <t>DEWI SRI LEGIAN</t>
  </si>
  <si>
    <t>ALFA DEWI SRI KUTA - BDG</t>
  </si>
  <si>
    <t>50+10</t>
  </si>
  <si>
    <t>Jl. Dewi Sri, Kel. Kuta, Kec. KutaKab. Badung - Bali</t>
  </si>
  <si>
    <t>RAYA PADONAN</t>
  </si>
  <si>
    <t>ALFA PADONAN 2 - BDG</t>
  </si>
  <si>
    <t>Jl. Raya Padonan, Kel. Tibubeneng, Kec. Kuta Utara, Kab. Badung</t>
  </si>
  <si>
    <t>27/02/2026 - 13/03/2026</t>
  </si>
  <si>
    <t>PADONAN</t>
  </si>
  <si>
    <t>ALFAMART PADONAN - BDG</t>
  </si>
  <si>
    <t>18/07/2025 - 274/07/2025</t>
  </si>
  <si>
    <t>LEGIAN 427</t>
  </si>
  <si>
    <t>CIRKLE K LEGIAN</t>
  </si>
  <si>
    <t>Jl. Legian No. 427, Kel. Legian, Kec. Kuta, Badung - Bali</t>
  </si>
  <si>
    <t>28/09/2020 - 04/11/2020</t>
  </si>
  <si>
    <t>KALIUNTU</t>
  </si>
  <si>
    <t>ALFA DEWI SARTIKA SELATAN - SRA</t>
  </si>
  <si>
    <t>Jl. A. Yani No.58A, Kel. Kaliuntu, Kec. Buleleng, Kab. Singaraja</t>
  </si>
  <si>
    <t>12/07/2025 - 26/07/2025</t>
  </si>
  <si>
    <t>PAHLAWAN</t>
  </si>
  <si>
    <t>ALFA LAKSAMANA</t>
  </si>
  <si>
    <t>Jl. Pahlawan, Kel. Br. Tegal, Kec. Buleleng, Kab. Buleleng</t>
  </si>
  <si>
    <t>RAYA ULUWATU</t>
  </si>
  <si>
    <t>ALFA PURI GADING</t>
  </si>
  <si>
    <t>Jl. Raya Uluwatu, Kel. Ungasan, Kec. Kuta Selatan, Kab. Badung</t>
  </si>
  <si>
    <t>22/01/2025 - 10/02/2025</t>
  </si>
  <si>
    <t>RAYA MENGWI</t>
  </si>
  <si>
    <t>Jl. Raya Mengwi, Kel. Mengwitani, Kec. Mengwi, Kab. Badung</t>
  </si>
  <si>
    <t>BONDALEM</t>
  </si>
  <si>
    <t>Jl. Air Sanih - Tejakula,Br. Celagi Batur, Kel. Bondalem, Kec. Tejakula, Kab. Singaraja</t>
  </si>
  <si>
    <t>GUNUNG CATUR</t>
  </si>
  <si>
    <t xml:space="preserve">Jl. Gunung Catur No.6, Kel. Padang Sambian Kaja, Kec. Denpasar Barat, Kota. Denpasar </t>
  </si>
  <si>
    <t>07/05/2024 - 18/05/2024</t>
  </si>
  <si>
    <t>TIRTA GEDUH</t>
  </si>
  <si>
    <t>ALFA TIRTA GEDUH – BGL</t>
  </si>
  <si>
    <t>Jl. Tirta Geduh, Kel. Bebalang, Kec. Bangli, Kab. Bangli - Bali</t>
  </si>
  <si>
    <t>SPBU CEMPAGA</t>
  </si>
  <si>
    <t>ALFA RENDANG</t>
  </si>
  <si>
    <t>Jl. Erlangga, Kel. Cempaga, Kec. Bangli, Kab. Bangli - Bali</t>
  </si>
  <si>
    <t>19/05/2024 - 31/05/2024</t>
  </si>
  <si>
    <t>CIRCLE K NUSA DUA SELATAN</t>
  </si>
  <si>
    <t>Jl. Srikandi, Br. Pemige, Ds. Adat Pemige, Kel. Benoa, Kec. Kuta Selatan, Kab. Badung</t>
  </si>
  <si>
    <t>23/01/2026 - 18/02/2026</t>
  </si>
  <si>
    <t>PANTAI BERAWA</t>
  </si>
  <si>
    <t>ALFA PANTAI BRAWA 2</t>
  </si>
  <si>
    <t>Jl. Pantai Berawa,Br. Tandeg, Kel. Tibubeneng, Kec. Kuta Utara, Kab. Badung</t>
  </si>
  <si>
    <t>SPBU ULUWATU</t>
  </si>
  <si>
    <t>CIRCLE K ULUWATU 2</t>
  </si>
  <si>
    <t>Jl. Uluwatu II, Jimbaran, Kuta Selatan, Badung - Bali  </t>
  </si>
  <si>
    <t>RAYA SANGSIT</t>
  </si>
  <si>
    <t>ALFA KEROBOKAN - SRA</t>
  </si>
  <si>
    <t>Jl. Raya Sangsit,Br. Tegal, Kel. Kerobokan, Kec. Sawan, Kab. Singaraja</t>
  </si>
  <si>
    <t>04/02/2024 - 17/02/2024</t>
  </si>
  <si>
    <t>RAYA BALI CLIFF</t>
  </si>
  <si>
    <t>ALFA BALI CLIFF UNGASAN - BDG</t>
  </si>
  <si>
    <t xml:space="preserve">Jl. Raya Bali Cliff, Kel. Ungasan, Kec. Kuta Selatan, Kab. Badung </t>
  </si>
  <si>
    <t>KARANG MAS</t>
  </si>
  <si>
    <t>CIRCLE K KARANG MAS</t>
  </si>
  <si>
    <t>Jl. Karang Mas, Kel. Jimbaran, Kec. Kuta Selatan, Kab. Badung</t>
  </si>
  <si>
    <t>BRABAN</t>
  </si>
  <si>
    <t>CIRCLE K BERABAN</t>
  </si>
  <si>
    <t xml:space="preserve">Jl. Braban, Kel. Kerobokan Kelod, Kec. Kuta Utara, Kab. Badung </t>
  </si>
  <si>
    <t>17/02/2025 - 24/02/2025</t>
  </si>
  <si>
    <t>KAMPUS UNUD 3</t>
  </si>
  <si>
    <t>CIRCLE K BY PASS NGURAH RAI3</t>
  </si>
  <si>
    <t>Jl. Raya Kampus Unud No. 3, Kel. Jimbaran, Kec. Kuta Selatan, Kab. Badung</t>
  </si>
  <si>
    <t>31/05/2025 - 07/06/2025</t>
  </si>
  <si>
    <t>BEREMBENG</t>
  </si>
  <si>
    <t>ALFA SELEMADEG TIMUR - TBN</t>
  </si>
  <si>
    <t>Jl. Raya Denpasar – Gilimanuk, Kel. Berembeng, Kec. Selemadeg, Kab. Tabanan</t>
  </si>
  <si>
    <t>15/05/2024 - 28/05/2024</t>
  </si>
  <si>
    <t>SEMPIDI 2</t>
  </si>
  <si>
    <t>ALFA UNTAL UNTAL</t>
  </si>
  <si>
    <t>Jl. Raya Sempidi Br. Ume Gunung, Kel Sempidi, Kec. Mengwi, Kab. Badung</t>
  </si>
  <si>
    <t>08/08/2024 - 16/08/2024</t>
  </si>
  <si>
    <t>KAMPUS UNUD 5</t>
  </si>
  <si>
    <t xml:space="preserve">MINIMART RAYA KAMPUS  </t>
  </si>
  <si>
    <t>Jl. Raya Kampus Unud 5, Kel. Jimabaran, Kec. Kuta Selatan, Kab. Badung</t>
  </si>
  <si>
    <t>GOA GONG JIMBARAN</t>
  </si>
  <si>
    <t>COCOMART GOA GONG</t>
  </si>
  <si>
    <t>Jl. Goa Gong, Br. Angasuara, Kel. Jimbaran, Kec. Kuta Selatan, Kab. Badung</t>
  </si>
  <si>
    <t>MATARAM 2</t>
  </si>
  <si>
    <t>ALFA MATARAM</t>
  </si>
  <si>
    <t>Jl. Mataram Raya, Kel. Kuta, Kec. Kuta, Kab. Badung</t>
  </si>
  <si>
    <t>ALFA BEBALANG - BGL</t>
  </si>
  <si>
    <t>Jl. Merdeka,No. 128,Br. Bebalang, Kec. Bangli, Kab. Bangli</t>
  </si>
  <si>
    <t>25/05/2019 - 31/05/2019</t>
  </si>
  <si>
    <t>WINDU SARA</t>
  </si>
  <si>
    <t>ALFA WINDU SARA - BGL</t>
  </si>
  <si>
    <t xml:space="preserve">Jl. Windu Sara, Kel. Kedisan, Kec. Kintamani, Kab. Bangli </t>
  </si>
  <si>
    <t>PELABUHAN BENOA</t>
  </si>
  <si>
    <t>KAWASAN INDUSTRI / PABRIK</t>
  </si>
  <si>
    <t>PELABUHAN</t>
  </si>
  <si>
    <t>Jl.Raya Pelabuhan Benoa - Denpasar</t>
  </si>
  <si>
    <t>SPBU SANUR</t>
  </si>
  <si>
    <t>CIRCLE K BYPASS NGURAH RAI SANUR 2</t>
  </si>
  <si>
    <t>Jl.By Pass Ngurah Rai No.90 Sanur - Denpasar</t>
  </si>
  <si>
    <t>13/08/2024 - 20/08/2024</t>
  </si>
  <si>
    <t>SERONGGA</t>
  </si>
  <si>
    <t>Jl. Raya Pantai Lebih, Kel. Tegal Tugu, Kec. Gianyar, Kab. Gianyar</t>
  </si>
  <si>
    <t>09/08/2024 - 17/08/2024</t>
  </si>
  <si>
    <t>ANTAP TABANAN</t>
  </si>
  <si>
    <t>Jl. Denpasar-Gilimanuk,Dusun Bonian, Kel. Antap, kec. Selemadeg, Kab. Tabanan</t>
  </si>
  <si>
    <t>RAYA KUWUM</t>
  </si>
  <si>
    <t>ALFA KUWUM</t>
  </si>
  <si>
    <t>Jl. Raya Denpasar - Singaraja, Kel. Kuwum&lt; Kec. Mengwi, Kab, Badung</t>
  </si>
  <si>
    <t>26/02/2026 - 15/03/2026</t>
  </si>
  <si>
    <t>PENELOKAN SEKARDADI</t>
  </si>
  <si>
    <t>ALFA PENELOKAN - BGL</t>
  </si>
  <si>
    <t>Jl. Raya Penelokan,Kel. Sekardadi,Kec.Kintamani,Kab.Bangli</t>
  </si>
  <si>
    <t>06/06/2025 -20/06/2025</t>
  </si>
  <si>
    <t>SPBU DEWI SRI</t>
  </si>
  <si>
    <t>ALFA DEWI SRI</t>
  </si>
  <si>
    <t>Jl. Dewi Sri,Kel.Legian,Kec.Kuta,Kab.Badung</t>
  </si>
  <si>
    <t>04/11/2024 - 13/11/2024</t>
  </si>
  <si>
    <t>NAKULA 73</t>
  </si>
  <si>
    <t>Jl. Nakula No. 73,Kel.Legian,Kec.Kuta,Kab.Badung</t>
  </si>
  <si>
    <t>FRESH RAYA PADONAN 25</t>
  </si>
  <si>
    <t>CIRCLE K PADONAN</t>
  </si>
  <si>
    <t>79+10</t>
  </si>
  <si>
    <t>Jl Raya Padonan No. 25,Kel.Tibubeneng,Kec.Kuta Utara,Kab.Badung</t>
  </si>
  <si>
    <t>MERTASARI 58</t>
  </si>
  <si>
    <t xml:space="preserve">ALFA PENGUBENGAN - BDG </t>
  </si>
  <si>
    <t>Jl. Mertasari No.58,Kel.Kerobokan Kelod,Kec.Kuta Utara,Kab.Badung</t>
  </si>
  <si>
    <t>POINT GARUDA WISNU KENCANA</t>
  </si>
  <si>
    <t>19+9</t>
  </si>
  <si>
    <t>Kawasan Garuda Wisnu Kencana,Kel.Ungasan.Kec.Kuta Selatan,Kab.Badung</t>
  </si>
  <si>
    <t>SURABRATA</t>
  </si>
  <si>
    <t>ALFA SURABRATA - TBN</t>
  </si>
  <si>
    <t>Jl. Denpasar-Gilimanuk, Kel. Lalang Linggah, Kec. Selemadeg Barat, Kab. Tabanan</t>
  </si>
  <si>
    <t>06/11/2024 - 16/11/2024</t>
  </si>
  <si>
    <t>PETITENGET</t>
  </si>
  <si>
    <t>CIRKLE K KEROBOKAN 2</t>
  </si>
  <si>
    <t>Jl. Petitenget, Kel.Kerobokan Kelod,Kec.Kuta Utara,Kab.Badung</t>
  </si>
  <si>
    <t>RAJA IDA MADE RAI</t>
  </si>
  <si>
    <t>42+7</t>
  </si>
  <si>
    <t>Jl. Raja Ida Made Rai,Kel.Banjar,Kec.Banjar,Kab.Singaraja</t>
  </si>
  <si>
    <t>AMBENGAN</t>
  </si>
  <si>
    <t>Jl. Raya Sukasada,Kel.Ambengan,Kec.Sukasada,Kab.Buleleng</t>
  </si>
  <si>
    <t>KEDIRI 27</t>
  </si>
  <si>
    <t>ALFA RAYA KEDIRI</t>
  </si>
  <si>
    <t>Jl. Kediri No 27,Kel.Tuban,Kec.Kuta,Kab.Badung</t>
  </si>
  <si>
    <t>11/02/2026 - 26/02/2026</t>
  </si>
  <si>
    <t>PEMUDA</t>
  </si>
  <si>
    <t>Jl. Pemuda,Kel.Bubunan,Kec.Seririt,Kab.Singaraja</t>
  </si>
  <si>
    <t>11/08/2025 - 25/08/2025</t>
  </si>
  <si>
    <t>RAYA PRATAMA</t>
  </si>
  <si>
    <t>Jl. Pratama,Kel.Benoa,Kec.Kuta Selatan,Kab.Badung</t>
  </si>
  <si>
    <t>TGYK</t>
  </si>
  <si>
    <t>GEMPOL</t>
  </si>
  <si>
    <t>ALFA GEMPOL</t>
  </si>
  <si>
    <t>Jl. Gempol,Kel.Banyuning,Kec.Buleleng,Kab.Singaraja</t>
  </si>
  <si>
    <t>02/07/2025 - 09/07/2025</t>
  </si>
  <si>
    <t>DARMAWANGSA 102</t>
  </si>
  <si>
    <t xml:space="preserve">ALFA DARMAWANGSA  </t>
  </si>
  <si>
    <t>Jl. Dharmawangsa, Kel.Benoa, Kec.Kuta Selatan,Kab. Badung</t>
  </si>
  <si>
    <t>DHARMAWANGSA 64</t>
  </si>
  <si>
    <t>ALFA DARMAWANGSA 2</t>
  </si>
  <si>
    <t>Jl. Dharmawangsa No.64, Kel. Kutuh, Kec. Kuta Selatan, Kab. Badung</t>
  </si>
  <si>
    <t>15/01/2025 - 11/01/2025</t>
  </si>
  <si>
    <t>15/01/2025 - 01/02/2025</t>
  </si>
  <si>
    <t>PULAU GALANG</t>
  </si>
  <si>
    <t>ALFA PULAU GALANG - DPS</t>
  </si>
  <si>
    <t xml:space="preserve">Jl. Pulau Galang, Kel/ Pemogan, Kec. Denpasar Selatan, Kota. Denpasar </t>
  </si>
  <si>
    <t>15/03/2025 - 22/03/2025</t>
  </si>
  <si>
    <t>SUWUNG BATAN KENDAL</t>
  </si>
  <si>
    <t xml:space="preserve">ALFA SUWUNG BATAN KENDAL - DPS </t>
  </si>
  <si>
    <t>Jl. Suwung Batan Kendal No. 28, Br. Suwung Batan Kendal</t>
  </si>
  <si>
    <t>TRENGGULI</t>
  </si>
  <si>
    <t xml:space="preserve">ALFA TRENGGULI - DPS </t>
  </si>
  <si>
    <t xml:space="preserve">Jl. Trengguli, Kel.Penatih, Kec.Denpasar Timur, Kota. Denpasar </t>
  </si>
  <si>
    <t>NAKULA 93</t>
  </si>
  <si>
    <t>CIRCLE K NAKULA</t>
  </si>
  <si>
    <t>Jl. Nakula No. 93, Kel.Legian, Kec.Kuta, Kab. Badung</t>
  </si>
  <si>
    <t>GATSU TIMUR NO. 100 X</t>
  </si>
  <si>
    <t>ALFA GATSU TIMUR - DPS (TOKO SWT)</t>
  </si>
  <si>
    <t>43+10</t>
  </si>
  <si>
    <t xml:space="preserve">Jl. Gatot Subroto No.100 X Kel. Penatih, Kec. Denpasar Timur, Kota. Denpasar </t>
  </si>
  <si>
    <t>DANAU BUYAN</t>
  </si>
  <si>
    <t xml:space="preserve">ALFA DANAU BUYAN - DPS </t>
  </si>
  <si>
    <t xml:space="preserve">Jl. Danau Buyan , Kel.Sanur, Kec.Denpasar Selatan, Kota. Denpasar </t>
  </si>
  <si>
    <t>TAMAN GIRI 9</t>
  </si>
  <si>
    <t>COCOMART TAMAN GIRI</t>
  </si>
  <si>
    <t>Jl. Taman Giri , Kel.Benoa, Kec.Kuta Selatan, Kab.Badung</t>
  </si>
  <si>
    <t>26/04/2021 - 09/05/2021</t>
  </si>
  <si>
    <t>TEGEH SARI</t>
  </si>
  <si>
    <t>ALFA SARI DEWATA - DPS</t>
  </si>
  <si>
    <t>Jl. Gatot Subroto I No.35, Kel.Tonja, Kec.Denpasar Utara, Kota. Denpasar</t>
  </si>
  <si>
    <t>RAYA BESAKIH</t>
  </si>
  <si>
    <t>ALFA ALIT MUJA - KSM</t>
  </si>
  <si>
    <t>TEMBUKU</t>
  </si>
  <si>
    <t>Jl. Raya Besakih, Kel.Bangbang, Kec.Tembuku, Kab.Bangli</t>
  </si>
  <si>
    <t>22/01/2025 - 04/02/2025</t>
  </si>
  <si>
    <t>ALFA ASTINA</t>
  </si>
  <si>
    <t>Jl. Kebo Iwa, Kel.Gianyar, Kec.Gianyar, Kab.Gianyar</t>
  </si>
  <si>
    <t>06/06/2025 - 03/07/2025</t>
  </si>
  <si>
    <t>TEGALALANG</t>
  </si>
  <si>
    <t>ALFA RAYA TEGALALANG - GYR</t>
  </si>
  <si>
    <t>Jl. Tegalalang, Kel.Tegalalang, Kec.Tegalalang, Kab.Gianyar</t>
  </si>
  <si>
    <t>MAHENDRADATTA UTARA 101</t>
  </si>
  <si>
    <t xml:space="preserve">ALFA MAHENDRADATA UTARA - DPS </t>
  </si>
  <si>
    <t>Jl. Mahendradatta, Kel.Padangsambian, Kec.Denpasar Barat, Kota. Denpasar</t>
  </si>
  <si>
    <t>LAKSAMANA 29</t>
  </si>
  <si>
    <t>Jl. Laksamana no.29 , Kel.Baktiseraga, Kec.Buleleng, Kab.Buleleng</t>
  </si>
  <si>
    <t>BUNG TOMO</t>
  </si>
  <si>
    <t>ALFA GATSU BARAT 3</t>
  </si>
  <si>
    <t>Jl. Bung Tomo, Kel.Pemecutan Kaja, Kec.Denpasar Utara, Kota. Denpasar</t>
  </si>
  <si>
    <t>RAYA TUKAD BALIAN</t>
  </si>
  <si>
    <t>ALFA TUKAD YEH AYA</t>
  </si>
  <si>
    <t>Jl. Tukad Balian, Kel.Renon, Kec.Denpasar Selatan, Kota. Denpasar</t>
  </si>
  <si>
    <t>PANDAK GEDE</t>
  </si>
  <si>
    <t>Jl. Raya Tanah Lot, Kel.Pandak Gede, Kec.Kediri, Kab.Tabanan</t>
  </si>
  <si>
    <t>07/11/2024 - 28/11/2024</t>
  </si>
  <si>
    <t>SPBU KETEWEL</t>
  </si>
  <si>
    <t>42+10</t>
  </si>
  <si>
    <t>Jl. Prof.Dr. Ida Bagus Mantra, Kel.Ketewel, Kec.Sukawati, Kab.Gianyar</t>
  </si>
  <si>
    <t>GLOGOR CARIK</t>
  </si>
  <si>
    <t>ALFA TOKO DEWI - DPS</t>
  </si>
  <si>
    <t>Jl. Gelogor Carik, Kel.Pemogan, Kec.Denpasar Selatan, Kota. Denpasar</t>
  </si>
  <si>
    <t>MALUKU</t>
  </si>
  <si>
    <t>ALFA MALUKU</t>
  </si>
  <si>
    <t>PERNIAGAAN/RUKO</t>
  </si>
  <si>
    <t>Jl. Maluku, Kel.Dauh Puri, Kec.Denpasar Barat, Kota.Denpasar</t>
  </si>
  <si>
    <t>FRESH CARGO PERMAI</t>
  </si>
  <si>
    <t>ALFA CARGO PERMAI (SORILAIS)</t>
  </si>
  <si>
    <t xml:space="preserve">Jl. Cargo Permai, Kel. Ubung Kaja, Kec. Denpasar Utara, Kota. Denpasar </t>
  </si>
  <si>
    <t>21/01/2026 - 05/02/2026</t>
  </si>
  <si>
    <t>20/01/2026 - 05/02/2026</t>
  </si>
  <si>
    <t>SPBU IMAM BONJOL</t>
  </si>
  <si>
    <t xml:space="preserve">ALFA IMAM BONJOL 412 - DPS </t>
  </si>
  <si>
    <t xml:space="preserve">Jl. Imam Bonjol, Kel. Pemecutan Kelod, Kec. Denpasar Barat, Kota. Denpasar </t>
  </si>
  <si>
    <t>SUDIMARA</t>
  </si>
  <si>
    <t>ALFA GUBUG - TBN</t>
  </si>
  <si>
    <t>54+10</t>
  </si>
  <si>
    <t>Jl. Kalanganyar Sudimara</t>
  </si>
  <si>
    <t>06/07/2022 - 13/07/2022</t>
  </si>
  <si>
    <t>TUKAD UNDA</t>
  </si>
  <si>
    <t xml:space="preserve">ALFA RENON - DPS </t>
  </si>
  <si>
    <t>Jl. Tukad Unda No. 22, Kel. Panjer, Kec. Denpasar Selatan, Kota. Denpasar</t>
  </si>
  <si>
    <t>SPBU NGURAH RAI</t>
  </si>
  <si>
    <t>CIRCLE K BYPASS NGURAH RAI</t>
  </si>
  <si>
    <t>Jl. By Pass Ngurah Rai No.50, Kel. Tuban, Kec. Kuta, Kab. Badung</t>
  </si>
  <si>
    <t>Jl. Pulau Menjangan, kel. Banyuning, Kec. Buleleng, Kab. Buleleng</t>
  </si>
  <si>
    <t>SPBU SAYAN BALERAN</t>
  </si>
  <si>
    <t>Jl. Gunung Agung No. 10, Kel. Werdhi Buana, Kec. Mengwi, Kab. Badung</t>
  </si>
  <si>
    <t>GATSU TIMUR 608</t>
  </si>
  <si>
    <t>ALFA GATSU TIMUR</t>
  </si>
  <si>
    <t xml:space="preserve">Jl. Gatot Subroto Timur, Kel. Kesiman Kertalangu, Kec. Denpasar Timur, Kota. Denpasar </t>
  </si>
  <si>
    <t xml:space="preserve">CIRCLE K </t>
  </si>
  <si>
    <t>Jl. Sunset Road No.767, Kel. Kuta, Kec. Kuta, Kab. Badung</t>
  </si>
  <si>
    <t>HIKING GUNUNG BATUR</t>
  </si>
  <si>
    <t>Jl. Pendakian Gunung Batur, Kel. Batur Tengah, Kec. Kuntamani, Kab. Bangli</t>
  </si>
  <si>
    <t>19/11/2024 - 26/11/2024</t>
  </si>
  <si>
    <t>RAYA SEMANA</t>
  </si>
  <si>
    <t>Jl. Raya Semana, Kel. Mambal, Kec. Abiamsemal, Kab. Badung</t>
  </si>
  <si>
    <t>08/10/2025 - 21/10/2025</t>
  </si>
  <si>
    <t>FRESH LUWUS BATURITI</t>
  </si>
  <si>
    <t>Jl. Parean Bedugul, Kel. Luwus, Kec. Baturiti, Kab.Tabanan</t>
  </si>
  <si>
    <t>07/11/2025 - 30/11/2025</t>
  </si>
  <si>
    <t>22/11/2025 - 02/12/2025</t>
  </si>
  <si>
    <t>ISUNSET ROAD 88</t>
  </si>
  <si>
    <t>ALFA SUNSET SEMINYAK - BDG</t>
  </si>
  <si>
    <t>Jl. Sunset Road No. 88, Kel. Seminyak, Kec. Kuta, Kab. Badung</t>
  </si>
  <si>
    <t>26/09/2025 - 09/10/2025</t>
  </si>
  <si>
    <t xml:space="preserve">RAYA DESA </t>
  </si>
  <si>
    <t>Jl. Raya Desa, Kel. Bungkulan, Kec. Sawan, Kab. Buleleng</t>
  </si>
  <si>
    <t xml:space="preserve">RAYA KUTA 21 </t>
  </si>
  <si>
    <t>ALFA KUTA RAYA</t>
  </si>
  <si>
    <t>Jl. Raya Kuta, Kel. Kuta, Kec. Kuta, Kab. Badung</t>
  </si>
  <si>
    <t>02/08/2022 - 12/08/2022</t>
  </si>
  <si>
    <t xml:space="preserve">RAYA BASANGKASA </t>
  </si>
  <si>
    <t>MINIMART RAYA BASANGKASA</t>
  </si>
  <si>
    <t>Jl. Raya Basangkasa, Kel. Seminyak, Kec. Kuta, Kab. Badung</t>
  </si>
  <si>
    <t>Jl. Pantai Saba, Kel. Saba, Kec. Blahbatuh, Kab. Gianyar</t>
  </si>
  <si>
    <t xml:space="preserve"> S8 35 30.35 E115 17 49.50</t>
  </si>
  <si>
    <t>ALFA KEROBOKAN ( LOWSON )</t>
  </si>
  <si>
    <t>Jl. Raya Kerobokan, Kel. Kerobokan Kelod, Kec. Kuta Utara, Kab. Badung</t>
  </si>
  <si>
    <t>01/09/2025 - 15/09/2025</t>
  </si>
  <si>
    <t xml:space="preserve">ALFA MAMBAL SIGARAN - BDG </t>
  </si>
  <si>
    <t>Jl. Raya Mambal, Kel. Mekar Bhuana, Kec. Abiansemal, Kab. Badung</t>
  </si>
  <si>
    <t xml:space="preserve">SENGANAN JATILUWIH </t>
  </si>
  <si>
    <t>PENEBEL</t>
  </si>
  <si>
    <t>Jl. Raya Senganan, Kel.Senganan, Kec. Penebel, Kab. Tabanan</t>
  </si>
  <si>
    <t xml:space="preserve">ALFA PEKARANGAN BATURITI - TBN </t>
  </si>
  <si>
    <t>Jl. Pancasari - Baturiti, Kel. Batunya, Kec. Baturiti, Kab. Tabanan</t>
  </si>
  <si>
    <t>ALFAMART BANGLI - BGL</t>
  </si>
  <si>
    <t>Jl. Kusumayudha, Kel. Kawan, Kec. Bangli, Kab. Bangli</t>
  </si>
  <si>
    <t>ALFAMART ANDAKASA (Toko Mertasari) - DPS</t>
  </si>
  <si>
    <t xml:space="preserve">Jl. Gunung Andakasa No. 36, Kel. Padangsambian, Kec. Denpasar Barat, Kota. Denpasar </t>
  </si>
  <si>
    <t xml:space="preserve">BANJAR SAYAN BALERAN </t>
  </si>
  <si>
    <t>Jl. Denpasar Singaraja, Kel.Werdi Bhuwana, Kec.Mengwi, Kab. Badung</t>
  </si>
  <si>
    <t>RAYA BURUAN PENEBEL TABANAN</t>
  </si>
  <si>
    <t>ALFA BURUAN PENEBEL - TBN</t>
  </si>
  <si>
    <t>Jl. Raya Buruan, Kel. Pitra, Kec. Penebel, Kab. Tabanan</t>
  </si>
  <si>
    <t>ALFA TUKAD BARITO</t>
  </si>
  <si>
    <t xml:space="preserve">Jl. Tukad Barito, Kel. Panjer, Kec. Denpasar Selatan, Kota. Denpasar </t>
  </si>
  <si>
    <t xml:space="preserve">RAYA GAJAH MADA </t>
  </si>
  <si>
    <t>ALFAMART CLASS PRAMUKA - SRA</t>
  </si>
  <si>
    <t>Jl. Gajah Mada, Kel. Banjar Jawa, Kec. Buleleng, Kab. Buleleng</t>
  </si>
  <si>
    <t xml:space="preserve">Jl. Trenggana No. 151A, Kel. Penatih, Kec. Denpasar Timur, Kota. Denpasar </t>
  </si>
  <si>
    <t xml:space="preserve">POINT HANGTUAH SANUR </t>
  </si>
  <si>
    <t>ALFA PANTAI SANUR - DPS</t>
  </si>
  <si>
    <t>26+11</t>
  </si>
  <si>
    <t>Jl. Hangtuah, Kel. Sanur Kaja, Kec. Denpasar Selatan, Kota. Denpasar</t>
  </si>
  <si>
    <t>ALFA GUNUNG AGUNG (EXPRESS)-DPS</t>
  </si>
  <si>
    <t xml:space="preserve">Jl. Gunung Agung, Kel. Pemecutan, Kec. Denpasar Barat, Kota. Denpasar </t>
  </si>
  <si>
    <t>28+11</t>
  </si>
  <si>
    <t>Jl. Arjuna, Kel. Seminyak, Kec. Kuta, Kab. Badung</t>
  </si>
  <si>
    <t xml:space="preserve">ALFA PENYARINGAN - JBN </t>
  </si>
  <si>
    <t>MENDOYO</t>
  </si>
  <si>
    <t>Jl. Denpasar - gilimanuk, Kel. Penyaringan, Kec. Mendoyo, Kab. Jembrana</t>
  </si>
  <si>
    <t>ALFA KALIAKAH</t>
  </si>
  <si>
    <t>66+10</t>
  </si>
  <si>
    <t>Jl. Raya Denpasar - Gilimanuk, Kel. Banyubiru, Kec. Negara, Kab. Jembrana</t>
  </si>
  <si>
    <t>TUKAD PETANU</t>
  </si>
  <si>
    <t>ALFA TUKAD PAKERISAN - DPS</t>
  </si>
  <si>
    <t xml:space="preserve">Jl. Tukad Petanu, Kel. Panjer, Kec. Denpasar Selatan, Kota. Denpasar </t>
  </si>
  <si>
    <t>ALFA MENDOYO ( LOTUS MART )</t>
  </si>
  <si>
    <t>Jl. Raya Denpasar - Gilimanuk, Kel. Mendoyo Dangin Tukad, Kec. Mendoyo, Kab. Jembrana</t>
  </si>
  <si>
    <t>Jl. Raya Kubu, Kel. Tianyar, Kec. Kubu, Kab. Karangasem</t>
  </si>
  <si>
    <t>FRESH DANAU TAMBLINGAN</t>
  </si>
  <si>
    <t>PEPITO DANAU TAMBLINGAN</t>
  </si>
  <si>
    <t>114+10</t>
  </si>
  <si>
    <t>Jl. Danau Tamblingan, Kel. Sanur, Kec. Denpasar Selatan, Kel. Denpasar</t>
  </si>
  <si>
    <t>24/04/2026 - 01/05/2026</t>
  </si>
  <si>
    <t>28+14</t>
  </si>
  <si>
    <t>Jl. Pantai Kuta, Kel. Kuta, Kec. Kuta, Kab. Badung</t>
  </si>
  <si>
    <t>ALFA BATU BOLONG - BDG</t>
  </si>
  <si>
    <t>Jl. Batu Bolong No. 12, Kel. Canggu, Kec. Kuta Utara, Kab. Badung</t>
  </si>
  <si>
    <t>ALFA IMAM BONJOL 412</t>
  </si>
  <si>
    <t xml:space="preserve">Jl. Imam Bonjol, Kel. Pemecutan Klod, Kec. Denpasar Barat, Kota. Denpasar </t>
  </si>
  <si>
    <t xml:space="preserve">ALFA TUKAD BALIAN - DPS </t>
  </si>
  <si>
    <t xml:space="preserve">Jl. Tukad Balian, Kel. Renon, Kec. Denpasar Selatan, Kota. Denpasar </t>
  </si>
  <si>
    <t>ALFA BUANA RAYA</t>
  </si>
  <si>
    <t>Jl. Buana Raya No. 41, Kel. , Kec. Denpasar Barat, Kel. Denpasar</t>
  </si>
  <si>
    <t>FRESH NUSA KAMBANGAN</t>
  </si>
  <si>
    <t>ALFA NUSA KAMBANGAN 3</t>
  </si>
  <si>
    <t>81+10</t>
  </si>
  <si>
    <t xml:space="preserve">Jl. Nusa Kambangan, Kel. Dauh Puri Kauh, Kec. Denpasar Barat, Kota. Denpasar </t>
  </si>
  <si>
    <t>03/05/2023 - 11/06/2023</t>
  </si>
  <si>
    <t>FRESH TOHPATI KESIMAN</t>
  </si>
  <si>
    <t>ALFA WR SUPRATMAN (TOHPATI)</t>
  </si>
  <si>
    <t>77+10</t>
  </si>
  <si>
    <t xml:space="preserve">Jl. Raya Wr Supratman Denpasar, Kel. Kesiman Kertalangu, Kec. Denpasar Timur, Kota. Denpasar </t>
  </si>
  <si>
    <t xml:space="preserve">ALFA BERINGKIT KAPAL - BDG </t>
  </si>
  <si>
    <t>Jl. Denpasar-Gilimanuk, Kel. Mengwitani, Kec. Mengwi, Kab. Badung</t>
  </si>
  <si>
    <t xml:space="preserve">Jl. Wibisana Barat No. 24, Kel. Pemecutan Kaja, Kec. Denpasar Utara, Kota. Denpasar </t>
  </si>
  <si>
    <t>Jl. Raya Astina Timur, Kel. Gianyar, Kec. Gianyar, Kab. Gianyar</t>
  </si>
  <si>
    <t>ALFA KINTAMANI</t>
  </si>
  <si>
    <t>Jl. Raya Kintamani, Kel. Kintamani, Kec. Kintamani, Kab. Bangli</t>
  </si>
  <si>
    <t>SINABUN SINGARAJA</t>
  </si>
  <si>
    <t>Jl. Raya Keloncing, Kel. Sinabun , Kec. Sawan, Kab. Buleleng</t>
  </si>
  <si>
    <t>CIRCLE K SUWETA</t>
  </si>
  <si>
    <t>Jl. Suweta, Kel. Ubud, Kec. Ubud,  Kab. Gianyar</t>
  </si>
  <si>
    <t>13/11/2025 - 05/12/2025</t>
  </si>
  <si>
    <t>20/11/2025 - 07/12/2025</t>
  </si>
  <si>
    <t xml:space="preserve">Jl. Merpati NO. 33 Kel. Tegal Kertha, Kec. Denpasar Barat, Kota. Denpasar  </t>
  </si>
  <si>
    <t>10/02/2026 - 25/02/2026</t>
  </si>
  <si>
    <t xml:space="preserve">POINT BANDARA NGURAH RAI </t>
  </si>
  <si>
    <t>MCI</t>
  </si>
  <si>
    <t>COCO EXPRESS I GUSTI NGURAH RAI</t>
  </si>
  <si>
    <t>BANDARA</t>
  </si>
  <si>
    <t>Jl. Raya Gusti Ngurah Rai, Kel. Tuban, Kec. Kuta, Kab. Badung</t>
  </si>
  <si>
    <t>BY PASS NGURAH RAI DENPASAR</t>
  </si>
  <si>
    <t xml:space="preserve">Jl. By Pass Ngurah rai No. 602, Kel. Pemogan, Kec. Denpasar Selatan, Kota. Denpasar </t>
  </si>
  <si>
    <t>ALFA PULAU BELITUNG</t>
  </si>
  <si>
    <t xml:space="preserve">JL. Pulau Bungin, Kel. Pedungan, Kec. Denpasar Selatan, Kota. Denpasar </t>
  </si>
  <si>
    <t>22/01/2026 - 05/02/2026</t>
  </si>
  <si>
    <t>WR SUPRATMAN 248 - DENPASAR</t>
  </si>
  <si>
    <t>ALFA KESIMAN KERTALANGU - DPS</t>
  </si>
  <si>
    <t xml:space="preserve">JL. Wr. Supratman No. 248, Kel.Kesiman Kertalangu, Kec. Denpasar Timur, Kota. Denpasar </t>
  </si>
  <si>
    <t xml:space="preserve">CARGO PERMAI 42 </t>
  </si>
  <si>
    <t xml:space="preserve">JL. Cargo Permai No. 42, Kel.Ubung, Kec. Denpasar Utara, Kota. Denpasar </t>
  </si>
  <si>
    <t>20/08/2025 - 29/08/2025</t>
  </si>
  <si>
    <t>ALFA PURA DEMAK</t>
  </si>
  <si>
    <t xml:space="preserve">Pemecutan Klod, Kel. Pemecutan Klod, Kec. Denpasar Barat, Kota. Denpasar </t>
  </si>
  <si>
    <t xml:space="preserve">KALIAKAH - JEMBARANA </t>
  </si>
  <si>
    <t>Jl. Denpasar - gilimanuk, Kel. Kaliakah, Kec. Negara, Kab. Jembrana</t>
  </si>
  <si>
    <t>ALFA NE DUKUH</t>
  </si>
  <si>
    <t xml:space="preserve">Jl. Raya Pemoga No. 168, Kel. Pemogan, Kec. Denpasar Selatan, Kota. Denpasar </t>
  </si>
  <si>
    <t>Jl. Raya Negara Pengambengan, Kel. Tegal Badeng Timur, Kec. Negara, Kab. Jembrana</t>
  </si>
  <si>
    <t xml:space="preserve">ALFA PALAPA - DPS </t>
  </si>
  <si>
    <t xml:space="preserve">Jl. Palapa No. 55, Kel. Sesetan, Kec. Denpasar Selatan, Kota. Denpasar </t>
  </si>
  <si>
    <t>Jl. Janger, Kel. Dauh Yeh Cani, Kec. Abiansemal, Kab. Badung</t>
  </si>
  <si>
    <t>PENDIDIKAN NO 37A - DPS</t>
  </si>
  <si>
    <t>ALFA PENDIDIKAN</t>
  </si>
  <si>
    <t xml:space="preserve">Jl. Pendidikan No. 37A, Kel. Sidakarya, Kec. Denpasar Selatan, Kota. Denpasar </t>
  </si>
  <si>
    <t>18/02/2026 - 04/03/2026</t>
  </si>
  <si>
    <t>FRESH A YANI UTARA 196</t>
  </si>
  <si>
    <t>ALFA TOKO KIRANA</t>
  </si>
  <si>
    <t xml:space="preserve">Jl. A Yani No. 196, Kel. Peguyangan, Kec. Denpasar Utara, Kota. Denpasar </t>
  </si>
  <si>
    <t>27/04/2026 - 04/05/2026</t>
  </si>
  <si>
    <t>ALFA YEH SUMBUL - JBN</t>
  </si>
  <si>
    <t>Jl. Raya Denpasar - Gilimanuk, Kel. Pekutatan, Kec. Pekutatan, Kab. Jembrana</t>
  </si>
  <si>
    <t>FA7Q</t>
  </si>
  <si>
    <t>Jl. Raya Tojan, Kel. Pering Kec. Blahbatuh, Kab. Gianyar</t>
  </si>
  <si>
    <t>Jl. Kusumayudha, Kel. Tiga, Kec. Susut, Kab. Bangli</t>
  </si>
  <si>
    <t>ALFA PULAU MOYO</t>
  </si>
  <si>
    <t xml:space="preserve">Jl. Pulau Moyo No. 50, Kel. Pedungan, Kec. Denpasar Selatan, Kota. Denpasar </t>
  </si>
  <si>
    <t>Jl. Tambaksari, Kel. Kapal, Kec. Mengwi, Kab. Badung</t>
  </si>
  <si>
    <t>14/09/2025 - 28/09/2025</t>
  </si>
  <si>
    <t>Jl. Banyuatis, Kel. Banyuatis, Kec. Banjar, Kab. Singaraja</t>
  </si>
  <si>
    <t>A YANI UTARA NO 388 DENPASAR</t>
  </si>
  <si>
    <t>ALFA PEGUYANGAN KAJA - DPS</t>
  </si>
  <si>
    <t xml:space="preserve">Jl. A Yani Utara No. 388, Kel. Peguyangan, Kec. Denpasar Utara, Kota. Denpasar </t>
  </si>
  <si>
    <t>GN. RINJANI NO 51 - DENPASAR</t>
  </si>
  <si>
    <t>ALFA GUNUNG RINJANI (TOKO MUTIARA)</t>
  </si>
  <si>
    <t xml:space="preserve">Jl. Gn Rinjani No. 51, Kel. Tegal Harum, Kec. Denpasar Barat, Kota. Denpasar </t>
  </si>
  <si>
    <t>ALFA SANGEH</t>
  </si>
  <si>
    <t>Jl. Raya Sangeh, Kel. Sangeh, Kec. Abiansemal, Kab. Badung</t>
  </si>
  <si>
    <t xml:space="preserve">TUKAD IRAWADI NO 47 </t>
  </si>
  <si>
    <t xml:space="preserve">ALFA TUKAD IRAWADI - DPS </t>
  </si>
  <si>
    <t xml:space="preserve">Jl. Tukad Irawadi No. 47, Kel. Sesetan, Kec. Denpasar Selatan, Kota. Denpasar </t>
  </si>
  <si>
    <t xml:space="preserve">Jl. Badak Agung, Kel. Sumerta Kelod, Kec. Denpasar Timur, Kota. Denpasar </t>
  </si>
  <si>
    <t xml:space="preserve">NANGKA SELATAN NO76 </t>
  </si>
  <si>
    <t xml:space="preserve">Jl. Nangka Selatan No. 76, Kel. Dangin Puri Kaja, Kec. Denpasar Utara, Kota. Denpasar </t>
  </si>
  <si>
    <t>07/01/2026 - 20/01/2026</t>
  </si>
  <si>
    <t>ALFA UNTUNG SUROPATI</t>
  </si>
  <si>
    <t>Jl. Melati No. 53, Kel. Dangin Puri Kangin, Kec. Denpasar Utara, Kota. Denpasar</t>
  </si>
  <si>
    <t>COKROAMINOTO NO 32 DENPASAR</t>
  </si>
  <si>
    <t xml:space="preserve">ALFA MARGAJATI - DPS </t>
  </si>
  <si>
    <t>LT1,LT2,LT3</t>
  </si>
  <si>
    <t>Jl. Cokroaminoto No 32, Kel. Pemecutan Kaja, Kec. Denpasar Utara, Kota. Denpasar</t>
  </si>
  <si>
    <t>Jl. Patimura No 9-11, Kel. Dangin Puri Kaja, Kec. Denpasar Utara, Kota. Denpasar</t>
  </si>
  <si>
    <t>ALFA PATIH NAMBI (TOKO AYU)</t>
  </si>
  <si>
    <t>Jl. Kertanegara, Kel. Ubung Kaja, Kec. Denpasar Utara, Kota. Denpasar</t>
  </si>
  <si>
    <t xml:space="preserve">ALFA TRIJATA - DPS </t>
  </si>
  <si>
    <t xml:space="preserve">Jl. Suli, Kel. Dangin Puri Kangin, Kec. Denpasar Utara, Kota. Denpasar </t>
  </si>
  <si>
    <t>Jl. Tirta Nadi, Kel. Sanur Kauh, Kec. Denpasar Selatan, Kota. Denpasar</t>
  </si>
  <si>
    <t>12/01/2026 - 26/01/2026</t>
  </si>
  <si>
    <t>ALFA ABIANTUWUNG</t>
  </si>
  <si>
    <t>Jl. Ahmad Yani, Kel. Abian Tuwung, Kec. Kediri, Kab. Tabanan</t>
  </si>
  <si>
    <t>09/09/2025 - 18/09/2025</t>
  </si>
  <si>
    <t>HAYAM WURUK NO 185 DENPASAR</t>
  </si>
  <si>
    <t>ALFA HAYAM WURUK</t>
  </si>
  <si>
    <t>Jl. Hayam Wuruk No. 185, Kel. Sumerta Kelod, Kec. Denpasar Timur, Kota. Denpasar</t>
  </si>
  <si>
    <t xml:space="preserve">ALFA LETDA MADE PUTRA - DPS </t>
  </si>
  <si>
    <t>40+8</t>
  </si>
  <si>
    <t>Jl. Letda Made Putra, Kel. Dangin Puri, Kec. Denpasar Timur, Kota. Denpasar</t>
  </si>
  <si>
    <t>ALFA WANGAYA - DPS</t>
  </si>
  <si>
    <t>Jl. Kartini No. 50, Kel. Dauh Puri Kaja, Kec. Denpasar Utara Kota. Denpasar</t>
  </si>
  <si>
    <t>ALFA GUNUNG SANGHYANG</t>
  </si>
  <si>
    <t>Jl. Gunung Sanghyang, Kel. Kerobokan Kaja, Kec. Kuta Utara, Kab. Badung</t>
  </si>
  <si>
    <t>ALFA KENYERI - DPS</t>
  </si>
  <si>
    <t>Jl. Kenyeri, Kel. Sumerta Kaja, Kec. Denpasar Timur, Kota Denpasar</t>
  </si>
  <si>
    <t>Jl. Gatot Subroto Barat No 415, Kel. Padangsambian Kaja, Kec. Denpasar Barat, Kota Denpasar</t>
  </si>
  <si>
    <t>ALFA ABIAN SAKA</t>
  </si>
  <si>
    <t>Jl. Raya Mas, Kel.Mas, Kec. Ubud, Kab. Gianyar</t>
  </si>
  <si>
    <t>01/06/2025 - 10/06/2025</t>
  </si>
  <si>
    <t>ALFA PULAU KAWE</t>
  </si>
  <si>
    <t>Jl. Pulau Kawe No. 35, Kel. Dauh Puri Klod, Kec. Denpasar Barat, Kota Denpasar</t>
  </si>
  <si>
    <t>ALFAMIDI HAYAM WURUK 3</t>
  </si>
  <si>
    <t>Jl. Kembang Matahari, Kel. Kesiman, Kec. Denpasar Timur, Kota Denpasar</t>
  </si>
  <si>
    <t>Jl. Ngurah Rai, Kel. Loloan Timur, Kec. Negara, Kab. Jembrana</t>
  </si>
  <si>
    <t>ALFA TANGKUBAN PERAHU</t>
  </si>
  <si>
    <t>Jl. Gn. Tangkuban Perahu, Kel. Kerobokan Klod, Kec. Kuta Utara, Kab. Badung</t>
  </si>
  <si>
    <t>CIRCLE K SESETAN</t>
  </si>
  <si>
    <t>Jl. Raya Sesetan, Kel. Sesetan, Kec. Denpasar Selatan, Kota Denpasar</t>
  </si>
  <si>
    <t>ALFA GUNUNG LEMPUYANG</t>
  </si>
  <si>
    <t>Jl. Gn Lempuyang No 88, Kel. Sumerta Kaja, Kec. Denpasar Timur, Kota Denpasar</t>
  </si>
  <si>
    <t>Jl. Kapten Dipta, Kel. Gianyar, Kec. Gianyar, Kab. Gianyar</t>
  </si>
  <si>
    <t>Jl. Buluh Indah No. 126, Kel. Pemecutan Kaja, Kec. Denpasar Barat, Kota Denpasar</t>
  </si>
  <si>
    <t xml:space="preserve">PULAU BATANTA NO 45 </t>
  </si>
  <si>
    <t>CIRCLE K TEUKU UMAR</t>
  </si>
  <si>
    <t>Jl. Pulau Batanta No 45, Kel. Dauh Puri Kauh, Kec. Denpasar Barat, Kota Denpasar</t>
  </si>
  <si>
    <t>POINT TIRTA GIRI KUTRI</t>
  </si>
  <si>
    <t>ALFA KOTA BARU (NGURAH RAI)</t>
  </si>
  <si>
    <t>RUMAH SAKIT</t>
  </si>
  <si>
    <t>26+6</t>
  </si>
  <si>
    <t>Jl. Tirta Giri Kutri, Kel. Kawan, Kec. Bangli, Kab. Bangli</t>
  </si>
  <si>
    <t>FDDF</t>
  </si>
  <si>
    <t>Jl. Teuku Umar, Kel. Kediri, Kec. Kediri, Kab. Tabanan</t>
  </si>
  <si>
    <t>8/5/2025 - 15/05/2025</t>
  </si>
  <si>
    <t>RAYA SIDAKARYA 142 - DENPASAR</t>
  </si>
  <si>
    <t>ALFA KSO MERTASARI (ATRIS MART)</t>
  </si>
  <si>
    <t>Jl. Raya Sidakarya No. 142, Kel. Sidakarya, Kec. Denpasar Selatan, Kota Denpasar</t>
  </si>
  <si>
    <t>ALFA DIPONEGORO SELATAN</t>
  </si>
  <si>
    <t>Jl. Diponegoro, Kel. Pedungan, Kec. Denpasar Selatan, Kota Denpasar</t>
  </si>
  <si>
    <t>06/11/2024 - 24/11/2024</t>
  </si>
  <si>
    <t>BYPASS NGURAH RAI 192 DENPASAR</t>
  </si>
  <si>
    <t>ALFA HANGTUAH - DPS</t>
  </si>
  <si>
    <t>Jl. By Pass Ngurah Rai No. 192, Kel. Sanur Kaja, Kec. Denpasar Selatan Kota Denpasar</t>
  </si>
  <si>
    <t>F9GO</t>
  </si>
  <si>
    <t>ALFA BY PASS SANUR - DPS</t>
  </si>
  <si>
    <t>Jl. Sedap Malam, Kel. Sanur Kaja, Kec. Denpasar Selatan Kota Denpasar</t>
  </si>
  <si>
    <t>S8 40 9.02 E115 153.44</t>
  </si>
  <si>
    <t>ALFA SIULAN - DPS</t>
  </si>
  <si>
    <t>Jl. Siualan, Kel. Penatih Dangin Puri, Kec. Denpasar Timur Kota Denpasar</t>
  </si>
  <si>
    <t>ALFA SUDIRMAN PENDEM - JBN</t>
  </si>
  <si>
    <t>Jl. Raya Denpasar Gilimanuk, Kel. Baler Bale Agung, Kec. Negara, Kab. Jembrana</t>
  </si>
  <si>
    <t>ALFA MARUTI - DPS</t>
  </si>
  <si>
    <t>Jl. Ahmad Yani, Kel. Dauh Puri Kaja, Kec. Denpasar Utara Kota Denpasar</t>
  </si>
  <si>
    <t>Jl. Raya Puncak Mangu, Kel. Pelaga, Kec. Petang, Kab. Badung</t>
  </si>
  <si>
    <t>8°17'43.57"S 115°13'29.63"E</t>
  </si>
  <si>
    <t>09/07/2025 - 03/07/2025</t>
  </si>
  <si>
    <t>ALFA MENDOYO LOTUS MART - JBN</t>
  </si>
  <si>
    <t>Jl. Raya Denpasar - Gilimanuk, Kel. Tegal Cangkring, Kec. Mendoyo, Kab. Jembrana</t>
  </si>
  <si>
    <t>8°22'40.50"S 114°41'8.55"E</t>
  </si>
  <si>
    <t>DAWAN</t>
  </si>
  <si>
    <t>Jl. Raya Sampalan, Kel. Sampalan Kelod, Kec. Dawan, Kab. Klungkung</t>
  </si>
  <si>
    <t>8°32'41.02"S 115°25'12.20"E</t>
  </si>
  <si>
    <t>Jl. Imam Bonjol No. 210 , Kel. Pemecutan Klod, Kec. Denpasar Barat, Kota Denpasar</t>
  </si>
  <si>
    <t>8°40'39.60"S 115°11'59.27"E</t>
  </si>
  <si>
    <t>ALFA SURYA SESETAN - DPS</t>
  </si>
  <si>
    <t>Jl. Raya Sesetan No. 239, Kel. Sesetan, Kec. Denpasar Selatan, Kota Denpasar</t>
  </si>
  <si>
    <t xml:space="preserve"> 8°42'23.28"S 115°13'13.14"E</t>
  </si>
  <si>
    <t>TUKAD PAKERISAN NO56-DENPASAR</t>
  </si>
  <si>
    <t>ALFA PAKERISAN UTARA - DPS</t>
  </si>
  <si>
    <t>Jl. Tukad Pakerisan No. 56, Kel. Panjer, Kec. Denpasar Selatan, Kota Denpasar</t>
  </si>
  <si>
    <t>8°40'58.90"S 115°13'33.64"E</t>
  </si>
  <si>
    <t>Jl. Gunung Athena, Kel. Padangsambian Kelod, Kec. Denpasar Barat, Kota Denpasar</t>
  </si>
  <si>
    <t>8°39'32.07"S 115°11'13.22"E</t>
  </si>
  <si>
    <t>09/11/2024 - 26/11/2024</t>
  </si>
  <si>
    <t>BUANA RAYA 07 - DENPASAR</t>
  </si>
  <si>
    <t>Jl. Buana Raya No. 07, Kel. Padangsambian, Kec. Denpasar Barat, Kota Denpasar</t>
  </si>
  <si>
    <t>FRESH NGURAH RAI KUTA</t>
  </si>
  <si>
    <t>ALFA BY PASS NGURAH RAI 4 - BDG</t>
  </si>
  <si>
    <t>Jl. By Pass Ngurah Rai, Kel. Kuta, Kec. Kuta, Kab. Badung</t>
  </si>
  <si>
    <t>8°43'53.21"S 115°10'44.17"E</t>
  </si>
  <si>
    <t>SERIRIT KM 6 - SINGARAJA</t>
  </si>
  <si>
    <t>ALFA SPBU ANTURAN - SRA</t>
  </si>
  <si>
    <t>Jl. Raya Seririt Singaraja, Kel. Tukadmungga, Kec. Buleleng, Kab. Buleleng</t>
  </si>
  <si>
    <t>8° 8'38.18"S 115° 3'2.63"E</t>
  </si>
  <si>
    <t>HH100</t>
  </si>
  <si>
    <t>Jl. Uluwatu, Kel. Jimbaran, Kec. Kuta Selatan, Kab. Badung</t>
  </si>
  <si>
    <t>8°47'33.23"S 115° 9'48.12"E</t>
  </si>
  <si>
    <t xml:space="preserve">TANGKUBAN PERAHU NO 111D </t>
  </si>
  <si>
    <t>Jl. Tangkuban Perahu No. 111D, Kel. Padangsambian Klod, Kec. Denpasar Barat, Kota Denpasar</t>
  </si>
  <si>
    <t>8°39'46.85"S 115°10'50.06"E</t>
  </si>
  <si>
    <t>Jl. Mertasari No. 68, Kel. Sidakarya, Kec. Denpasar Selatan, Kota Denpasar</t>
  </si>
  <si>
    <t>8°42'40.32"S 115°13'43.74"E</t>
  </si>
  <si>
    <t>GUNUNG AGUNG BESAKIH</t>
  </si>
  <si>
    <t>RENDANG</t>
  </si>
  <si>
    <t>Jl. Gunung Agung Besakih, Kel. Rendang, Kec. Rendang, Kab. Karangasem</t>
  </si>
  <si>
    <t>8°25'6.53"S 115°25'14.67"E</t>
  </si>
  <si>
    <t>ALFA KROYA - DPS</t>
  </si>
  <si>
    <t>Jl. Nusa Indah No. 56, Kel. Sumerta, Kec. Denpasar Timur, Kota Denpasar Timur</t>
  </si>
  <si>
    <t>8°39'3.65"S 115°14'3.81"E</t>
  </si>
  <si>
    <t>15/04/2025 - 25/04/2025</t>
  </si>
  <si>
    <t>BRIGHT BY INDOMARET NENAS</t>
  </si>
  <si>
    <t>BEBANDEM</t>
  </si>
  <si>
    <t>Jl. Nenas, Kel. Bungaya Kangin, Kec. Bebandem, Kab. Karangasem</t>
  </si>
  <si>
    <t>8°26'37.22"S 115°34'42.89"E</t>
  </si>
  <si>
    <t>BUSUNG BIU</t>
  </si>
  <si>
    <t>Jl Kiskinda, Kel. Busung Biu, Kec. Busung Biu. Kab. Buleleng</t>
  </si>
  <si>
    <t>8°16'19.03"S 114°58'13.64"E</t>
  </si>
  <si>
    <t>ALFAMART GATSU VI</t>
  </si>
  <si>
    <t>Jl. Gatsu VI,Kel. Dauh Puri Kaja, Kec.Denpasar Utara, Kota Denpasar</t>
  </si>
  <si>
    <t>8°38'22.25"S 115°12'58.98"E</t>
  </si>
  <si>
    <t>Jl. Pasekan, Kel. Batubulan Kangin, Kec. Sukawati, Kab. Gianyar</t>
  </si>
  <si>
    <t>8°37'5.91"S 115°16'0.34"E</t>
  </si>
  <si>
    <t>PALGUNA NO 101X - DENPASAR</t>
  </si>
  <si>
    <t>Jl. Palguna No. 101X, Kel. Ketewel, Kec. Sukawati, Kab. Gianyar</t>
  </si>
  <si>
    <t>8°38'18.59"S115°16'29.33"E</t>
  </si>
  <si>
    <t>Jl. Kebo Iwa, Kel. Blahbatuh, Kec. Blahbatuh, Kab. Gianyar</t>
  </si>
  <si>
    <t>8°33'58.03"S 115°18'9.24"E</t>
  </si>
  <si>
    <t xml:space="preserve">BUANA PERMATA HIJAU NO 9D </t>
  </si>
  <si>
    <t>ALFA MAHENDRADATTA</t>
  </si>
  <si>
    <t>Jl. Buana Permata Hijau, Kel. Padangsambian, Kec. Denpasar Barat, Kota Denpasar</t>
  </si>
  <si>
    <t>8°39'36.99"S 115°11'25.46"E</t>
  </si>
  <si>
    <t>ALFA TANJUNG TUTUR</t>
  </si>
  <si>
    <t>Jl. Suradipa No 18, Kel. Peguyangan Kaja, Kec. Denpasar Utara, Kota Denpasar</t>
  </si>
  <si>
    <t>8°36'28.84"S 115°12'21.47"E</t>
  </si>
  <si>
    <t>PATAS - SINGARAJA</t>
  </si>
  <si>
    <t>ALFAMART CELIKANBAWANG</t>
  </si>
  <si>
    <t>Jl. Raya Anturan, Kel. Patas, Kec. Gerokgak, Kab. Singaraja</t>
  </si>
  <si>
    <t>8°11'34.96"S 114°48'32.61"E</t>
  </si>
  <si>
    <t>ALFA RAYA PEMOGAN</t>
  </si>
  <si>
    <t>Jl. Raya Pemogan No. 245, Kel. Pemogan, Kec. Denpasar Selatan, Kota Denpasar</t>
  </si>
  <si>
    <t>8°42'48.20"S 115°11'59.91"E</t>
  </si>
  <si>
    <t>16/10/2025 - 29/10/2025</t>
  </si>
  <si>
    <t>BY PASS NGURAH RAI NO 110</t>
  </si>
  <si>
    <t>Jl. By Pass Ngurah Rai No. 110, Kel. Kesiman Kertalangu, Kec. Denpasar Timur, Kota Denpasar</t>
  </si>
  <si>
    <t>8°39'4.65"S 115°15'15.48"E</t>
  </si>
  <si>
    <t>16/10/2025 - 28/10/2025</t>
  </si>
  <si>
    <t>SIDAKARYA NO 55 - DENPASAR</t>
  </si>
  <si>
    <t>Alfamart Bedugul</t>
  </si>
  <si>
    <t>Jl. Raya Sidakarya No. 55, Kel. Sesetan, Kec. Denpasar Selatan, Kota Denpasar</t>
  </si>
  <si>
    <t>8°42'3.06"S 115°13'29.08"E</t>
  </si>
  <si>
    <t>YEHEMBANG KAUH</t>
  </si>
  <si>
    <t>Alfa Yehembang</t>
  </si>
  <si>
    <t>Jl. Raya Denpasar Gilimanuk, Kel. Yehembang Kauh, Kec. Mendoyo, Kab. Jembrana</t>
  </si>
  <si>
    <t>8°23'29.49"S 114°45'10.30"E</t>
  </si>
  <si>
    <t>TANGGAYUDA - BADUNG</t>
  </si>
  <si>
    <t>Jl. Tangga yuda, Kel. Bongkasa, Kec. Abiansemal, Kab. Badung</t>
  </si>
  <si>
    <t>8°30'10.00"S 115°14'0.70"E</t>
  </si>
  <si>
    <t>Jl. Umalas, Kel. Keroboka Kelod, Kec. Kuta Utara, Kab. Badung</t>
  </si>
  <si>
    <t>8°40'2.04"S 115° 9'43.49"E</t>
  </si>
  <si>
    <t>DEWI SRI 18</t>
  </si>
  <si>
    <t>CIRCLE K DEWI SRI 2</t>
  </si>
  <si>
    <t>Jl. Raya Dewi Sri No.18A-B, Kuta - Badung</t>
  </si>
  <si>
    <t>18/05/2025 - 11/06/2025</t>
  </si>
  <si>
    <t>17/05/2025 - 26/05/2025</t>
  </si>
  <si>
    <t>Alfa Dalung Permai</t>
  </si>
  <si>
    <t>Jl. Perum Dalung Permai, Kel. Dalung , Kec. Kuta Utara, Kab. Badung</t>
  </si>
  <si>
    <t>8°37'42.80"S 115°10'10.76"E</t>
  </si>
  <si>
    <t>Penatahan, Kel. Penatahan, Kec. Penebel, Kab. Tabanan</t>
  </si>
  <si>
    <t>8°26'14.32"S 115° 7'38.71"E</t>
  </si>
  <si>
    <t>10/07/2025 - 28/07/2025</t>
  </si>
  <si>
    <t>Alfa Maruti</t>
  </si>
  <si>
    <t>Jl. Sutomo, Kel. Pemecutan Kaja, Kec. Denpasar Utara, Kota Denpasar</t>
  </si>
  <si>
    <t>8°38'53.08"S 115°12'35.79"E</t>
  </si>
  <si>
    <t>Alfa Singapadu</t>
  </si>
  <si>
    <t>Jl. Raya Singapadu, Kel. Singapadu, Kec. Sukawati, Kab. Gianyar</t>
  </si>
  <si>
    <t>8°35'33.18"S 115°15'38.52"E</t>
  </si>
  <si>
    <t>Alfa Pulau Buton</t>
  </si>
  <si>
    <t>Jl. Pulau Buton No 12A, Kel. Dauh Puri Klod, Kec. Denpasar Barat, Kota Denpasar</t>
  </si>
  <si>
    <t>8°40'39.56"S 115°12'50.71"E</t>
  </si>
  <si>
    <t>27/04/2026 - 11/05/2026</t>
  </si>
  <si>
    <t>Jl. Danau Poso No 125, Kel. Sanur, Kec. Denpasar Selatan, Kota Denpasar</t>
  </si>
  <si>
    <t>8°42'16.93"S 115°15'32.99"E</t>
  </si>
  <si>
    <t>Alfa Tibung Sari</t>
  </si>
  <si>
    <t>L1</t>
  </si>
  <si>
    <t>Jl. Kebo Iwa No. 26, Kel. Padangsambian Kaja, Kec. Denpasar Barat, Kota Denpasar</t>
  </si>
  <si>
    <t>8°37'52.16"S 115°11'3.62"E</t>
  </si>
  <si>
    <t>30/04/2025 - 06/05/2025</t>
  </si>
  <si>
    <t>Alfa Seroja 2</t>
  </si>
  <si>
    <t>Jl. Padma No 4, Kel. Tonja, Kec. Denpasar Utara, Kota Denpasar</t>
  </si>
  <si>
    <t>8°37'32.44"S 115°13'44.10"E</t>
  </si>
  <si>
    <t>Alfamart Akasia</t>
  </si>
  <si>
    <t>Jl. Akasia, Kel. Sumerta, Kec. Denpasar Timur, Kota Denpasar</t>
  </si>
  <si>
    <t>8°39'25.06"S 115°14'31.74"E</t>
  </si>
  <si>
    <t>FRESH RAYA PUPUTAN DENPASAR</t>
  </si>
  <si>
    <t>Alfa DT Puputan Renon</t>
  </si>
  <si>
    <t>L1,L2</t>
  </si>
  <si>
    <t>Jl. Raya Puputan, Kel. Sumerta Kelod, Kec. Denpasar Timur, Kota Denpasar</t>
  </si>
  <si>
    <t>8°40'24.52"S 115°14'2.66"E</t>
  </si>
  <si>
    <t>Jl. Raya Sukawati, Kel. Sukawati, Kec. Sukawati, Kab. Gianyar</t>
  </si>
  <si>
    <t>8°35'52.03"S 115°16'57.88"E</t>
  </si>
  <si>
    <t>Jl Raya Kintamani, Kel. Dausa, Kec. Kintamani, Kab. Bangli</t>
  </si>
  <si>
    <t>8°11'41.61"S 115°17'28.37"E</t>
  </si>
  <si>
    <t xml:space="preserve">Alfa Bedugul </t>
  </si>
  <si>
    <t>Jl. Bedugul No 11, Kel. Sidakarya, Kec. Denpasar Selatan, Kab. Denpasar</t>
  </si>
  <si>
    <t>8°41'56.10"S 115°13'37.38"E</t>
  </si>
  <si>
    <t>Jl. Raya Lodtunduh, Kel. Lodtunduh, Kec.Ubud, Kab. Gianyar</t>
  </si>
  <si>
    <t>8°32'52.92"S 115°15'42.85"E</t>
  </si>
  <si>
    <t>10/09/2024 - 20/09/20214</t>
  </si>
  <si>
    <t>Jl. Pasung Grigis, Kel. Kemenuh, Kec. Sukawati, Kab. Gianyar</t>
  </si>
  <si>
    <t>8°31'42.02"S 115°17'0.28"E</t>
  </si>
  <si>
    <t>Alfa Raya Penelokan</t>
  </si>
  <si>
    <t>58+08</t>
  </si>
  <si>
    <t>BASEMENT</t>
  </si>
  <si>
    <t>Jl. Raya Penelokan, Kel. Batur Tengah, Kec. Kintamani, Kab. Bangli</t>
  </si>
  <si>
    <t>8°16'17.73"S 115°20'46.80"E</t>
  </si>
  <si>
    <t xml:space="preserve">Jl. Werkudara No. 14, Kel. Dangin Puri Kauh, Kec. Denpasar Utara Kota Denpasar </t>
  </si>
  <si>
    <t>8°39'8.58"S 115°12'55.90"E</t>
  </si>
  <si>
    <t xml:space="preserve">Jl. Cokroaminoto No 317, Kel. Ubung Kaja, Kec. Denpasar Utara Kota Denpasar </t>
  </si>
  <si>
    <t>8°37'19.65"S 115°11'53.89"E</t>
  </si>
  <si>
    <t>TUKAD MUNGGA PEMARON - SINGARAJA</t>
  </si>
  <si>
    <t>Alfa Pemaron</t>
  </si>
  <si>
    <t>JL. Tukad Mungga Pemaron, Kel. Panji Anom, Kec. Sukasada, Kab. Buleleng</t>
  </si>
  <si>
    <t>8° 8'26.34"S 115° 3'42.34"E</t>
  </si>
  <si>
    <t>Jl Pantai Kedungu, Kel. Nyitdah, Kec. Kediri, Kab. Tabanan</t>
  </si>
  <si>
    <t>8°34'46.38"S 115° 6'36.39"E</t>
  </si>
  <si>
    <t>15/05/2025 - 22/05/2025</t>
  </si>
  <si>
    <t>Alfa Pantai Berawa ( Canggu Tandek)</t>
  </si>
  <si>
    <t>Jl. Raya Semat, Kel. Tibubeneng, Kec. Kuta Utara, Kab. Badung</t>
  </si>
  <si>
    <t>8°39'1.21"S 115° 8'42.61"E</t>
  </si>
  <si>
    <t>Jl. Raya Belantih, Kel. Belantih, Kec. Kintamani, Kab. Bangli</t>
  </si>
  <si>
    <t>8°13'17.88"S 115°16'16.48"E</t>
  </si>
  <si>
    <t>02/04/2026 - 16/04/2026</t>
  </si>
  <si>
    <t>BY IDA BAGUS MANTRA NO 119</t>
  </si>
  <si>
    <t>ALFAMART TULIKUP</t>
  </si>
  <si>
    <t>Jl. Prof Ida Bagus Mantra, Kel. Negari, Kec, Banjarangkan, Kab. Klungkung</t>
  </si>
  <si>
    <t>8°34'4.26"S 115°22'46.76"E</t>
  </si>
  <si>
    <t>Alfa Kepaon Indah</t>
  </si>
  <si>
    <t>Jl. Kepaon Indah, Kel. Pemogan, Kec. Denpasar Selatan, Kota Denpasar</t>
  </si>
  <si>
    <t>8°42'34.60"S 115°12'4.23"E</t>
  </si>
  <si>
    <t>Alfamart Hayam Wuruk</t>
  </si>
  <si>
    <t>Jl. Hayam Wuruk No 80, Kel. Sumerta Kelod, Kec. Denpasar Timur, Kota. Denpasar</t>
  </si>
  <si>
    <t>8°39'26.71"S 115°13'51.83"E</t>
  </si>
  <si>
    <t>KABA KABA - TABANAN</t>
  </si>
  <si>
    <t>Jl Raya Kaba Kaba, Kel. Nyambu, Kec. Kediri, Kab. Tabanan</t>
  </si>
  <si>
    <t>8°34'32.52"S 115° 8'57.74"E</t>
  </si>
  <si>
    <t>Alfa Tukad Badung</t>
  </si>
  <si>
    <t>Jl. Tukad Badung, Kel. Renon, Kec. Denpasar Selatan, Kota. Denpasar</t>
  </si>
  <si>
    <t>8°41'18.55"S 115°14'17.47"E</t>
  </si>
  <si>
    <t>RAYA DEWI SARTIKA - SINGARAJA</t>
  </si>
  <si>
    <t>Alfamart Dewi Sartika</t>
  </si>
  <si>
    <t>Jl Dewi Sartika, Kel. Kaliuntu, Kec. Buleleng, Kab. Buleleng</t>
  </si>
  <si>
    <t>8° 6'49.62"S 115° 5'9.58"E</t>
  </si>
  <si>
    <t>27/08/2025 - 10/09/2025</t>
  </si>
  <si>
    <t>Jl. Udayana, Kel.Buruan, Kec. Blahbatuh, Kab. Gianyar</t>
  </si>
  <si>
    <t>8°33'4.60"S 115°18'10.50"E</t>
  </si>
  <si>
    <t>Alfa Giri Mumbul</t>
  </si>
  <si>
    <t>Jl. Taman Giri No. 77, Kel. Benoa, Kec. Kuta Selatan, Kab. Badung</t>
  </si>
  <si>
    <t>8°47'34.07"S 115°11'41.00"E</t>
  </si>
  <si>
    <t>Jl. Pantai Balangan, Kel. Jimbaran, Kec. Kuta Selatan, Kab. Badung</t>
  </si>
  <si>
    <t>8°48'25.09"S 115° 8'29.21"E</t>
  </si>
  <si>
    <t>RAYA TEGALLALANG - GIANYAR</t>
  </si>
  <si>
    <t>L2</t>
  </si>
  <si>
    <t>Jl. Raya Tegallalang, Kel. Tegallalang, Kec. Tegallalang, Kab. Gianyar</t>
  </si>
  <si>
    <t>8°26'21.42"S 115°16'47.24"E</t>
  </si>
  <si>
    <t>Jl. Tukad Petanu, Kel. Samplangan, Kec. Gianyar, Kab. Gianyar</t>
  </si>
  <si>
    <t>8°32'15.76"S 115°20'13.40"E</t>
  </si>
  <si>
    <t>SRIKANDI NO 12 - SINGARAJA</t>
  </si>
  <si>
    <t>ALFAMART SAMBANGAN</t>
  </si>
  <si>
    <t>Jl Srikandi, Kel. Baktiseraga, Kec. Buleleng, Kab. Buleleng</t>
  </si>
  <si>
    <t>8° 7'46.95"S 115° 5'10.21"E</t>
  </si>
  <si>
    <t>Alfamart Raya Perang</t>
  </si>
  <si>
    <t xml:space="preserve"> Jl. Raya Perang, Kel. Lukluk, Kec. Mengwi, Kab. Badung</t>
  </si>
  <si>
    <t>8°35'3.47"S 115°11'40.38"E</t>
  </si>
  <si>
    <t>Alfa Raya Pemogan</t>
  </si>
  <si>
    <t>Jl. Pulau Bungin No. 89, Kel. Pedungan, Kec. Denpasar Selatan, Kota Denpasar</t>
  </si>
  <si>
    <t>8°41'26.23"S 115°12'9.60"E</t>
  </si>
  <si>
    <t>ALFAMART WINDU SARA</t>
  </si>
  <si>
    <t>Jl Windu Sara, Kel. Kedisan, Kec. Kintamani, Kab. Bangli</t>
  </si>
  <si>
    <t>8°16'45.06"S 115°22'36.15"E</t>
  </si>
  <si>
    <t>Jl Jaga Raga, Kel. Celuk. Kec. Sukawati, Kab. Gianyar</t>
  </si>
  <si>
    <t>8°35'40.29"S 115°16'9.49"E</t>
  </si>
  <si>
    <t>Jl. Raya Denpasar Gilimanuk, Kel. Melaya, Kec.Melaya  , Kab. Jembrana</t>
  </si>
  <si>
    <t>8°16'38.94"S 114°30'2.13"E</t>
  </si>
  <si>
    <t>COK AGUNG TRESNA NO 19</t>
  </si>
  <si>
    <t>Alfa Bali Stuti</t>
  </si>
  <si>
    <t>Jl. Cok Agung Tresna, Kel. Dangin Puri Klod, Kec. Denpasar Timur, Kab. Denpasar</t>
  </si>
  <si>
    <t>8°40'0.11"S 115°13'34.75"E</t>
  </si>
  <si>
    <t xml:space="preserve">RAYA TIANYAR </t>
  </si>
  <si>
    <t>Jl. Tejakula - Tianyar,  Kel. Tianyar Barat, Kec. Kubu, Kab. Karangasem</t>
  </si>
  <si>
    <t>8°11'09.9"S 115°28'53.8"E</t>
  </si>
  <si>
    <t>Jl. Ngurah Rai, Kel. Semarapura Kaja, Kec. Klungkung, Kab. Klungkung</t>
  </si>
  <si>
    <t>8°31'44.25"S 115°23'54.49"E</t>
  </si>
  <si>
    <t>Alfa Wr Supratman 2</t>
  </si>
  <si>
    <t>Jl. Ratna No. 20, Kel. Sumerta Kauh, Kec. Denpasar Timur, Kota Denpasar</t>
  </si>
  <si>
    <t xml:space="preserve">  8°38'50.07"S 115°13'37.79"E</t>
  </si>
  <si>
    <t>05/05/2025 - 12/05/2025</t>
  </si>
  <si>
    <t>Jl Raya Batuan, Kel. Batuan, Kec. Sukawati, Kab. Gianyar</t>
  </si>
  <si>
    <t>8°34'54.40"S 115°16'37.27"E</t>
  </si>
  <si>
    <t>SELAT</t>
  </si>
  <si>
    <t>Jl. Raya Muncan, Kel. Muncan, Kec. Selat, Kab. Karangasem</t>
  </si>
  <si>
    <t>8°25'33.9"S 115°26'29.2"E</t>
  </si>
  <si>
    <t xml:space="preserve">BY PASS IDA BAGUS MANTRA </t>
  </si>
  <si>
    <t>Jl. Prof. Dr. Ida Bagus Mantra, Kel. Sukawati, Kec. Sukawati, Kab. Gianyar</t>
  </si>
  <si>
    <t>8°36'54.64"S 115°18'17.42"E</t>
  </si>
  <si>
    <t>Jl. Raya Singakerta, Kel. Singakerta, Kec. Ubud, Kab. Gianyar</t>
  </si>
  <si>
    <t>8°31'41.12"S 115°14'48.04"E</t>
  </si>
  <si>
    <t>Alfa Monang Maning</t>
  </si>
  <si>
    <t>Jl. Kalimutu Barat, Kel. Pemecutan Klod, Kec. Denpasar Barat, Kota Denpasar</t>
  </si>
  <si>
    <t>8°40'12.00"S 115°11'51.31"E</t>
  </si>
  <si>
    <t>13/05/2025 - 21/05/2025</t>
  </si>
  <si>
    <t>ALFAMART PESIAPAN - Tbn</t>
  </si>
  <si>
    <t>Jl Dr Ir Soekarno, Kel. Dauh Peken, Kec. Tabanan, Kab. Tabanan</t>
  </si>
  <si>
    <t>8°32'25.26"S115° 6'45.22"E</t>
  </si>
  <si>
    <t>Jl Ida Kt Djelantik, Kel. Abang, Kec. Abang, Kab. Karangasem</t>
  </si>
  <si>
    <t>8°23'49.52"S 115°35'46.85"E</t>
  </si>
  <si>
    <t>Jl. Raya Sekaan, Kel. Sekaan, Kec. Kintamani, Kab. Bangli</t>
  </si>
  <si>
    <t>8°19'45.40"S 115°19'32.82"E</t>
  </si>
  <si>
    <t>Alfamart Tukad Bilok</t>
  </si>
  <si>
    <t>Jl. Tukad Bilok, Kel. Sanur Kauh, Kec. Denpasar Selatan, Kota Denpasar</t>
  </si>
  <si>
    <t>8°40'51.27"S 115°14'42.91"E</t>
  </si>
  <si>
    <t>Alfamart Pantai Lebih</t>
  </si>
  <si>
    <t>Jl Bypass Prof Ida Bagus Mantra, Bali Safari, Kel. Medahan, Kec. Blahbatuh, Kab. Gianyar</t>
  </si>
  <si>
    <t>8°35'4.89"S 115°20'51.98"E</t>
  </si>
  <si>
    <t>Alfamart Imam Bonjol</t>
  </si>
  <si>
    <t>Jl. Imam Bonjol No. 83, Kel. Pemecutan Klod, Kec. Denpasar Barat, Kota Denpasar</t>
  </si>
  <si>
    <t>8°39'49.41"S 115°12'28.86"E</t>
  </si>
  <si>
    <t>Alfamart Pulau Belitung</t>
  </si>
  <si>
    <t>Jl. Pulau Belitung, Kel. Pedungan, Kec. Denpasar Selatan, Kota Denpasar</t>
  </si>
  <si>
    <t>8°41'36.28"S 115°12'33.68"E</t>
  </si>
  <si>
    <t>RAYA SERIRIT - SINGARAJA</t>
  </si>
  <si>
    <t>Pepito Lovina</t>
  </si>
  <si>
    <t>Jl Singaraja Gilimanuk, Kel. Kaliasem, Kec. Banjar, Kab. Buleleng</t>
  </si>
  <si>
    <t>8° 9'56.72"S 115° 1'5.89"E</t>
  </si>
  <si>
    <t>Jl Metra Kelod, Kel. Yangapi, Kec. Tembuku, Kab. Bangli</t>
  </si>
  <si>
    <t>8°24'28.70"S 115°23'12.30"E</t>
  </si>
  <si>
    <t>Alfamart Goa Lawah</t>
  </si>
  <si>
    <t>Jl. Raya Goa Lawah, Kel. Pesinggahan, Kec. Dawan, Kab. Klungkung</t>
  </si>
  <si>
    <t>8°33'17.29"S 115°27'38.90"E</t>
  </si>
  <si>
    <t xml:space="preserve">Jl. Tirta, Kel. Tampaksiring, Kec. Tampaksiring, Kab. Gianyar </t>
  </si>
  <si>
    <t>8°25'4.72"S 115°18'42.70"E</t>
  </si>
  <si>
    <t>Jl. Gunung Soputan No 175, Kel. Padangsambian Klod, Kec. Denpasar Barat, Kota Denpasar</t>
  </si>
  <si>
    <t>8°40'51.64"S 115°10'55.45"E</t>
  </si>
  <si>
    <t>06/12/2025 - 16/12/2025</t>
  </si>
  <si>
    <t>05/12/2025 - 17/12/2025</t>
  </si>
  <si>
    <t>Alfamart Griya Anyar Pemogan</t>
  </si>
  <si>
    <t>Jl. By Pass Ngurah Rai No.107, Kel. Pemogan, Kec. Denpasar Selatan Kota Denpasar</t>
  </si>
  <si>
    <t>8°43'11.30"S 115°11'48.12"E</t>
  </si>
  <si>
    <t>Alfamart Sedap Malam</t>
  </si>
  <si>
    <t>Jl. Waribang, Kel. Kesiman Petilan, Kec. Denpasar Timur, Kab Denpasar</t>
  </si>
  <si>
    <t>8°39'2.41"S 115°14'59.50"E</t>
  </si>
  <si>
    <t>Alfamart Danau Buyan</t>
  </si>
  <si>
    <t>Jl. Tukad Nyali, Kel. Sanur Kaja, Kec. Denpasar Selatan, Kab Denpasar</t>
  </si>
  <si>
    <t>8°40'41.98"S 115°15'5.53"E</t>
  </si>
  <si>
    <t>A YANI NO 167E - SRA</t>
  </si>
  <si>
    <t>Alfamart Galiran</t>
  </si>
  <si>
    <t>Jl. A Yani, Kel. Baktiseraga, Kec. Buleleng, Kab, Buleleng</t>
  </si>
  <si>
    <t>8° 7'22.44"S  115° 4'13.82"E</t>
  </si>
  <si>
    <t>Jl. Raya Katung Kintamani, Kel. Kintamani, Kec. Kintamani, Kab. Gianyar</t>
  </si>
  <si>
    <t>8°17'9.22"S 115°19'11.02"E</t>
  </si>
  <si>
    <t>Jl Kubu, Kel. Tulamben, Kec. Kubu, Kab. Karangasem</t>
  </si>
  <si>
    <t>8°15'22.70"S 115°34'27.50"E</t>
  </si>
  <si>
    <t>Jl Raya Marga Apuan, Kel. Marga Dajan Puri, Kec. Marga, Kab. Tabanan</t>
  </si>
  <si>
    <t>8°25'20.87"S 115°10'41.11"E</t>
  </si>
  <si>
    <t>Alfamart By Pass Ida Bagus Mantra</t>
  </si>
  <si>
    <t>Jl. By Pass Ida Bagus Mantra No. 77, Kel.Kesiman Kertalangu, Kec. Denpasar Timur, Kota Denpasar</t>
  </si>
  <si>
    <t>8°38'56.03"S 115°16'1.96"E</t>
  </si>
  <si>
    <t>Alfamart Kepaon 360</t>
  </si>
  <si>
    <t>Jl. Kepaon, Kel. Pemogan, Kec. Denpasar Selatan, Kota Denpasar</t>
  </si>
  <si>
    <t>8°41'50.27"S 115°11'50.02"E</t>
  </si>
  <si>
    <t>Jl. Karangasem Seraya, Kel. Tumbu, Kec. Karangasem, Kab. Karangasem</t>
  </si>
  <si>
    <t>8°27'43.73"S 115°37'36.87"E</t>
  </si>
  <si>
    <t>Alfamart Tuakilang</t>
  </si>
  <si>
    <t>Jl. Batukaru, Kel. Denbantas, Kec. Tabanan, Kab. Tabanan</t>
  </si>
  <si>
    <t>8°31'26.88"S 115° 7'42.62"E</t>
  </si>
  <si>
    <t>Jl. Tejakula Tianyar, Kel. Sambirenteng, Kec. Tejakula, Kab. Buleleng</t>
  </si>
  <si>
    <t>8° 8'37.15"S 115°23'45.88"E</t>
  </si>
  <si>
    <t>BY PASS TANAH LOT NO 12</t>
  </si>
  <si>
    <t>Alfamart Munggu Pempetan</t>
  </si>
  <si>
    <t>Jl. By Pass Tanah Lot No.12, Kel. Munggu, Kec. Mengwi, Kab. Badung</t>
  </si>
  <si>
    <t>8°37'28.00"S 115° 7'23.39"E</t>
  </si>
  <si>
    <t>Alfamart Denbantas</t>
  </si>
  <si>
    <t>Jl. Gunung Batukaru, Kel. Denbantas, Kec. Tabanan, Kab. Tabanan</t>
  </si>
  <si>
    <t>8°30'39.65"S 115° 7'58.05"E</t>
  </si>
  <si>
    <t>01/10/2025 - 16/10/2025</t>
  </si>
  <si>
    <t>SIDEMEN</t>
  </si>
  <si>
    <t>Jl. Semarapura, Kel. Telaga Tawang, Kec. Sidemen, Kab. Karangasem</t>
  </si>
  <si>
    <t>8°29'1.31"S 115°26'42.88"E</t>
  </si>
  <si>
    <t>Alfamart Surya</t>
  </si>
  <si>
    <t>Jl. Raya Sesetan No. 232, Kel. Sesetan, Kec. Denpasar Selatan, Kab. Denpasar</t>
  </si>
  <si>
    <t>8°°41'59.42"S 115°13'9.06"E</t>
  </si>
  <si>
    <t>Alfamart Pulau Seram</t>
  </si>
  <si>
    <t>Jl. Diponegoro No. 226, Kec. Dauh Puri Kelod, Kab. Denpasar Barat, Kota Denpasar</t>
  </si>
  <si>
    <t>8°40'25.82"S 115°12'55.00"E</t>
  </si>
  <si>
    <t>Alfamart Betngandang</t>
  </si>
  <si>
    <t>8°41'31.35"S 115°15'9.60"E</t>
  </si>
  <si>
    <t>Alfamart Batu bulan 2</t>
  </si>
  <si>
    <t>Jl. Smki, Kel. Batubulan, Kec. Sukawati, Kab. Gianyar</t>
  </si>
  <si>
    <t>8°36'42.73"S 115°15'30.36"E</t>
  </si>
  <si>
    <t>BANDARA INTERNATIONAL NGURAH RAI</t>
  </si>
  <si>
    <t>12+6</t>
  </si>
  <si>
    <t>Jl. Bandara I Gusti Ngurah Rai, Kel. Tuban, Kec. Kuta, Kab. Badung</t>
  </si>
  <si>
    <t>8°44'30.45"S 115° 9'59.19"E</t>
  </si>
  <si>
    <t>RAYA AIR SANIH</t>
  </si>
  <si>
    <t>Jl. Raya Air Sanih, Kel. Kubutambahan, Kec. Kubutambahan, Kab. Buleleng</t>
  </si>
  <si>
    <t>8° 4'30.35"S 115°12'32.84"E</t>
  </si>
  <si>
    <t>Alfamart Gilimanuk 3 (Toko Wijaya)</t>
  </si>
  <si>
    <t>Jl. Raya Denpasar - Gilimanuk, Kel. Gilimanuk, Kec. Melaya, Kab. Jembrana</t>
  </si>
  <si>
    <t>8°10'21.36"S 114°26'10.92"E</t>
  </si>
  <si>
    <t>Alfamart Cok Agung Tresna</t>
  </si>
  <si>
    <t>Jl. Tantular, Kel. Dangin Puri Klod, Kec. Denpasar Timur, Kab. Denpasar</t>
  </si>
  <si>
    <t>8°40'9.50"S 115°13'41.91"E</t>
  </si>
  <si>
    <t>BY PASS NGURAH RAI NO 269</t>
  </si>
  <si>
    <t>Alfamart Kesiman Kertalangu</t>
  </si>
  <si>
    <t>Jl. By Pass Ngurah Rai No. 269, Kel. Sanur, Kec. Denpasar Selatan, Kota Denpasar</t>
  </si>
  <si>
    <t>8°41'55.29"S 115°15'32.16"E</t>
  </si>
  <si>
    <t>JL.Wisnu Marga, Kel. Tunjuk, Kec. Tabanan, Kab. Tabanan</t>
  </si>
  <si>
    <t>8°28'5.22"S 115° 9'20.53"E</t>
  </si>
  <si>
    <t>Alfamart Noja</t>
  </si>
  <si>
    <t>Jl. Noja No. 124, Kel. Kesiman Petilan, Kec. Denpasar Timur, Kab. Denpasar</t>
  </si>
  <si>
    <t>8°38'24.11"S 115°14'12.31"E</t>
  </si>
  <si>
    <t>Jl. Wr Supratman NO. 279, Kel. Kesiman Kertalangu, Kec. Denpasar Timur, Kota Denpasar</t>
  </si>
  <si>
    <t>8°38'27.15"S 115°15'6.21"E</t>
  </si>
  <si>
    <t>35+06</t>
  </si>
  <si>
    <t>8°48'33.61"S 115° 8'37.46"E</t>
  </si>
  <si>
    <t>Substreet</t>
  </si>
  <si>
    <t>Jl. Gunung Batukaru Jegu, Kel. Jegu, Kec. Penebel, Kab. Tabanan</t>
  </si>
  <si>
    <t>'8°27'2.77"S 115° 8'3.12"E</t>
  </si>
  <si>
    <t>Alfamart Darmasaba</t>
  </si>
  <si>
    <t>Jl. Raya Darmasaba, Kel. Darmasaba, Kel. Abiansemal, Badung</t>
  </si>
  <si>
    <t>8°35'19.09"S 115°12'55.63"E</t>
  </si>
  <si>
    <t>PACUNG - SINGARAJA</t>
  </si>
  <si>
    <t>ALFAMART FLAMBOYAN RAYA</t>
  </si>
  <si>
    <t>Jl. Airsanih - Tejakula, Kel. Pacung, Kec. Tejakula, Kab. Buleleng</t>
  </si>
  <si>
    <t>8° 6'41.81"S 115°17'52.29"E</t>
  </si>
  <si>
    <t>MAHENDRADATA NO 9 - DENPASAR</t>
  </si>
  <si>
    <t>Alfamart Mahendradata Selatan</t>
  </si>
  <si>
    <t>Jl. Mahendradata No. 9, Kel. Padangsambian, Kec. Denpasar Barat, Kota Denpasar</t>
  </si>
  <si>
    <t>'8°40'43.26"S 115°11'24.54"E</t>
  </si>
  <si>
    <t>Alfamart Tumbak Bayuh</t>
  </si>
  <si>
    <t>Jl. Raya Tumbak Bayuh, Kel. Tumbak Bayuh, Kec. Mengwi, Kab. Badung</t>
  </si>
  <si>
    <t>8°37'20.78"S 115° 8'44.73"E</t>
  </si>
  <si>
    <t>Alfamart Waturenggong</t>
  </si>
  <si>
    <t>L1+L2</t>
  </si>
  <si>
    <t>Jl. Waturenggong No 141, Kel. Panjer, Kec. Denpasar Selatan, Kota Denpasar</t>
  </si>
  <si>
    <t>8°40'40.87"S 115°13'25.89"E</t>
  </si>
  <si>
    <t>Jl. Gaga , Kel. Keramas , Kec. Blahbatu , Kab. Gianyar</t>
  </si>
  <si>
    <t xml:space="preserve"> 8°34'20.15"S115°19'20.85"E</t>
  </si>
  <si>
    <t>WIBISANA BARAT NO 90</t>
  </si>
  <si>
    <t>Alfamart Wandira Sakti</t>
  </si>
  <si>
    <t>Jl. Wibisana Barat No 90, Kel. Pemecutan Kaja, Kec. Denpasar Utara, Kota Denpasar</t>
  </si>
  <si>
    <t>8°38'44.22"S 115°12'0.09"E</t>
  </si>
  <si>
    <t>05/04/2026 - 19/04/2026</t>
  </si>
  <si>
    <t>GUNUNG SANGHYANG NO 19A</t>
  </si>
  <si>
    <t>Alfamart Kebo Iwa 2</t>
  </si>
  <si>
    <t>Jl. Gunung Sanghyang No. 19A, Kel. Padangsambian, Kec. Denpasar Barat, Kota Denpasar</t>
  </si>
  <si>
    <t>8°38'55.35"S 115°11'8.05"E</t>
  </si>
  <si>
    <t>RAYA BENGKALA - SINGARAJA</t>
  </si>
  <si>
    <t>Jl. Gunung Batur, Kel. Bengkala, Kec. Kubutambahan, Kab. Buleleng</t>
  </si>
  <si>
    <t>8° 6'34.60"S 115°10'50.42"E</t>
  </si>
  <si>
    <t>Jl. Raya Penarukan, Kel. Kerambitan, Kec. Kerambitan, Kab. Tabanan</t>
  </si>
  <si>
    <t xml:space="preserve">  8°33'17.38"S 115° 4'30.75"E</t>
  </si>
  <si>
    <t>Jl. Ir. Sutami, Kel. Kemenuh, Kec. Sukawati, Kab. Gianyar</t>
  </si>
  <si>
    <t>8°32'24.02"S 115°16'53.64"E</t>
  </si>
  <si>
    <t xml:space="preserve"> RAYA MUNGGU - BADUNG</t>
  </si>
  <si>
    <t>Alfamart Raya Munggu</t>
  </si>
  <si>
    <t>Jl. Raya Munggu Kapal, Kel. Buduk, Kec. Mengwi,  Kab. Badung</t>
  </si>
  <si>
    <t>8°36'7.22"S 115° 9'33.97"E</t>
  </si>
  <si>
    <t xml:space="preserve"> PATIH NAMBI - DENPASAR</t>
  </si>
  <si>
    <t>Alfamart Patih Nambi</t>
  </si>
  <si>
    <t>Jl. Patih Nambi, Kel. Ubung Kaja, Kec. Denpasar Utara, Kota Denpasar</t>
  </si>
  <si>
    <t>'8°36'55.78"S 115°12'8.49"E</t>
  </si>
  <si>
    <t>'Alfamart Kintamani 2</t>
  </si>
  <si>
    <t>33+10</t>
  </si>
  <si>
    <t>8°16'36.67"S 115°21'2.20"E</t>
  </si>
  <si>
    <t>Jl. Raya Selat, Kel. Pering Sari, Kec. Selat, Kab. Karangasem</t>
  </si>
  <si>
    <t>'8°26'1.87"S 115°27'59.99"E</t>
  </si>
  <si>
    <t>Alfamart Pandu</t>
  </si>
  <si>
    <t>Jl. Raya Tuka, Kel. Dalung, Kec. Kuta Utara, Kab. Badung</t>
  </si>
  <si>
    <t>8°37'3.10"S 115° 9'27.23"E</t>
  </si>
  <si>
    <t>Jl. Terunajaya, Kel. Kediri, Kec. Kediri, Kab. Tabanan</t>
  </si>
  <si>
    <t>8°34'4.49"S 115° 7'57.32"E</t>
  </si>
  <si>
    <t>22/04/2026 - 06/05/2026</t>
  </si>
  <si>
    <t>Alfamart Bangli</t>
  </si>
  <si>
    <t>Jl. Brigjen Ngurah Rai, Kel. Kawan, Kec. Bangli, Kab. Bangli</t>
  </si>
  <si>
    <t>8°27'24.38"S 115°21'11.30"E</t>
  </si>
  <si>
    <t>26+06</t>
  </si>
  <si>
    <t>8°16'52.96"S 115°21'44.23"E</t>
  </si>
  <si>
    <t xml:space="preserve"> GELUNTUNG - TABANAN</t>
  </si>
  <si>
    <t>Jl. Raya Marga Apuan, Kel. Geluntung, Kec. Marga, Kab. Tabanan</t>
  </si>
  <si>
    <t>8°27'15.79"S 115°10'29.06"E</t>
  </si>
  <si>
    <t>20/04/2026 - 04/05/2026</t>
  </si>
  <si>
    <t>Alfamart Raya Tuban 2</t>
  </si>
  <si>
    <t>Jl. Raya Tuban No. 52, Kel. Tuban, Kec. Kuta, Kab. Badung</t>
  </si>
  <si>
    <t>8°44'29.71"S 115°10'43.37"E</t>
  </si>
  <si>
    <t>Jl. Apuan, Kel. Apuan, Kec. Baturiti, Kab. Tabanan</t>
  </si>
  <si>
    <t>8°22'13.18"S 115°10'22.99"E</t>
  </si>
  <si>
    <t>Jl. Catur, Kel. Catur, Kec. Kintamani, Kab. Bangli</t>
  </si>
  <si>
    <t>8°13'38.24"S 115°14'45.00"E</t>
  </si>
  <si>
    <t>Alfamart Muding Kaja</t>
  </si>
  <si>
    <t>Kuta Utara</t>
  </si>
  <si>
    <t>Jl. Muding Batu, Kel. Kerobokan Kaja, Kec. Kuta Utara, Kab. Badung</t>
  </si>
  <si>
    <t>8°38'32.69"S 115°10'40.02"E</t>
  </si>
  <si>
    <t>Idm Puri Gading</t>
  </si>
  <si>
    <t xml:space="preserve">Jl. Jepun, Kel. Jimbaran , Kec. Kuta Selatan, Kab. Badung </t>
  </si>
  <si>
    <t>8°47'44.24"S 115° 8'56.29"E</t>
  </si>
  <si>
    <t>Alfamart Kedonganan</t>
  </si>
  <si>
    <t>Jl. By Pass Ngurah Rai, Kel. Tuban, Kec. Kuta, Kab. Badung</t>
  </si>
  <si>
    <t>8°45'3.75"S 115°10'53.78"E</t>
  </si>
  <si>
    <t>BESAKIH NO 1 - BANGLI</t>
  </si>
  <si>
    <t>Tembuku</t>
  </si>
  <si>
    <t>Jl. Raya Besakih No. 1, Kel, Yangapi, Kec. Tembuku, Kab. Bangli</t>
  </si>
  <si>
    <t>8°26'50.37"S 115°23'29.00"E</t>
  </si>
  <si>
    <t>Jl. Raya Keliki, Kel. Keliki, Kec. Tegalalang, Kab. Gianyar</t>
  </si>
  <si>
    <t>8°26'49.70"S 115°15'47.29"E</t>
  </si>
  <si>
    <t>Jl. Abimanyu, Kel. Cau Belayu, Kec. Marga, Kab. Tabanan</t>
  </si>
  <si>
    <t>8°28'26.17"S 115°12'1.14"E</t>
  </si>
  <si>
    <t>SHORTCUT SINGARAJA - BULELENG</t>
  </si>
  <si>
    <t>Jl. Raya Bedugul-Singaraja, Kel.Pengayaman, Kec. Sukasada, Kab. Buleleng</t>
  </si>
  <si>
    <t xml:space="preserve">  8°13'45.81"S115° 8'54.32"E</t>
  </si>
  <si>
    <t>Tabanan</t>
  </si>
  <si>
    <t>Jl. Yeh Gangga I, Kel. Sudimara, Kec. Tabanan, Kab. Tabanan</t>
  </si>
  <si>
    <t>8°34'58.25"S 115° 4'55.64"E</t>
  </si>
  <si>
    <t>Jl. Raya Serokadan, Kel. Abuan, Kec. Susut, Kab. Bangli</t>
  </si>
  <si>
    <t>8°28'31.33"S 115°20'6.88"E</t>
  </si>
  <si>
    <t>8° 5'51.66"S115°10'34.85"E</t>
  </si>
  <si>
    <t>Denpasar Utara</t>
  </si>
  <si>
    <t>Jl. Cekomaria, Kel. Peguyangan Kangin, Kec. Denpasar Utara, Kota Denpasar</t>
  </si>
  <si>
    <t>8°36'52.45"S 115°13'35.22"E</t>
  </si>
  <si>
    <t>Denpasar Timur</t>
  </si>
  <si>
    <t>Jl. Gadung No 69, Kel. Sumerta Kauh, Kec. Denpasar Timur, Kota Denpasar</t>
  </si>
  <si>
    <t>8°39'16.95"S 115°13'35.90"E</t>
  </si>
  <si>
    <t xml:space="preserve">RAYA BAYAD   - GIANYAR </t>
  </si>
  <si>
    <t>Jl. Raya Bayad, Kel. Kedisan, Kec. Tegallalang, Kab. Gianyar</t>
  </si>
  <si>
    <t>8°25'7.30"S115°17'53.34"E</t>
  </si>
  <si>
    <t>'Circle K Wanagiri</t>
  </si>
  <si>
    <t>Jl. Raya Wanagiri, Kel. Wanagiri, Kec. Sukasada, Kab. Buleleng</t>
  </si>
  <si>
    <t>8°14'11.10"S 115° 8'3.88"E</t>
  </si>
  <si>
    <t>RAYA BUGBUG  - KARANGASEM</t>
  </si>
  <si>
    <t>Jl. Raya Bugbug, Kel. Sengkidu, Kec. Karangasem, Kab. Karangasem</t>
  </si>
  <si>
    <t>8°29'29.88"S 115°35'27.19"E</t>
  </si>
  <si>
    <t>Alfamart Alit Muja</t>
  </si>
  <si>
    <t>Jl. Raya Besakih, Kel. Nongan, Kec. Rendang, Kab. Karangasem</t>
  </si>
  <si>
    <t>8°27'43.94"S 115°24'23.99"E</t>
  </si>
  <si>
    <t>'Alfa Hayam Wuruk Ex Midi</t>
  </si>
  <si>
    <t>Jl. Katrangan, Kel. Sumerta, Kec. Denpasar Timur, Kota. Denpasar</t>
  </si>
  <si>
    <t>8°39'20.19"S 115°14'16.06"E</t>
  </si>
  <si>
    <t>'Alfamart Banjar Sama</t>
  </si>
  <si>
    <t>Jl. Pulau Bangka No 100, Kel. Pedungan, Kec. Denpasar Selatan, Kota. Denpasar</t>
  </si>
  <si>
    <t>8°41'12.03"S 115°12'7.00"E</t>
  </si>
  <si>
    <t>Jl. Perean Tengah, Kel. Luwus, Kec. Baturiti, Kab. Tabanan</t>
  </si>
  <si>
    <t>8°24'25.72"S 115°11'49.58"E</t>
  </si>
  <si>
    <t>Alfamart Liligundi Cokroaminoto</t>
  </si>
  <si>
    <t xml:space="preserve">Jl. Raya Sempidi, Kel. Sempidi, Kec. Mengwi, Kab. Badung </t>
  </si>
  <si>
    <t xml:space="preserve"> 8°36'38.40"S115°11'29.67"E</t>
  </si>
  <si>
    <t>Alfamart Abiantimbul</t>
  </si>
  <si>
    <t>Denpasar Barat</t>
  </si>
  <si>
    <t>Jl. Imam Bonjol No 415, Kel. Pemecutan Kelod, Kec. Denpasar Barat, Kota Denpasar</t>
  </si>
  <si>
    <t>8°41'9.94"S 115°11'37.93"E</t>
  </si>
  <si>
    <t>RAYA GOA GAJAH NO. 88 - GIANYAR</t>
  </si>
  <si>
    <t>Alfamart Goa Gajah (teges)</t>
  </si>
  <si>
    <t>51+08</t>
  </si>
  <si>
    <t>Jl. Raya Goa Gajah no. 88, Kel. Peliatan, Kec. Ubud, Kab. Gianyar</t>
  </si>
  <si>
    <t>8°31'22.77"S 115°16'41.95"E</t>
  </si>
  <si>
    <t>Alfamart Nenas Karangasem</t>
  </si>
  <si>
    <t>Bebandem</t>
  </si>
  <si>
    <t>Jl. Raya Nenas, Kel. Bungaya Kangin, Kec. Bebandem, Kab. Karangasem</t>
  </si>
  <si>
    <t>8°26'57.21"S 115°35'31.20"E</t>
  </si>
  <si>
    <t>Jl. Raya Manggis, Kel. Manggis, Kec. Manggis, Kab. Karangasem</t>
  </si>
  <si>
    <t>8°29'46.53"S 115°31'40.05"E</t>
  </si>
  <si>
    <t>'Alfa Batu Kandik (Sila Mandiri)</t>
  </si>
  <si>
    <t>Jl. Kebo Iwa Utara No 2, Kel. Padangsambian Kaja, Kec. Denpasar Barat, Kota Denpasar</t>
  </si>
  <si>
    <t>8°37'8.65"S 115°11'1.20"E</t>
  </si>
  <si>
    <t>Alfamart Monang Maning</t>
  </si>
  <si>
    <t>Jl. Gunung Rinjani No 3, Kel. Tegal Kertha, Kec. Denpasar Barat, Kota Denpasar</t>
  </si>
  <si>
    <t>8°39'47.43"S 115°11'56.79"E</t>
  </si>
  <si>
    <t xml:space="preserve">RAYA SILAKARANG  - GIANYAR </t>
  </si>
  <si>
    <t>Jl. Raya Silakarang, Kel. Singapadu Kaler, Kec. Sukawati, Kab. Gianyar</t>
  </si>
  <si>
    <t xml:space="preserve"> 8°33'15.15"S115°15'6.89"E</t>
  </si>
  <si>
    <t>BELIMBING RICE TERRACE</t>
  </si>
  <si>
    <t>Jl. Antosari Pupuan, Kel. Belimbing,  Kec. Pupuan. Kab. Tabanan</t>
  </si>
  <si>
    <t>8°23'35.65"S 115° 2'10.80"E</t>
  </si>
  <si>
    <t>RAYA BUNUTAN</t>
  </si>
  <si>
    <t>'Alfa Kedewatan</t>
  </si>
  <si>
    <t>Jl. Raya Bunutan no 45, Kel. Kedewatan, Kec. Ubud, Kab. Gianyar</t>
  </si>
  <si>
    <t>8°28'15.55"S 115°14'58.41"E</t>
  </si>
  <si>
    <t>Jl. Ki Barak Panji, Kel. Panji, Kec. Sukasada, Kab. Buleleng</t>
  </si>
  <si>
    <t>8° 8'39.12"S 115° 4'59.71"E</t>
  </si>
  <si>
    <t>'Minimart Pasung Gerigir</t>
  </si>
  <si>
    <t>Jl. Raya Ir Sutami, Kel. Kemenuh, Kec. Gianyar, Kab. Gianyar</t>
  </si>
  <si>
    <t>8°33'51.05"S 115°17'10.57"E</t>
  </si>
  <si>
    <t xml:space="preserve">'Alfamarat Ciung Wanara </t>
  </si>
  <si>
    <t>Jl. Raya Sangeh, Kel. Blahkiuh, Kec. Abiansemal, Kab. Badung</t>
  </si>
  <si>
    <t xml:space="preserve"> 8°30'32.00"S115°12'36.60"E</t>
  </si>
  <si>
    <t>BY PASS IDA BAGUS MANTRA PERING - GIANYAR</t>
  </si>
  <si>
    <t>Jl. By Pass Ida Bagus Mantra Pering</t>
  </si>
  <si>
    <t>8°36'16.84"S 115°19'15.75"E</t>
  </si>
  <si>
    <t>Minimart Tumbak Bayuh</t>
  </si>
  <si>
    <t>Jl. Raya Tumbak Bayuh Pererenan</t>
  </si>
  <si>
    <t>8°37'27.68"S 115° 8'13.10"E</t>
  </si>
  <si>
    <t>RAYA SELABIH</t>
  </si>
  <si>
    <t>JL. RAYA DENPASAR - GILIMANUK, KEL. SELABIH, KEC. SELEMADEG BARAT, KAB. TABANAN</t>
  </si>
  <si>
    <t>8°27'58.28"S 114°54'57.36"E</t>
  </si>
  <si>
    <t>Alfa Veteran</t>
  </si>
  <si>
    <t>Jl. Padang Kerta, Kel. Padang Kerta, Kec. Karangasem, Kab. Karangasem</t>
  </si>
  <si>
    <t>8°26'11.26"S 115°35'26.86"E</t>
  </si>
  <si>
    <t>Jl. I Ketut Natih, Kel. Purwakerti, Kec. Abang, Kab. Karangasem</t>
  </si>
  <si>
    <t>8°20'8.33"S 115°37'58.26"E</t>
  </si>
  <si>
    <t>Alfa Hangtuah</t>
  </si>
  <si>
    <t>Denpasar Selatan</t>
  </si>
  <si>
    <t>Denpasar</t>
  </si>
  <si>
    <t>Jl. Danau Beratan No 17, Kel.Sanur Kaja, Kec. Denpasar Selatan, Kota Denpasar</t>
  </si>
  <si>
    <t>8°40'34.50"S 115°15'23.20"E</t>
  </si>
  <si>
    <t>Kubu</t>
  </si>
  <si>
    <t>Jl. Tianyar Barat, Kel. Tianyar Barat, Kec. Kubu, Kab. Karangasem</t>
  </si>
  <si>
    <t>8°10'49.01"S 115°28'12.15"E</t>
  </si>
  <si>
    <t>TUKAD PUNGGAWA NO 1 - DENPASAR</t>
  </si>
  <si>
    <t>Jl. Tukad Punggawa No. 1, Kel. Serangan, Kec. Denpasar Selatan, Kota Denpasar</t>
  </si>
  <si>
    <t>8°43'27.35"S 115°14'1.22"E</t>
  </si>
  <si>
    <t>BEDAHULU NO.36 - DENPASAR</t>
  </si>
  <si>
    <t>Alfa Sari Dewata</t>
  </si>
  <si>
    <t>Jl. Bedahulu No. 36, Kel. Peguyangan, Kec. Denpasar Utara, Kota Denpasar</t>
  </si>
  <si>
    <t>8°37'55.19"S 115°13'2.06"E</t>
  </si>
  <si>
    <t>Alfa Nangka Tanggutiti</t>
  </si>
  <si>
    <t>Jl. Nangka Utara No 280, Kel. Tonja, Kec. Denpasar Utara, Kota Denpasar</t>
  </si>
  <si>
    <t>8°37'38.18"S 115°13'28.06"E</t>
  </si>
  <si>
    <t>Alfamart Raya Semat</t>
  </si>
  <si>
    <t>40+10</t>
  </si>
  <si>
    <t>8°39'11.20"S 115° 8'35.10"E</t>
  </si>
  <si>
    <t>RAYA PANTAI KEDUNGU</t>
  </si>
  <si>
    <t>Jl. Pantai Kedungu, Kel. Nyitdah, Kec. Kediri, Kab. Tabanan</t>
  </si>
  <si>
    <t>8°34'38.85"S 115° 7'2.54"E</t>
  </si>
  <si>
    <t>Pemuteran</t>
  </si>
  <si>
    <t>Buleleng</t>
  </si>
  <si>
    <t>Jl. Raya Singaraja Gilimanuk, Kel. Pemuteran, Kec. Gerokgak, Kab. Buleleng</t>
  </si>
  <si>
    <t>8° 8'49.37"S 114°39'39.52"E</t>
  </si>
  <si>
    <t>KAS TOKO</t>
  </si>
  <si>
    <t>PC.PC TULAMBEN - KARANGASEM</t>
  </si>
  <si>
    <t>PC.PC TAMAN AYUN - BADUNG</t>
  </si>
  <si>
    <t>PC.PC RAYA PADONAN - BADUNG</t>
  </si>
  <si>
    <t>YCG.DEWI SRI 18 V - BADUNG</t>
  </si>
  <si>
    <t>PC.PC BONGKASA - BADUNG</t>
  </si>
  <si>
    <t>PC.PC .PIPITAN - BADUNG</t>
  </si>
  <si>
    <t>PC.PC.RAYA MANGGIS - KSM</t>
  </si>
  <si>
    <t>PC.PC.AHMAD YANI - DENPASAR</t>
  </si>
  <si>
    <t>PC.PC.TAMPAKSIRING - GIANYAR</t>
  </si>
  <si>
    <t>YCG.IR.SUTAMI KEMENUH_GYR</t>
  </si>
  <si>
    <t>PC.PC.LOKAPAKSA - SINGARAJA</t>
  </si>
  <si>
    <t>YCG.KEDONGANAN - BADUNG</t>
  </si>
  <si>
    <t>YCG.SUNSET ROAD 37 - BADUNG</t>
  </si>
  <si>
    <t>PC.PC.NAKULA - BADUNG</t>
  </si>
  <si>
    <t>YCG.PEMARON MUNGGU - BADUNG</t>
  </si>
  <si>
    <t>YCG.RAYA BELANTIH_BANGLI</t>
  </si>
  <si>
    <t>PC.PC.TEGEHE - GIANYAR</t>
  </si>
  <si>
    <t>PC.PC.PULAU BUNGIN -  DENPASAR</t>
  </si>
  <si>
    <t>PC.PC.GREEN KORI - DENPASAR</t>
  </si>
  <si>
    <t>PC.PC.RAYA KUBU_KSM</t>
  </si>
  <si>
    <t>YCG.SENGANAN JATILUWIH - TABANAN</t>
  </si>
  <si>
    <t>PC.PC.CARANGSARI 2 - BADUNG</t>
  </si>
  <si>
    <t>PC.PC.PLUS DEWI SARTIKA SRA/009</t>
  </si>
  <si>
    <t>PC.PC.PANDU - BADUNG</t>
  </si>
  <si>
    <t>PC.PC.RAYA KUWUM - BADUNG</t>
  </si>
  <si>
    <t>PC.COKROAMINOTO NO 32 - DENPASAR</t>
  </si>
  <si>
    <t>PC.PC.GOWANG - GIANYAR</t>
  </si>
  <si>
    <t>YCG.UNGASAN 2 - BADUNG</t>
  </si>
  <si>
    <t>YCG.PEMUDA - SINGARAJA</t>
  </si>
  <si>
    <t>YCG.JINENGDALEM - SINGARAJA</t>
  </si>
  <si>
    <t>PC.PC.NANGKA SELATAN NO 76 - DENPASAR</t>
  </si>
  <si>
    <t>PC.PC.RAYA BASANGKASA - BDG</t>
  </si>
  <si>
    <t>YCG.RAYA KEROBOKAN 72 - BADUNG</t>
  </si>
  <si>
    <t>YCG.RAYA WANAGIRI SRA</t>
  </si>
  <si>
    <t>YCG.SUKAWATI 2 - GIANYAR</t>
  </si>
  <si>
    <t>PC.PC.BELIMBING RICE TERRACE TBN</t>
  </si>
  <si>
    <t>YCG.SAMBIRENTENG TEJAKULA</t>
  </si>
  <si>
    <t>YCG.ALAS KEDATON - TABANAN</t>
  </si>
  <si>
    <t>YCG.A YANI UTARA NO 388 - DENPASAR</t>
  </si>
  <si>
    <t>YCG.TEGAL PERMAI - BADUNG</t>
  </si>
  <si>
    <t>PC.KALIAKAH -  JEMBRANA</t>
  </si>
  <si>
    <t>PC.PC.JIMBARAN 111 - BADUNG</t>
  </si>
  <si>
    <t>PC.PC.RAYA UBUD -  GIANYAR</t>
  </si>
  <si>
    <t>YCG.WIBISANA BARAT  NO.90 DPS</t>
  </si>
  <si>
    <t>PC.PC..SEBATU - GIANYAR</t>
  </si>
  <si>
    <t>PC.PC.PADANG LUWIH 2 - BADUNG</t>
  </si>
  <si>
    <t>PC.PC.AHMAD YANI - SINGARAJA</t>
  </si>
  <si>
    <t>YCG.KUSUMAYUDHA BARAT - BANGLI</t>
  </si>
  <si>
    <t>PC.PC.TIRTA NADI - DPS</t>
  </si>
  <si>
    <t>YCG.MENDOYO - JEMBRANA</t>
  </si>
  <si>
    <t>PC.PC.PANTAI KEDUNGU - TABANAN</t>
  </si>
  <si>
    <t>YCG.KALIUNTU - SINGARAJA</t>
  </si>
  <si>
    <t>YCG.NONGAN - KSM</t>
  </si>
  <si>
    <t>YCG.TUNJUNG KAPAL DUA - BDG</t>
  </si>
  <si>
    <t>PC.PC.LOD TUNDUH - GIANYAR</t>
  </si>
  <si>
    <t>PC.PC.MUDING KELOD - BADUNG</t>
  </si>
  <si>
    <t>YCG.NAKULA 93 - BADUNG</t>
  </si>
  <si>
    <t>YCG.MERPATI - DENPASAR</t>
  </si>
  <si>
    <t>YCG.MERTASARI - BADUNG</t>
  </si>
  <si>
    <t>YCG.KUBUTAMBAHAN - SINGARAJA</t>
  </si>
  <si>
    <t>PC.PC.PULAU BUTON NO.12A _DPS</t>
  </si>
  <si>
    <t>PC.PC.BY PASS DARMAGIRI 3 - GIANYAR</t>
  </si>
  <si>
    <t>YCG.PENARUKAN - SINGARAJA</t>
  </si>
  <si>
    <t>YCG.MERTANADI - BADUNG</t>
  </si>
  <si>
    <t>YCG.DEWI SARTIKA - SINGARAJA</t>
  </si>
  <si>
    <t>PC.PC.SRIKANDI - BADUNG</t>
  </si>
  <si>
    <t>YCG.GELUNTUNG_TABANAN</t>
  </si>
  <si>
    <t>YCG.CATUR KINTAMANI_BANGLI</t>
  </si>
  <si>
    <t>YCG.SINABUN - SINGARAJA</t>
  </si>
  <si>
    <t>YCG.SHINTA - DENPASAR</t>
  </si>
  <si>
    <t>PC.PC.BLAHKIUH 2 - BADUNG</t>
  </si>
  <si>
    <t>PC.PC.TUKAD BADUNG - DENPASAR</t>
  </si>
  <si>
    <t>PC.PC.SUNSET ROAD 767</t>
  </si>
  <si>
    <t>PC.PC.DARMAWANGSA - TABANAN</t>
  </si>
  <si>
    <t>YCG.PENELOKAN SEKARDADI - BANGLI</t>
  </si>
  <si>
    <t>YCG.KEROBOKAN 2 - BADUNG</t>
  </si>
  <si>
    <t>PC.PC.WR. SUPRATMAN 246 - DENPASAR</t>
  </si>
  <si>
    <t>PC.PC.BUANA RAYA NO 07-DPS</t>
  </si>
  <si>
    <t>YCG.MAWAR 2 - TABANAN</t>
  </si>
  <si>
    <t>YCG.GOA GONG JIMBARAN - BADUNG</t>
  </si>
  <si>
    <t>PC.PC.SERIRIT 2 - SINGARAJA</t>
  </si>
  <si>
    <t>PC.PC.MELATI NO 53 - DENPASAR</t>
  </si>
  <si>
    <t>YCG.KAPAL - BADUNG</t>
  </si>
  <si>
    <t>YCG.KI BARAK PANJI - SINGARAJA</t>
  </si>
  <si>
    <t>PC.PC.MATARAM - BADUNG</t>
  </si>
  <si>
    <t>YCG.BR. KEDIRI SILAKARANG GYR</t>
  </si>
  <si>
    <t>YCG.KUSUMA YUDA - BANGLI</t>
  </si>
  <si>
    <t>YCG.STP DARMAWANGSA - BADUNG</t>
  </si>
  <si>
    <t>YCG.GOA GONG - BADUNG</t>
  </si>
  <si>
    <t>YCG.TAMAN GIRI 9 - BADUNG</t>
  </si>
  <si>
    <t>PC.PC.PADANG LUWIH 188 - BADUNG</t>
  </si>
  <si>
    <t>YCG.RAYA SINGAKERTA_GYR</t>
  </si>
  <si>
    <t>PC.PC.RAYA SILAKARANG GYR</t>
  </si>
  <si>
    <t>YCG.GATSU TIMUR 608 - DENPASAR</t>
  </si>
  <si>
    <t>YCG.RAYA SIDAKARYA NO 55 _DPS</t>
  </si>
  <si>
    <t>YCG.PENDIDIKAN NO 37 - DENPASAR</t>
  </si>
  <si>
    <t>YCG.KENGETAN - GIANYAR</t>
  </si>
  <si>
    <t>YCG.DEWI SRI LEGIAN - BADUNG</t>
  </si>
  <si>
    <t>PC.PC.RAYA BUNUTAN - GIANYAR</t>
  </si>
  <si>
    <t>YCG.PULAU BANGKA NO.100 DPS</t>
  </si>
  <si>
    <t>YCG.BR. SAYAN - BADUNG</t>
  </si>
  <si>
    <t>YCG.SIDAKARYA - DENPASAR</t>
  </si>
  <si>
    <t>YCG.ARJUNA - BADUNG</t>
  </si>
  <si>
    <t>PC.PC.BYPASS IDA BAGUS MANTRA PERING - GIANYAR</t>
  </si>
  <si>
    <t>PC.PC.RAYA SELABIH - TABANAN</t>
  </si>
  <si>
    <t>PC.PC.RAYA TUMBAK BAYUH NO 105 - BADUNG</t>
  </si>
  <si>
    <t>PC.PC.PADANG KERTA - KARANGASEM</t>
  </si>
  <si>
    <t>YCG.RAYA IR. SUTAMI - GYR</t>
  </si>
  <si>
    <t>PC.PC.DANAU BERATAN NO.17A - DPS</t>
  </si>
  <si>
    <t>PC.PC.AMED VIEW - KARANGASEM</t>
  </si>
  <si>
    <t>YCG.TIANYAR BARAT - KARANGASEM</t>
  </si>
  <si>
    <t>PC.PC.TUKAD PUNGGAWA - DPS</t>
  </si>
  <si>
    <t>PC.PC.BEDAHULU NO.3-DENPASAR</t>
  </si>
  <si>
    <t>NO HP</t>
  </si>
  <si>
    <t>DOMISILI</t>
  </si>
  <si>
    <t>085237036614</t>
  </si>
  <si>
    <t>BATUBULAN,SUKAWATI,GIANYAR</t>
  </si>
  <si>
    <t>082146310498</t>
  </si>
  <si>
    <t>085339461696</t>
  </si>
  <si>
    <t>Pemogan, Denpasar</t>
  </si>
  <si>
    <t>085946630374</t>
  </si>
  <si>
    <t>Gianyar kota</t>
  </si>
  <si>
    <t>081236412656</t>
  </si>
  <si>
    <t>Klungkung/Semarapura</t>
  </si>
  <si>
    <t>085338524874</t>
  </si>
  <si>
    <t>Buruan, GIANYAR</t>
  </si>
  <si>
    <t>081333633259</t>
  </si>
  <si>
    <t>BONA , GIANYAR</t>
  </si>
  <si>
    <t>081231925070</t>
  </si>
  <si>
    <t>UBUD,GIANYAR</t>
  </si>
  <si>
    <t>08814881377</t>
  </si>
  <si>
    <t>085706420856</t>
  </si>
  <si>
    <t>DENPASAR KOTA</t>
  </si>
  <si>
    <t>085954756545</t>
  </si>
  <si>
    <t>081216520079</t>
  </si>
  <si>
    <t>RENON, DENPASAR</t>
  </si>
  <si>
    <t>081455045238</t>
  </si>
  <si>
    <t>081917777374</t>
  </si>
  <si>
    <t>081936790481</t>
  </si>
  <si>
    <t>TUKAD PETANU , DENPASAR</t>
  </si>
  <si>
    <t>085857839034</t>
  </si>
  <si>
    <t>085738982274</t>
  </si>
  <si>
    <t>GIANYAR ,KOTA</t>
  </si>
  <si>
    <t>0895422644281</t>
  </si>
  <si>
    <t>Tukad Citarum, Denpasar</t>
  </si>
  <si>
    <t>089520421287</t>
  </si>
  <si>
    <t>A.Yani Utara, Denpasar</t>
  </si>
  <si>
    <t>081231961742</t>
  </si>
  <si>
    <t>Pulau Bungin, Denpasar</t>
  </si>
  <si>
    <t>085738889028</t>
  </si>
  <si>
    <t>Mengwi, Badung</t>
  </si>
  <si>
    <t>085739622801</t>
  </si>
  <si>
    <t>Bongan, Tabanan</t>
  </si>
  <si>
    <t>085889031936</t>
  </si>
  <si>
    <t>Renon, Denpasar</t>
  </si>
  <si>
    <t>0895366407237</t>
  </si>
  <si>
    <t>Kuta, Badung</t>
  </si>
  <si>
    <t>082313510903</t>
  </si>
  <si>
    <t>Ubung, Denpasar</t>
  </si>
  <si>
    <t>082331023094</t>
  </si>
  <si>
    <t>Sempidi, Badung</t>
  </si>
  <si>
    <t>087860811891</t>
  </si>
  <si>
    <t>085142739624</t>
  </si>
  <si>
    <t>Gianyar,pejeng kaja</t>
  </si>
  <si>
    <t>MUHAMMAD KHAERUNNAS</t>
  </si>
  <si>
    <t>082214891032</t>
  </si>
  <si>
    <t>Jimbaran Badung</t>
  </si>
  <si>
    <t>Reguler</t>
  </si>
  <si>
    <t>Cluster</t>
  </si>
  <si>
    <t>Personil</t>
  </si>
  <si>
    <t>PROYEKSI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</si>
</sst>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-409]dd\-mmm\-yy;@"/>
    <numFmt numFmtId="167" formatCode="h:mm:ss;@"/>
    <numFmt numFmtId="168" formatCode="_(* #,##0.00_);_(* \(#,##0.00\);_(* \-??_);_(@_)"/>
    <numFmt numFmtId="169" formatCode="dd/mm/yyyy;@"/>
    <numFmt numFmtId="170" formatCode="h:mm;@"/>
    <numFmt numFmtId="171" formatCode="_-* #,##0_-;\-* #,##0_-;_-* &quot;-&quot;??_-;_-@_-"/>
    <numFmt numFmtId="172" formatCode="dd/mm/yy;@"/>
    <numFmt numFmtId="173" formatCode="d/m/yy;@"/>
    <numFmt numFmtId="174" formatCode="_(* #,##0.0_);_(* \(#,##0.0\);_(* &quot;-&quot;??_);_(@_)"/>
  </numFmts>
  <fonts count="34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u/>
      <sz val="1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i/>
      <sz val="11"/>
      <name val="Times New Roman"/>
      <family val="1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color rgb="FF0000FF"/>
      <name val="Times New Roman"/>
      <family val="1"/>
    </font>
    <font>
      <b/>
      <sz val="8"/>
      <color rgb="FFFF0000"/>
      <name val="Times New Roman"/>
      <family val="1"/>
    </font>
    <font>
      <sz val="8"/>
      <color indexed="10"/>
      <name val="Times New Roman"/>
      <family val="1"/>
    </font>
    <font>
      <sz val="8"/>
      <color theme="1" tint="0.14999847407452621"/>
      <name val="Times New Roman"/>
      <family val="1"/>
    </font>
    <font>
      <b/>
      <sz val="10"/>
      <color theme="1"/>
      <name val="Calibri"/>
      <family val="2"/>
      <scheme val="minor"/>
    </font>
    <font>
      <sz val="11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Trebuchet MS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2" borderId="0" applyNumberFormat="0" applyBorder="0" applyAlignment="0" applyProtection="0"/>
    <xf numFmtId="41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9" fillId="0" borderId="0"/>
    <xf numFmtId="0" fontId="10" fillId="0" borderId="0"/>
    <xf numFmtId="0" fontId="10" fillId="0" borderId="0"/>
  </cellStyleXfs>
  <cellXfs count="242">
    <xf numFmtId="0" fontId="0" fillId="0" borderId="0" xfId="0"/>
    <xf numFmtId="0" fontId="2" fillId="0" borderId="0" xfId="2"/>
    <xf numFmtId="164" fontId="2" fillId="0" borderId="0" xfId="2" applyNumberFormat="1"/>
    <xf numFmtId="0" fontId="2" fillId="0" borderId="1" xfId="2" applyBorder="1"/>
    <xf numFmtId="0" fontId="3" fillId="0" borderId="0" xfId="2" applyFont="1"/>
    <xf numFmtId="0" fontId="2" fillId="0" borderId="2" xfId="2" applyBorder="1"/>
    <xf numFmtId="165" fontId="0" fillId="0" borderId="2" xfId="3" applyNumberFormat="1" applyFont="1" applyBorder="1"/>
    <xf numFmtId="0" fontId="4" fillId="0" borderId="2" xfId="2" applyFont="1" applyBorder="1" applyAlignment="1">
      <alignment vertical="center"/>
    </xf>
    <xf numFmtId="0" fontId="2" fillId="0" borderId="2" xfId="2" applyBorder="1" applyAlignment="1">
      <alignment vertical="center"/>
    </xf>
    <xf numFmtId="0" fontId="2" fillId="0" borderId="2" xfId="2" applyBorder="1" applyAlignment="1">
      <alignment horizontal="center"/>
    </xf>
    <xf numFmtId="0" fontId="2" fillId="3" borderId="2" xfId="2" applyFill="1" applyBorder="1"/>
    <xf numFmtId="0" fontId="2" fillId="3" borderId="2" xfId="2" applyFill="1" applyBorder="1" applyAlignment="1">
      <alignment vertical="center"/>
    </xf>
    <xf numFmtId="0" fontId="5" fillId="0" borderId="2" xfId="2" applyFont="1" applyBorder="1" applyAlignment="1">
      <alignment horizontal="center"/>
    </xf>
    <xf numFmtId="0" fontId="6" fillId="3" borderId="2" xfId="2" applyFont="1" applyFill="1" applyBorder="1" applyAlignment="1">
      <alignment vertical="center"/>
    </xf>
    <xf numFmtId="0" fontId="3" fillId="0" borderId="2" xfId="2" applyFont="1" applyBorder="1"/>
    <xf numFmtId="0" fontId="3" fillId="0" borderId="2" xfId="2" applyFont="1" applyBorder="1" applyAlignment="1">
      <alignment vertical="center"/>
    </xf>
    <xf numFmtId="14" fontId="3" fillId="0" borderId="2" xfId="2" applyNumberFormat="1" applyFont="1" applyBorder="1"/>
    <xf numFmtId="0" fontId="2" fillId="4" borderId="2" xfId="2" applyFill="1" applyBorder="1" applyAlignment="1">
      <alignment vertical="center"/>
    </xf>
    <xf numFmtId="0" fontId="2" fillId="4" borderId="2" xfId="2" applyFill="1" applyBorder="1"/>
    <xf numFmtId="0" fontId="3" fillId="4" borderId="0" xfId="2" applyFont="1" applyFill="1"/>
    <xf numFmtId="164" fontId="2" fillId="0" borderId="2" xfId="2" applyNumberFormat="1" applyBorder="1" applyAlignment="1">
      <alignment vertical="center"/>
    </xf>
    <xf numFmtId="164" fontId="2" fillId="4" borderId="0" xfId="2" applyNumberFormat="1" applyFill="1"/>
    <xf numFmtId="0" fontId="3" fillId="4" borderId="2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4" fillId="0" borderId="2" xfId="2" applyFont="1" applyBorder="1" applyAlignment="1">
      <alignment horizontal="center"/>
    </xf>
    <xf numFmtId="164" fontId="3" fillId="0" borderId="0" xfId="2" applyNumberFormat="1" applyFont="1"/>
    <xf numFmtId="0" fontId="3" fillId="4" borderId="2" xfId="2" applyFont="1" applyFill="1" applyBorder="1" applyAlignment="1">
      <alignment horizontal="center" wrapText="1"/>
    </xf>
    <xf numFmtId="0" fontId="3" fillId="0" borderId="1" xfId="2" applyFont="1" applyBorder="1"/>
    <xf numFmtId="0" fontId="3" fillId="0" borderId="3" xfId="2" applyFont="1" applyBorder="1"/>
    <xf numFmtId="164" fontId="3" fillId="0" borderId="3" xfId="2" applyNumberFormat="1" applyFont="1" applyBorder="1"/>
    <xf numFmtId="0" fontId="3" fillId="4" borderId="2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pivotButton="1"/>
    <xf numFmtId="43" fontId="11" fillId="0" borderId="0" xfId="3" applyFont="1" applyFill="1" applyBorder="1" applyAlignment="1">
      <alignment vertical="center"/>
    </xf>
    <xf numFmtId="0" fontId="12" fillId="0" borderId="0" xfId="11" applyFont="1"/>
    <xf numFmtId="43" fontId="12" fillId="3" borderId="0" xfId="3" applyFont="1" applyFill="1" applyBorder="1" applyAlignment="1">
      <alignment vertical="center"/>
    </xf>
    <xf numFmtId="0" fontId="12" fillId="3" borderId="0" xfId="11" applyFont="1" applyFill="1" applyAlignment="1">
      <alignment vertical="center"/>
    </xf>
    <xf numFmtId="43" fontId="12" fillId="0" borderId="0" xfId="3" applyFont="1" applyFill="1"/>
    <xf numFmtId="165" fontId="12" fillId="0" borderId="0" xfId="3" applyNumberFormat="1" applyFont="1" applyFill="1"/>
    <xf numFmtId="164" fontId="12" fillId="0" borderId="0" xfId="11" applyNumberFormat="1" applyFont="1"/>
    <xf numFmtId="43" fontId="14" fillId="0" borderId="0" xfId="3" applyFont="1" applyFill="1" applyBorder="1" applyAlignment="1">
      <alignment vertical="center"/>
    </xf>
    <xf numFmtId="0" fontId="12" fillId="3" borderId="0" xfId="11" applyFont="1" applyFill="1"/>
    <xf numFmtId="43" fontId="15" fillId="3" borderId="0" xfId="3" applyFont="1" applyFill="1" applyBorder="1" applyAlignment="1">
      <alignment vertical="center"/>
    </xf>
    <xf numFmtId="43" fontId="16" fillId="0" borderId="0" xfId="3" applyFont="1" applyFill="1" applyBorder="1" applyAlignment="1">
      <alignment vertical="center"/>
    </xf>
    <xf numFmtId="0" fontId="17" fillId="6" borderId="2" xfId="11" applyFont="1" applyFill="1" applyBorder="1" applyAlignment="1">
      <alignment horizontal="center" vertical="center"/>
    </xf>
    <xf numFmtId="43" fontId="17" fillId="6" borderId="2" xfId="3" applyFont="1" applyFill="1" applyBorder="1" applyAlignment="1">
      <alignment horizontal="center" vertical="center"/>
    </xf>
    <xf numFmtId="43" fontId="17" fillId="6" borderId="2" xfId="3" applyFont="1" applyFill="1" applyBorder="1" applyAlignment="1">
      <alignment horizontal="center" vertical="center" wrapText="1"/>
    </xf>
    <xf numFmtId="43" fontId="17" fillId="6" borderId="2" xfId="3" applyFont="1" applyFill="1" applyBorder="1" applyAlignment="1">
      <alignment vertical="center"/>
    </xf>
    <xf numFmtId="165" fontId="17" fillId="6" borderId="2" xfId="3" applyNumberFormat="1" applyFont="1" applyFill="1" applyBorder="1" applyAlignment="1">
      <alignment horizontal="center" vertical="center"/>
    </xf>
    <xf numFmtId="166" fontId="17" fillId="6" borderId="2" xfId="3" applyNumberFormat="1" applyFont="1" applyFill="1" applyBorder="1" applyAlignment="1">
      <alignment horizontal="center" vertical="center"/>
    </xf>
    <xf numFmtId="0" fontId="15" fillId="0" borderId="0" xfId="11" applyFont="1" applyAlignment="1">
      <alignment horizontal="center"/>
    </xf>
    <xf numFmtId="164" fontId="15" fillId="0" borderId="0" xfId="11" applyNumberFormat="1" applyFont="1" applyAlignment="1">
      <alignment horizontal="center"/>
    </xf>
    <xf numFmtId="0" fontId="18" fillId="3" borderId="2" xfId="11" applyFont="1" applyFill="1" applyBorder="1" applyAlignment="1">
      <alignment horizontal="left"/>
    </xf>
    <xf numFmtId="0" fontId="2" fillId="0" borderId="2" xfId="11" applyBorder="1" applyAlignment="1">
      <alignment vertical="center"/>
    </xf>
    <xf numFmtId="0" fontId="2" fillId="0" borderId="0" xfId="11"/>
    <xf numFmtId="0" fontId="2" fillId="3" borderId="2" xfId="11" applyFill="1" applyBorder="1"/>
    <xf numFmtId="164" fontId="12" fillId="4" borderId="0" xfId="11" applyNumberFormat="1" applyFont="1" applyFill="1"/>
    <xf numFmtId="0" fontId="12" fillId="4" borderId="0" xfId="11" applyFont="1" applyFill="1"/>
    <xf numFmtId="0" fontId="2" fillId="0" borderId="2" xfId="11" applyBorder="1"/>
    <xf numFmtId="0" fontId="22" fillId="0" borderId="0" xfId="11" applyFont="1"/>
    <xf numFmtId="164" fontId="22" fillId="0" borderId="0" xfId="11" applyNumberFormat="1" applyFont="1"/>
    <xf numFmtId="2" fontId="4" fillId="0" borderId="0" xfId="11" applyNumberFormat="1" applyFont="1"/>
    <xf numFmtId="165" fontId="4" fillId="0" borderId="0" xfId="3" applyNumberFormat="1" applyFont="1"/>
    <xf numFmtId="164" fontId="12" fillId="3" borderId="0" xfId="11" applyNumberFormat="1" applyFont="1" applyFill="1"/>
    <xf numFmtId="0" fontId="2" fillId="3" borderId="2" xfId="11" applyFill="1" applyBorder="1" applyAlignment="1">
      <alignment vertical="center"/>
    </xf>
    <xf numFmtId="43" fontId="12" fillId="3" borderId="0" xfId="3" applyFont="1" applyFill="1"/>
    <xf numFmtId="0" fontId="12" fillId="0" borderId="0" xfId="3" applyNumberFormat="1" applyFont="1" applyFill="1" applyAlignment="1">
      <alignment horizontal="center"/>
    </xf>
    <xf numFmtId="165" fontId="12" fillId="0" borderId="0" xfId="3" applyNumberFormat="1" applyFont="1" applyFill="1" applyAlignment="1">
      <alignment horizontal="center"/>
    </xf>
    <xf numFmtId="1" fontId="0" fillId="0" borderId="0" xfId="0" applyNumberFormat="1"/>
    <xf numFmtId="1" fontId="0" fillId="0" borderId="2" xfId="0" applyNumberFormat="1" applyBorder="1"/>
    <xf numFmtId="165" fontId="0" fillId="0" borderId="2" xfId="1" applyNumberFormat="1" applyFont="1" applyBorder="1"/>
    <xf numFmtId="43" fontId="0" fillId="0" borderId="2" xfId="1" applyFont="1" applyBorder="1"/>
    <xf numFmtId="164" fontId="0" fillId="0" borderId="2" xfId="1" applyNumberFormat="1" applyFont="1" applyBorder="1"/>
    <xf numFmtId="1" fontId="0" fillId="4" borderId="2" xfId="0" applyNumberFormat="1" applyFill="1" applyBorder="1"/>
    <xf numFmtId="0" fontId="0" fillId="4" borderId="2" xfId="0" applyFill="1" applyBorder="1"/>
    <xf numFmtId="0" fontId="3" fillId="6" borderId="2" xfId="0" applyFont="1" applyFill="1" applyBorder="1"/>
    <xf numFmtId="165" fontId="3" fillId="6" borderId="2" xfId="3" applyNumberFormat="1" applyFont="1" applyFill="1" applyBorder="1"/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165" fontId="0" fillId="0" borderId="0" xfId="3" applyNumberFormat="1" applyFont="1"/>
    <xf numFmtId="1" fontId="24" fillId="4" borderId="2" xfId="0" applyNumberFormat="1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5" fillId="6" borderId="7" xfId="11" applyFont="1" applyFill="1" applyBorder="1" applyAlignment="1">
      <alignment horizontal="center" vertical="center"/>
    </xf>
    <xf numFmtId="43" fontId="15" fillId="6" borderId="6" xfId="3" applyFont="1" applyFill="1" applyBorder="1" applyAlignment="1">
      <alignment horizontal="center" vertical="center"/>
    </xf>
    <xf numFmtId="43" fontId="15" fillId="6" borderId="7" xfId="3" applyFont="1" applyFill="1" applyBorder="1" applyAlignment="1">
      <alignment horizontal="center" vertical="center" wrapText="1"/>
    </xf>
    <xf numFmtId="43" fontId="15" fillId="6" borderId="7" xfId="3" applyFont="1" applyFill="1" applyBorder="1" applyAlignment="1">
      <alignment vertical="center"/>
    </xf>
    <xf numFmtId="43" fontId="15" fillId="6" borderId="7" xfId="3" applyFont="1" applyFill="1" applyBorder="1" applyAlignment="1">
      <alignment horizontal="center" vertical="center"/>
    </xf>
    <xf numFmtId="165" fontId="15" fillId="6" borderId="7" xfId="3" applyNumberFormat="1" applyFont="1" applyFill="1" applyBorder="1" applyAlignment="1">
      <alignment horizontal="center" vertical="center"/>
    </xf>
    <xf numFmtId="166" fontId="15" fillId="6" borderId="7" xfId="3" applyNumberFormat="1" applyFont="1" applyFill="1" applyBorder="1" applyAlignment="1">
      <alignment horizontal="center" vertical="center"/>
    </xf>
    <xf numFmtId="0" fontId="12" fillId="0" borderId="4" xfId="11" applyFont="1" applyBorder="1"/>
    <xf numFmtId="0" fontId="12" fillId="3" borderId="4" xfId="11" applyFont="1" applyFill="1" applyBorder="1" applyAlignment="1">
      <alignment vertical="center"/>
    </xf>
    <xf numFmtId="43" fontId="12" fillId="3" borderId="4" xfId="3" applyFont="1" applyFill="1" applyBorder="1"/>
    <xf numFmtId="43" fontId="12" fillId="3" borderId="5" xfId="3" applyFont="1" applyFill="1" applyBorder="1" applyAlignment="1">
      <alignment vertical="center"/>
    </xf>
    <xf numFmtId="0" fontId="13" fillId="3" borderId="4" xfId="11" applyFont="1" applyFill="1" applyBorder="1" applyAlignment="1">
      <alignment horizontal="center" vertical="center"/>
    </xf>
    <xf numFmtId="165" fontId="12" fillId="3" borderId="4" xfId="3" applyNumberFormat="1" applyFont="1" applyFill="1" applyBorder="1"/>
    <xf numFmtId="166" fontId="12" fillId="3" borderId="4" xfId="3" applyNumberFormat="1" applyFont="1" applyFill="1" applyBorder="1" applyAlignment="1">
      <alignment horizontal="center" vertical="center"/>
    </xf>
    <xf numFmtId="43" fontId="12" fillId="3" borderId="4" xfId="3" applyFont="1" applyFill="1" applyBorder="1" applyAlignment="1">
      <alignment vertical="center"/>
    </xf>
    <xf numFmtId="167" fontId="12" fillId="3" borderId="4" xfId="3" applyNumberFormat="1" applyFont="1" applyFill="1" applyBorder="1" applyAlignment="1">
      <alignment horizontal="center" vertical="center"/>
    </xf>
    <xf numFmtId="0" fontId="12" fillId="0" borderId="2" xfId="11" applyFont="1" applyBorder="1"/>
    <xf numFmtId="0" fontId="12" fillId="3" borderId="2" xfId="11" applyFont="1" applyFill="1" applyBorder="1" applyAlignment="1">
      <alignment vertical="center"/>
    </xf>
    <xf numFmtId="0" fontId="12" fillId="3" borderId="2" xfId="11" applyFont="1" applyFill="1" applyBorder="1"/>
    <xf numFmtId="43" fontId="13" fillId="3" borderId="2" xfId="3" applyFont="1" applyFill="1" applyBorder="1" applyAlignment="1">
      <alignment vertical="center"/>
    </xf>
    <xf numFmtId="0" fontId="12" fillId="3" borderId="2" xfId="11" applyFont="1" applyFill="1" applyBorder="1" applyAlignment="1">
      <alignment horizontal="center"/>
    </xf>
    <xf numFmtId="43" fontId="12" fillId="3" borderId="2" xfId="3" applyFont="1" applyFill="1" applyBorder="1"/>
    <xf numFmtId="166" fontId="13" fillId="3" borderId="2" xfId="3" applyNumberFormat="1" applyFont="1" applyFill="1" applyBorder="1" applyAlignment="1">
      <alignment horizontal="center" vertical="center"/>
    </xf>
    <xf numFmtId="0" fontId="12" fillId="7" borderId="2" xfId="11" applyFont="1" applyFill="1" applyBorder="1"/>
    <xf numFmtId="43" fontId="12" fillId="3" borderId="2" xfId="3" applyFont="1" applyFill="1" applyBorder="1" applyAlignment="1">
      <alignment vertical="center"/>
    </xf>
    <xf numFmtId="43" fontId="12" fillId="7" borderId="2" xfId="3" applyFont="1" applyFill="1" applyBorder="1"/>
    <xf numFmtId="43" fontId="12" fillId="3" borderId="2" xfId="3" applyFont="1" applyFill="1" applyBorder="1" applyAlignment="1">
      <alignment horizontal="left"/>
    </xf>
    <xf numFmtId="43" fontId="12" fillId="7" borderId="2" xfId="3" applyFont="1" applyFill="1" applyBorder="1" applyAlignment="1">
      <alignment horizontal="left"/>
    </xf>
    <xf numFmtId="164" fontId="12" fillId="3" borderId="2" xfId="11" applyNumberFormat="1" applyFont="1" applyFill="1" applyBorder="1" applyAlignment="1">
      <alignment vertical="center"/>
    </xf>
    <xf numFmtId="166" fontId="12" fillId="3" borderId="2" xfId="3" applyNumberFormat="1" applyFont="1" applyFill="1" applyBorder="1" applyAlignment="1">
      <alignment horizontal="center" vertical="center"/>
    </xf>
    <xf numFmtId="43" fontId="19" fillId="3" borderId="2" xfId="3" applyFont="1" applyFill="1" applyBorder="1" applyAlignment="1">
      <alignment vertical="center"/>
    </xf>
    <xf numFmtId="0" fontId="12" fillId="3" borderId="2" xfId="16" applyFont="1" applyFill="1" applyBorder="1" applyAlignment="1">
      <alignment horizontal="center" vertical="center"/>
    </xf>
    <xf numFmtId="0" fontId="12" fillId="3" borderId="2" xfId="11" applyFont="1" applyFill="1" applyBorder="1" applyAlignment="1">
      <alignment horizontal="center" vertical="center"/>
    </xf>
    <xf numFmtId="164" fontId="12" fillId="3" borderId="2" xfId="11" applyNumberFormat="1" applyFont="1" applyFill="1" applyBorder="1" applyAlignment="1">
      <alignment horizontal="center"/>
    </xf>
    <xf numFmtId="0" fontId="13" fillId="3" borderId="2" xfId="11" applyFont="1" applyFill="1" applyBorder="1" applyAlignment="1">
      <alignment horizontal="center"/>
    </xf>
    <xf numFmtId="0" fontId="20" fillId="3" borderId="2" xfId="11" applyFont="1" applyFill="1" applyBorder="1" applyAlignment="1">
      <alignment horizontal="center" vertical="center"/>
    </xf>
    <xf numFmtId="0" fontId="13" fillId="3" borderId="2" xfId="11" applyFont="1" applyFill="1" applyBorder="1" applyAlignment="1">
      <alignment horizontal="center" vertical="center"/>
    </xf>
    <xf numFmtId="164" fontId="13" fillId="3" borderId="2" xfId="11" applyNumberFormat="1" applyFont="1" applyFill="1" applyBorder="1" applyAlignment="1">
      <alignment horizontal="left"/>
    </xf>
    <xf numFmtId="0" fontId="21" fillId="0" borderId="2" xfId="11" applyFont="1" applyBorder="1"/>
    <xf numFmtId="164" fontId="13" fillId="8" borderId="2" xfId="7" applyNumberFormat="1" applyFont="1" applyFill="1" applyBorder="1" applyAlignment="1">
      <alignment horizontal="left"/>
    </xf>
    <xf numFmtId="164" fontId="12" fillId="3" borderId="2" xfId="11" applyNumberFormat="1" applyFont="1" applyFill="1" applyBorder="1" applyAlignment="1">
      <alignment horizontal="left"/>
    </xf>
    <xf numFmtId="0" fontId="13" fillId="4" borderId="2" xfId="11" applyFont="1" applyFill="1" applyBorder="1" applyAlignment="1">
      <alignment horizontal="center" vertical="center"/>
    </xf>
    <xf numFmtId="0" fontId="12" fillId="9" borderId="2" xfId="11" applyFont="1" applyFill="1" applyBorder="1" applyAlignment="1">
      <alignment vertical="center"/>
    </xf>
    <xf numFmtId="0" fontId="12" fillId="9" borderId="2" xfId="11" applyFont="1" applyFill="1" applyBorder="1"/>
    <xf numFmtId="0" fontId="13" fillId="9" borderId="2" xfId="11" applyFont="1" applyFill="1" applyBorder="1" applyAlignment="1">
      <alignment horizontal="center" vertical="center"/>
    </xf>
    <xf numFmtId="168" fontId="13" fillId="8" borderId="2" xfId="3" applyNumberFormat="1" applyFont="1" applyFill="1" applyBorder="1" applyAlignment="1" applyProtection="1"/>
    <xf numFmtId="0" fontId="22" fillId="0" borderId="2" xfId="11" applyFont="1" applyBorder="1"/>
    <xf numFmtId="1" fontId="4" fillId="0" borderId="2" xfId="11" applyNumberFormat="1" applyFont="1" applyBorder="1"/>
    <xf numFmtId="164" fontId="13" fillId="0" borderId="2" xfId="11" applyNumberFormat="1" applyFont="1" applyBorder="1" applyAlignment="1">
      <alignment horizontal="left"/>
    </xf>
    <xf numFmtId="0" fontId="13" fillId="0" borderId="2" xfId="11" applyFont="1" applyBorder="1" applyAlignment="1">
      <alignment horizontal="center" vertical="center"/>
    </xf>
    <xf numFmtId="166" fontId="19" fillId="3" borderId="2" xfId="3" applyNumberFormat="1" applyFont="1" applyFill="1" applyBorder="1" applyAlignment="1">
      <alignment horizontal="center" vertical="center"/>
    </xf>
    <xf numFmtId="0" fontId="23" fillId="3" borderId="2" xfId="11" applyFont="1" applyFill="1" applyBorder="1" applyAlignment="1">
      <alignment horizontal="center" vertical="center"/>
    </xf>
    <xf numFmtId="0" fontId="12" fillId="3" borderId="2" xfId="3" applyNumberFormat="1" applyFont="1" applyFill="1" applyBorder="1" applyAlignment="1">
      <alignment horizontal="center"/>
    </xf>
    <xf numFmtId="164" fontId="13" fillId="3" borderId="2" xfId="7" applyNumberFormat="1" applyFont="1" applyFill="1" applyBorder="1" applyAlignment="1">
      <alignment horizontal="left"/>
    </xf>
    <xf numFmtId="0" fontId="13" fillId="0" borderId="2" xfId="11" applyFont="1" applyBorder="1" applyAlignment="1">
      <alignment vertical="center"/>
    </xf>
    <xf numFmtId="0" fontId="12" fillId="0" borderId="2" xfId="11" applyFont="1" applyBorder="1" applyAlignment="1">
      <alignment vertical="center"/>
    </xf>
    <xf numFmtId="164" fontId="12" fillId="0" borderId="2" xfId="11" applyNumberFormat="1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164" fontId="13" fillId="0" borderId="2" xfId="7" applyNumberFormat="1" applyFont="1" applyFill="1" applyBorder="1" applyAlignment="1">
      <alignment vertical="center"/>
    </xf>
    <xf numFmtId="164" fontId="13" fillId="0" borderId="2" xfId="11" applyNumberFormat="1" applyFont="1" applyBorder="1" applyAlignment="1">
      <alignment vertical="center"/>
    </xf>
    <xf numFmtId="0" fontId="6" fillId="0" borderId="2" xfId="11" applyFont="1" applyBorder="1" applyAlignment="1">
      <alignment vertical="center"/>
    </xf>
    <xf numFmtId="0" fontId="4" fillId="0" borderId="2" xfId="11" applyFont="1" applyBorder="1" applyAlignment="1">
      <alignment horizontal="center"/>
    </xf>
    <xf numFmtId="0" fontId="4" fillId="0" borderId="2" xfId="11" applyFont="1" applyBorder="1" applyAlignment="1">
      <alignment vertical="center"/>
    </xf>
    <xf numFmtId="0" fontId="2" fillId="0" borderId="2" xfId="11" applyBorder="1" applyAlignment="1">
      <alignment horizontal="center"/>
    </xf>
    <xf numFmtId="164" fontId="2" fillId="0" borderId="2" xfId="11" applyNumberFormat="1" applyBorder="1" applyAlignment="1">
      <alignment vertical="center"/>
    </xf>
    <xf numFmtId="0" fontId="12" fillId="0" borderId="2" xfId="3" applyNumberFormat="1" applyFont="1" applyFill="1" applyBorder="1" applyAlignment="1">
      <alignment vertical="center"/>
    </xf>
    <xf numFmtId="0" fontId="13" fillId="0" borderId="4" xfId="11" applyFont="1" applyBorder="1" applyAlignment="1">
      <alignment vertical="center"/>
    </xf>
    <xf numFmtId="0" fontId="12" fillId="0" borderId="0" xfId="3" applyNumberFormat="1" applyFont="1" applyFill="1" applyAlignment="1">
      <alignment vertical="center"/>
    </xf>
    <xf numFmtId="0" fontId="13" fillId="0" borderId="0" xfId="11" applyFont="1" applyAlignment="1">
      <alignment vertical="center"/>
    </xf>
    <xf numFmtId="165" fontId="0" fillId="4" borderId="2" xfId="1" applyNumberFormat="1" applyFont="1" applyFill="1" applyBorder="1"/>
    <xf numFmtId="164" fontId="0" fillId="4" borderId="2" xfId="1" applyNumberFormat="1" applyFont="1" applyFill="1" applyBorder="1"/>
    <xf numFmtId="43" fontId="0" fillId="4" borderId="2" xfId="1" applyFont="1" applyFill="1" applyBorder="1"/>
    <xf numFmtId="0" fontId="0" fillId="3" borderId="2" xfId="0" applyFill="1" applyBorder="1"/>
    <xf numFmtId="0" fontId="12" fillId="3" borderId="8" xfId="0" applyFont="1" applyFill="1" applyBorder="1" applyAlignment="1">
      <alignment vertical="center"/>
    </xf>
    <xf numFmtId="43" fontId="12" fillId="3" borderId="2" xfId="3" applyFont="1" applyFill="1" applyBorder="1" applyAlignment="1">
      <alignment horizontal="center"/>
    </xf>
    <xf numFmtId="0" fontId="12" fillId="3" borderId="2" xfId="0" applyFont="1" applyFill="1" applyBorder="1"/>
    <xf numFmtId="0" fontId="0" fillId="3" borderId="2" xfId="0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5" fillId="10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169" fontId="25" fillId="10" borderId="2" xfId="0" applyNumberFormat="1" applyFont="1" applyFill="1" applyBorder="1" applyAlignment="1">
      <alignment horizontal="center" vertical="center" wrapText="1"/>
    </xf>
    <xf numFmtId="169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43" fontId="25" fillId="10" borderId="2" xfId="1" applyFont="1" applyFill="1" applyBorder="1" applyAlignment="1">
      <alignment horizontal="center" vertical="center" wrapText="1"/>
    </xf>
    <xf numFmtId="170" fontId="25" fillId="10" borderId="2" xfId="0" applyNumberFormat="1" applyFont="1" applyFill="1" applyBorder="1" applyAlignment="1">
      <alignment horizontal="center" vertical="center" wrapText="1"/>
    </xf>
    <xf numFmtId="171" fontId="25" fillId="10" borderId="2" xfId="1" applyNumberFormat="1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170" fontId="5" fillId="10" borderId="2" xfId="0" applyNumberFormat="1" applyFont="1" applyFill="1" applyBorder="1" applyAlignment="1">
      <alignment horizontal="center" vertical="center" wrapText="1"/>
    </xf>
    <xf numFmtId="0" fontId="25" fillId="10" borderId="9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25" fillId="0" borderId="2" xfId="0" applyFont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5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/>
    </xf>
    <xf numFmtId="41" fontId="5" fillId="0" borderId="2" xfId="5" applyFont="1" applyFill="1" applyBorder="1" applyAlignment="1">
      <alignment horizontal="center"/>
    </xf>
    <xf numFmtId="43" fontId="5" fillId="0" borderId="2" xfId="1" applyFont="1" applyFill="1" applyBorder="1" applyAlignment="1">
      <alignment horizontal="center"/>
    </xf>
    <xf numFmtId="170" fontId="25" fillId="3" borderId="2" xfId="0" applyNumberFormat="1" applyFont="1" applyFill="1" applyBorder="1" applyAlignment="1">
      <alignment horizontal="center"/>
    </xf>
    <xf numFmtId="170" fontId="5" fillId="0" borderId="2" xfId="1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71" fontId="5" fillId="0" borderId="2" xfId="1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172" fontId="5" fillId="0" borderId="2" xfId="0" applyNumberFormat="1" applyFont="1" applyBorder="1" applyAlignment="1">
      <alignment horizontal="center"/>
    </xf>
    <xf numFmtId="172" fontId="25" fillId="0" borderId="2" xfId="0" applyNumberFormat="1" applyFont="1" applyBorder="1" applyAlignment="1">
      <alignment horizontal="center"/>
    </xf>
    <xf numFmtId="173" fontId="5" fillId="0" borderId="2" xfId="0" applyNumberFormat="1" applyFont="1" applyBorder="1" applyAlignment="1">
      <alignment horizontal="center"/>
    </xf>
    <xf numFmtId="173" fontId="25" fillId="0" borderId="2" xfId="0" applyNumberFormat="1" applyFont="1" applyBorder="1" applyAlignment="1">
      <alignment horizontal="center"/>
    </xf>
    <xf numFmtId="14" fontId="2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169" fontId="25" fillId="0" borderId="2" xfId="0" applyNumberFormat="1" applyFont="1" applyBorder="1" applyAlignment="1">
      <alignment horizontal="center"/>
    </xf>
    <xf numFmtId="164" fontId="25" fillId="0" borderId="2" xfId="0" applyNumberFormat="1" applyFont="1" applyBorder="1" applyAlignment="1">
      <alignment horizontal="center"/>
    </xf>
    <xf numFmtId="0" fontId="5" fillId="0" borderId="2" xfId="12" applyFont="1" applyBorder="1" applyAlignment="1">
      <alignment horizontal="center" vertical="center"/>
    </xf>
    <xf numFmtId="0" fontId="30" fillId="0" borderId="2" xfId="12" applyFont="1" applyBorder="1" applyAlignment="1">
      <alignment horizontal="center"/>
    </xf>
    <xf numFmtId="0" fontId="5" fillId="0" borderId="2" xfId="2" applyFont="1" applyBorder="1" applyAlignment="1">
      <alignment horizontal="center" vertical="center"/>
    </xf>
    <xf numFmtId="0" fontId="5" fillId="3" borderId="2" xfId="0" quotePrefix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0" fontId="5" fillId="0" borderId="2" xfId="2" applyFont="1" applyBorder="1" applyAlignment="1">
      <alignment horizontal="left" vertical="center"/>
    </xf>
    <xf numFmtId="14" fontId="25" fillId="3" borderId="2" xfId="0" applyNumberFormat="1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5" fillId="0" borderId="2" xfId="0" applyFont="1" applyBorder="1"/>
    <xf numFmtId="171" fontId="5" fillId="0" borderId="2" xfId="1" applyNumberFormat="1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 wrapText="1"/>
    </xf>
    <xf numFmtId="171" fontId="5" fillId="3" borderId="2" xfId="1" applyNumberFormat="1" applyFont="1" applyFill="1" applyBorder="1" applyAlignment="1"/>
    <xf numFmtId="171" fontId="5" fillId="3" borderId="2" xfId="1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2" fontId="5" fillId="3" borderId="2" xfId="0" quotePrefix="1" applyNumberFormat="1" applyFont="1" applyFill="1" applyBorder="1" applyAlignment="1">
      <alignment horizontal="center"/>
    </xf>
    <xf numFmtId="164" fontId="25" fillId="0" borderId="2" xfId="0" applyNumberFormat="1" applyFont="1" applyBorder="1" applyAlignment="1">
      <alignment horizontal="center" wrapText="1"/>
    </xf>
    <xf numFmtId="165" fontId="5" fillId="0" borderId="2" xfId="1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wrapText="1"/>
    </xf>
    <xf numFmtId="0" fontId="32" fillId="3" borderId="2" xfId="0" applyFont="1" applyFill="1" applyBorder="1" applyAlignment="1">
      <alignment horizontal="center"/>
    </xf>
    <xf numFmtId="2" fontId="32" fillId="3" borderId="2" xfId="0" applyNumberFormat="1" applyFont="1" applyFill="1" applyBorder="1" applyAlignment="1">
      <alignment horizontal="center"/>
    </xf>
    <xf numFmtId="171" fontId="32" fillId="3" borderId="2" xfId="1" applyNumberFormat="1" applyFont="1" applyFill="1" applyBorder="1" applyAlignment="1"/>
    <xf numFmtId="2" fontId="32" fillId="3" borderId="2" xfId="0" quotePrefix="1" applyNumberFormat="1" applyFont="1" applyFill="1" applyBorder="1" applyAlignment="1">
      <alignment horizontal="center"/>
    </xf>
    <xf numFmtId="0" fontId="2" fillId="0" borderId="2" xfId="2" applyBorder="1" applyAlignment="1">
      <alignment horizontal="center" vertical="center"/>
    </xf>
    <xf numFmtId="0" fontId="5" fillId="3" borderId="2" xfId="0" applyFont="1" applyFill="1" applyBorder="1"/>
    <xf numFmtId="43" fontId="25" fillId="0" borderId="2" xfId="1" applyFont="1" applyFill="1" applyBorder="1" applyAlignment="1">
      <alignment horizontal="center"/>
    </xf>
    <xf numFmtId="0" fontId="33" fillId="0" borderId="2" xfId="0" applyFont="1" applyBorder="1" applyAlignment="1">
      <alignment horizontal="center"/>
    </xf>
    <xf numFmtId="43" fontId="5" fillId="3" borderId="2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170" fontId="5" fillId="3" borderId="2" xfId="1" applyNumberFormat="1" applyFont="1" applyFill="1" applyBorder="1" applyAlignment="1">
      <alignment horizontal="center"/>
    </xf>
    <xf numFmtId="165" fontId="12" fillId="3" borderId="2" xfId="1" applyNumberFormat="1" applyFont="1" applyFill="1" applyBorder="1"/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174" fontId="0" fillId="0" borderId="2" xfId="1" applyNumberFormat="1" applyFont="1" applyBorder="1"/>
  </cellXfs>
  <cellStyles count="17">
    <cellStyle name="Accent1 10" xfId="4" xr:uid="{00000000-0005-0000-0000-000000000000}"/>
    <cellStyle name="Comma" xfId="1" builtinId="3"/>
    <cellStyle name="Comma [0] 3" xfId="5" xr:uid="{00000000-0005-0000-0000-000002000000}"/>
    <cellStyle name="Comma 2" xfId="3" xr:uid="{00000000-0005-0000-0000-000003000000}"/>
    <cellStyle name="Comma 2 11 2" xfId="6" xr:uid="{00000000-0005-0000-0000-000004000000}"/>
    <cellStyle name="Comma 2 5 3" xfId="7" xr:uid="{00000000-0005-0000-0000-000005000000}"/>
    <cellStyle name="Comma 2 7" xfId="8" xr:uid="{00000000-0005-0000-0000-000006000000}"/>
    <cellStyle name="Comma 36" xfId="9" xr:uid="{00000000-0005-0000-0000-000007000000}"/>
    <cellStyle name="Comma 39 3" xfId="10" xr:uid="{00000000-0005-0000-0000-000008000000}"/>
    <cellStyle name="Normal" xfId="0" builtinId="0"/>
    <cellStyle name="Normal 12 4" xfId="11" xr:uid="{00000000-0005-0000-0000-00000A000000}"/>
    <cellStyle name="Normal 159" xfId="12" xr:uid="{00000000-0005-0000-0000-00000B000000}"/>
    <cellStyle name="Normal 2" xfId="2" xr:uid="{00000000-0005-0000-0000-00000C000000}"/>
    <cellStyle name="Normal 2 2" xfId="13" xr:uid="{00000000-0005-0000-0000-00000D000000}"/>
    <cellStyle name="Normal 32" xfId="14" xr:uid="{00000000-0005-0000-0000-00000E000000}"/>
    <cellStyle name="Normal 4 2 2" xfId="15" xr:uid="{00000000-0005-0000-0000-00000F000000}"/>
    <cellStyle name="Normal_Form NKL 1208 JBR 2" xfId="16" xr:uid="{00000000-0005-0000-0000-000010000000}"/>
  </cellStyles>
  <dxfs count="202"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Arial"/>
        <scheme val="none"/>
      </font>
    </dxf>
    <dxf>
      <font>
        <b val="0"/>
        <condense val="0"/>
        <extend val="0"/>
        <color indexed="37"/>
      </font>
    </dxf>
    <dxf>
      <font>
        <b val="0"/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ndense val="0"/>
        <extend val="0"/>
        <color indexed="37"/>
      </font>
    </dxf>
    <dxf>
      <font>
        <condense val="0"/>
        <extend val="0"/>
        <color indexed="3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-DENI" refreshedDate="46254.379601157409" createdVersion="3" refreshedVersion="3" minRefreshableVersion="3" recordCount="55" xr:uid="{00000000-000A-0000-FFFF-FFFF01000000}">
  <cacheSource type="worksheet">
    <worksheetSource ref="A1:F56" sheet="PERSONIL"/>
  </cacheSource>
  <cacheFields count="6">
    <cacheField name="NIK" numFmtId="0">
      <sharedItems/>
    </cacheField>
    <cacheField name="NAMA" numFmtId="0">
      <sharedItems count="55">
        <s v="ATHILA HARVE SEPTANANDO"/>
        <s v="ABIL YAHYA ASSYADILI"/>
        <s v="WAHYU SULISTYO NUR ADI"/>
        <s v="YOGI SEPTA ARIF PRATAMA"/>
        <s v="AGUSTINUS SAFRUDIN"/>
        <s v="JULIO BOY NENOTEK"/>
        <s v="SYAHRUL HANAFI"/>
        <s v="CAHYO PRASETYO UTOMO"/>
        <s v="I WAYAN ANGGA RISTA"/>
        <s v="JOVAN FALAH MAULANA"/>
        <s v="FEBRI DWI PRATAMA"/>
        <s v="KETUT SATRIA DINATA"/>
        <s v="MUHAMMAD BAGUS MAULANA"/>
        <s v="I GUSTI NGURAH KRISNA PUTRA"/>
        <s v="I KETUT KRISNATA"/>
        <s v="I PUTU AGUNG FEBRIANTO"/>
        <s v="I MADE RUDIARTA"/>
        <s v="ODI TRI ANGGARA"/>
        <s v="SAEPUL BAHRI"/>
        <s v="ANTON TRI SUCITRO"/>
        <s v="SUBHAN MAULANA ISHAQ "/>
        <s v="RAFLI SALMAN ADITYA"/>
        <s v="MUHAMMAD GUFRON"/>
        <s v="FIKI SANDHIKA  PUTRA"/>
        <s v="MARCHEL BAGAS"/>
        <s v="IKADEK GALANG SURYA DARMA"/>
        <s v="ANGGA ARDIYANSYAH"/>
        <s v="AHMAD RYOS AJI HERLIAN"/>
        <s v="RISKI BAYU RAMADHAN"/>
        <s v="DWI CAHYA PUTRA"/>
        <s v="MOCH FAHRUL ROSI "/>
        <s v="I GEDE JULIANTO"/>
        <s v="LALU FARA AZIS"/>
        <s v="I GEDE AGUS BUDI SUARNATA"/>
        <s v="I PUTU AGUS PUTRA WIJAYA"/>
        <s v="AHMAD BAGUS AKBAR"/>
        <s v="ABDUL RAHMAN"/>
        <s v="ADAM FAJAR RAMADHAN"/>
        <s v="FANI SULISTIYO"/>
        <s v="DIMAS SETIAWAN"/>
        <s v="PUTU PRIA ASTIKA WIDNYANA"/>
        <s v="AGUNG DWI SETIAWAN"/>
        <s v="PUTRA BILAL INZHAGI"/>
        <s v="MUHAMMAD ERI FARHANDI"/>
        <s v="BENEDIKTUS FEBRIANO JANGGU"/>
        <s v="M LUTFILAH"/>
        <s v="I GEDE PASEK SANTIKA"/>
        <s v="IMANUEL MUSA J LAKAPU"/>
        <s v="IKOMANG PUTRA YASA"/>
        <s v="GEDE ARIASA"/>
        <s v="I GEDE  MADE ADI GUNA"/>
        <s v="MUOH FARISAL"/>
        <s v="DIYO TRI JANUAR"/>
        <s v="BUJANGGA JONATHAN ADI PUTRA"/>
        <s v="PUTU BISMA"/>
      </sharedItems>
    </cacheField>
    <cacheField name="NIK2" numFmtId="0">
      <sharedItems/>
    </cacheField>
    <cacheField name="KOORDINATOR" numFmtId="0">
      <sharedItems/>
    </cacheField>
    <cacheField name="NIK3" numFmtId="0">
      <sharedItems/>
    </cacheField>
    <cacheField name="KORLAP" numFmtId="0">
      <sharedItems count="6">
        <s v="I WAYAN ANGGA RISTA"/>
        <s v="ODI TRI ANGGARA"/>
        <s v="ANGGA ARDIYANSYAH"/>
        <s v="ABDUL RAHMAN"/>
        <s v="I GEDE PASEK SANTIKA"/>
        <s v="PUTU BIS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s v="2015478551"/>
    <x v="0"/>
    <s v="2013182311"/>
    <s v="YOGI SEPTA ARIF PRATAMA"/>
    <s v="2013180506"/>
    <x v="0"/>
  </r>
  <r>
    <s v="2015733322"/>
    <x v="1"/>
    <s v="2013182311"/>
    <s v="YOGI SEPTA ARIF PRATAMA"/>
    <s v="2013180506"/>
    <x v="0"/>
  </r>
  <r>
    <s v="2015644524"/>
    <x v="2"/>
    <s v="2013182311"/>
    <s v="YOGI SEPTA ARIF PRATAMA"/>
    <s v="2013180506"/>
    <x v="0"/>
  </r>
  <r>
    <s v="2013182311"/>
    <x v="3"/>
    <s v="2013182311"/>
    <s v="YOGI SEPTA ARIF PRATAMA"/>
    <s v="2013180506"/>
    <x v="0"/>
  </r>
  <r>
    <s v="2015478550"/>
    <x v="4"/>
    <s v="2015100909"/>
    <s v="CAHYO PRASETYO UTOMO"/>
    <s v="2013180506"/>
    <x v="0"/>
  </r>
  <r>
    <s v="2015742253"/>
    <x v="5"/>
    <s v="2015100909"/>
    <s v="CAHYO PRASETYO UTOMO"/>
    <s v="2013180506"/>
    <x v="0"/>
  </r>
  <r>
    <s v="2015762238"/>
    <x v="6"/>
    <s v="2015100909"/>
    <s v="CAHYO PRASETYO UTOMO"/>
    <s v="2013180506"/>
    <x v="0"/>
  </r>
  <r>
    <s v="2015100909"/>
    <x v="7"/>
    <s v="2015100909"/>
    <s v="CAHYO PRASETYO UTOMO"/>
    <s v="2013180506"/>
    <x v="0"/>
  </r>
  <r>
    <s v="2013180506"/>
    <x v="8"/>
    <s v="2013180506"/>
    <s v="I WAYAN ANGGA RISTA"/>
    <s v="2013180506"/>
    <x v="0"/>
  </r>
  <r>
    <s v="2015632428"/>
    <x v="9"/>
    <s v="2015154121"/>
    <s v="MUHAMMAD BAGUS MAULANA"/>
    <s v="2013060277"/>
    <x v="1"/>
  </r>
  <r>
    <s v="2015675462"/>
    <x v="10"/>
    <s v="2015154121"/>
    <s v="MUHAMMAD BAGUS MAULANA"/>
    <s v="2013060277"/>
    <x v="1"/>
  </r>
  <r>
    <s v="2015362961"/>
    <x v="11"/>
    <s v="2015154121"/>
    <s v="MUHAMMAD BAGUS MAULANA"/>
    <s v="2013060277"/>
    <x v="1"/>
  </r>
  <r>
    <s v="2015154121"/>
    <x v="12"/>
    <s v="2015154121"/>
    <s v="MUHAMMAD BAGUS MAULANA"/>
    <s v="2013060277"/>
    <x v="1"/>
  </r>
  <r>
    <s v="2015471984"/>
    <x v="13"/>
    <s v="2015060270"/>
    <s v="I MADE RUDIARTA"/>
    <s v="2013060277"/>
    <x v="1"/>
  </r>
  <r>
    <s v="2015742254"/>
    <x v="14"/>
    <s v="2015060270"/>
    <s v="I MADE RUDIARTA"/>
    <s v="2013060277"/>
    <x v="1"/>
  </r>
  <r>
    <s v="2015747088"/>
    <x v="15"/>
    <s v="2015060270"/>
    <s v="I MADE RUDIARTA"/>
    <s v="2013060277"/>
    <x v="1"/>
  </r>
  <r>
    <s v="2015060270"/>
    <x v="16"/>
    <s v="2015060270"/>
    <s v="I MADE RUDIARTA"/>
    <s v="2013060277"/>
    <x v="1"/>
  </r>
  <r>
    <s v="2013060277"/>
    <x v="17"/>
    <s v="2013060277"/>
    <s v="ODI TRI ANGGARA"/>
    <s v="2013060277"/>
    <x v="1"/>
  </r>
  <r>
    <s v="2015408869"/>
    <x v="18"/>
    <s v="2015302836"/>
    <s v="RAFLI SALMAN ADITYA"/>
    <s v="2013090888"/>
    <x v="2"/>
  </r>
  <r>
    <s v="2015161965"/>
    <x v="19"/>
    <s v="2015302836"/>
    <s v="RAFLI SALMAN ADITYA"/>
    <s v="2013090888"/>
    <x v="2"/>
  </r>
  <r>
    <s v="2015644525"/>
    <x v="20"/>
    <s v="2015302836"/>
    <s v="RAFLI SALMAN ADITYA"/>
    <s v="2013090888"/>
    <x v="2"/>
  </r>
  <r>
    <s v="2015302836"/>
    <x v="21"/>
    <s v="2015302836"/>
    <s v="RAFLI SALMAN ADITYA"/>
    <s v="2013090888"/>
    <x v="2"/>
  </r>
  <r>
    <s v="2015467115"/>
    <x v="22"/>
    <s v="2015377937"/>
    <s v="IKADEK GALANG SURYA DARMA"/>
    <s v="2013090888"/>
    <x v="2"/>
  </r>
  <r>
    <s v="2015583887"/>
    <x v="23"/>
    <s v="2015377937"/>
    <s v="IKADEK GALANG SURYA DARMA"/>
    <s v="2013090888"/>
    <x v="2"/>
  </r>
  <r>
    <s v="2015655271"/>
    <x v="24"/>
    <s v="2015377937"/>
    <s v="IKADEK GALANG SURYA DARMA"/>
    <s v="2013090888"/>
    <x v="2"/>
  </r>
  <r>
    <s v="2015377937"/>
    <x v="25"/>
    <s v="2015377937"/>
    <s v="IKADEK GALANG SURYA DARMA"/>
    <s v="2013090888"/>
    <x v="2"/>
  </r>
  <r>
    <s v="2013090888"/>
    <x v="26"/>
    <s v="2013090888"/>
    <s v="ANGGA ARDIYANSYAH"/>
    <s v="2013090888"/>
    <x v="2"/>
  </r>
  <r>
    <s v="2015503577"/>
    <x v="27"/>
    <s v="2015170503"/>
    <s v="I GEDE JULIANTO"/>
    <s v="2013159827"/>
    <x v="3"/>
  </r>
  <r>
    <s v="2015640856"/>
    <x v="28"/>
    <s v="2015170503"/>
    <s v="I GEDE JULIANTO"/>
    <s v="2013159827"/>
    <x v="3"/>
  </r>
  <r>
    <s v="2015731683"/>
    <x v="29"/>
    <s v="2015170503"/>
    <s v="I GEDE JULIANTO"/>
    <s v="2013159827"/>
    <x v="3"/>
  </r>
  <r>
    <s v="2015748049"/>
    <x v="30"/>
    <s v="2015170503"/>
    <s v="I GEDE JULIANTO"/>
    <s v="2013159827"/>
    <x v="3"/>
  </r>
  <r>
    <s v="2015170503"/>
    <x v="31"/>
    <s v="2015170503"/>
    <s v="I GEDE JULIANTO"/>
    <s v="2013159827"/>
    <x v="3"/>
  </r>
  <r>
    <s v="2015497215"/>
    <x v="32"/>
    <s v="2015178874"/>
    <s v="AHMAD BAGUS AKBAR"/>
    <s v="2013159827"/>
    <x v="3"/>
  </r>
  <r>
    <s v="2015496206"/>
    <x v="33"/>
    <s v="2015178874"/>
    <s v="AHMAD BAGUS AKBAR"/>
    <s v="2013159827"/>
    <x v="3"/>
  </r>
  <r>
    <s v="2015743981"/>
    <x v="34"/>
    <s v="2015178874"/>
    <s v="AHMAD BAGUS AKBAR"/>
    <s v="2013159827"/>
    <x v="3"/>
  </r>
  <r>
    <s v="2015178874"/>
    <x v="35"/>
    <s v="2015178874"/>
    <s v="AHMAD BAGUS AKBAR"/>
    <s v="2013159827"/>
    <x v="3"/>
  </r>
  <r>
    <s v="2013159827"/>
    <x v="36"/>
    <s v="2013159827"/>
    <s v="ABDUL RAHMAN"/>
    <s v="2013159827"/>
    <x v="3"/>
  </r>
  <r>
    <s v="2015552796"/>
    <x v="37"/>
    <s v="2015082091"/>
    <s v="AGUNG DWI SETIAWAN"/>
    <s v="2013217571"/>
    <x v="4"/>
  </r>
  <r>
    <s v="2015709471"/>
    <x v="38"/>
    <s v="2015082091"/>
    <s v="AGUNG DWI SETIAWAN"/>
    <s v="2013217571"/>
    <x v="4"/>
  </r>
  <r>
    <s v="2015653867"/>
    <x v="39"/>
    <s v="2015082091"/>
    <s v="AGUNG DWI SETIAWAN"/>
    <s v="2013217571"/>
    <x v="4"/>
  </r>
  <r>
    <s v="2015762233"/>
    <x v="40"/>
    <s v="2015082091"/>
    <s v="AGUNG DWI SETIAWAN"/>
    <s v="2013217571"/>
    <x v="4"/>
  </r>
  <r>
    <s v="2015082091"/>
    <x v="41"/>
    <s v="2015082091"/>
    <s v="AGUNG DWI SETIAWAN"/>
    <s v="2013217571"/>
    <x v="4"/>
  </r>
  <r>
    <s v="2015640857"/>
    <x v="42"/>
    <s v="2015458087"/>
    <s v="M LUTFILAH"/>
    <s v="2013217571"/>
    <x v="4"/>
  </r>
  <r>
    <s v="2015687144"/>
    <x v="43"/>
    <s v="2015458087"/>
    <s v="M LUTFILAH"/>
    <s v="2013217571"/>
    <x v="4"/>
  </r>
  <r>
    <s v="2015739793"/>
    <x v="44"/>
    <s v="2015458087"/>
    <s v="M LUTFILAH"/>
    <s v="2013217571"/>
    <x v="4"/>
  </r>
  <r>
    <s v="2015458087"/>
    <x v="45"/>
    <s v="2015458087"/>
    <s v="M LUTFILAH"/>
    <s v="2013217571"/>
    <x v="4"/>
  </r>
  <r>
    <s v="2013217571"/>
    <x v="46"/>
    <s v="2013217571"/>
    <s v="I GEDE PASEK SANTIKA"/>
    <s v="2013217571"/>
    <x v="4"/>
  </r>
  <r>
    <s v="2015586328"/>
    <x v="47"/>
    <s v="2015076423"/>
    <s v="GEDE ARIASA"/>
    <s v="2013178647"/>
    <x v="5"/>
  </r>
  <r>
    <s v="2015458084"/>
    <x v="48"/>
    <s v="2015076423"/>
    <s v="GEDE ARIASA"/>
    <s v="2013178647"/>
    <x v="5"/>
  </r>
  <r>
    <s v="2015076423"/>
    <x v="49"/>
    <s v="2015076423"/>
    <s v="GEDE ARIASA"/>
    <s v="2013178647"/>
    <x v="5"/>
  </r>
  <r>
    <s v="2015705789"/>
    <x v="50"/>
    <s v="2015378206"/>
    <s v="BUJANGGA JONATHAN ADI PUTRA"/>
    <s v="2013178647"/>
    <x v="5"/>
  </r>
  <r>
    <s v="2015565553"/>
    <x v="51"/>
    <s v="2015378206"/>
    <s v="BUJANGGA JONATHAN ADI PUTRA"/>
    <s v="2013178647"/>
    <x v="5"/>
  </r>
  <r>
    <s v="2015675463"/>
    <x v="52"/>
    <s v="2015378206"/>
    <s v="BUJANGGA JONATHAN ADI PUTRA"/>
    <s v="2013178647"/>
    <x v="5"/>
  </r>
  <r>
    <s v="2015378206"/>
    <x v="53"/>
    <s v="2015378206"/>
    <s v="BUJANGGA JONATHAN ADI PUTRA"/>
    <s v="2013178647"/>
    <x v="5"/>
  </r>
  <r>
    <s v="2013178647"/>
    <x v="54"/>
    <s v="2013178647"/>
    <s v="PUTU BISMA"/>
    <s v="201317864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B11" firstHeaderRow="2" firstDataRow="2" firstDataCol="1" rowPageCount="1" colPageCount="1"/>
  <pivotFields count="6">
    <pivotField compact="0" outline="0" showAll="0"/>
    <pivotField axis="axisPage" dataField="1" compact="0" outline="0" showAll="0">
      <items count="56">
        <item x="36"/>
        <item x="1"/>
        <item x="37"/>
        <item x="41"/>
        <item x="4"/>
        <item x="35"/>
        <item x="27"/>
        <item x="26"/>
        <item x="19"/>
        <item x="0"/>
        <item x="44"/>
        <item x="53"/>
        <item x="7"/>
        <item x="39"/>
        <item x="52"/>
        <item x="29"/>
        <item x="38"/>
        <item x="10"/>
        <item x="23"/>
        <item x="49"/>
        <item x="50"/>
        <item x="33"/>
        <item x="31"/>
        <item x="46"/>
        <item x="13"/>
        <item x="14"/>
        <item x="16"/>
        <item x="15"/>
        <item x="34"/>
        <item x="8"/>
        <item x="25"/>
        <item x="48"/>
        <item x="47"/>
        <item x="9"/>
        <item x="5"/>
        <item x="11"/>
        <item x="32"/>
        <item x="45"/>
        <item x="24"/>
        <item x="30"/>
        <item x="12"/>
        <item x="43"/>
        <item x="22"/>
        <item x="51"/>
        <item x="17"/>
        <item x="42"/>
        <item x="54"/>
        <item x="40"/>
        <item x="21"/>
        <item x="28"/>
        <item x="18"/>
        <item x="20"/>
        <item x="6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2"/>
        <item x="4"/>
        <item x="0"/>
        <item x="1"/>
        <item x="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ount of NAMA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7"/>
  <sheetViews>
    <sheetView topLeftCell="A742" workbookViewId="0">
      <selection activeCell="D742" sqref="D742"/>
    </sheetView>
  </sheetViews>
  <sheetFormatPr defaultRowHeight="13.8" x14ac:dyDescent="0.3"/>
  <cols>
    <col min="1" max="1" width="4" bestFit="1" customWidth="1"/>
    <col min="2" max="2" width="6.44140625" bestFit="1" customWidth="1"/>
    <col min="3" max="3" width="40.44140625" bestFit="1" customWidth="1"/>
    <col min="4" max="4" width="12" bestFit="1" customWidth="1"/>
  </cols>
  <sheetData>
    <row r="1" spans="1:4" ht="14.4" x14ac:dyDescent="0.3">
      <c r="A1" s="82" t="s">
        <v>1894</v>
      </c>
      <c r="B1" s="82" t="s">
        <v>2099</v>
      </c>
      <c r="C1" s="82" t="s">
        <v>1903</v>
      </c>
      <c r="D1" s="83" t="s">
        <v>2244</v>
      </c>
    </row>
    <row r="2" spans="1:4" x14ac:dyDescent="0.3">
      <c r="A2" s="37">
        <v>1</v>
      </c>
      <c r="B2" s="37" t="s">
        <v>1800</v>
      </c>
      <c r="C2" s="37" t="s">
        <v>1799</v>
      </c>
      <c r="D2" s="6">
        <v>435127899</v>
      </c>
    </row>
    <row r="3" spans="1:4" x14ac:dyDescent="0.3">
      <c r="A3" s="37">
        <f>A2+1</f>
        <v>2</v>
      </c>
      <c r="B3" s="37" t="s">
        <v>978</v>
      </c>
      <c r="C3" s="37" t="s">
        <v>977</v>
      </c>
      <c r="D3" s="6">
        <v>751036373</v>
      </c>
    </row>
    <row r="4" spans="1:4" x14ac:dyDescent="0.3">
      <c r="A4" s="37">
        <f t="shared" ref="A4:A67" si="0">A3+1</f>
        <v>3</v>
      </c>
      <c r="B4" s="37" t="s">
        <v>960</v>
      </c>
      <c r="C4" s="37" t="s">
        <v>959</v>
      </c>
      <c r="D4" s="6">
        <v>784020993</v>
      </c>
    </row>
    <row r="5" spans="1:4" x14ac:dyDescent="0.3">
      <c r="A5" s="37">
        <f t="shared" si="0"/>
        <v>4</v>
      </c>
      <c r="B5" s="37" t="s">
        <v>1497</v>
      </c>
      <c r="C5" s="37" t="s">
        <v>1496</v>
      </c>
      <c r="D5" s="6">
        <v>580786353</v>
      </c>
    </row>
    <row r="6" spans="1:4" x14ac:dyDescent="0.3">
      <c r="A6" s="37">
        <f t="shared" si="0"/>
        <v>5</v>
      </c>
      <c r="B6" s="37" t="s">
        <v>1076</v>
      </c>
      <c r="C6" s="37" t="s">
        <v>1075</v>
      </c>
      <c r="D6" s="6">
        <v>764297741</v>
      </c>
    </row>
    <row r="7" spans="1:4" x14ac:dyDescent="0.3">
      <c r="A7" s="37">
        <f t="shared" si="0"/>
        <v>6</v>
      </c>
      <c r="B7" s="37" t="s">
        <v>781</v>
      </c>
      <c r="C7" s="37" t="s">
        <v>780</v>
      </c>
      <c r="D7" s="6">
        <v>787257760</v>
      </c>
    </row>
    <row r="8" spans="1:4" x14ac:dyDescent="0.3">
      <c r="A8" s="37">
        <f t="shared" si="0"/>
        <v>7</v>
      </c>
      <c r="B8" s="37" t="s">
        <v>1537</v>
      </c>
      <c r="C8" s="37" t="s">
        <v>1536</v>
      </c>
      <c r="D8" s="6">
        <v>693435433</v>
      </c>
    </row>
    <row r="9" spans="1:4" x14ac:dyDescent="0.3">
      <c r="A9" s="37">
        <f t="shared" si="0"/>
        <v>8</v>
      </c>
      <c r="B9" s="37" t="s">
        <v>1381</v>
      </c>
      <c r="C9" s="37" t="s">
        <v>1380</v>
      </c>
      <c r="D9" s="6">
        <v>762285846</v>
      </c>
    </row>
    <row r="10" spans="1:4" x14ac:dyDescent="0.3">
      <c r="A10" s="37">
        <f t="shared" si="0"/>
        <v>9</v>
      </c>
      <c r="B10" s="37" t="s">
        <v>702</v>
      </c>
      <c r="C10" s="37" t="s">
        <v>701</v>
      </c>
      <c r="D10" s="6">
        <v>751479256</v>
      </c>
    </row>
    <row r="11" spans="1:4" x14ac:dyDescent="0.3">
      <c r="A11" s="37">
        <f t="shared" si="0"/>
        <v>10</v>
      </c>
      <c r="B11" s="37" t="s">
        <v>546</v>
      </c>
      <c r="C11" s="37" t="s">
        <v>545</v>
      </c>
      <c r="D11" s="6">
        <v>762301695</v>
      </c>
    </row>
    <row r="12" spans="1:4" x14ac:dyDescent="0.3">
      <c r="A12" s="37">
        <f t="shared" si="0"/>
        <v>11</v>
      </c>
      <c r="B12" s="37" t="s">
        <v>773</v>
      </c>
      <c r="C12" s="37" t="s">
        <v>772</v>
      </c>
      <c r="D12" s="6">
        <v>744960541</v>
      </c>
    </row>
    <row r="13" spans="1:4" x14ac:dyDescent="0.3">
      <c r="A13" s="37">
        <f t="shared" si="0"/>
        <v>12</v>
      </c>
      <c r="B13" s="37" t="s">
        <v>409</v>
      </c>
      <c r="C13" s="37" t="s">
        <v>408</v>
      </c>
      <c r="D13" s="6">
        <v>736426820</v>
      </c>
    </row>
    <row r="14" spans="1:4" x14ac:dyDescent="0.3">
      <c r="A14" s="37">
        <f t="shared" si="0"/>
        <v>13</v>
      </c>
      <c r="B14" s="37" t="s">
        <v>1108</v>
      </c>
      <c r="C14" s="37" t="s">
        <v>1107</v>
      </c>
      <c r="D14" s="6">
        <v>746247308</v>
      </c>
    </row>
    <row r="15" spans="1:4" x14ac:dyDescent="0.3">
      <c r="A15" s="37">
        <f t="shared" si="0"/>
        <v>14</v>
      </c>
      <c r="B15" s="37" t="s">
        <v>1152</v>
      </c>
      <c r="C15" s="37" t="s">
        <v>1151</v>
      </c>
      <c r="D15" s="6">
        <v>734973062</v>
      </c>
    </row>
    <row r="16" spans="1:4" x14ac:dyDescent="0.3">
      <c r="A16" s="37">
        <f t="shared" si="0"/>
        <v>15</v>
      </c>
      <c r="B16" s="37" t="s">
        <v>1227</v>
      </c>
      <c r="C16" s="37" t="s">
        <v>1226</v>
      </c>
      <c r="D16" s="6">
        <v>689951930</v>
      </c>
    </row>
    <row r="17" spans="1:4" x14ac:dyDescent="0.3">
      <c r="A17" s="37">
        <f t="shared" si="0"/>
        <v>16</v>
      </c>
      <c r="B17" s="37" t="s">
        <v>1147</v>
      </c>
      <c r="C17" s="37" t="s">
        <v>1146</v>
      </c>
      <c r="D17" s="6">
        <v>699657917</v>
      </c>
    </row>
    <row r="18" spans="1:4" x14ac:dyDescent="0.3">
      <c r="A18" s="37">
        <f t="shared" si="0"/>
        <v>17</v>
      </c>
      <c r="B18" s="37" t="s">
        <v>1699</v>
      </c>
      <c r="C18" s="37" t="s">
        <v>1698</v>
      </c>
      <c r="D18" s="6">
        <v>791349665</v>
      </c>
    </row>
    <row r="19" spans="1:4" x14ac:dyDescent="0.3">
      <c r="A19" s="37">
        <f t="shared" si="0"/>
        <v>18</v>
      </c>
      <c r="B19" s="37" t="s">
        <v>203</v>
      </c>
      <c r="C19" s="37" t="s">
        <v>202</v>
      </c>
      <c r="D19" s="6">
        <v>704613816</v>
      </c>
    </row>
    <row r="20" spans="1:4" x14ac:dyDescent="0.3">
      <c r="A20" s="37">
        <f t="shared" si="0"/>
        <v>19</v>
      </c>
      <c r="B20" s="37" t="s">
        <v>281</v>
      </c>
      <c r="C20" s="37" t="s">
        <v>280</v>
      </c>
      <c r="D20" s="6">
        <v>815072742</v>
      </c>
    </row>
    <row r="21" spans="1:4" x14ac:dyDescent="0.3">
      <c r="A21" s="37">
        <f t="shared" si="0"/>
        <v>20</v>
      </c>
      <c r="B21" s="37" t="s">
        <v>778</v>
      </c>
      <c r="C21" s="37" t="s">
        <v>777</v>
      </c>
      <c r="D21" s="6">
        <v>675667798</v>
      </c>
    </row>
    <row r="22" spans="1:4" x14ac:dyDescent="0.3">
      <c r="A22" s="37">
        <f t="shared" si="0"/>
        <v>21</v>
      </c>
      <c r="B22" s="37" t="s">
        <v>522</v>
      </c>
      <c r="C22" s="37" t="s">
        <v>521</v>
      </c>
      <c r="D22" s="6">
        <v>676210458</v>
      </c>
    </row>
    <row r="23" spans="1:4" x14ac:dyDescent="0.3">
      <c r="A23" s="37">
        <f t="shared" si="0"/>
        <v>22</v>
      </c>
      <c r="B23" s="37" t="s">
        <v>1722</v>
      </c>
      <c r="C23" s="37" t="s">
        <v>1721</v>
      </c>
      <c r="D23" s="6">
        <v>758670405</v>
      </c>
    </row>
    <row r="24" spans="1:4" x14ac:dyDescent="0.3">
      <c r="A24" s="37">
        <f t="shared" si="0"/>
        <v>23</v>
      </c>
      <c r="B24" s="37" t="s">
        <v>1502</v>
      </c>
      <c r="C24" s="37" t="s">
        <v>1501</v>
      </c>
      <c r="D24" s="6">
        <v>725957831</v>
      </c>
    </row>
    <row r="25" spans="1:4" x14ac:dyDescent="0.3">
      <c r="A25" s="37">
        <f t="shared" si="0"/>
        <v>24</v>
      </c>
      <c r="B25" s="37" t="s">
        <v>1127</v>
      </c>
      <c r="C25" s="37" t="s">
        <v>1126</v>
      </c>
      <c r="D25" s="6">
        <v>664482447</v>
      </c>
    </row>
    <row r="26" spans="1:4" x14ac:dyDescent="0.3">
      <c r="A26" s="37">
        <f t="shared" si="0"/>
        <v>25</v>
      </c>
      <c r="B26" s="37" t="s">
        <v>155</v>
      </c>
      <c r="C26" s="37" t="s">
        <v>154</v>
      </c>
      <c r="D26" s="6">
        <v>567340754</v>
      </c>
    </row>
    <row r="27" spans="1:4" x14ac:dyDescent="0.3">
      <c r="A27" s="37">
        <f t="shared" si="0"/>
        <v>26</v>
      </c>
      <c r="B27" s="37" t="s">
        <v>1253</v>
      </c>
      <c r="C27" s="37" t="s">
        <v>1252</v>
      </c>
      <c r="D27" s="6">
        <v>767214282</v>
      </c>
    </row>
    <row r="28" spans="1:4" x14ac:dyDescent="0.3">
      <c r="A28" s="37">
        <f t="shared" si="0"/>
        <v>27</v>
      </c>
      <c r="B28" s="37" t="s">
        <v>970</v>
      </c>
      <c r="C28" s="37" t="s">
        <v>969</v>
      </c>
      <c r="D28" s="6">
        <v>646433294</v>
      </c>
    </row>
    <row r="29" spans="1:4" x14ac:dyDescent="0.3">
      <c r="A29" s="37">
        <f t="shared" si="0"/>
        <v>28</v>
      </c>
      <c r="B29" s="37" t="s">
        <v>1008</v>
      </c>
      <c r="C29" s="37" t="s">
        <v>1007</v>
      </c>
      <c r="D29" s="6">
        <v>726987911</v>
      </c>
    </row>
    <row r="30" spans="1:4" x14ac:dyDescent="0.3">
      <c r="A30" s="37">
        <f t="shared" si="0"/>
        <v>29</v>
      </c>
      <c r="B30" s="37" t="s">
        <v>767</v>
      </c>
      <c r="C30" s="37" t="s">
        <v>766</v>
      </c>
      <c r="D30" s="6">
        <v>691239813</v>
      </c>
    </row>
    <row r="31" spans="1:4" x14ac:dyDescent="0.3">
      <c r="A31" s="37">
        <f t="shared" si="0"/>
        <v>30</v>
      </c>
      <c r="B31" s="37" t="s">
        <v>1125</v>
      </c>
      <c r="C31" s="37" t="s">
        <v>1124</v>
      </c>
      <c r="D31" s="6">
        <v>660199686</v>
      </c>
    </row>
    <row r="32" spans="1:4" x14ac:dyDescent="0.3">
      <c r="A32" s="37">
        <f t="shared" si="0"/>
        <v>31</v>
      </c>
      <c r="B32" s="37" t="s">
        <v>804</v>
      </c>
      <c r="C32" s="37" t="s">
        <v>803</v>
      </c>
      <c r="D32" s="6">
        <v>668550106</v>
      </c>
    </row>
    <row r="33" spans="1:4" x14ac:dyDescent="0.3">
      <c r="A33" s="37">
        <f t="shared" si="0"/>
        <v>32</v>
      </c>
      <c r="B33" s="37" t="s">
        <v>717</v>
      </c>
      <c r="C33" s="37" t="s">
        <v>716</v>
      </c>
      <c r="D33" s="6">
        <v>675629520</v>
      </c>
    </row>
    <row r="34" spans="1:4" x14ac:dyDescent="0.3">
      <c r="A34" s="37">
        <f t="shared" si="0"/>
        <v>33</v>
      </c>
      <c r="B34" s="37" t="s">
        <v>541</v>
      </c>
      <c r="C34" s="37" t="s">
        <v>540</v>
      </c>
      <c r="D34" s="6">
        <v>650851157</v>
      </c>
    </row>
    <row r="35" spans="1:4" x14ac:dyDescent="0.3">
      <c r="A35" s="37">
        <f t="shared" si="0"/>
        <v>34</v>
      </c>
      <c r="B35" s="37" t="s">
        <v>2091</v>
      </c>
      <c r="C35" s="37" t="s">
        <v>1389</v>
      </c>
      <c r="D35" s="6">
        <v>599698954</v>
      </c>
    </row>
    <row r="36" spans="1:4" x14ac:dyDescent="0.3">
      <c r="A36" s="37">
        <f t="shared" si="0"/>
        <v>35</v>
      </c>
      <c r="B36" s="37" t="s">
        <v>635</v>
      </c>
      <c r="C36" s="37" t="s">
        <v>634</v>
      </c>
      <c r="D36" s="6">
        <v>647479805</v>
      </c>
    </row>
    <row r="37" spans="1:4" x14ac:dyDescent="0.3">
      <c r="A37" s="37">
        <f t="shared" si="0"/>
        <v>36</v>
      </c>
      <c r="B37" s="37" t="s">
        <v>1264</v>
      </c>
      <c r="C37" s="37" t="s">
        <v>1263</v>
      </c>
      <c r="D37" s="6">
        <v>608698844</v>
      </c>
    </row>
    <row r="38" spans="1:4" x14ac:dyDescent="0.3">
      <c r="A38" s="37">
        <f t="shared" si="0"/>
        <v>37</v>
      </c>
      <c r="B38" s="37" t="s">
        <v>294</v>
      </c>
      <c r="C38" s="37" t="s">
        <v>293</v>
      </c>
      <c r="D38" s="6">
        <v>559626602</v>
      </c>
    </row>
    <row r="39" spans="1:4" x14ac:dyDescent="0.3">
      <c r="A39" s="37">
        <f t="shared" si="0"/>
        <v>38</v>
      </c>
      <c r="B39" s="37" t="s">
        <v>1683</v>
      </c>
      <c r="C39" s="37" t="s">
        <v>1682</v>
      </c>
      <c r="D39" s="6">
        <v>628089076</v>
      </c>
    </row>
    <row r="40" spans="1:4" x14ac:dyDescent="0.3">
      <c r="A40" s="37">
        <f t="shared" si="0"/>
        <v>39</v>
      </c>
      <c r="B40" s="37" t="s">
        <v>783</v>
      </c>
      <c r="C40" s="37" t="s">
        <v>782</v>
      </c>
      <c r="D40" s="6">
        <v>681872175</v>
      </c>
    </row>
    <row r="41" spans="1:4" x14ac:dyDescent="0.3">
      <c r="A41" s="37">
        <f t="shared" si="0"/>
        <v>40</v>
      </c>
      <c r="B41" s="37" t="s">
        <v>599</v>
      </c>
      <c r="C41" s="37" t="s">
        <v>598</v>
      </c>
      <c r="D41" s="6">
        <v>629176829</v>
      </c>
    </row>
    <row r="42" spans="1:4" x14ac:dyDescent="0.3">
      <c r="A42" s="37">
        <f t="shared" si="0"/>
        <v>41</v>
      </c>
      <c r="B42" s="37" t="s">
        <v>1772</v>
      </c>
      <c r="C42" s="37" t="s">
        <v>1771</v>
      </c>
      <c r="D42" s="6">
        <v>637014936</v>
      </c>
    </row>
    <row r="43" spans="1:4" x14ac:dyDescent="0.3">
      <c r="A43" s="37">
        <f t="shared" si="0"/>
        <v>42</v>
      </c>
      <c r="B43" s="37" t="s">
        <v>707</v>
      </c>
      <c r="C43" s="37" t="s">
        <v>706</v>
      </c>
      <c r="D43" s="6" t="e">
        <v>#N/A</v>
      </c>
    </row>
    <row r="44" spans="1:4" x14ac:dyDescent="0.3">
      <c r="A44" s="37">
        <f t="shared" si="0"/>
        <v>43</v>
      </c>
      <c r="B44" s="37" t="s">
        <v>996</v>
      </c>
      <c r="C44" s="37" t="s">
        <v>995</v>
      </c>
      <c r="D44" s="6">
        <v>649585976</v>
      </c>
    </row>
    <row r="45" spans="1:4" x14ac:dyDescent="0.3">
      <c r="A45" s="37">
        <f t="shared" si="0"/>
        <v>44</v>
      </c>
      <c r="B45" s="37" t="s">
        <v>278</v>
      </c>
      <c r="C45" s="37" t="s">
        <v>277</v>
      </c>
      <c r="D45" s="6">
        <v>621126188</v>
      </c>
    </row>
    <row r="46" spans="1:4" x14ac:dyDescent="0.3">
      <c r="A46" s="37">
        <f t="shared" si="0"/>
        <v>45</v>
      </c>
      <c r="B46" s="37" t="s">
        <v>822</v>
      </c>
      <c r="C46" s="37" t="s">
        <v>821</v>
      </c>
      <c r="D46" s="6">
        <v>679352320</v>
      </c>
    </row>
    <row r="47" spans="1:4" x14ac:dyDescent="0.3">
      <c r="A47" s="37">
        <f t="shared" si="0"/>
        <v>46</v>
      </c>
      <c r="B47" s="37" t="s">
        <v>687</v>
      </c>
      <c r="C47" s="37" t="s">
        <v>686</v>
      </c>
      <c r="D47" s="6">
        <v>587152186</v>
      </c>
    </row>
    <row r="48" spans="1:4" x14ac:dyDescent="0.3">
      <c r="A48" s="37">
        <f t="shared" si="0"/>
        <v>47</v>
      </c>
      <c r="B48" s="37" t="s">
        <v>577</v>
      </c>
      <c r="C48" s="37" t="s">
        <v>576</v>
      </c>
      <c r="D48" s="6">
        <v>642596960</v>
      </c>
    </row>
    <row r="49" spans="1:4" x14ac:dyDescent="0.3">
      <c r="A49" s="37">
        <f t="shared" si="0"/>
        <v>48</v>
      </c>
      <c r="B49" s="37" t="s">
        <v>538</v>
      </c>
      <c r="C49" s="37" t="s">
        <v>537</v>
      </c>
      <c r="D49" s="6">
        <v>581701384</v>
      </c>
    </row>
    <row r="50" spans="1:4" x14ac:dyDescent="0.3">
      <c r="A50" s="37">
        <f t="shared" si="0"/>
        <v>49</v>
      </c>
      <c r="B50" s="37" t="s">
        <v>564</v>
      </c>
      <c r="C50" s="37" t="s">
        <v>563</v>
      </c>
      <c r="D50" s="6">
        <v>627597226</v>
      </c>
    </row>
    <row r="51" spans="1:4" x14ac:dyDescent="0.3">
      <c r="A51" s="37">
        <f t="shared" si="0"/>
        <v>50</v>
      </c>
      <c r="B51" s="37" t="s">
        <v>1460</v>
      </c>
      <c r="C51" s="37" t="s">
        <v>1459</v>
      </c>
      <c r="D51" s="6">
        <v>605746954</v>
      </c>
    </row>
    <row r="52" spans="1:4" x14ac:dyDescent="0.3">
      <c r="A52" s="37">
        <f t="shared" si="0"/>
        <v>51</v>
      </c>
      <c r="B52" s="37" t="s">
        <v>631</v>
      </c>
      <c r="C52" s="37" t="s">
        <v>630</v>
      </c>
      <c r="D52" s="6">
        <v>576217617</v>
      </c>
    </row>
    <row r="53" spans="1:4" x14ac:dyDescent="0.3">
      <c r="A53" s="37">
        <f t="shared" si="0"/>
        <v>52</v>
      </c>
      <c r="B53" s="37" t="s">
        <v>1368</v>
      </c>
      <c r="C53" s="37" t="s">
        <v>1367</v>
      </c>
      <c r="D53" s="6">
        <v>554753133</v>
      </c>
    </row>
    <row r="54" spans="1:4" x14ac:dyDescent="0.3">
      <c r="A54" s="37">
        <f t="shared" si="0"/>
        <v>53</v>
      </c>
      <c r="B54" s="37" t="s">
        <v>1216</v>
      </c>
      <c r="C54" s="37" t="s">
        <v>1215</v>
      </c>
      <c r="D54" s="6">
        <v>652843769</v>
      </c>
    </row>
    <row r="55" spans="1:4" x14ac:dyDescent="0.3">
      <c r="A55" s="37">
        <f t="shared" si="0"/>
        <v>54</v>
      </c>
      <c r="B55" s="37" t="s">
        <v>1053</v>
      </c>
      <c r="C55" s="37" t="s">
        <v>1052</v>
      </c>
      <c r="D55" s="6">
        <v>560229702</v>
      </c>
    </row>
    <row r="56" spans="1:4" x14ac:dyDescent="0.3">
      <c r="A56" s="37">
        <f t="shared" si="0"/>
        <v>55</v>
      </c>
      <c r="B56" s="37" t="s">
        <v>955</v>
      </c>
      <c r="C56" s="37" t="s">
        <v>954</v>
      </c>
      <c r="D56" s="6">
        <v>601120383</v>
      </c>
    </row>
    <row r="57" spans="1:4" x14ac:dyDescent="0.3">
      <c r="A57" s="37">
        <f t="shared" si="0"/>
        <v>56</v>
      </c>
      <c r="B57" s="37" t="s">
        <v>602</v>
      </c>
      <c r="C57" s="37" t="s">
        <v>601</v>
      </c>
      <c r="D57" s="6">
        <v>623457415</v>
      </c>
    </row>
    <row r="58" spans="1:4" x14ac:dyDescent="0.3">
      <c r="A58" s="37">
        <f t="shared" si="0"/>
        <v>57</v>
      </c>
      <c r="B58" s="37" t="s">
        <v>672</v>
      </c>
      <c r="C58" s="37" t="s">
        <v>671</v>
      </c>
      <c r="D58" s="6">
        <v>549240937</v>
      </c>
    </row>
    <row r="59" spans="1:4" x14ac:dyDescent="0.3">
      <c r="A59" s="37">
        <f t="shared" si="0"/>
        <v>58</v>
      </c>
      <c r="B59" s="37" t="s">
        <v>999</v>
      </c>
      <c r="C59" s="37" t="s">
        <v>998</v>
      </c>
      <c r="D59" s="6">
        <v>582311451</v>
      </c>
    </row>
    <row r="60" spans="1:4" x14ac:dyDescent="0.3">
      <c r="A60" s="37">
        <f t="shared" si="0"/>
        <v>59</v>
      </c>
      <c r="B60" s="37" t="s">
        <v>1625</v>
      </c>
      <c r="C60" s="37" t="s">
        <v>1624</v>
      </c>
      <c r="D60" s="6">
        <v>512461488</v>
      </c>
    </row>
    <row r="61" spans="1:4" x14ac:dyDescent="0.3">
      <c r="A61" s="37">
        <f t="shared" si="0"/>
        <v>60</v>
      </c>
      <c r="B61" s="37" t="s">
        <v>1324</v>
      </c>
      <c r="C61" s="37" t="s">
        <v>1323</v>
      </c>
      <c r="D61" s="6">
        <v>586734230</v>
      </c>
    </row>
    <row r="62" spans="1:4" x14ac:dyDescent="0.3">
      <c r="A62" s="37">
        <f t="shared" si="0"/>
        <v>61</v>
      </c>
      <c r="B62" s="37" t="s">
        <v>619</v>
      </c>
      <c r="C62" s="37" t="s">
        <v>618</v>
      </c>
      <c r="D62" s="6">
        <v>642229400</v>
      </c>
    </row>
    <row r="63" spans="1:4" x14ac:dyDescent="0.3">
      <c r="A63" s="37">
        <f t="shared" si="0"/>
        <v>62</v>
      </c>
      <c r="B63" s="37" t="s">
        <v>555</v>
      </c>
      <c r="C63" s="37" t="s">
        <v>554</v>
      </c>
      <c r="D63" s="6">
        <v>601938654</v>
      </c>
    </row>
    <row r="64" spans="1:4" x14ac:dyDescent="0.3">
      <c r="A64" s="37">
        <f t="shared" si="0"/>
        <v>63</v>
      </c>
      <c r="B64" s="37" t="s">
        <v>254</v>
      </c>
      <c r="C64" s="37" t="s">
        <v>253</v>
      </c>
      <c r="D64" s="6">
        <v>624136786</v>
      </c>
    </row>
    <row r="65" spans="1:4" x14ac:dyDescent="0.3">
      <c r="A65" s="37">
        <f t="shared" si="0"/>
        <v>64</v>
      </c>
      <c r="B65" s="37" t="s">
        <v>590</v>
      </c>
      <c r="C65" s="37" t="s">
        <v>589</v>
      </c>
      <c r="D65" s="6">
        <v>654949564</v>
      </c>
    </row>
    <row r="66" spans="1:4" x14ac:dyDescent="0.3">
      <c r="A66" s="37">
        <f t="shared" si="0"/>
        <v>65</v>
      </c>
      <c r="B66" s="37" t="s">
        <v>657</v>
      </c>
      <c r="C66" s="37" t="s">
        <v>656</v>
      </c>
      <c r="D66" s="6">
        <v>620037696</v>
      </c>
    </row>
    <row r="67" spans="1:4" x14ac:dyDescent="0.3">
      <c r="A67" s="37">
        <f t="shared" si="0"/>
        <v>66</v>
      </c>
      <c r="B67" s="37" t="s">
        <v>604</v>
      </c>
      <c r="C67" s="37" t="s">
        <v>603</v>
      </c>
      <c r="D67" s="6">
        <v>503355284</v>
      </c>
    </row>
    <row r="68" spans="1:4" x14ac:dyDescent="0.3">
      <c r="A68" s="37">
        <f t="shared" ref="A68:A131" si="1">A67+1</f>
        <v>67</v>
      </c>
      <c r="B68" s="37" t="s">
        <v>89</v>
      </c>
      <c r="C68" s="37" t="s">
        <v>88</v>
      </c>
      <c r="D68" s="6">
        <v>548560235</v>
      </c>
    </row>
    <row r="69" spans="1:4" x14ac:dyDescent="0.3">
      <c r="A69" s="37">
        <f t="shared" si="1"/>
        <v>68</v>
      </c>
      <c r="B69" s="37" t="s">
        <v>583</v>
      </c>
      <c r="C69" s="37" t="s">
        <v>582</v>
      </c>
      <c r="D69" s="6">
        <v>641945341</v>
      </c>
    </row>
    <row r="70" spans="1:4" x14ac:dyDescent="0.3">
      <c r="A70" s="37">
        <f t="shared" si="1"/>
        <v>69</v>
      </c>
      <c r="B70" s="37" t="s">
        <v>994</v>
      </c>
      <c r="C70" s="37" t="s">
        <v>993</v>
      </c>
      <c r="D70" s="6">
        <v>537712432</v>
      </c>
    </row>
    <row r="71" spans="1:4" x14ac:dyDescent="0.3">
      <c r="A71" s="37">
        <f t="shared" si="1"/>
        <v>70</v>
      </c>
      <c r="B71" s="37" t="s">
        <v>557</v>
      </c>
      <c r="C71" s="37" t="s">
        <v>556</v>
      </c>
      <c r="D71" s="6">
        <v>575975603</v>
      </c>
    </row>
    <row r="72" spans="1:4" x14ac:dyDescent="0.3">
      <c r="A72" s="37">
        <f t="shared" si="1"/>
        <v>71</v>
      </c>
      <c r="B72" s="37" t="s">
        <v>1233</v>
      </c>
      <c r="C72" s="37" t="s">
        <v>1232</v>
      </c>
      <c r="D72" s="6">
        <v>548781118</v>
      </c>
    </row>
    <row r="73" spans="1:4" x14ac:dyDescent="0.3">
      <c r="A73" s="37">
        <f t="shared" si="1"/>
        <v>72</v>
      </c>
      <c r="B73" s="37" t="s">
        <v>881</v>
      </c>
      <c r="C73" s="37" t="s">
        <v>880</v>
      </c>
      <c r="D73" s="6">
        <v>557866856</v>
      </c>
    </row>
    <row r="74" spans="1:4" x14ac:dyDescent="0.3">
      <c r="A74" s="37">
        <f t="shared" si="1"/>
        <v>73</v>
      </c>
      <c r="B74" s="37" t="s">
        <v>981</v>
      </c>
      <c r="C74" s="37" t="s">
        <v>980</v>
      </c>
      <c r="D74" s="6">
        <v>589636368</v>
      </c>
    </row>
    <row r="75" spans="1:4" x14ac:dyDescent="0.3">
      <c r="A75" s="37">
        <f t="shared" si="1"/>
        <v>74</v>
      </c>
      <c r="B75" s="37" t="s">
        <v>638</v>
      </c>
      <c r="C75" s="37" t="s">
        <v>637</v>
      </c>
      <c r="D75" s="6">
        <v>612009474</v>
      </c>
    </row>
    <row r="76" spans="1:4" x14ac:dyDescent="0.3">
      <c r="A76" s="37">
        <f t="shared" si="1"/>
        <v>75</v>
      </c>
      <c r="B76" s="37" t="s">
        <v>940</v>
      </c>
      <c r="C76" s="37" t="s">
        <v>939</v>
      </c>
      <c r="D76" s="6">
        <v>592607140</v>
      </c>
    </row>
    <row r="77" spans="1:4" x14ac:dyDescent="0.3">
      <c r="A77" s="37">
        <f t="shared" si="1"/>
        <v>76</v>
      </c>
      <c r="B77" s="37" t="s">
        <v>572</v>
      </c>
      <c r="C77" s="37" t="s">
        <v>571</v>
      </c>
      <c r="D77" s="6">
        <v>668870617</v>
      </c>
    </row>
    <row r="78" spans="1:4" x14ac:dyDescent="0.3">
      <c r="A78" s="37">
        <f t="shared" si="1"/>
        <v>77</v>
      </c>
      <c r="B78" s="37" t="s">
        <v>957</v>
      </c>
      <c r="C78" s="37" t="s">
        <v>956</v>
      </c>
      <c r="D78" s="6">
        <v>579041855</v>
      </c>
    </row>
    <row r="79" spans="1:4" x14ac:dyDescent="0.3">
      <c r="A79" s="37">
        <f t="shared" si="1"/>
        <v>78</v>
      </c>
      <c r="B79" s="37" t="s">
        <v>1284</v>
      </c>
      <c r="C79" s="37" t="s">
        <v>1283</v>
      </c>
      <c r="D79" s="6">
        <v>613434387</v>
      </c>
    </row>
    <row r="80" spans="1:4" x14ac:dyDescent="0.3">
      <c r="A80" s="37">
        <f t="shared" si="1"/>
        <v>79</v>
      </c>
      <c r="B80" s="37" t="s">
        <v>580</v>
      </c>
      <c r="C80" s="37" t="s">
        <v>579</v>
      </c>
      <c r="D80" s="6">
        <v>578338106</v>
      </c>
    </row>
    <row r="81" spans="1:4" x14ac:dyDescent="0.3">
      <c r="A81" s="37">
        <f t="shared" si="1"/>
        <v>80</v>
      </c>
      <c r="B81" s="37" t="s">
        <v>35</v>
      </c>
      <c r="C81" s="37" t="s">
        <v>34</v>
      </c>
      <c r="D81" s="6">
        <v>601634155</v>
      </c>
    </row>
    <row r="82" spans="1:4" x14ac:dyDescent="0.3">
      <c r="A82" s="37">
        <f t="shared" si="1"/>
        <v>81</v>
      </c>
      <c r="B82" s="37" t="s">
        <v>625</v>
      </c>
      <c r="C82" s="37" t="s">
        <v>624</v>
      </c>
      <c r="D82" s="6">
        <v>605120631</v>
      </c>
    </row>
    <row r="83" spans="1:4" x14ac:dyDescent="0.3">
      <c r="A83" s="37">
        <f t="shared" si="1"/>
        <v>82</v>
      </c>
      <c r="B83" s="37" t="s">
        <v>559</v>
      </c>
      <c r="C83" s="37" t="s">
        <v>558</v>
      </c>
      <c r="D83" s="6">
        <v>619753858</v>
      </c>
    </row>
    <row r="84" spans="1:4" x14ac:dyDescent="0.3">
      <c r="A84" s="37">
        <f t="shared" si="1"/>
        <v>83</v>
      </c>
      <c r="B84" s="37" t="s">
        <v>518</v>
      </c>
      <c r="C84" s="37" t="s">
        <v>517</v>
      </c>
      <c r="D84" s="6">
        <v>572597823</v>
      </c>
    </row>
    <row r="85" spans="1:4" x14ac:dyDescent="0.3">
      <c r="A85" s="37">
        <f t="shared" si="1"/>
        <v>84</v>
      </c>
      <c r="B85" s="37" t="s">
        <v>389</v>
      </c>
      <c r="C85" s="37" t="s">
        <v>388</v>
      </c>
      <c r="D85" s="6">
        <v>641673212</v>
      </c>
    </row>
    <row r="86" spans="1:4" x14ac:dyDescent="0.3">
      <c r="A86" s="37">
        <f t="shared" si="1"/>
        <v>85</v>
      </c>
      <c r="B86" s="37" t="s">
        <v>1359</v>
      </c>
      <c r="C86" s="37" t="s">
        <v>1358</v>
      </c>
      <c r="D86" s="6">
        <v>511427413</v>
      </c>
    </row>
    <row r="87" spans="1:4" x14ac:dyDescent="0.3">
      <c r="A87" s="37">
        <f t="shared" si="1"/>
        <v>86</v>
      </c>
      <c r="B87" s="37" t="s">
        <v>567</v>
      </c>
      <c r="C87" s="37" t="s">
        <v>566</v>
      </c>
      <c r="D87" s="6">
        <v>528832263</v>
      </c>
    </row>
    <row r="88" spans="1:4" x14ac:dyDescent="0.3">
      <c r="A88" s="37">
        <f t="shared" si="1"/>
        <v>87</v>
      </c>
      <c r="B88" s="37" t="s">
        <v>354</v>
      </c>
      <c r="C88" s="37" t="s">
        <v>353</v>
      </c>
      <c r="D88" s="6">
        <v>565014358</v>
      </c>
    </row>
    <row r="89" spans="1:4" x14ac:dyDescent="0.3">
      <c r="A89" s="37">
        <f t="shared" si="1"/>
        <v>88</v>
      </c>
      <c r="B89" s="37" t="s">
        <v>1870</v>
      </c>
      <c r="C89" s="37" t="s">
        <v>1869</v>
      </c>
      <c r="D89" s="6">
        <v>533204423</v>
      </c>
    </row>
    <row r="90" spans="1:4" x14ac:dyDescent="0.3">
      <c r="A90" s="37">
        <f t="shared" si="1"/>
        <v>89</v>
      </c>
      <c r="B90" s="37" t="s">
        <v>499</v>
      </c>
      <c r="C90" s="37" t="s">
        <v>498</v>
      </c>
      <c r="D90" s="6">
        <v>580480770</v>
      </c>
    </row>
    <row r="91" spans="1:4" x14ac:dyDescent="0.3">
      <c r="A91" s="37">
        <f t="shared" si="1"/>
        <v>90</v>
      </c>
      <c r="B91" s="37" t="s">
        <v>1036</v>
      </c>
      <c r="C91" s="37" t="s">
        <v>1035</v>
      </c>
      <c r="D91" s="6">
        <v>523357636</v>
      </c>
    </row>
    <row r="92" spans="1:4" x14ac:dyDescent="0.3">
      <c r="A92" s="37">
        <f t="shared" si="1"/>
        <v>91</v>
      </c>
      <c r="B92" s="37" t="s">
        <v>681</v>
      </c>
      <c r="C92" s="37" t="s">
        <v>680</v>
      </c>
      <c r="D92" s="6">
        <v>593834565</v>
      </c>
    </row>
    <row r="93" spans="1:4" x14ac:dyDescent="0.3">
      <c r="A93" s="37">
        <f t="shared" si="1"/>
        <v>92</v>
      </c>
      <c r="B93" s="37" t="s">
        <v>1138</v>
      </c>
      <c r="C93" s="37" t="s">
        <v>1137</v>
      </c>
      <c r="D93" s="6">
        <v>544368169</v>
      </c>
    </row>
    <row r="94" spans="1:4" x14ac:dyDescent="0.3">
      <c r="A94" s="37">
        <f t="shared" si="1"/>
        <v>93</v>
      </c>
      <c r="B94" s="37" t="s">
        <v>875</v>
      </c>
      <c r="C94" s="37" t="s">
        <v>874</v>
      </c>
      <c r="D94" s="6">
        <v>614489096</v>
      </c>
    </row>
    <row r="95" spans="1:4" x14ac:dyDescent="0.3">
      <c r="A95" s="37">
        <f t="shared" si="1"/>
        <v>94</v>
      </c>
      <c r="B95" s="37" t="s">
        <v>1062</v>
      </c>
      <c r="C95" s="37" t="s">
        <v>1061</v>
      </c>
      <c r="D95" s="6">
        <v>509548459</v>
      </c>
    </row>
    <row r="96" spans="1:4" x14ac:dyDescent="0.3">
      <c r="A96" s="37">
        <f t="shared" si="1"/>
        <v>95</v>
      </c>
      <c r="B96" s="37" t="s">
        <v>1339</v>
      </c>
      <c r="C96" s="37" t="s">
        <v>1338</v>
      </c>
      <c r="D96" s="6">
        <v>576619043</v>
      </c>
    </row>
    <row r="97" spans="1:4" x14ac:dyDescent="0.3">
      <c r="A97" s="37">
        <f t="shared" si="1"/>
        <v>96</v>
      </c>
      <c r="B97" s="37" t="s">
        <v>356</v>
      </c>
      <c r="C97" s="37" t="s">
        <v>355</v>
      </c>
      <c r="D97" s="6">
        <v>547769111</v>
      </c>
    </row>
    <row r="98" spans="1:4" x14ac:dyDescent="0.3">
      <c r="A98" s="37">
        <f t="shared" si="1"/>
        <v>97</v>
      </c>
      <c r="B98" s="37" t="s">
        <v>596</v>
      </c>
      <c r="C98" s="37" t="s">
        <v>595</v>
      </c>
      <c r="D98" s="6">
        <v>528989657</v>
      </c>
    </row>
    <row r="99" spans="1:4" x14ac:dyDescent="0.3">
      <c r="A99" s="37">
        <f t="shared" si="1"/>
        <v>98</v>
      </c>
      <c r="B99" s="37" t="s">
        <v>1300</v>
      </c>
      <c r="C99" s="37" t="s">
        <v>1299</v>
      </c>
      <c r="D99" s="6">
        <v>529757116</v>
      </c>
    </row>
    <row r="100" spans="1:4" x14ac:dyDescent="0.3">
      <c r="A100" s="37">
        <f t="shared" si="1"/>
        <v>99</v>
      </c>
      <c r="B100" s="37" t="s">
        <v>1377</v>
      </c>
      <c r="C100" s="37" t="s">
        <v>1376</v>
      </c>
      <c r="D100" s="6">
        <v>596117599</v>
      </c>
    </row>
    <row r="101" spans="1:4" x14ac:dyDescent="0.3">
      <c r="A101" s="37">
        <f t="shared" si="1"/>
        <v>100</v>
      </c>
      <c r="B101" s="37" t="s">
        <v>305</v>
      </c>
      <c r="C101" s="37" t="s">
        <v>304</v>
      </c>
      <c r="D101" s="6">
        <v>528088270</v>
      </c>
    </row>
    <row r="102" spans="1:4" x14ac:dyDescent="0.3">
      <c r="A102" s="37">
        <f t="shared" si="1"/>
        <v>101</v>
      </c>
      <c r="B102" s="37" t="s">
        <v>1045</v>
      </c>
      <c r="C102" s="37" t="s">
        <v>1044</v>
      </c>
      <c r="D102" s="6">
        <v>545437299</v>
      </c>
    </row>
    <row r="103" spans="1:4" x14ac:dyDescent="0.3">
      <c r="A103" s="37">
        <f t="shared" si="1"/>
        <v>102</v>
      </c>
      <c r="B103" s="37" t="s">
        <v>685</v>
      </c>
      <c r="C103" s="37" t="s">
        <v>684</v>
      </c>
      <c r="D103" s="6">
        <v>496028397</v>
      </c>
    </row>
    <row r="104" spans="1:4" x14ac:dyDescent="0.3">
      <c r="A104" s="37">
        <f t="shared" si="1"/>
        <v>103</v>
      </c>
      <c r="B104" s="37" t="s">
        <v>1872</v>
      </c>
      <c r="C104" s="37" t="s">
        <v>1871</v>
      </c>
      <c r="D104" s="6">
        <v>558135442</v>
      </c>
    </row>
    <row r="105" spans="1:4" x14ac:dyDescent="0.3">
      <c r="A105" s="37">
        <f t="shared" si="1"/>
        <v>104</v>
      </c>
      <c r="B105" s="37" t="s">
        <v>1370</v>
      </c>
      <c r="C105" s="37" t="s">
        <v>1369</v>
      </c>
      <c r="D105" s="6">
        <v>570818608</v>
      </c>
    </row>
    <row r="106" spans="1:4" x14ac:dyDescent="0.3">
      <c r="A106" s="37">
        <f t="shared" si="1"/>
        <v>105</v>
      </c>
      <c r="B106" s="37" t="s">
        <v>727</v>
      </c>
      <c r="C106" s="37" t="s">
        <v>726</v>
      </c>
      <c r="D106" s="6">
        <v>547452678</v>
      </c>
    </row>
    <row r="107" spans="1:4" x14ac:dyDescent="0.3">
      <c r="A107" s="37">
        <f t="shared" si="1"/>
        <v>106</v>
      </c>
      <c r="B107" s="37" t="s">
        <v>1066</v>
      </c>
      <c r="C107" s="37" t="s">
        <v>1065</v>
      </c>
      <c r="D107" s="6">
        <v>525874512</v>
      </c>
    </row>
    <row r="108" spans="1:4" x14ac:dyDescent="0.3">
      <c r="A108" s="37">
        <f t="shared" si="1"/>
        <v>107</v>
      </c>
      <c r="B108" s="37" t="s">
        <v>177</v>
      </c>
      <c r="C108" s="37" t="s">
        <v>176</v>
      </c>
      <c r="D108" s="6">
        <v>603680743</v>
      </c>
    </row>
    <row r="109" spans="1:4" x14ac:dyDescent="0.3">
      <c r="A109" s="37">
        <f t="shared" si="1"/>
        <v>108</v>
      </c>
      <c r="B109" s="37" t="s">
        <v>752</v>
      </c>
      <c r="C109" s="37" t="s">
        <v>2081</v>
      </c>
      <c r="D109" s="6">
        <v>567410807</v>
      </c>
    </row>
    <row r="110" spans="1:4" x14ac:dyDescent="0.3">
      <c r="A110" s="37">
        <f t="shared" si="1"/>
        <v>109</v>
      </c>
      <c r="B110" s="37" t="s">
        <v>391</v>
      </c>
      <c r="C110" s="37" t="s">
        <v>390</v>
      </c>
      <c r="D110" s="6">
        <v>559249226</v>
      </c>
    </row>
    <row r="111" spans="1:4" x14ac:dyDescent="0.3">
      <c r="A111" s="37">
        <f t="shared" si="1"/>
        <v>110</v>
      </c>
      <c r="B111" s="37" t="s">
        <v>1231</v>
      </c>
      <c r="C111" s="37" t="s">
        <v>1230</v>
      </c>
      <c r="D111" s="6">
        <v>521492144</v>
      </c>
    </row>
    <row r="112" spans="1:4" x14ac:dyDescent="0.3">
      <c r="A112" s="37">
        <f t="shared" si="1"/>
        <v>111</v>
      </c>
      <c r="B112" s="37" t="s">
        <v>397</v>
      </c>
      <c r="C112" s="37" t="s">
        <v>396</v>
      </c>
      <c r="D112" s="6">
        <v>562259331</v>
      </c>
    </row>
    <row r="113" spans="1:4" x14ac:dyDescent="0.3">
      <c r="A113" s="37">
        <f t="shared" si="1"/>
        <v>112</v>
      </c>
      <c r="B113" s="37" t="s">
        <v>1363</v>
      </c>
      <c r="C113" s="37" t="s">
        <v>1362</v>
      </c>
      <c r="D113" s="6">
        <v>582592825</v>
      </c>
    </row>
    <row r="114" spans="1:4" x14ac:dyDescent="0.3">
      <c r="A114" s="37">
        <f t="shared" si="1"/>
        <v>113</v>
      </c>
      <c r="B114" s="37" t="s">
        <v>612</v>
      </c>
      <c r="C114" s="37" t="s">
        <v>611</v>
      </c>
      <c r="D114" s="6">
        <v>571768952</v>
      </c>
    </row>
    <row r="115" spans="1:4" x14ac:dyDescent="0.3">
      <c r="A115" s="37">
        <f t="shared" si="1"/>
        <v>114</v>
      </c>
      <c r="B115" s="37" t="s">
        <v>1311</v>
      </c>
      <c r="C115" s="37" t="s">
        <v>1310</v>
      </c>
      <c r="D115" s="6">
        <v>564935139</v>
      </c>
    </row>
    <row r="116" spans="1:4" x14ac:dyDescent="0.3">
      <c r="A116" s="37">
        <f t="shared" si="1"/>
        <v>115</v>
      </c>
      <c r="B116" s="37" t="s">
        <v>585</v>
      </c>
      <c r="C116" s="37" t="s">
        <v>584</v>
      </c>
      <c r="D116" s="6">
        <v>526499981</v>
      </c>
    </row>
    <row r="117" spans="1:4" x14ac:dyDescent="0.3">
      <c r="A117" s="37">
        <f t="shared" si="1"/>
        <v>116</v>
      </c>
      <c r="B117" s="37" t="s">
        <v>1235</v>
      </c>
      <c r="C117" s="37" t="s">
        <v>1234</v>
      </c>
      <c r="D117" s="6">
        <v>549719923</v>
      </c>
    </row>
    <row r="118" spans="1:4" x14ac:dyDescent="0.3">
      <c r="A118" s="37">
        <f t="shared" si="1"/>
        <v>117</v>
      </c>
      <c r="B118" s="37" t="s">
        <v>862</v>
      </c>
      <c r="C118" s="37" t="s">
        <v>861</v>
      </c>
      <c r="D118" s="6">
        <v>521532256</v>
      </c>
    </row>
    <row r="119" spans="1:4" x14ac:dyDescent="0.3">
      <c r="A119" s="37">
        <f t="shared" si="1"/>
        <v>118</v>
      </c>
      <c r="B119" s="37" t="s">
        <v>289</v>
      </c>
      <c r="C119" s="37" t="s">
        <v>288</v>
      </c>
      <c r="D119" s="6">
        <v>512794930</v>
      </c>
    </row>
    <row r="120" spans="1:4" x14ac:dyDescent="0.3">
      <c r="A120" s="37">
        <f t="shared" si="1"/>
        <v>119</v>
      </c>
      <c r="B120" s="37" t="s">
        <v>303</v>
      </c>
      <c r="C120" s="37" t="s">
        <v>302</v>
      </c>
      <c r="D120" s="6">
        <v>577471286</v>
      </c>
    </row>
    <row r="121" spans="1:4" x14ac:dyDescent="0.3">
      <c r="A121" s="37">
        <f t="shared" si="1"/>
        <v>120</v>
      </c>
      <c r="B121" s="37" t="s">
        <v>1868</v>
      </c>
      <c r="C121" s="37" t="s">
        <v>1867</v>
      </c>
      <c r="D121" s="6">
        <v>555723175</v>
      </c>
    </row>
    <row r="122" spans="1:4" x14ac:dyDescent="0.3">
      <c r="A122" s="37">
        <f t="shared" si="1"/>
        <v>121</v>
      </c>
      <c r="B122" s="37" t="s">
        <v>23</v>
      </c>
      <c r="C122" s="37" t="s">
        <v>22</v>
      </c>
      <c r="D122" s="6">
        <v>527340639</v>
      </c>
    </row>
    <row r="123" spans="1:4" x14ac:dyDescent="0.3">
      <c r="A123" s="37">
        <f t="shared" si="1"/>
        <v>122</v>
      </c>
      <c r="B123" s="37" t="s">
        <v>348</v>
      </c>
      <c r="C123" s="37" t="s">
        <v>347</v>
      </c>
      <c r="D123" s="6">
        <v>571788993</v>
      </c>
    </row>
    <row r="124" spans="1:4" x14ac:dyDescent="0.3">
      <c r="A124" s="37">
        <f t="shared" si="1"/>
        <v>123</v>
      </c>
      <c r="B124" s="37" t="s">
        <v>1074</v>
      </c>
      <c r="C124" s="37" t="s">
        <v>1073</v>
      </c>
      <c r="D124" s="6">
        <v>453716362</v>
      </c>
    </row>
    <row r="125" spans="1:4" x14ac:dyDescent="0.3">
      <c r="A125" s="37">
        <f t="shared" si="1"/>
        <v>124</v>
      </c>
      <c r="B125" s="37" t="s">
        <v>948</v>
      </c>
      <c r="C125" s="37" t="s">
        <v>947</v>
      </c>
      <c r="D125" s="6">
        <v>476004415</v>
      </c>
    </row>
    <row r="126" spans="1:4" x14ac:dyDescent="0.3">
      <c r="A126" s="37">
        <f t="shared" si="1"/>
        <v>125</v>
      </c>
      <c r="B126" s="37" t="s">
        <v>1372</v>
      </c>
      <c r="C126" s="37" t="s">
        <v>1371</v>
      </c>
      <c r="D126" s="6">
        <v>511623137</v>
      </c>
    </row>
    <row r="127" spans="1:4" x14ac:dyDescent="0.3">
      <c r="A127" s="37">
        <f t="shared" si="1"/>
        <v>126</v>
      </c>
      <c r="B127" s="37" t="s">
        <v>1539</v>
      </c>
      <c r="C127" s="37" t="s">
        <v>1538</v>
      </c>
      <c r="D127" s="6">
        <v>542238184</v>
      </c>
    </row>
    <row r="128" spans="1:4" x14ac:dyDescent="0.3">
      <c r="A128" s="37">
        <f t="shared" si="1"/>
        <v>127</v>
      </c>
      <c r="B128" s="37" t="s">
        <v>988</v>
      </c>
      <c r="C128" s="37" t="s">
        <v>987</v>
      </c>
      <c r="D128" s="6">
        <v>533249814</v>
      </c>
    </row>
    <row r="129" spans="1:4" x14ac:dyDescent="0.3">
      <c r="A129" s="37">
        <f t="shared" si="1"/>
        <v>128</v>
      </c>
      <c r="B129" s="37" t="s">
        <v>901</v>
      </c>
      <c r="C129" s="37" t="s">
        <v>900</v>
      </c>
      <c r="D129" s="6">
        <v>537876496</v>
      </c>
    </row>
    <row r="130" spans="1:4" x14ac:dyDescent="0.3">
      <c r="A130" s="37">
        <f t="shared" si="1"/>
        <v>129</v>
      </c>
      <c r="B130" s="37" t="s">
        <v>1435</v>
      </c>
      <c r="C130" s="37" t="s">
        <v>1434</v>
      </c>
      <c r="D130" s="6">
        <v>567724137</v>
      </c>
    </row>
    <row r="131" spans="1:4" x14ac:dyDescent="0.3">
      <c r="A131" s="37">
        <f t="shared" si="1"/>
        <v>130</v>
      </c>
      <c r="B131" s="37" t="s">
        <v>1365</v>
      </c>
      <c r="C131" s="37" t="s">
        <v>1364</v>
      </c>
      <c r="D131" s="6">
        <v>565964426</v>
      </c>
    </row>
    <row r="132" spans="1:4" x14ac:dyDescent="0.3">
      <c r="A132" s="37">
        <f t="shared" ref="A132:A195" si="2">A131+1</f>
        <v>131</v>
      </c>
      <c r="B132" s="37" t="s">
        <v>530</v>
      </c>
      <c r="C132" s="37" t="s">
        <v>529</v>
      </c>
      <c r="D132" s="6">
        <v>565649628</v>
      </c>
    </row>
    <row r="133" spans="1:4" x14ac:dyDescent="0.3">
      <c r="A133" s="37">
        <f t="shared" si="2"/>
        <v>132</v>
      </c>
      <c r="B133" s="37" t="s">
        <v>1332</v>
      </c>
      <c r="C133" s="37" t="s">
        <v>1331</v>
      </c>
      <c r="D133" s="6">
        <v>467779339</v>
      </c>
    </row>
    <row r="134" spans="1:4" x14ac:dyDescent="0.3">
      <c r="A134" s="37">
        <f t="shared" si="2"/>
        <v>133</v>
      </c>
      <c r="B134" s="37" t="s">
        <v>570</v>
      </c>
      <c r="C134" s="37" t="s">
        <v>569</v>
      </c>
      <c r="D134" s="6">
        <v>552228270</v>
      </c>
    </row>
    <row r="135" spans="1:4" x14ac:dyDescent="0.3">
      <c r="A135" s="37">
        <f t="shared" si="2"/>
        <v>134</v>
      </c>
      <c r="B135" s="37" t="s">
        <v>1250</v>
      </c>
      <c r="C135" s="37" t="s">
        <v>1249</v>
      </c>
      <c r="D135" s="6">
        <v>528695521</v>
      </c>
    </row>
    <row r="136" spans="1:4" x14ac:dyDescent="0.3">
      <c r="A136" s="37">
        <f t="shared" si="2"/>
        <v>135</v>
      </c>
      <c r="B136" s="37" t="s">
        <v>845</v>
      </c>
      <c r="C136" s="37" t="s">
        <v>844</v>
      </c>
      <c r="D136" s="6">
        <v>548950941</v>
      </c>
    </row>
    <row r="137" spans="1:4" x14ac:dyDescent="0.3">
      <c r="A137" s="37">
        <f t="shared" si="2"/>
        <v>136</v>
      </c>
      <c r="B137" s="37" t="s">
        <v>1307</v>
      </c>
      <c r="C137" s="37" t="s">
        <v>1306</v>
      </c>
      <c r="D137" s="6">
        <v>518072960</v>
      </c>
    </row>
    <row r="138" spans="1:4" x14ac:dyDescent="0.3">
      <c r="A138" s="37">
        <f t="shared" si="2"/>
        <v>137</v>
      </c>
      <c r="B138" s="37" t="s">
        <v>1458</v>
      </c>
      <c r="C138" s="37" t="s">
        <v>1457</v>
      </c>
      <c r="D138" s="6">
        <v>582084052</v>
      </c>
    </row>
    <row r="139" spans="1:4" x14ac:dyDescent="0.3">
      <c r="A139" s="37">
        <f t="shared" si="2"/>
        <v>138</v>
      </c>
      <c r="B139" s="37" t="s">
        <v>1027</v>
      </c>
      <c r="C139" s="37" t="s">
        <v>1026</v>
      </c>
      <c r="D139" s="6">
        <v>552870410</v>
      </c>
    </row>
    <row r="140" spans="1:4" x14ac:dyDescent="0.3">
      <c r="A140" s="37">
        <f t="shared" si="2"/>
        <v>139</v>
      </c>
      <c r="B140" s="37" t="s">
        <v>696</v>
      </c>
      <c r="C140" s="37" t="s">
        <v>695</v>
      </c>
      <c r="D140" s="6">
        <v>482626161</v>
      </c>
    </row>
    <row r="141" spans="1:4" x14ac:dyDescent="0.3">
      <c r="A141" s="37">
        <f t="shared" si="2"/>
        <v>140</v>
      </c>
      <c r="B141" s="37" t="s">
        <v>1141</v>
      </c>
      <c r="C141" s="37" t="s">
        <v>1140</v>
      </c>
      <c r="D141" s="6">
        <v>519727723</v>
      </c>
    </row>
    <row r="142" spans="1:4" x14ac:dyDescent="0.3">
      <c r="A142" s="37">
        <f t="shared" si="2"/>
        <v>141</v>
      </c>
      <c r="B142" s="37" t="s">
        <v>737</v>
      </c>
      <c r="C142" s="37" t="s">
        <v>736</v>
      </c>
      <c r="D142" s="6">
        <v>518225583</v>
      </c>
    </row>
    <row r="143" spans="1:4" x14ac:dyDescent="0.3">
      <c r="A143" s="37">
        <f t="shared" si="2"/>
        <v>142</v>
      </c>
      <c r="B143" s="37" t="s">
        <v>284</v>
      </c>
      <c r="C143" s="37" t="s">
        <v>283</v>
      </c>
      <c r="D143" s="6">
        <v>534686529</v>
      </c>
    </row>
    <row r="144" spans="1:4" x14ac:dyDescent="0.3">
      <c r="A144" s="37">
        <f t="shared" si="2"/>
        <v>143</v>
      </c>
      <c r="B144" s="37" t="s">
        <v>1083</v>
      </c>
      <c r="C144" s="37" t="s">
        <v>1082</v>
      </c>
      <c r="D144" s="6">
        <v>512970911</v>
      </c>
    </row>
    <row r="145" spans="1:4" x14ac:dyDescent="0.3">
      <c r="A145" s="37">
        <f t="shared" si="2"/>
        <v>144</v>
      </c>
      <c r="B145" s="37" t="s">
        <v>720</v>
      </c>
      <c r="C145" s="37" t="s">
        <v>719</v>
      </c>
      <c r="D145" s="6">
        <v>507586793</v>
      </c>
    </row>
    <row r="146" spans="1:4" x14ac:dyDescent="0.3">
      <c r="A146" s="37">
        <f t="shared" si="2"/>
        <v>145</v>
      </c>
      <c r="B146" s="37" t="s">
        <v>1810</v>
      </c>
      <c r="C146" s="37" t="s">
        <v>1809</v>
      </c>
      <c r="D146" s="6">
        <v>533751893</v>
      </c>
    </row>
    <row r="147" spans="1:4" x14ac:dyDescent="0.3">
      <c r="A147" s="37">
        <f t="shared" si="2"/>
        <v>146</v>
      </c>
      <c r="B147" s="37" t="s">
        <v>872</v>
      </c>
      <c r="C147" s="37" t="s">
        <v>871</v>
      </c>
      <c r="D147" s="6">
        <v>528043546</v>
      </c>
    </row>
    <row r="148" spans="1:4" x14ac:dyDescent="0.3">
      <c r="A148" s="37">
        <f t="shared" si="2"/>
        <v>147</v>
      </c>
      <c r="B148" s="37" t="s">
        <v>1322</v>
      </c>
      <c r="C148" s="37" t="s">
        <v>1321</v>
      </c>
      <c r="D148" s="6" t="e">
        <v>#N/A</v>
      </c>
    </row>
    <row r="149" spans="1:4" x14ac:dyDescent="0.3">
      <c r="A149" s="37">
        <f t="shared" si="2"/>
        <v>148</v>
      </c>
      <c r="B149" s="37" t="s">
        <v>1224</v>
      </c>
      <c r="C149" s="37" t="s">
        <v>1223</v>
      </c>
      <c r="D149" s="6">
        <v>555818608</v>
      </c>
    </row>
    <row r="150" spans="1:4" x14ac:dyDescent="0.3">
      <c r="A150" s="37">
        <f t="shared" si="2"/>
        <v>149</v>
      </c>
      <c r="B150" s="37" t="s">
        <v>1551</v>
      </c>
      <c r="C150" s="37" t="s">
        <v>1550</v>
      </c>
      <c r="D150" s="6">
        <v>511722392</v>
      </c>
    </row>
    <row r="151" spans="1:4" x14ac:dyDescent="0.3">
      <c r="A151" s="37">
        <f t="shared" si="2"/>
        <v>150</v>
      </c>
      <c r="B151" s="37" t="s">
        <v>245</v>
      </c>
      <c r="C151" s="37" t="s">
        <v>244</v>
      </c>
      <c r="D151" s="6">
        <v>560202175</v>
      </c>
    </row>
    <row r="152" spans="1:4" x14ac:dyDescent="0.3">
      <c r="A152" s="37">
        <f t="shared" si="2"/>
        <v>151</v>
      </c>
      <c r="B152" s="37" t="s">
        <v>1118</v>
      </c>
      <c r="C152" s="37" t="s">
        <v>1117</v>
      </c>
      <c r="D152" s="6">
        <v>555634072</v>
      </c>
    </row>
    <row r="153" spans="1:4" x14ac:dyDescent="0.3">
      <c r="A153" s="37">
        <f t="shared" si="2"/>
        <v>152</v>
      </c>
      <c r="B153" s="37" t="s">
        <v>1882</v>
      </c>
      <c r="C153" s="37" t="s">
        <v>1881</v>
      </c>
      <c r="D153" s="6">
        <v>527096011</v>
      </c>
    </row>
    <row r="154" spans="1:4" x14ac:dyDescent="0.3">
      <c r="A154" s="37">
        <f t="shared" si="2"/>
        <v>153</v>
      </c>
      <c r="B154" s="37" t="s">
        <v>553</v>
      </c>
      <c r="C154" s="37" t="s">
        <v>552</v>
      </c>
      <c r="D154" s="6">
        <v>572574132</v>
      </c>
    </row>
    <row r="155" spans="1:4" x14ac:dyDescent="0.3">
      <c r="A155" s="37">
        <f t="shared" si="2"/>
        <v>154</v>
      </c>
      <c r="B155" s="37" t="s">
        <v>367</v>
      </c>
      <c r="C155" s="37" t="s">
        <v>366</v>
      </c>
      <c r="D155" s="6">
        <v>557781184</v>
      </c>
    </row>
    <row r="156" spans="1:4" x14ac:dyDescent="0.3">
      <c r="A156" s="37">
        <f t="shared" si="2"/>
        <v>155</v>
      </c>
      <c r="B156" s="37" t="s">
        <v>628</v>
      </c>
      <c r="C156" s="37" t="s">
        <v>627</v>
      </c>
      <c r="D156" s="6">
        <v>562665829</v>
      </c>
    </row>
    <row r="157" spans="1:4" x14ac:dyDescent="0.3">
      <c r="A157" s="37">
        <f t="shared" si="2"/>
        <v>156</v>
      </c>
      <c r="B157" s="37" t="s">
        <v>520</v>
      </c>
      <c r="C157" s="37" t="s">
        <v>519</v>
      </c>
      <c r="D157" s="6">
        <v>493424736</v>
      </c>
    </row>
    <row r="158" spans="1:4" x14ac:dyDescent="0.3">
      <c r="A158" s="37">
        <f t="shared" si="2"/>
        <v>157</v>
      </c>
      <c r="B158" s="37" t="s">
        <v>1267</v>
      </c>
      <c r="C158" s="37" t="s">
        <v>1266</v>
      </c>
      <c r="D158" s="6">
        <v>449748424</v>
      </c>
    </row>
    <row r="159" spans="1:4" x14ac:dyDescent="0.3">
      <c r="A159" s="37">
        <f t="shared" si="2"/>
        <v>158</v>
      </c>
      <c r="B159" s="37" t="s">
        <v>800</v>
      </c>
      <c r="C159" s="37" t="s">
        <v>799</v>
      </c>
      <c r="D159" s="6">
        <v>583624164</v>
      </c>
    </row>
    <row r="160" spans="1:4" x14ac:dyDescent="0.3">
      <c r="A160" s="37">
        <f t="shared" si="2"/>
        <v>159</v>
      </c>
      <c r="B160" s="37" t="s">
        <v>1876</v>
      </c>
      <c r="C160" s="37" t="s">
        <v>1875</v>
      </c>
      <c r="D160" s="6">
        <v>533704721</v>
      </c>
    </row>
    <row r="161" spans="1:4" x14ac:dyDescent="0.3">
      <c r="A161" s="37">
        <f t="shared" si="2"/>
        <v>160</v>
      </c>
      <c r="B161" s="37" t="s">
        <v>667</v>
      </c>
      <c r="C161" s="37" t="s">
        <v>666</v>
      </c>
      <c r="D161" s="6">
        <v>548765280</v>
      </c>
    </row>
    <row r="162" spans="1:4" x14ac:dyDescent="0.3">
      <c r="A162" s="37">
        <f t="shared" si="2"/>
        <v>161</v>
      </c>
      <c r="B162" s="37" t="s">
        <v>1489</v>
      </c>
      <c r="C162" s="37" t="s">
        <v>1488</v>
      </c>
      <c r="D162" s="6">
        <v>497493214</v>
      </c>
    </row>
    <row r="163" spans="1:4" x14ac:dyDescent="0.3">
      <c r="A163" s="37">
        <f t="shared" si="2"/>
        <v>162</v>
      </c>
      <c r="B163" s="37" t="s">
        <v>362</v>
      </c>
      <c r="C163" s="37" t="s">
        <v>361</v>
      </c>
      <c r="D163" s="6">
        <v>526594391</v>
      </c>
    </row>
    <row r="164" spans="1:4" x14ac:dyDescent="0.3">
      <c r="A164" s="37">
        <f t="shared" si="2"/>
        <v>163</v>
      </c>
      <c r="B164" s="37" t="s">
        <v>811</v>
      </c>
      <c r="C164" s="37" t="s">
        <v>810</v>
      </c>
      <c r="D164" s="6">
        <v>553565267</v>
      </c>
    </row>
    <row r="165" spans="1:4" x14ac:dyDescent="0.3">
      <c r="A165" s="37">
        <f t="shared" si="2"/>
        <v>164</v>
      </c>
      <c r="B165" s="37" t="s">
        <v>1309</v>
      </c>
      <c r="C165" s="37" t="s">
        <v>1308</v>
      </c>
      <c r="D165" s="6">
        <v>472905098</v>
      </c>
    </row>
    <row r="166" spans="1:4" x14ac:dyDescent="0.3">
      <c r="A166" s="37">
        <f t="shared" si="2"/>
        <v>165</v>
      </c>
      <c r="B166" s="37" t="s">
        <v>732</v>
      </c>
      <c r="C166" s="37" t="s">
        <v>731</v>
      </c>
      <c r="D166" s="6">
        <v>522986175</v>
      </c>
    </row>
    <row r="167" spans="1:4" x14ac:dyDescent="0.3">
      <c r="A167" s="37">
        <f t="shared" si="2"/>
        <v>166</v>
      </c>
      <c r="B167" s="37" t="s">
        <v>1447</v>
      </c>
      <c r="C167" s="37" t="s">
        <v>1446</v>
      </c>
      <c r="D167" s="6">
        <v>512771776</v>
      </c>
    </row>
    <row r="168" spans="1:4" x14ac:dyDescent="0.3">
      <c r="A168" s="37">
        <f t="shared" si="2"/>
        <v>167</v>
      </c>
      <c r="B168" s="37" t="s">
        <v>532</v>
      </c>
      <c r="C168" s="37" t="s">
        <v>531</v>
      </c>
      <c r="D168" s="6">
        <v>506541486</v>
      </c>
    </row>
    <row r="169" spans="1:4" x14ac:dyDescent="0.3">
      <c r="A169" s="37">
        <f t="shared" si="2"/>
        <v>168</v>
      </c>
      <c r="B169" s="37" t="s">
        <v>1535</v>
      </c>
      <c r="C169" s="37" t="s">
        <v>1534</v>
      </c>
      <c r="D169" s="6">
        <v>549808546</v>
      </c>
    </row>
    <row r="170" spans="1:4" x14ac:dyDescent="0.3">
      <c r="A170" s="37">
        <f t="shared" si="2"/>
        <v>169</v>
      </c>
      <c r="B170" s="37" t="s">
        <v>1855</v>
      </c>
      <c r="C170" s="37" t="s">
        <v>1854</v>
      </c>
      <c r="D170" s="6">
        <v>440777455</v>
      </c>
    </row>
    <row r="171" spans="1:4" x14ac:dyDescent="0.3">
      <c r="A171" s="37">
        <f t="shared" si="2"/>
        <v>170</v>
      </c>
      <c r="B171" s="37" t="s">
        <v>1783</v>
      </c>
      <c r="C171" s="37" t="s">
        <v>1782</v>
      </c>
      <c r="D171" s="6">
        <v>514299397</v>
      </c>
    </row>
    <row r="172" spans="1:4" x14ac:dyDescent="0.3">
      <c r="A172" s="37">
        <f t="shared" si="2"/>
        <v>171</v>
      </c>
      <c r="B172" s="37" t="s">
        <v>534</v>
      </c>
      <c r="C172" s="37" t="s">
        <v>533</v>
      </c>
      <c r="D172" s="6">
        <v>515865104</v>
      </c>
    </row>
    <row r="173" spans="1:4" x14ac:dyDescent="0.3">
      <c r="A173" s="37">
        <f t="shared" si="2"/>
        <v>172</v>
      </c>
      <c r="B173" s="37" t="s">
        <v>1449</v>
      </c>
      <c r="C173" s="37" t="s">
        <v>1448</v>
      </c>
      <c r="D173" s="6">
        <v>514734750</v>
      </c>
    </row>
    <row r="174" spans="1:4" x14ac:dyDescent="0.3">
      <c r="A174" s="37">
        <f t="shared" si="2"/>
        <v>173</v>
      </c>
      <c r="B174" s="37" t="s">
        <v>869</v>
      </c>
      <c r="C174" s="37" t="s">
        <v>868</v>
      </c>
      <c r="D174" s="6">
        <v>524604966</v>
      </c>
    </row>
    <row r="175" spans="1:4" x14ac:dyDescent="0.3">
      <c r="A175" s="37">
        <f t="shared" si="2"/>
        <v>174</v>
      </c>
      <c r="B175" s="37" t="s">
        <v>1096</v>
      </c>
      <c r="C175" s="37" t="s">
        <v>1095</v>
      </c>
      <c r="D175" s="6">
        <v>463755489</v>
      </c>
    </row>
    <row r="176" spans="1:4" x14ac:dyDescent="0.3">
      <c r="A176" s="37">
        <f t="shared" si="2"/>
        <v>175</v>
      </c>
      <c r="B176" s="37" t="s">
        <v>967</v>
      </c>
      <c r="C176" s="37" t="s">
        <v>966</v>
      </c>
      <c r="D176" s="6">
        <v>526837413</v>
      </c>
    </row>
    <row r="177" spans="1:4" x14ac:dyDescent="0.3">
      <c r="A177" s="37">
        <f t="shared" si="2"/>
        <v>176</v>
      </c>
      <c r="B177" s="37" t="s">
        <v>1165</v>
      </c>
      <c r="C177" s="37" t="s">
        <v>1164</v>
      </c>
      <c r="D177" s="6">
        <v>520168431</v>
      </c>
    </row>
    <row r="178" spans="1:4" x14ac:dyDescent="0.3">
      <c r="A178" s="37">
        <f t="shared" si="2"/>
        <v>177</v>
      </c>
      <c r="B178" s="37" t="s">
        <v>1676</v>
      </c>
      <c r="C178" s="37" t="s">
        <v>1675</v>
      </c>
      <c r="D178" s="6">
        <v>514473209</v>
      </c>
    </row>
    <row r="179" spans="1:4" x14ac:dyDescent="0.3">
      <c r="A179" s="37">
        <f t="shared" si="2"/>
        <v>178</v>
      </c>
      <c r="B179" s="37" t="s">
        <v>1848</v>
      </c>
      <c r="C179" s="37" t="s">
        <v>1847</v>
      </c>
      <c r="D179" s="6">
        <v>550391921</v>
      </c>
    </row>
    <row r="180" spans="1:4" x14ac:dyDescent="0.3">
      <c r="A180" s="37">
        <f t="shared" si="2"/>
        <v>179</v>
      </c>
      <c r="B180" s="37" t="s">
        <v>615</v>
      </c>
      <c r="C180" s="37" t="s">
        <v>614</v>
      </c>
      <c r="D180" s="6">
        <v>453902361</v>
      </c>
    </row>
    <row r="181" spans="1:4" x14ac:dyDescent="0.3">
      <c r="A181" s="37">
        <f t="shared" si="2"/>
        <v>180</v>
      </c>
      <c r="B181" s="37" t="s">
        <v>771</v>
      </c>
      <c r="C181" s="37" t="s">
        <v>770</v>
      </c>
      <c r="D181" s="6">
        <v>527279135</v>
      </c>
    </row>
    <row r="182" spans="1:4" x14ac:dyDescent="0.3">
      <c r="A182" s="37">
        <f t="shared" si="2"/>
        <v>181</v>
      </c>
      <c r="B182" s="37" t="s">
        <v>1379</v>
      </c>
      <c r="C182" s="37" t="s">
        <v>1378</v>
      </c>
      <c r="D182" s="6">
        <v>538368140</v>
      </c>
    </row>
    <row r="183" spans="1:4" x14ac:dyDescent="0.3">
      <c r="A183" s="37">
        <f t="shared" si="2"/>
        <v>182</v>
      </c>
      <c r="B183" s="37" t="s">
        <v>292</v>
      </c>
      <c r="C183" s="37" t="s">
        <v>291</v>
      </c>
      <c r="D183" s="6">
        <v>402233942</v>
      </c>
    </row>
    <row r="184" spans="1:4" x14ac:dyDescent="0.3">
      <c r="A184" s="37">
        <f t="shared" si="2"/>
        <v>183</v>
      </c>
      <c r="B184" s="37" t="s">
        <v>1269</v>
      </c>
      <c r="C184" s="37" t="s">
        <v>1268</v>
      </c>
      <c r="D184" s="6">
        <v>550830903</v>
      </c>
    </row>
    <row r="185" spans="1:4" x14ac:dyDescent="0.3">
      <c r="A185" s="37">
        <f t="shared" si="2"/>
        <v>184</v>
      </c>
      <c r="B185" s="37" t="s">
        <v>1573</v>
      </c>
      <c r="C185" s="37" t="s">
        <v>1572</v>
      </c>
      <c r="D185" s="6">
        <v>431727595</v>
      </c>
    </row>
    <row r="186" spans="1:4" x14ac:dyDescent="0.3">
      <c r="A186" s="37">
        <f t="shared" si="2"/>
        <v>185</v>
      </c>
      <c r="B186" s="37" t="s">
        <v>265</v>
      </c>
      <c r="C186" s="37" t="s">
        <v>264</v>
      </c>
      <c r="D186" s="6">
        <v>567875781</v>
      </c>
    </row>
    <row r="187" spans="1:4" x14ac:dyDescent="0.3">
      <c r="A187" s="37">
        <f t="shared" si="2"/>
        <v>186</v>
      </c>
      <c r="B187" s="37" t="s">
        <v>813</v>
      </c>
      <c r="C187" s="37" t="s">
        <v>812</v>
      </c>
      <c r="D187" s="6">
        <v>506212012</v>
      </c>
    </row>
    <row r="188" spans="1:4" x14ac:dyDescent="0.3">
      <c r="A188" s="37">
        <f t="shared" si="2"/>
        <v>187</v>
      </c>
      <c r="B188" s="37" t="s">
        <v>275</v>
      </c>
      <c r="C188" s="37" t="s">
        <v>274</v>
      </c>
      <c r="D188" s="6">
        <v>504054654</v>
      </c>
    </row>
    <row r="189" spans="1:4" x14ac:dyDescent="0.3">
      <c r="A189" s="37">
        <f t="shared" si="2"/>
        <v>188</v>
      </c>
      <c r="B189" s="37" t="s">
        <v>315</v>
      </c>
      <c r="C189" s="37" t="s">
        <v>314</v>
      </c>
      <c r="D189" s="6">
        <v>483552987</v>
      </c>
    </row>
    <row r="190" spans="1:4" x14ac:dyDescent="0.3">
      <c r="A190" s="37">
        <f t="shared" si="2"/>
        <v>189</v>
      </c>
      <c r="B190" s="37" t="s">
        <v>1281</v>
      </c>
      <c r="C190" s="37" t="s">
        <v>1280</v>
      </c>
      <c r="D190" s="6">
        <v>474378867</v>
      </c>
    </row>
    <row r="191" spans="1:4" x14ac:dyDescent="0.3">
      <c r="A191" s="37">
        <f t="shared" si="2"/>
        <v>190</v>
      </c>
      <c r="B191" s="37" t="s">
        <v>61</v>
      </c>
      <c r="C191" s="37" t="s">
        <v>60</v>
      </c>
      <c r="D191" s="6">
        <v>540735121</v>
      </c>
    </row>
    <row r="192" spans="1:4" x14ac:dyDescent="0.3">
      <c r="A192" s="37">
        <f t="shared" si="2"/>
        <v>191</v>
      </c>
      <c r="B192" s="37" t="s">
        <v>1104</v>
      </c>
      <c r="C192" s="37" t="s">
        <v>1103</v>
      </c>
      <c r="D192" s="6">
        <v>532312825</v>
      </c>
    </row>
    <row r="193" spans="1:4" x14ac:dyDescent="0.3">
      <c r="A193" s="37">
        <f t="shared" si="2"/>
        <v>192</v>
      </c>
      <c r="B193" s="37" t="s">
        <v>819</v>
      </c>
      <c r="C193" s="37" t="s">
        <v>818</v>
      </c>
      <c r="D193" s="6">
        <v>560551016</v>
      </c>
    </row>
    <row r="194" spans="1:4" x14ac:dyDescent="0.3">
      <c r="A194" s="37">
        <f t="shared" si="2"/>
        <v>193</v>
      </c>
      <c r="B194" s="37" t="s">
        <v>372</v>
      </c>
      <c r="C194" s="37" t="s">
        <v>371</v>
      </c>
      <c r="D194" s="6">
        <v>527910355</v>
      </c>
    </row>
    <row r="195" spans="1:4" x14ac:dyDescent="0.3">
      <c r="A195" s="37">
        <f t="shared" si="2"/>
        <v>194</v>
      </c>
      <c r="B195" s="37" t="s">
        <v>1136</v>
      </c>
      <c r="C195" s="37" t="s">
        <v>1135</v>
      </c>
      <c r="D195" s="6">
        <v>557818609</v>
      </c>
    </row>
    <row r="196" spans="1:4" x14ac:dyDescent="0.3">
      <c r="A196" s="37">
        <f t="shared" ref="A196:A259" si="3">A195+1</f>
        <v>195</v>
      </c>
      <c r="B196" s="37" t="s">
        <v>1524</v>
      </c>
      <c r="C196" s="37" t="s">
        <v>1523</v>
      </c>
      <c r="D196" s="6">
        <v>482651976</v>
      </c>
    </row>
    <row r="197" spans="1:4" x14ac:dyDescent="0.3">
      <c r="A197" s="37">
        <f t="shared" si="3"/>
        <v>196</v>
      </c>
      <c r="B197" s="37" t="s">
        <v>710</v>
      </c>
      <c r="C197" s="37" t="s">
        <v>709</v>
      </c>
      <c r="D197" s="6">
        <v>559670424</v>
      </c>
    </row>
    <row r="198" spans="1:4" x14ac:dyDescent="0.3">
      <c r="A198" s="37">
        <f t="shared" si="3"/>
        <v>197</v>
      </c>
      <c r="B198" s="37" t="s">
        <v>1047</v>
      </c>
      <c r="C198" s="37" t="s">
        <v>1046</v>
      </c>
      <c r="D198" s="6">
        <v>514016138</v>
      </c>
    </row>
    <row r="199" spans="1:4" x14ac:dyDescent="0.3">
      <c r="A199" s="37">
        <f t="shared" si="3"/>
        <v>198</v>
      </c>
      <c r="B199" s="37" t="s">
        <v>217</v>
      </c>
      <c r="C199" s="37" t="s">
        <v>216</v>
      </c>
      <c r="D199" s="6">
        <v>509567880</v>
      </c>
    </row>
    <row r="200" spans="1:4" x14ac:dyDescent="0.3">
      <c r="A200" s="37">
        <f t="shared" si="3"/>
        <v>199</v>
      </c>
      <c r="B200" s="37" t="s">
        <v>928</v>
      </c>
      <c r="C200" s="37" t="s">
        <v>927</v>
      </c>
      <c r="D200" s="6">
        <v>507330761</v>
      </c>
    </row>
    <row r="201" spans="1:4" x14ac:dyDescent="0.3">
      <c r="A201" s="37">
        <f t="shared" si="3"/>
        <v>200</v>
      </c>
      <c r="B201" s="37" t="s">
        <v>1805</v>
      </c>
      <c r="C201" s="37" t="s">
        <v>1804</v>
      </c>
      <c r="D201" s="6">
        <v>534979808</v>
      </c>
    </row>
    <row r="202" spans="1:4" x14ac:dyDescent="0.3">
      <c r="A202" s="37">
        <f t="shared" si="3"/>
        <v>201</v>
      </c>
      <c r="B202" s="37" t="s">
        <v>946</v>
      </c>
      <c r="C202" s="37" t="s">
        <v>945</v>
      </c>
      <c r="D202" s="6">
        <v>470841908</v>
      </c>
    </row>
    <row r="203" spans="1:4" x14ac:dyDescent="0.3">
      <c r="A203" s="37">
        <f t="shared" si="3"/>
        <v>202</v>
      </c>
      <c r="B203" s="37" t="s">
        <v>1384</v>
      </c>
      <c r="C203" s="37" t="s">
        <v>1383</v>
      </c>
      <c r="D203" s="6">
        <v>492608453</v>
      </c>
    </row>
    <row r="204" spans="1:4" x14ac:dyDescent="0.3">
      <c r="A204" s="37">
        <f t="shared" si="3"/>
        <v>203</v>
      </c>
      <c r="B204" s="37" t="s">
        <v>828</v>
      </c>
      <c r="C204" s="37" t="s">
        <v>827</v>
      </c>
      <c r="D204" s="6">
        <v>525481676</v>
      </c>
    </row>
    <row r="205" spans="1:4" x14ac:dyDescent="0.3">
      <c r="A205" s="37">
        <f t="shared" si="3"/>
        <v>204</v>
      </c>
      <c r="B205" s="37" t="s">
        <v>794</v>
      </c>
      <c r="C205" s="37" t="s">
        <v>793</v>
      </c>
      <c r="D205" s="6">
        <v>493282520</v>
      </c>
    </row>
    <row r="206" spans="1:4" x14ac:dyDescent="0.3">
      <c r="A206" s="37">
        <f t="shared" si="3"/>
        <v>205</v>
      </c>
      <c r="B206" s="37" t="s">
        <v>952</v>
      </c>
      <c r="C206" s="37" t="s">
        <v>951</v>
      </c>
      <c r="D206" s="6">
        <v>526692736</v>
      </c>
    </row>
    <row r="207" spans="1:4" x14ac:dyDescent="0.3">
      <c r="A207" s="37">
        <f t="shared" si="3"/>
        <v>206</v>
      </c>
      <c r="B207" s="37" t="s">
        <v>848</v>
      </c>
      <c r="C207" s="37" t="s">
        <v>847</v>
      </c>
      <c r="D207" s="6">
        <v>574322419</v>
      </c>
    </row>
    <row r="208" spans="1:4" x14ac:dyDescent="0.3">
      <c r="A208" s="37">
        <f t="shared" si="3"/>
        <v>207</v>
      </c>
      <c r="B208" s="37" t="s">
        <v>842</v>
      </c>
      <c r="C208" s="37" t="s">
        <v>841</v>
      </c>
      <c r="D208" s="6">
        <v>473327598</v>
      </c>
    </row>
    <row r="209" spans="1:4" x14ac:dyDescent="0.3">
      <c r="A209" s="37">
        <f t="shared" si="3"/>
        <v>208</v>
      </c>
      <c r="B209" s="37" t="s">
        <v>1762</v>
      </c>
      <c r="C209" s="37" t="s">
        <v>1761</v>
      </c>
      <c r="D209" s="6">
        <v>496530696</v>
      </c>
    </row>
    <row r="210" spans="1:4" x14ac:dyDescent="0.3">
      <c r="A210" s="37">
        <f t="shared" si="3"/>
        <v>209</v>
      </c>
      <c r="B210" s="37" t="s">
        <v>713</v>
      </c>
      <c r="C210" s="37" t="s">
        <v>712</v>
      </c>
      <c r="D210" s="6">
        <v>521291157</v>
      </c>
    </row>
    <row r="211" spans="1:4" x14ac:dyDescent="0.3">
      <c r="A211" s="37">
        <f t="shared" si="3"/>
        <v>210</v>
      </c>
      <c r="B211" s="37" t="s">
        <v>1274</v>
      </c>
      <c r="C211" s="37" t="s">
        <v>1273</v>
      </c>
      <c r="D211" s="6">
        <v>507610784</v>
      </c>
    </row>
    <row r="212" spans="1:4" x14ac:dyDescent="0.3">
      <c r="A212" s="37">
        <f t="shared" si="3"/>
        <v>211</v>
      </c>
      <c r="B212" s="37" t="s">
        <v>1068</v>
      </c>
      <c r="C212" s="37" t="s">
        <v>1067</v>
      </c>
      <c r="D212" s="6">
        <v>505966677</v>
      </c>
    </row>
    <row r="213" spans="1:4" x14ac:dyDescent="0.3">
      <c r="A213" s="37">
        <f t="shared" si="3"/>
        <v>212</v>
      </c>
      <c r="B213" s="37" t="s">
        <v>1337</v>
      </c>
      <c r="C213" s="37" t="s">
        <v>1336</v>
      </c>
      <c r="D213" s="6">
        <v>475431062</v>
      </c>
    </row>
    <row r="214" spans="1:4" x14ac:dyDescent="0.3">
      <c r="A214" s="37">
        <f t="shared" si="3"/>
        <v>213</v>
      </c>
      <c r="B214" s="37" t="s">
        <v>825</v>
      </c>
      <c r="C214" s="37" t="s">
        <v>824</v>
      </c>
      <c r="D214" s="6">
        <v>540874357</v>
      </c>
    </row>
    <row r="215" spans="1:4" x14ac:dyDescent="0.3">
      <c r="A215" s="37">
        <f t="shared" si="3"/>
        <v>214</v>
      </c>
      <c r="B215" s="37" t="s">
        <v>867</v>
      </c>
      <c r="C215" s="37" t="s">
        <v>866</v>
      </c>
      <c r="D215" s="6">
        <v>504199320</v>
      </c>
    </row>
    <row r="216" spans="1:4" x14ac:dyDescent="0.3">
      <c r="A216" s="37">
        <f t="shared" si="3"/>
        <v>215</v>
      </c>
      <c r="B216" s="37" t="s">
        <v>1591</v>
      </c>
      <c r="C216" s="37" t="s">
        <v>1590</v>
      </c>
      <c r="D216" s="6">
        <v>515643275</v>
      </c>
    </row>
    <row r="217" spans="1:4" x14ac:dyDescent="0.3">
      <c r="A217" s="37">
        <f t="shared" si="3"/>
        <v>216</v>
      </c>
      <c r="B217" s="37" t="s">
        <v>747</v>
      </c>
      <c r="C217" s="37" t="s">
        <v>746</v>
      </c>
      <c r="D217" s="6">
        <v>480851992</v>
      </c>
    </row>
    <row r="218" spans="1:4" x14ac:dyDescent="0.3">
      <c r="A218" s="37">
        <f t="shared" si="3"/>
        <v>217</v>
      </c>
      <c r="B218" s="37" t="s">
        <v>1433</v>
      </c>
      <c r="C218" s="37" t="s">
        <v>1432</v>
      </c>
      <c r="D218" s="6">
        <v>480172373</v>
      </c>
    </row>
    <row r="219" spans="1:4" x14ac:dyDescent="0.3">
      <c r="A219" s="37">
        <f t="shared" si="3"/>
        <v>218</v>
      </c>
      <c r="B219" s="37" t="s">
        <v>853</v>
      </c>
      <c r="C219" s="37" t="s">
        <v>852</v>
      </c>
      <c r="D219" s="6">
        <v>500461834</v>
      </c>
    </row>
    <row r="220" spans="1:4" x14ac:dyDescent="0.3">
      <c r="A220" s="37">
        <f t="shared" si="3"/>
        <v>219</v>
      </c>
      <c r="B220" s="37" t="s">
        <v>233</v>
      </c>
      <c r="C220" s="37" t="s">
        <v>232</v>
      </c>
      <c r="D220" s="6">
        <v>455090446</v>
      </c>
    </row>
    <row r="221" spans="1:4" x14ac:dyDescent="0.3">
      <c r="A221" s="37">
        <f t="shared" si="3"/>
        <v>220</v>
      </c>
      <c r="B221" s="37" t="s">
        <v>1058</v>
      </c>
      <c r="C221" s="37" t="s">
        <v>1057</v>
      </c>
      <c r="D221" s="6">
        <v>503208140</v>
      </c>
    </row>
    <row r="222" spans="1:4" x14ac:dyDescent="0.3">
      <c r="A222" s="37">
        <f t="shared" si="3"/>
        <v>221</v>
      </c>
      <c r="B222" s="37" t="s">
        <v>1112</v>
      </c>
      <c r="C222" s="37" t="s">
        <v>1111</v>
      </c>
      <c r="D222" s="6">
        <v>481009946</v>
      </c>
    </row>
    <row r="223" spans="1:4" x14ac:dyDescent="0.3">
      <c r="A223" s="37">
        <f t="shared" si="3"/>
        <v>222</v>
      </c>
      <c r="B223" s="37" t="s">
        <v>1746</v>
      </c>
      <c r="C223" s="37" t="s">
        <v>1745</v>
      </c>
      <c r="D223" s="6">
        <v>468407650</v>
      </c>
    </row>
    <row r="224" spans="1:4" x14ac:dyDescent="0.3">
      <c r="A224" s="37">
        <f t="shared" si="3"/>
        <v>223</v>
      </c>
      <c r="B224" s="37" t="s">
        <v>1517</v>
      </c>
      <c r="C224" s="37" t="s">
        <v>1516</v>
      </c>
      <c r="D224" s="6">
        <v>505739975</v>
      </c>
    </row>
    <row r="225" spans="1:4" x14ac:dyDescent="0.3">
      <c r="A225" s="37">
        <f t="shared" si="3"/>
        <v>224</v>
      </c>
      <c r="B225" s="37" t="s">
        <v>1272</v>
      </c>
      <c r="C225" s="37" t="s">
        <v>1271</v>
      </c>
      <c r="D225" s="6">
        <v>465407258</v>
      </c>
    </row>
    <row r="226" spans="1:4" x14ac:dyDescent="0.3">
      <c r="A226" s="37">
        <f t="shared" si="3"/>
        <v>225</v>
      </c>
      <c r="B226" s="37" t="s">
        <v>1011</v>
      </c>
      <c r="C226" s="37" t="s">
        <v>1010</v>
      </c>
      <c r="D226" s="6">
        <v>490866100</v>
      </c>
    </row>
    <row r="227" spans="1:4" x14ac:dyDescent="0.3">
      <c r="A227" s="37">
        <f t="shared" si="3"/>
        <v>226</v>
      </c>
      <c r="B227" s="37" t="s">
        <v>1431</v>
      </c>
      <c r="C227" s="37" t="s">
        <v>1430</v>
      </c>
      <c r="D227" s="6">
        <v>432406813</v>
      </c>
    </row>
    <row r="228" spans="1:4" x14ac:dyDescent="0.3">
      <c r="A228" s="37">
        <f t="shared" si="3"/>
        <v>227</v>
      </c>
      <c r="B228" s="37" t="s">
        <v>1541</v>
      </c>
      <c r="C228" s="37" t="s">
        <v>1540</v>
      </c>
      <c r="D228" s="6">
        <v>555800288</v>
      </c>
    </row>
    <row r="229" spans="1:4" x14ac:dyDescent="0.3">
      <c r="A229" s="37">
        <f t="shared" si="3"/>
        <v>228</v>
      </c>
      <c r="B229" s="37" t="s">
        <v>525</v>
      </c>
      <c r="C229" s="37" t="s">
        <v>524</v>
      </c>
      <c r="D229" s="6">
        <v>453607279</v>
      </c>
    </row>
    <row r="230" spans="1:4" x14ac:dyDescent="0.3">
      <c r="A230" s="37">
        <f t="shared" si="3"/>
        <v>229</v>
      </c>
      <c r="B230" s="37" t="s">
        <v>402</v>
      </c>
      <c r="C230" s="37" t="s">
        <v>401</v>
      </c>
      <c r="D230" s="6">
        <v>502017464</v>
      </c>
    </row>
    <row r="231" spans="1:4" x14ac:dyDescent="0.3">
      <c r="A231" s="37">
        <f t="shared" si="3"/>
        <v>230</v>
      </c>
      <c r="B231" s="37" t="s">
        <v>31</v>
      </c>
      <c r="C231" s="37" t="s">
        <v>30</v>
      </c>
      <c r="D231" s="6">
        <v>487235582</v>
      </c>
    </row>
    <row r="232" spans="1:4" x14ac:dyDescent="0.3">
      <c r="A232" s="37">
        <f t="shared" si="3"/>
        <v>231</v>
      </c>
      <c r="B232" s="37" t="s">
        <v>83</v>
      </c>
      <c r="C232" s="37" t="s">
        <v>82</v>
      </c>
      <c r="D232" s="6">
        <v>508997088</v>
      </c>
    </row>
    <row r="233" spans="1:4" x14ac:dyDescent="0.3">
      <c r="A233" s="37">
        <f t="shared" si="3"/>
        <v>232</v>
      </c>
      <c r="B233" s="37" t="s">
        <v>505</v>
      </c>
      <c r="C233" s="37" t="s">
        <v>504</v>
      </c>
      <c r="D233" s="6">
        <v>493097462</v>
      </c>
    </row>
    <row r="234" spans="1:4" x14ac:dyDescent="0.3">
      <c r="A234" s="37">
        <f t="shared" si="3"/>
        <v>233</v>
      </c>
      <c r="B234" s="37" t="s">
        <v>1555</v>
      </c>
      <c r="C234" s="37" t="s">
        <v>1554</v>
      </c>
      <c r="D234" s="6">
        <v>504012853</v>
      </c>
    </row>
    <row r="235" spans="1:4" x14ac:dyDescent="0.3">
      <c r="A235" s="37">
        <f t="shared" si="3"/>
        <v>234</v>
      </c>
      <c r="B235" s="37" t="s">
        <v>899</v>
      </c>
      <c r="C235" s="37" t="s">
        <v>898</v>
      </c>
      <c r="D235" s="6">
        <v>503960218</v>
      </c>
    </row>
    <row r="236" spans="1:4" x14ac:dyDescent="0.3">
      <c r="A236" s="37">
        <f t="shared" si="3"/>
        <v>235</v>
      </c>
      <c r="B236" s="37" t="s">
        <v>588</v>
      </c>
      <c r="C236" s="37" t="s">
        <v>587</v>
      </c>
      <c r="D236" s="6">
        <v>528581029</v>
      </c>
    </row>
    <row r="237" spans="1:4" x14ac:dyDescent="0.3">
      <c r="A237" s="37">
        <f t="shared" si="3"/>
        <v>236</v>
      </c>
      <c r="B237" s="37" t="s">
        <v>1674</v>
      </c>
      <c r="C237" s="37" t="s">
        <v>1673</v>
      </c>
      <c r="D237" s="6">
        <v>509627975</v>
      </c>
    </row>
    <row r="238" spans="1:4" x14ac:dyDescent="0.3">
      <c r="A238" s="37">
        <f t="shared" si="3"/>
        <v>237</v>
      </c>
      <c r="B238" s="37" t="s">
        <v>1032</v>
      </c>
      <c r="C238" s="37" t="s">
        <v>1031</v>
      </c>
      <c r="D238" s="6">
        <v>523170045</v>
      </c>
    </row>
    <row r="239" spans="1:4" x14ac:dyDescent="0.3">
      <c r="A239" s="37">
        <f t="shared" si="3"/>
        <v>238</v>
      </c>
      <c r="B239" s="37" t="s">
        <v>1041</v>
      </c>
      <c r="C239" s="37" t="s">
        <v>1040</v>
      </c>
      <c r="D239" s="6">
        <v>506126580</v>
      </c>
    </row>
    <row r="240" spans="1:4" x14ac:dyDescent="0.3">
      <c r="A240" s="37">
        <f t="shared" si="3"/>
        <v>239</v>
      </c>
      <c r="B240" s="37" t="s">
        <v>543</v>
      </c>
      <c r="C240" s="37" t="s">
        <v>542</v>
      </c>
      <c r="D240" s="6">
        <v>448756180</v>
      </c>
    </row>
    <row r="241" spans="1:4" x14ac:dyDescent="0.3">
      <c r="A241" s="37">
        <f t="shared" si="3"/>
        <v>240</v>
      </c>
      <c r="B241" s="37" t="s">
        <v>990</v>
      </c>
      <c r="C241" s="37" t="s">
        <v>989</v>
      </c>
      <c r="D241" s="6">
        <v>496728511</v>
      </c>
    </row>
    <row r="242" spans="1:4" x14ac:dyDescent="0.3">
      <c r="A242" s="37">
        <f t="shared" si="3"/>
        <v>241</v>
      </c>
      <c r="B242" s="37" t="s">
        <v>1156</v>
      </c>
      <c r="C242" s="37" t="s">
        <v>1155</v>
      </c>
      <c r="D242" s="6">
        <v>545249203</v>
      </c>
    </row>
    <row r="243" spans="1:4" x14ac:dyDescent="0.3">
      <c r="A243" s="37">
        <f t="shared" si="3"/>
        <v>242</v>
      </c>
      <c r="B243" s="37" t="s">
        <v>1577</v>
      </c>
      <c r="C243" s="37" t="s">
        <v>1576</v>
      </c>
      <c r="D243" s="6">
        <v>495280468</v>
      </c>
    </row>
    <row r="244" spans="1:4" x14ac:dyDescent="0.3">
      <c r="A244" s="37">
        <f t="shared" si="3"/>
        <v>243</v>
      </c>
      <c r="B244" s="37" t="s">
        <v>1859</v>
      </c>
      <c r="C244" s="37" t="s">
        <v>1858</v>
      </c>
      <c r="D244" s="6">
        <v>464556860</v>
      </c>
    </row>
    <row r="245" spans="1:4" x14ac:dyDescent="0.3">
      <c r="A245" s="37">
        <f t="shared" si="3"/>
        <v>244</v>
      </c>
      <c r="B245" s="37" t="s">
        <v>1079</v>
      </c>
      <c r="C245" s="37" t="s">
        <v>1078</v>
      </c>
      <c r="D245" s="6">
        <v>516564345</v>
      </c>
    </row>
    <row r="246" spans="1:4" x14ac:dyDescent="0.3">
      <c r="A246" s="37">
        <f t="shared" si="3"/>
        <v>245</v>
      </c>
      <c r="B246" s="37" t="s">
        <v>1116</v>
      </c>
      <c r="C246" s="37" t="s">
        <v>1115</v>
      </c>
      <c r="D246" s="6">
        <v>490632927</v>
      </c>
    </row>
    <row r="247" spans="1:4" x14ac:dyDescent="0.3">
      <c r="A247" s="37">
        <f t="shared" si="3"/>
        <v>246</v>
      </c>
      <c r="B247" s="37" t="s">
        <v>174</v>
      </c>
      <c r="C247" s="37" t="s">
        <v>173</v>
      </c>
      <c r="D247" s="6">
        <v>499159652</v>
      </c>
    </row>
    <row r="248" spans="1:4" x14ac:dyDescent="0.3">
      <c r="A248" s="37">
        <f t="shared" si="3"/>
        <v>247</v>
      </c>
      <c r="B248" s="37" t="s">
        <v>130</v>
      </c>
      <c r="C248" s="37" t="s">
        <v>129</v>
      </c>
      <c r="D248" s="6">
        <v>460612111</v>
      </c>
    </row>
    <row r="249" spans="1:4" x14ac:dyDescent="0.3">
      <c r="A249" s="37">
        <f t="shared" si="3"/>
        <v>248</v>
      </c>
      <c r="B249" s="37" t="s">
        <v>1846</v>
      </c>
      <c r="C249" s="37" t="s">
        <v>1845</v>
      </c>
      <c r="D249" s="6">
        <v>484653236</v>
      </c>
    </row>
    <row r="250" spans="1:4" x14ac:dyDescent="0.3">
      <c r="A250" s="37">
        <f t="shared" si="3"/>
        <v>249</v>
      </c>
      <c r="B250" s="37" t="s">
        <v>1846</v>
      </c>
      <c r="C250" s="37" t="s">
        <v>2122</v>
      </c>
      <c r="D250" s="6">
        <v>484653236</v>
      </c>
    </row>
    <row r="251" spans="1:4" x14ac:dyDescent="0.3">
      <c r="A251" s="37">
        <f t="shared" si="3"/>
        <v>250</v>
      </c>
      <c r="B251" s="37" t="s">
        <v>188</v>
      </c>
      <c r="C251" s="37" t="s">
        <v>187</v>
      </c>
      <c r="D251" s="6">
        <v>503333395</v>
      </c>
    </row>
    <row r="252" spans="1:4" x14ac:dyDescent="0.3">
      <c r="A252" s="37">
        <f t="shared" si="3"/>
        <v>251</v>
      </c>
      <c r="B252" s="37" t="s">
        <v>1639</v>
      </c>
      <c r="C252" s="37" t="s">
        <v>1638</v>
      </c>
      <c r="D252" s="6">
        <v>520697477</v>
      </c>
    </row>
    <row r="253" spans="1:4" x14ac:dyDescent="0.3">
      <c r="A253" s="37">
        <f t="shared" si="3"/>
        <v>252</v>
      </c>
      <c r="B253" s="37" t="s">
        <v>622</v>
      </c>
      <c r="C253" s="37" t="s">
        <v>621</v>
      </c>
      <c r="D253" s="6">
        <v>538391514</v>
      </c>
    </row>
    <row r="254" spans="1:4" x14ac:dyDescent="0.3">
      <c r="A254" s="37">
        <f t="shared" si="3"/>
        <v>253</v>
      </c>
      <c r="B254" s="37" t="s">
        <v>76</v>
      </c>
      <c r="C254" s="37" t="s">
        <v>75</v>
      </c>
      <c r="D254" s="6">
        <v>481074214</v>
      </c>
    </row>
    <row r="255" spans="1:4" x14ac:dyDescent="0.3">
      <c r="A255" s="37">
        <f t="shared" si="3"/>
        <v>254</v>
      </c>
      <c r="B255" s="37" t="s">
        <v>1144</v>
      </c>
      <c r="C255" s="37" t="s">
        <v>1143</v>
      </c>
      <c r="D255" s="6">
        <v>502910480</v>
      </c>
    </row>
    <row r="256" spans="1:4" x14ac:dyDescent="0.3">
      <c r="A256" s="37">
        <f t="shared" si="3"/>
        <v>255</v>
      </c>
      <c r="B256" s="37" t="s">
        <v>865</v>
      </c>
      <c r="C256" s="37" t="s">
        <v>864</v>
      </c>
      <c r="D256" s="6">
        <v>484727413</v>
      </c>
    </row>
    <row r="257" spans="1:4" x14ac:dyDescent="0.3">
      <c r="A257" s="37">
        <f t="shared" si="3"/>
        <v>256</v>
      </c>
      <c r="B257" s="37" t="s">
        <v>1334</v>
      </c>
      <c r="C257" s="37" t="s">
        <v>1333</v>
      </c>
      <c r="D257" s="6">
        <v>514203396</v>
      </c>
    </row>
    <row r="258" spans="1:4" x14ac:dyDescent="0.3">
      <c r="A258" s="37">
        <f t="shared" si="3"/>
        <v>257</v>
      </c>
      <c r="B258" s="37" t="s">
        <v>1005</v>
      </c>
      <c r="C258" s="37" t="s">
        <v>1004</v>
      </c>
      <c r="D258" s="6">
        <v>424383003</v>
      </c>
    </row>
    <row r="259" spans="1:4" x14ac:dyDescent="0.3">
      <c r="A259" s="37">
        <f t="shared" si="3"/>
        <v>258</v>
      </c>
      <c r="B259" s="37" t="s">
        <v>675</v>
      </c>
      <c r="C259" s="37" t="s">
        <v>674</v>
      </c>
      <c r="D259" s="6">
        <v>484490215</v>
      </c>
    </row>
    <row r="260" spans="1:4" x14ac:dyDescent="0.3">
      <c r="A260" s="37">
        <f t="shared" ref="A260:A323" si="4">A259+1</f>
        <v>259</v>
      </c>
      <c r="B260" s="37" t="s">
        <v>394</v>
      </c>
      <c r="C260" s="37" t="s">
        <v>393</v>
      </c>
      <c r="D260" s="6">
        <v>514464192</v>
      </c>
    </row>
    <row r="261" spans="1:4" x14ac:dyDescent="0.3">
      <c r="A261" s="37">
        <f t="shared" si="4"/>
        <v>260</v>
      </c>
      <c r="B261" s="37" t="s">
        <v>1653</v>
      </c>
      <c r="C261" s="37" t="s">
        <v>1652</v>
      </c>
      <c r="D261" s="6">
        <v>477455130</v>
      </c>
    </row>
    <row r="262" spans="1:4" x14ac:dyDescent="0.3">
      <c r="A262" s="37">
        <f t="shared" si="4"/>
        <v>261</v>
      </c>
      <c r="B262" s="37" t="s">
        <v>1788</v>
      </c>
      <c r="C262" s="37" t="s">
        <v>1787</v>
      </c>
      <c r="D262" s="6">
        <v>530692157</v>
      </c>
    </row>
    <row r="263" spans="1:4" x14ac:dyDescent="0.3">
      <c r="A263" s="37">
        <f t="shared" si="4"/>
        <v>262</v>
      </c>
      <c r="B263" s="37" t="s">
        <v>329</v>
      </c>
      <c r="C263" s="37" t="s">
        <v>328</v>
      </c>
      <c r="D263" s="6">
        <v>497517999</v>
      </c>
    </row>
    <row r="264" spans="1:4" x14ac:dyDescent="0.3">
      <c r="A264" s="37">
        <f t="shared" si="4"/>
        <v>263</v>
      </c>
      <c r="B264" s="37" t="s">
        <v>809</v>
      </c>
      <c r="C264" s="37" t="s">
        <v>808</v>
      </c>
      <c r="D264" s="6">
        <v>501016458</v>
      </c>
    </row>
    <row r="265" spans="1:4" x14ac:dyDescent="0.3">
      <c r="A265" s="37">
        <f t="shared" si="4"/>
        <v>264</v>
      </c>
      <c r="B265" s="37" t="s">
        <v>117</v>
      </c>
      <c r="C265" s="37" t="s">
        <v>116</v>
      </c>
      <c r="D265" s="6">
        <v>492546738</v>
      </c>
    </row>
    <row r="266" spans="1:4" x14ac:dyDescent="0.3">
      <c r="A266" s="37">
        <f t="shared" si="4"/>
        <v>265</v>
      </c>
      <c r="B266" s="37" t="s">
        <v>886</v>
      </c>
      <c r="C266" s="37" t="s">
        <v>885</v>
      </c>
      <c r="D266" s="6">
        <v>478846928</v>
      </c>
    </row>
    <row r="267" spans="1:4" x14ac:dyDescent="0.3">
      <c r="A267" s="37">
        <f t="shared" si="4"/>
        <v>266</v>
      </c>
      <c r="B267" s="37" t="s">
        <v>1114</v>
      </c>
      <c r="C267" s="37" t="s">
        <v>1113</v>
      </c>
      <c r="D267" s="6">
        <v>499509338</v>
      </c>
    </row>
    <row r="268" spans="1:4" x14ac:dyDescent="0.3">
      <c r="A268" s="37">
        <f t="shared" si="4"/>
        <v>267</v>
      </c>
      <c r="B268" s="37" t="s">
        <v>1495</v>
      </c>
      <c r="C268" s="37" t="s">
        <v>1494</v>
      </c>
      <c r="D268" s="6">
        <v>505729958</v>
      </c>
    </row>
    <row r="269" spans="1:4" x14ac:dyDescent="0.3">
      <c r="A269" s="37">
        <f t="shared" si="4"/>
        <v>268</v>
      </c>
      <c r="B269" s="37" t="s">
        <v>1256</v>
      </c>
      <c r="C269" s="37" t="s">
        <v>1255</v>
      </c>
      <c r="D269" s="6">
        <v>472475414</v>
      </c>
    </row>
    <row r="270" spans="1:4" x14ac:dyDescent="0.3">
      <c r="A270" s="37">
        <f t="shared" si="4"/>
        <v>269</v>
      </c>
      <c r="B270" s="37" t="s">
        <v>1756</v>
      </c>
      <c r="C270" s="37" t="s">
        <v>1755</v>
      </c>
      <c r="D270" s="6">
        <v>466246255</v>
      </c>
    </row>
    <row r="271" spans="1:4" x14ac:dyDescent="0.3">
      <c r="A271" s="37">
        <f t="shared" si="4"/>
        <v>270</v>
      </c>
      <c r="B271" s="37" t="s">
        <v>1245</v>
      </c>
      <c r="C271" s="37" t="s">
        <v>1244</v>
      </c>
      <c r="D271" s="6">
        <v>497664389</v>
      </c>
    </row>
    <row r="272" spans="1:4" x14ac:dyDescent="0.3">
      <c r="A272" s="37">
        <f t="shared" si="4"/>
        <v>271</v>
      </c>
      <c r="B272" s="37" t="s">
        <v>1318</v>
      </c>
      <c r="C272" s="37" t="s">
        <v>1317</v>
      </c>
      <c r="D272" s="6">
        <v>502637434</v>
      </c>
    </row>
    <row r="273" spans="1:4" x14ac:dyDescent="0.3">
      <c r="A273" s="37">
        <f t="shared" si="4"/>
        <v>272</v>
      </c>
      <c r="B273" s="37" t="s">
        <v>1375</v>
      </c>
      <c r="C273" s="37" t="s">
        <v>1374</v>
      </c>
      <c r="D273" s="6">
        <v>500040746</v>
      </c>
    </row>
    <row r="274" spans="1:4" x14ac:dyDescent="0.3">
      <c r="A274" s="37">
        <f t="shared" si="4"/>
        <v>273</v>
      </c>
      <c r="B274" s="37" t="s">
        <v>878</v>
      </c>
      <c r="C274" s="37" t="s">
        <v>877</v>
      </c>
      <c r="D274" s="6">
        <v>514917150</v>
      </c>
    </row>
    <row r="275" spans="1:4" x14ac:dyDescent="0.3">
      <c r="A275" s="37">
        <f t="shared" si="4"/>
        <v>274</v>
      </c>
      <c r="B275" s="37" t="s">
        <v>375</v>
      </c>
      <c r="C275" s="37" t="s">
        <v>374</v>
      </c>
      <c r="D275" s="6">
        <v>470434054</v>
      </c>
    </row>
    <row r="276" spans="1:4" x14ac:dyDescent="0.3">
      <c r="A276" s="37">
        <f t="shared" si="4"/>
        <v>275</v>
      </c>
      <c r="B276" s="37" t="s">
        <v>792</v>
      </c>
      <c r="C276" s="37" t="s">
        <v>791</v>
      </c>
      <c r="D276" s="6">
        <v>493957221</v>
      </c>
    </row>
    <row r="277" spans="1:4" x14ac:dyDescent="0.3">
      <c r="A277" s="37">
        <f t="shared" si="4"/>
        <v>276</v>
      </c>
      <c r="B277" s="37" t="s">
        <v>1786</v>
      </c>
      <c r="C277" s="37" t="s">
        <v>1785</v>
      </c>
      <c r="D277" s="6">
        <v>471349839</v>
      </c>
    </row>
    <row r="278" spans="1:4" x14ac:dyDescent="0.3">
      <c r="A278" s="37">
        <f t="shared" si="4"/>
        <v>277</v>
      </c>
      <c r="B278" s="37" t="s">
        <v>1724</v>
      </c>
      <c r="C278" s="37" t="s">
        <v>1723</v>
      </c>
      <c r="D278" s="6">
        <v>435693275</v>
      </c>
    </row>
    <row r="279" spans="1:4" x14ac:dyDescent="0.3">
      <c r="A279" s="37">
        <f t="shared" si="4"/>
        <v>278</v>
      </c>
      <c r="B279" s="37" t="s">
        <v>1567</v>
      </c>
      <c r="C279" s="37" t="s">
        <v>1566</v>
      </c>
      <c r="D279" s="6">
        <v>444869126</v>
      </c>
    </row>
    <row r="280" spans="1:4" x14ac:dyDescent="0.3">
      <c r="A280" s="37">
        <f t="shared" si="4"/>
        <v>279</v>
      </c>
      <c r="B280" s="37" t="s">
        <v>834</v>
      </c>
      <c r="C280" s="37" t="s">
        <v>833</v>
      </c>
      <c r="D280" s="6">
        <v>487092019</v>
      </c>
    </row>
    <row r="281" spans="1:4" x14ac:dyDescent="0.3">
      <c r="A281" s="37">
        <f t="shared" si="4"/>
        <v>280</v>
      </c>
      <c r="B281" s="37" t="s">
        <v>123</v>
      </c>
      <c r="C281" s="37" t="s">
        <v>122</v>
      </c>
      <c r="D281" s="6">
        <v>491226801</v>
      </c>
    </row>
    <row r="282" spans="1:4" x14ac:dyDescent="0.3">
      <c r="A282" s="37">
        <f t="shared" si="4"/>
        <v>281</v>
      </c>
      <c r="B282" s="37" t="s">
        <v>286</v>
      </c>
      <c r="C282" s="37" t="s">
        <v>285</v>
      </c>
      <c r="D282" s="6">
        <v>495128335</v>
      </c>
    </row>
    <row r="283" spans="1:4" x14ac:dyDescent="0.3">
      <c r="A283" s="37">
        <f t="shared" si="4"/>
        <v>282</v>
      </c>
      <c r="B283" s="37" t="s">
        <v>1361</v>
      </c>
      <c r="C283" s="37" t="s">
        <v>1360</v>
      </c>
      <c r="D283" s="6">
        <v>494739563</v>
      </c>
    </row>
    <row r="284" spans="1:4" x14ac:dyDescent="0.3">
      <c r="A284" s="37">
        <f t="shared" si="4"/>
        <v>283</v>
      </c>
      <c r="B284" s="37" t="s">
        <v>1342</v>
      </c>
      <c r="C284" s="37" t="s">
        <v>1341</v>
      </c>
      <c r="D284" s="6">
        <v>465024139</v>
      </c>
    </row>
    <row r="285" spans="1:4" x14ac:dyDescent="0.3">
      <c r="A285" s="37">
        <f t="shared" si="4"/>
        <v>284</v>
      </c>
      <c r="B285" s="37" t="s">
        <v>1533</v>
      </c>
      <c r="C285" s="37" t="s">
        <v>1532</v>
      </c>
      <c r="D285" s="6">
        <v>484480650</v>
      </c>
    </row>
    <row r="286" spans="1:4" x14ac:dyDescent="0.3">
      <c r="A286" s="37">
        <f t="shared" si="4"/>
        <v>285</v>
      </c>
      <c r="B286" s="37" t="s">
        <v>1511</v>
      </c>
      <c r="C286" s="37" t="s">
        <v>1510</v>
      </c>
      <c r="D286" s="6">
        <v>489683566</v>
      </c>
    </row>
    <row r="287" spans="1:4" x14ac:dyDescent="0.3">
      <c r="A287" s="37">
        <f t="shared" si="4"/>
        <v>286</v>
      </c>
      <c r="B287" s="37" t="s">
        <v>730</v>
      </c>
      <c r="C287" s="37" t="s">
        <v>729</v>
      </c>
      <c r="D287" s="6">
        <v>514655916</v>
      </c>
    </row>
    <row r="288" spans="1:4" x14ac:dyDescent="0.3">
      <c r="A288" s="37">
        <f t="shared" si="4"/>
        <v>287</v>
      </c>
      <c r="B288" s="37" t="s">
        <v>64</v>
      </c>
      <c r="C288" s="37" t="s">
        <v>63</v>
      </c>
      <c r="D288" s="6">
        <v>520665666</v>
      </c>
    </row>
    <row r="289" spans="1:4" x14ac:dyDescent="0.3">
      <c r="A289" s="37">
        <f t="shared" si="4"/>
        <v>288</v>
      </c>
      <c r="B289" s="37" t="s">
        <v>1575</v>
      </c>
      <c r="C289" s="37" t="s">
        <v>1574</v>
      </c>
      <c r="D289" s="6">
        <v>420411678</v>
      </c>
    </row>
    <row r="290" spans="1:4" x14ac:dyDescent="0.3">
      <c r="A290" s="37">
        <f t="shared" si="4"/>
        <v>289</v>
      </c>
      <c r="B290" s="37" t="s">
        <v>633</v>
      </c>
      <c r="C290" s="37" t="s">
        <v>632</v>
      </c>
      <c r="D290" s="6">
        <v>527944827</v>
      </c>
    </row>
    <row r="291" spans="1:4" x14ac:dyDescent="0.3">
      <c r="A291" s="37">
        <f t="shared" si="4"/>
        <v>290</v>
      </c>
      <c r="B291" s="37" t="s">
        <v>1766</v>
      </c>
      <c r="C291" s="37" t="s">
        <v>1765</v>
      </c>
      <c r="D291" s="6">
        <v>443708301</v>
      </c>
    </row>
    <row r="292" spans="1:4" x14ac:dyDescent="0.3">
      <c r="A292" s="37">
        <f t="shared" si="4"/>
        <v>291</v>
      </c>
      <c r="B292" s="37" t="s">
        <v>574</v>
      </c>
      <c r="C292" s="37" t="s">
        <v>573</v>
      </c>
      <c r="D292" s="6">
        <v>458112451</v>
      </c>
    </row>
    <row r="293" spans="1:4" x14ac:dyDescent="0.3">
      <c r="A293" s="37">
        <f t="shared" si="4"/>
        <v>292</v>
      </c>
      <c r="B293" s="37" t="s">
        <v>1202</v>
      </c>
      <c r="C293" s="37" t="s">
        <v>1201</v>
      </c>
      <c r="D293" s="6">
        <v>485364171</v>
      </c>
    </row>
    <row r="294" spans="1:4" x14ac:dyDescent="0.3">
      <c r="A294" s="37">
        <f t="shared" si="4"/>
        <v>293</v>
      </c>
      <c r="B294" s="37" t="s">
        <v>463</v>
      </c>
      <c r="C294" s="37" t="s">
        <v>462</v>
      </c>
      <c r="D294" s="6">
        <v>412485795</v>
      </c>
    </row>
    <row r="295" spans="1:4" x14ac:dyDescent="0.3">
      <c r="A295" s="37">
        <f t="shared" si="4"/>
        <v>294</v>
      </c>
      <c r="B295" s="37" t="s">
        <v>1711</v>
      </c>
      <c r="C295" s="37" t="s">
        <v>1710</v>
      </c>
      <c r="D295" s="6">
        <v>473840265</v>
      </c>
    </row>
    <row r="296" spans="1:4" x14ac:dyDescent="0.3">
      <c r="A296" s="37">
        <f t="shared" si="4"/>
        <v>295</v>
      </c>
      <c r="B296" s="37" t="s">
        <v>1634</v>
      </c>
      <c r="C296" s="37" t="s">
        <v>1633</v>
      </c>
      <c r="D296" s="6">
        <v>447518186</v>
      </c>
    </row>
    <row r="297" spans="1:4" x14ac:dyDescent="0.3">
      <c r="A297" s="37">
        <f t="shared" si="4"/>
        <v>296</v>
      </c>
      <c r="B297" s="37" t="s">
        <v>787</v>
      </c>
      <c r="C297" s="37" t="s">
        <v>786</v>
      </c>
      <c r="D297" s="6">
        <v>464734289</v>
      </c>
    </row>
    <row r="298" spans="1:4" x14ac:dyDescent="0.3">
      <c r="A298" s="37">
        <f t="shared" si="4"/>
        <v>297</v>
      </c>
      <c r="B298" s="37" t="s">
        <v>230</v>
      </c>
      <c r="C298" s="37" t="s">
        <v>229</v>
      </c>
      <c r="D298" s="6">
        <v>471266779</v>
      </c>
    </row>
    <row r="299" spans="1:4" x14ac:dyDescent="0.3">
      <c r="A299" s="37">
        <f t="shared" si="4"/>
        <v>298</v>
      </c>
      <c r="B299" s="37" t="s">
        <v>99</v>
      </c>
      <c r="C299" s="37" t="s">
        <v>98</v>
      </c>
      <c r="D299" s="6">
        <v>453525145</v>
      </c>
    </row>
    <row r="300" spans="1:4" x14ac:dyDescent="0.3">
      <c r="A300" s="37">
        <f t="shared" si="4"/>
        <v>299</v>
      </c>
      <c r="B300" s="37" t="s">
        <v>1825</v>
      </c>
      <c r="C300" s="37" t="s">
        <v>1824</v>
      </c>
      <c r="D300" s="6">
        <v>487110970</v>
      </c>
    </row>
    <row r="301" spans="1:4" x14ac:dyDescent="0.3">
      <c r="A301" s="37">
        <f t="shared" si="4"/>
        <v>300</v>
      </c>
      <c r="B301" s="37" t="s">
        <v>1509</v>
      </c>
      <c r="C301" s="37" t="s">
        <v>1508</v>
      </c>
      <c r="D301" s="6">
        <v>442502305</v>
      </c>
    </row>
    <row r="302" spans="1:4" x14ac:dyDescent="0.3">
      <c r="A302" s="37">
        <f t="shared" si="4"/>
        <v>301</v>
      </c>
      <c r="B302" s="37" t="s">
        <v>744</v>
      </c>
      <c r="C302" s="37" t="s">
        <v>743</v>
      </c>
      <c r="D302" s="6">
        <v>463142088</v>
      </c>
    </row>
    <row r="303" spans="1:4" x14ac:dyDescent="0.3">
      <c r="A303" s="37">
        <f t="shared" si="4"/>
        <v>302</v>
      </c>
      <c r="B303" s="37" t="s">
        <v>693</v>
      </c>
      <c r="C303" s="37" t="s">
        <v>692</v>
      </c>
      <c r="D303" s="6">
        <v>472526684</v>
      </c>
    </row>
    <row r="304" spans="1:4" x14ac:dyDescent="0.3">
      <c r="A304" s="37">
        <f t="shared" si="4"/>
        <v>303</v>
      </c>
      <c r="B304" s="37" t="s">
        <v>93</v>
      </c>
      <c r="C304" s="37" t="s">
        <v>92</v>
      </c>
      <c r="D304" s="6">
        <v>449285091</v>
      </c>
    </row>
    <row r="305" spans="1:4" x14ac:dyDescent="0.3">
      <c r="A305" s="37">
        <f t="shared" si="4"/>
        <v>304</v>
      </c>
      <c r="B305" s="37" t="s">
        <v>161</v>
      </c>
      <c r="C305" s="37" t="s">
        <v>160</v>
      </c>
      <c r="D305" s="6">
        <v>490268252</v>
      </c>
    </row>
    <row r="306" spans="1:4" x14ac:dyDescent="0.3">
      <c r="A306" s="37">
        <f t="shared" si="4"/>
        <v>305</v>
      </c>
      <c r="B306" s="37" t="s">
        <v>1189</v>
      </c>
      <c r="C306" s="37" t="s">
        <v>1188</v>
      </c>
      <c r="D306" s="6">
        <v>498098933</v>
      </c>
    </row>
    <row r="307" spans="1:4" x14ac:dyDescent="0.3">
      <c r="A307" s="37">
        <f t="shared" si="4"/>
        <v>306</v>
      </c>
      <c r="B307" s="37" t="s">
        <v>1396</v>
      </c>
      <c r="C307" s="37" t="s">
        <v>1395</v>
      </c>
      <c r="D307" s="6">
        <v>444030261</v>
      </c>
    </row>
    <row r="308" spans="1:4" x14ac:dyDescent="0.3">
      <c r="A308" s="37">
        <f t="shared" si="4"/>
        <v>307</v>
      </c>
      <c r="B308" s="37" t="s">
        <v>1049</v>
      </c>
      <c r="C308" s="37" t="s">
        <v>1048</v>
      </c>
      <c r="D308" s="6">
        <v>467267050</v>
      </c>
    </row>
    <row r="309" spans="1:4" x14ac:dyDescent="0.3">
      <c r="A309" s="37">
        <f t="shared" si="4"/>
        <v>308</v>
      </c>
      <c r="B309" s="37" t="s">
        <v>920</v>
      </c>
      <c r="C309" s="37" t="s">
        <v>919</v>
      </c>
      <c r="D309" s="6">
        <v>474061038</v>
      </c>
    </row>
    <row r="310" spans="1:4" x14ac:dyDescent="0.3">
      <c r="A310" s="37">
        <f t="shared" si="4"/>
        <v>309</v>
      </c>
      <c r="B310" s="37" t="s">
        <v>683</v>
      </c>
      <c r="C310" s="37" t="s">
        <v>682</v>
      </c>
      <c r="D310" s="6">
        <v>478611779</v>
      </c>
    </row>
    <row r="311" spans="1:4" x14ac:dyDescent="0.3">
      <c r="A311" s="37">
        <f t="shared" si="4"/>
        <v>310</v>
      </c>
      <c r="B311" s="37" t="s">
        <v>1024</v>
      </c>
      <c r="C311" s="37" t="s">
        <v>1023</v>
      </c>
      <c r="D311" s="6">
        <v>490833430</v>
      </c>
    </row>
    <row r="312" spans="1:4" x14ac:dyDescent="0.3">
      <c r="A312" s="37">
        <f t="shared" si="4"/>
        <v>311</v>
      </c>
      <c r="B312" s="37" t="s">
        <v>931</v>
      </c>
      <c r="C312" s="37" t="s">
        <v>930</v>
      </c>
      <c r="D312" s="6">
        <v>467152738</v>
      </c>
    </row>
    <row r="313" spans="1:4" x14ac:dyDescent="0.3">
      <c r="A313" s="37">
        <f t="shared" si="4"/>
        <v>312</v>
      </c>
      <c r="B313" s="37" t="s">
        <v>1030</v>
      </c>
      <c r="C313" s="37" t="s">
        <v>1029</v>
      </c>
      <c r="D313" s="6">
        <v>397306079</v>
      </c>
    </row>
    <row r="314" spans="1:4" x14ac:dyDescent="0.3">
      <c r="A314" s="37">
        <f t="shared" si="4"/>
        <v>313</v>
      </c>
      <c r="B314" s="37" t="s">
        <v>1693</v>
      </c>
      <c r="C314" s="37" t="s">
        <v>1692</v>
      </c>
      <c r="D314" s="6">
        <v>495842411</v>
      </c>
    </row>
    <row r="315" spans="1:4" x14ac:dyDescent="0.3">
      <c r="A315" s="37">
        <f t="shared" si="4"/>
        <v>314</v>
      </c>
      <c r="B315" s="37" t="s">
        <v>359</v>
      </c>
      <c r="C315" s="37" t="s">
        <v>358</v>
      </c>
      <c r="D315" s="6">
        <v>462293996</v>
      </c>
    </row>
    <row r="316" spans="1:4" x14ac:dyDescent="0.3">
      <c r="A316" s="37">
        <f t="shared" si="4"/>
        <v>315</v>
      </c>
      <c r="B316" s="37" t="s">
        <v>964</v>
      </c>
      <c r="C316" s="37" t="s">
        <v>963</v>
      </c>
      <c r="D316" s="6">
        <v>441734928</v>
      </c>
    </row>
    <row r="317" spans="1:4" x14ac:dyDescent="0.3">
      <c r="A317" s="37">
        <f t="shared" si="4"/>
        <v>316</v>
      </c>
      <c r="B317" s="37" t="s">
        <v>1279</v>
      </c>
      <c r="C317" s="37" t="s">
        <v>1278</v>
      </c>
      <c r="D317" s="6">
        <v>455975365</v>
      </c>
    </row>
    <row r="318" spans="1:4" x14ac:dyDescent="0.3">
      <c r="A318" s="37">
        <f t="shared" si="4"/>
        <v>317</v>
      </c>
      <c r="B318" s="37" t="s">
        <v>1043</v>
      </c>
      <c r="C318" s="37" t="s">
        <v>1042</v>
      </c>
      <c r="D318" s="6">
        <v>488463586</v>
      </c>
    </row>
    <row r="319" spans="1:4" x14ac:dyDescent="0.3">
      <c r="A319" s="37">
        <f t="shared" si="4"/>
        <v>318</v>
      </c>
      <c r="B319" s="37" t="s">
        <v>120</v>
      </c>
      <c r="C319" s="37" t="s">
        <v>119</v>
      </c>
      <c r="D319" s="6">
        <v>417378741</v>
      </c>
    </row>
    <row r="320" spans="1:4" x14ac:dyDescent="0.3">
      <c r="A320" s="37">
        <f t="shared" si="4"/>
        <v>319</v>
      </c>
      <c r="B320" s="37" t="s">
        <v>1748</v>
      </c>
      <c r="C320" s="37" t="s">
        <v>1747</v>
      </c>
      <c r="D320" s="6">
        <v>487418246</v>
      </c>
    </row>
    <row r="321" spans="1:4" x14ac:dyDescent="0.3">
      <c r="A321" s="37">
        <f t="shared" si="4"/>
        <v>320</v>
      </c>
      <c r="B321" s="37" t="s">
        <v>1775</v>
      </c>
      <c r="C321" s="37" t="s">
        <v>1774</v>
      </c>
      <c r="D321" s="6">
        <v>465521770</v>
      </c>
    </row>
    <row r="322" spans="1:4" x14ac:dyDescent="0.3">
      <c r="A322" s="37">
        <f t="shared" si="4"/>
        <v>321</v>
      </c>
      <c r="B322" s="37" t="s">
        <v>111</v>
      </c>
      <c r="C322" s="37" t="s">
        <v>110</v>
      </c>
      <c r="D322" s="6">
        <v>454459463</v>
      </c>
    </row>
    <row r="323" spans="1:4" x14ac:dyDescent="0.3">
      <c r="A323" s="37">
        <f t="shared" si="4"/>
        <v>322</v>
      </c>
      <c r="B323" s="37" t="s">
        <v>166</v>
      </c>
      <c r="C323" s="37" t="s">
        <v>165</v>
      </c>
      <c r="D323" s="6">
        <v>490303666</v>
      </c>
    </row>
    <row r="324" spans="1:4" x14ac:dyDescent="0.3">
      <c r="A324" s="37">
        <f t="shared" ref="A324:A387" si="5">A323+1</f>
        <v>323</v>
      </c>
      <c r="B324" s="37" t="s">
        <v>1521</v>
      </c>
      <c r="C324" s="37" t="s">
        <v>1520</v>
      </c>
      <c r="D324" s="6">
        <v>425876009</v>
      </c>
    </row>
    <row r="325" spans="1:4" x14ac:dyDescent="0.3">
      <c r="A325" s="37">
        <f t="shared" si="5"/>
        <v>324</v>
      </c>
      <c r="B325" s="37" t="s">
        <v>1213</v>
      </c>
      <c r="C325" s="37" t="s">
        <v>1212</v>
      </c>
      <c r="D325" s="6">
        <v>468317347</v>
      </c>
    </row>
    <row r="326" spans="1:4" x14ac:dyDescent="0.3">
      <c r="A326" s="37">
        <f t="shared" si="5"/>
        <v>325</v>
      </c>
      <c r="B326" s="37" t="s">
        <v>665</v>
      </c>
      <c r="C326" s="37" t="s">
        <v>664</v>
      </c>
      <c r="D326" s="6">
        <v>494151189</v>
      </c>
    </row>
    <row r="327" spans="1:4" x14ac:dyDescent="0.3">
      <c r="A327" s="37">
        <f t="shared" si="5"/>
        <v>326</v>
      </c>
      <c r="B327" s="37" t="s">
        <v>332</v>
      </c>
      <c r="C327" s="37" t="s">
        <v>331</v>
      </c>
      <c r="D327" s="6">
        <v>429173196</v>
      </c>
    </row>
    <row r="328" spans="1:4" x14ac:dyDescent="0.3">
      <c r="A328" s="37">
        <f t="shared" si="5"/>
        <v>327</v>
      </c>
      <c r="B328" s="37" t="s">
        <v>652</v>
      </c>
      <c r="C328" s="37" t="s">
        <v>651</v>
      </c>
      <c r="D328" s="6">
        <v>433499177</v>
      </c>
    </row>
    <row r="329" spans="1:4" x14ac:dyDescent="0.3">
      <c r="A329" s="37">
        <f t="shared" si="5"/>
        <v>328</v>
      </c>
      <c r="B329" s="37" t="s">
        <v>386</v>
      </c>
      <c r="C329" s="37" t="s">
        <v>385</v>
      </c>
      <c r="D329" s="6">
        <v>418505563</v>
      </c>
    </row>
    <row r="330" spans="1:4" x14ac:dyDescent="0.3">
      <c r="A330" s="37">
        <f t="shared" si="5"/>
        <v>329</v>
      </c>
      <c r="B330" s="37" t="s">
        <v>1487</v>
      </c>
      <c r="C330" s="37" t="s">
        <v>1486</v>
      </c>
      <c r="D330" s="6">
        <v>425589861</v>
      </c>
    </row>
    <row r="331" spans="1:4" x14ac:dyDescent="0.3">
      <c r="A331" s="37">
        <f t="shared" si="5"/>
        <v>330</v>
      </c>
      <c r="B331" s="37" t="s">
        <v>1865</v>
      </c>
      <c r="C331" s="37" t="s">
        <v>1864</v>
      </c>
      <c r="D331" s="6">
        <v>461480988</v>
      </c>
    </row>
    <row r="332" spans="1:4" x14ac:dyDescent="0.3">
      <c r="A332" s="37">
        <f t="shared" si="5"/>
        <v>331</v>
      </c>
      <c r="B332" s="37" t="s">
        <v>142</v>
      </c>
      <c r="C332" s="37" t="s">
        <v>141</v>
      </c>
      <c r="D332" s="6">
        <v>436078547</v>
      </c>
    </row>
    <row r="333" spans="1:4" x14ac:dyDescent="0.3">
      <c r="A333" s="37">
        <f t="shared" si="5"/>
        <v>332</v>
      </c>
      <c r="B333" s="37" t="s">
        <v>1513</v>
      </c>
      <c r="C333" s="37" t="s">
        <v>1512</v>
      </c>
      <c r="D333" s="6">
        <v>432871536</v>
      </c>
    </row>
    <row r="334" spans="1:4" x14ac:dyDescent="0.3">
      <c r="A334" s="37">
        <f t="shared" si="5"/>
        <v>333</v>
      </c>
      <c r="B334" s="37" t="s">
        <v>1298</v>
      </c>
      <c r="C334" s="37" t="s">
        <v>1297</v>
      </c>
      <c r="D334" s="6">
        <v>475074684</v>
      </c>
    </row>
    <row r="335" spans="1:4" x14ac:dyDescent="0.3">
      <c r="A335" s="37">
        <f t="shared" si="5"/>
        <v>334</v>
      </c>
      <c r="B335" s="37" t="s">
        <v>1472</v>
      </c>
      <c r="C335" s="37" t="s">
        <v>1471</v>
      </c>
      <c r="D335" s="6">
        <v>479482772</v>
      </c>
    </row>
    <row r="336" spans="1:4" x14ac:dyDescent="0.3">
      <c r="A336" s="37">
        <f t="shared" si="5"/>
        <v>335</v>
      </c>
      <c r="B336" s="37" t="s">
        <v>1352</v>
      </c>
      <c r="C336" s="37" t="s">
        <v>1351</v>
      </c>
      <c r="D336" s="6">
        <v>449761970</v>
      </c>
    </row>
    <row r="337" spans="1:4" x14ac:dyDescent="0.3">
      <c r="A337" s="37">
        <f t="shared" si="5"/>
        <v>336</v>
      </c>
      <c r="B337" s="37" t="s">
        <v>883</v>
      </c>
      <c r="C337" s="37" t="s">
        <v>882</v>
      </c>
      <c r="D337" s="6">
        <v>446187546</v>
      </c>
    </row>
    <row r="338" spans="1:4" x14ac:dyDescent="0.3">
      <c r="A338" s="37">
        <f t="shared" si="5"/>
        <v>337</v>
      </c>
      <c r="B338" s="37" t="s">
        <v>925</v>
      </c>
      <c r="C338" s="37" t="s">
        <v>924</v>
      </c>
      <c r="D338" s="6">
        <v>454813004</v>
      </c>
    </row>
    <row r="339" spans="1:4" x14ac:dyDescent="0.3">
      <c r="A339" s="37">
        <f t="shared" si="5"/>
        <v>338</v>
      </c>
      <c r="B339" s="37" t="s">
        <v>1221</v>
      </c>
      <c r="C339" s="37" t="s">
        <v>1220</v>
      </c>
      <c r="D339" s="6">
        <v>470770827</v>
      </c>
    </row>
    <row r="340" spans="1:4" x14ac:dyDescent="0.3">
      <c r="A340" s="37">
        <f t="shared" si="5"/>
        <v>339</v>
      </c>
      <c r="B340" s="37" t="s">
        <v>248</v>
      </c>
      <c r="C340" s="37" t="s">
        <v>247</v>
      </c>
      <c r="D340" s="6">
        <v>482020713</v>
      </c>
    </row>
    <row r="341" spans="1:4" x14ac:dyDescent="0.3">
      <c r="A341" s="37">
        <f t="shared" si="5"/>
        <v>340</v>
      </c>
      <c r="B341" s="37" t="s">
        <v>1180</v>
      </c>
      <c r="C341" s="37" t="s">
        <v>1179</v>
      </c>
      <c r="D341" s="6">
        <v>467237098</v>
      </c>
    </row>
    <row r="342" spans="1:4" x14ac:dyDescent="0.3">
      <c r="A342" s="37">
        <f t="shared" si="5"/>
        <v>341</v>
      </c>
      <c r="B342" s="37" t="s">
        <v>1874</v>
      </c>
      <c r="C342" s="37" t="s">
        <v>1873</v>
      </c>
      <c r="D342" s="6">
        <v>473094084</v>
      </c>
    </row>
    <row r="343" spans="1:4" x14ac:dyDescent="0.3">
      <c r="A343" s="37">
        <f t="shared" si="5"/>
        <v>342</v>
      </c>
      <c r="B343" s="37" t="s">
        <v>378</v>
      </c>
      <c r="C343" s="37" t="s">
        <v>377</v>
      </c>
      <c r="D343" s="6">
        <v>448394643</v>
      </c>
    </row>
    <row r="344" spans="1:4" x14ac:dyDescent="0.3">
      <c r="A344" s="37">
        <f t="shared" si="5"/>
        <v>343</v>
      </c>
      <c r="B344" s="37" t="s">
        <v>594</v>
      </c>
      <c r="C344" s="37" t="s">
        <v>593</v>
      </c>
      <c r="D344" s="6">
        <v>447587725</v>
      </c>
    </row>
    <row r="345" spans="1:4" x14ac:dyDescent="0.3">
      <c r="A345" s="37">
        <f t="shared" si="5"/>
        <v>344</v>
      </c>
      <c r="B345" s="37" t="s">
        <v>43</v>
      </c>
      <c r="C345" s="37" t="s">
        <v>42</v>
      </c>
      <c r="D345" s="6">
        <v>458404867</v>
      </c>
    </row>
    <row r="346" spans="1:4" x14ac:dyDescent="0.3">
      <c r="A346" s="37">
        <f t="shared" si="5"/>
        <v>345</v>
      </c>
      <c r="B346" s="37" t="s">
        <v>365</v>
      </c>
      <c r="C346" s="37" t="s">
        <v>364</v>
      </c>
      <c r="D346" s="6">
        <v>465704560</v>
      </c>
    </row>
    <row r="347" spans="1:4" x14ac:dyDescent="0.3">
      <c r="A347" s="37">
        <f t="shared" si="5"/>
        <v>346</v>
      </c>
      <c r="B347" s="37" t="s">
        <v>1038</v>
      </c>
      <c r="C347" s="37" t="s">
        <v>1037</v>
      </c>
      <c r="D347" s="6">
        <v>411530712</v>
      </c>
    </row>
    <row r="348" spans="1:4" x14ac:dyDescent="0.3">
      <c r="A348" s="37">
        <f t="shared" si="5"/>
        <v>347</v>
      </c>
      <c r="B348" s="37" t="s">
        <v>1878</v>
      </c>
      <c r="C348" s="37" t="s">
        <v>1877</v>
      </c>
      <c r="D348" s="6">
        <v>492558211</v>
      </c>
    </row>
    <row r="349" spans="1:4" x14ac:dyDescent="0.3">
      <c r="A349" s="37">
        <f t="shared" si="5"/>
        <v>348</v>
      </c>
      <c r="B349" s="37" t="s">
        <v>1133</v>
      </c>
      <c r="C349" s="37" t="s">
        <v>1132</v>
      </c>
      <c r="D349" s="6">
        <v>500469689</v>
      </c>
    </row>
    <row r="350" spans="1:4" x14ac:dyDescent="0.3">
      <c r="A350" s="37">
        <f t="shared" si="5"/>
        <v>349</v>
      </c>
      <c r="B350" s="37" t="s">
        <v>209</v>
      </c>
      <c r="C350" s="37" t="s">
        <v>208</v>
      </c>
      <c r="D350" s="6">
        <v>429541707</v>
      </c>
    </row>
    <row r="351" spans="1:4" x14ac:dyDescent="0.3">
      <c r="A351" s="37">
        <f t="shared" si="5"/>
        <v>350</v>
      </c>
      <c r="B351" s="37" t="s">
        <v>433</v>
      </c>
      <c r="C351" s="37" t="s">
        <v>432</v>
      </c>
      <c r="D351" s="6">
        <v>449315083</v>
      </c>
    </row>
    <row r="352" spans="1:4" x14ac:dyDescent="0.3">
      <c r="A352" s="37">
        <f t="shared" si="5"/>
        <v>351</v>
      </c>
      <c r="B352" s="37" t="s">
        <v>127</v>
      </c>
      <c r="C352" s="37" t="s">
        <v>126</v>
      </c>
      <c r="D352" s="6">
        <v>448923703</v>
      </c>
    </row>
    <row r="353" spans="1:4" x14ac:dyDescent="0.3">
      <c r="A353" s="37">
        <f t="shared" si="5"/>
        <v>352</v>
      </c>
      <c r="B353" s="37" t="s">
        <v>1569</v>
      </c>
      <c r="C353" s="37" t="s">
        <v>1568</v>
      </c>
      <c r="D353" s="6">
        <v>453934758</v>
      </c>
    </row>
    <row r="354" spans="1:4" x14ac:dyDescent="0.3">
      <c r="A354" s="37">
        <f t="shared" si="5"/>
        <v>353</v>
      </c>
      <c r="B354" s="37" t="s">
        <v>163</v>
      </c>
      <c r="C354" s="37" t="s">
        <v>162</v>
      </c>
      <c r="D354" s="6">
        <v>449503564</v>
      </c>
    </row>
    <row r="355" spans="1:4" x14ac:dyDescent="0.3">
      <c r="A355" s="37">
        <f t="shared" si="5"/>
        <v>354</v>
      </c>
      <c r="B355" s="37" t="s">
        <v>1651</v>
      </c>
      <c r="C355" s="37" t="s">
        <v>1650</v>
      </c>
      <c r="D355" s="6">
        <v>436766479</v>
      </c>
    </row>
    <row r="356" spans="1:4" x14ac:dyDescent="0.3">
      <c r="A356" s="37">
        <f t="shared" si="5"/>
        <v>355</v>
      </c>
      <c r="B356" s="37" t="s">
        <v>1661</v>
      </c>
      <c r="C356" s="37" t="s">
        <v>1660</v>
      </c>
      <c r="D356" s="6">
        <v>444346693</v>
      </c>
    </row>
    <row r="357" spans="1:4" x14ac:dyDescent="0.3">
      <c r="A357" s="37">
        <f t="shared" si="5"/>
        <v>356</v>
      </c>
      <c r="B357" s="37" t="s">
        <v>415</v>
      </c>
      <c r="C357" s="37" t="s">
        <v>414</v>
      </c>
      <c r="D357" s="6">
        <v>448121451</v>
      </c>
    </row>
    <row r="358" spans="1:4" x14ac:dyDescent="0.3">
      <c r="A358" s="37">
        <f t="shared" si="5"/>
        <v>357</v>
      </c>
      <c r="B358" s="37" t="s">
        <v>1184</v>
      </c>
      <c r="C358" s="37" t="s">
        <v>1183</v>
      </c>
      <c r="D358" s="6">
        <v>479512608</v>
      </c>
    </row>
    <row r="359" spans="1:4" x14ac:dyDescent="0.3">
      <c r="A359" s="37">
        <f t="shared" si="5"/>
        <v>358</v>
      </c>
      <c r="B359" s="37" t="s">
        <v>1579</v>
      </c>
      <c r="C359" s="37" t="s">
        <v>1578</v>
      </c>
      <c r="D359" s="6">
        <v>457856762</v>
      </c>
    </row>
    <row r="360" spans="1:4" x14ac:dyDescent="0.3">
      <c r="A360" s="37">
        <f t="shared" si="5"/>
        <v>359</v>
      </c>
      <c r="B360" s="37" t="s">
        <v>527</v>
      </c>
      <c r="C360" s="37" t="s">
        <v>526</v>
      </c>
      <c r="D360" s="6">
        <v>462389795</v>
      </c>
    </row>
    <row r="361" spans="1:4" x14ac:dyDescent="0.3">
      <c r="A361" s="37">
        <f t="shared" si="5"/>
        <v>360</v>
      </c>
      <c r="B361" s="37" t="s">
        <v>1182</v>
      </c>
      <c r="C361" s="37" t="s">
        <v>1181</v>
      </c>
      <c r="D361" s="6">
        <v>488571098</v>
      </c>
    </row>
    <row r="362" spans="1:4" x14ac:dyDescent="0.3">
      <c r="A362" s="37">
        <f t="shared" si="5"/>
        <v>361</v>
      </c>
      <c r="B362" s="37" t="s">
        <v>258</v>
      </c>
      <c r="C362" s="37" t="s">
        <v>257</v>
      </c>
      <c r="D362" s="6">
        <v>466360843</v>
      </c>
    </row>
    <row r="363" spans="1:4" x14ac:dyDescent="0.3">
      <c r="A363" s="37">
        <f t="shared" si="5"/>
        <v>362</v>
      </c>
      <c r="B363" s="37" t="s">
        <v>724</v>
      </c>
      <c r="C363" s="37" t="s">
        <v>723</v>
      </c>
      <c r="D363" s="6">
        <v>446490576</v>
      </c>
    </row>
    <row r="364" spans="1:4" x14ac:dyDescent="0.3">
      <c r="A364" s="37">
        <f t="shared" si="5"/>
        <v>363</v>
      </c>
      <c r="B364" s="37" t="s">
        <v>856</v>
      </c>
      <c r="C364" s="37" t="s">
        <v>855</v>
      </c>
      <c r="D364" s="6">
        <v>434311814</v>
      </c>
    </row>
    <row r="365" spans="1:4" x14ac:dyDescent="0.3">
      <c r="A365" s="37">
        <f t="shared" si="5"/>
        <v>364</v>
      </c>
      <c r="B365" s="37" t="s">
        <v>1387</v>
      </c>
      <c r="C365" s="37" t="s">
        <v>1386</v>
      </c>
      <c r="D365" s="6">
        <v>452434991</v>
      </c>
    </row>
    <row r="366" spans="1:4" x14ac:dyDescent="0.3">
      <c r="A366" s="37">
        <f t="shared" si="5"/>
        <v>365</v>
      </c>
      <c r="B366" s="37" t="s">
        <v>1564</v>
      </c>
      <c r="C366" s="37" t="s">
        <v>1563</v>
      </c>
      <c r="D366" s="6">
        <v>464255474</v>
      </c>
    </row>
    <row r="367" spans="1:4" x14ac:dyDescent="0.3">
      <c r="A367" s="37">
        <f t="shared" si="5"/>
        <v>366</v>
      </c>
      <c r="B367" s="37" t="s">
        <v>1163</v>
      </c>
      <c r="C367" s="37" t="s">
        <v>1162</v>
      </c>
      <c r="D367" s="6">
        <v>450977590</v>
      </c>
    </row>
    <row r="368" spans="1:4" x14ac:dyDescent="0.3">
      <c r="A368" s="37">
        <f t="shared" si="5"/>
        <v>367</v>
      </c>
      <c r="B368" s="37" t="s">
        <v>1129</v>
      </c>
      <c r="C368" s="37" t="s">
        <v>1128</v>
      </c>
      <c r="D368" s="6">
        <v>439366645</v>
      </c>
    </row>
    <row r="369" spans="1:4" x14ac:dyDescent="0.3">
      <c r="A369" s="37">
        <f t="shared" si="5"/>
        <v>368</v>
      </c>
      <c r="B369" s="37" t="s">
        <v>1098</v>
      </c>
      <c r="C369" s="37" t="s">
        <v>1097</v>
      </c>
      <c r="D369" s="6">
        <v>483011980</v>
      </c>
    </row>
    <row r="370" spans="1:4" x14ac:dyDescent="0.3">
      <c r="A370" s="37">
        <f t="shared" si="5"/>
        <v>369</v>
      </c>
      <c r="B370" s="37" t="s">
        <v>1546</v>
      </c>
      <c r="C370" s="37" t="s">
        <v>1545</v>
      </c>
      <c r="D370" s="6">
        <v>481021949</v>
      </c>
    </row>
    <row r="371" spans="1:4" x14ac:dyDescent="0.3">
      <c r="A371" s="37">
        <f t="shared" si="5"/>
        <v>370</v>
      </c>
      <c r="B371" s="37" t="s">
        <v>145</v>
      </c>
      <c r="C371" s="37" t="s">
        <v>144</v>
      </c>
      <c r="D371" s="6">
        <v>443856478</v>
      </c>
    </row>
    <row r="372" spans="1:4" x14ac:dyDescent="0.3">
      <c r="A372" s="37">
        <f t="shared" si="5"/>
        <v>371</v>
      </c>
      <c r="B372" s="37" t="s">
        <v>750</v>
      </c>
      <c r="C372" s="37" t="s">
        <v>749</v>
      </c>
      <c r="D372" s="6">
        <v>469046691</v>
      </c>
    </row>
    <row r="373" spans="1:4" x14ac:dyDescent="0.3">
      <c r="A373" s="37">
        <f t="shared" si="5"/>
        <v>372</v>
      </c>
      <c r="B373" s="37" t="s">
        <v>308</v>
      </c>
      <c r="C373" s="37" t="s">
        <v>307</v>
      </c>
      <c r="D373" s="6">
        <v>478503852</v>
      </c>
    </row>
    <row r="374" spans="1:4" x14ac:dyDescent="0.3">
      <c r="A374" s="37">
        <f t="shared" si="5"/>
        <v>373</v>
      </c>
      <c r="B374" s="37" t="s">
        <v>917</v>
      </c>
      <c r="C374" s="37" t="s">
        <v>916</v>
      </c>
      <c r="D374" s="6">
        <v>424230121</v>
      </c>
    </row>
    <row r="375" spans="1:4" x14ac:dyDescent="0.3">
      <c r="A375" s="37">
        <f t="shared" si="5"/>
        <v>374</v>
      </c>
      <c r="B375" s="37" t="s">
        <v>239</v>
      </c>
      <c r="C375" s="37" t="s">
        <v>238</v>
      </c>
      <c r="D375" s="6">
        <v>427243644</v>
      </c>
    </row>
    <row r="376" spans="1:4" x14ac:dyDescent="0.3">
      <c r="A376" s="37">
        <f t="shared" si="5"/>
        <v>375</v>
      </c>
      <c r="B376" s="37" t="s">
        <v>1326</v>
      </c>
      <c r="C376" s="37" t="s">
        <v>1325</v>
      </c>
      <c r="D376" s="6">
        <v>435900544</v>
      </c>
    </row>
    <row r="377" spans="1:4" x14ac:dyDescent="0.3">
      <c r="A377" s="37">
        <f t="shared" si="5"/>
        <v>376</v>
      </c>
      <c r="B377" s="37" t="s">
        <v>270</v>
      </c>
      <c r="C377" s="37" t="s">
        <v>269</v>
      </c>
      <c r="D377" s="6">
        <v>445120775</v>
      </c>
    </row>
    <row r="378" spans="1:4" x14ac:dyDescent="0.3">
      <c r="A378" s="37">
        <f t="shared" si="5"/>
        <v>377</v>
      </c>
      <c r="B378" s="37" t="s">
        <v>1583</v>
      </c>
      <c r="C378" s="37" t="s">
        <v>1582</v>
      </c>
      <c r="D378" s="6">
        <v>449892117</v>
      </c>
    </row>
    <row r="379" spans="1:4" x14ac:dyDescent="0.3">
      <c r="A379" s="37">
        <f t="shared" si="5"/>
        <v>378</v>
      </c>
      <c r="B379" s="37" t="s">
        <v>16</v>
      </c>
      <c r="C379" s="37" t="s">
        <v>15</v>
      </c>
      <c r="D379" s="6">
        <v>461225587</v>
      </c>
    </row>
    <row r="380" spans="1:4" x14ac:dyDescent="0.3">
      <c r="A380" s="37">
        <f t="shared" si="5"/>
        <v>379</v>
      </c>
      <c r="B380" s="37" t="s">
        <v>735</v>
      </c>
      <c r="C380" s="37" t="s">
        <v>734</v>
      </c>
      <c r="D380" s="6">
        <v>451110818</v>
      </c>
    </row>
    <row r="381" spans="1:4" x14ac:dyDescent="0.3">
      <c r="A381" s="37">
        <f t="shared" si="5"/>
        <v>380</v>
      </c>
      <c r="B381" s="37" t="s">
        <v>690</v>
      </c>
      <c r="C381" s="37" t="s">
        <v>689</v>
      </c>
      <c r="D381" s="6">
        <v>465801067</v>
      </c>
    </row>
    <row r="382" spans="1:4" x14ac:dyDescent="0.3">
      <c r="A382" s="37">
        <f t="shared" si="5"/>
        <v>381</v>
      </c>
      <c r="B382" s="37" t="s">
        <v>983</v>
      </c>
      <c r="C382" s="37" t="s">
        <v>982</v>
      </c>
      <c r="D382" s="6">
        <v>468576724</v>
      </c>
    </row>
    <row r="383" spans="1:4" x14ac:dyDescent="0.3">
      <c r="A383" s="37">
        <f t="shared" si="5"/>
        <v>382</v>
      </c>
      <c r="B383" s="37" t="s">
        <v>1741</v>
      </c>
      <c r="C383" s="37" t="s">
        <v>1740</v>
      </c>
      <c r="D383" s="6">
        <v>446860921</v>
      </c>
    </row>
    <row r="384" spans="1:4" x14ac:dyDescent="0.3">
      <c r="A384" s="37">
        <f t="shared" si="5"/>
        <v>383</v>
      </c>
      <c r="B384" s="37" t="s">
        <v>923</v>
      </c>
      <c r="C384" s="37" t="s">
        <v>922</v>
      </c>
      <c r="D384" s="6">
        <v>431979825</v>
      </c>
    </row>
    <row r="385" spans="1:4" x14ac:dyDescent="0.3">
      <c r="A385" s="37">
        <f t="shared" si="5"/>
        <v>384</v>
      </c>
      <c r="B385" s="37" t="s">
        <v>139</v>
      </c>
      <c r="C385" s="37" t="s">
        <v>138</v>
      </c>
      <c r="D385" s="6">
        <v>432888446</v>
      </c>
    </row>
    <row r="386" spans="1:4" x14ac:dyDescent="0.3">
      <c r="A386" s="37">
        <f t="shared" si="5"/>
        <v>385</v>
      </c>
      <c r="B386" s="37" t="s">
        <v>425</v>
      </c>
      <c r="C386" s="37" t="s">
        <v>424</v>
      </c>
      <c r="D386" s="6">
        <v>431586627</v>
      </c>
    </row>
    <row r="387" spans="1:4" x14ac:dyDescent="0.3">
      <c r="A387" s="37">
        <f t="shared" si="5"/>
        <v>386</v>
      </c>
      <c r="B387" s="37" t="s">
        <v>1715</v>
      </c>
      <c r="C387" s="37" t="s">
        <v>1714</v>
      </c>
      <c r="D387" s="6">
        <v>403380015</v>
      </c>
    </row>
    <row r="388" spans="1:4" x14ac:dyDescent="0.3">
      <c r="A388" s="37">
        <f t="shared" ref="A388:A451" si="6">A387+1</f>
        <v>387</v>
      </c>
      <c r="B388" s="37" t="s">
        <v>1597</v>
      </c>
      <c r="C388" s="37" t="s">
        <v>1596</v>
      </c>
      <c r="D388" s="6">
        <v>429931570</v>
      </c>
    </row>
    <row r="389" spans="1:4" x14ac:dyDescent="0.3">
      <c r="A389" s="37">
        <f t="shared" si="6"/>
        <v>388</v>
      </c>
      <c r="B389" s="37" t="s">
        <v>1493</v>
      </c>
      <c r="C389" s="37" t="s">
        <v>1492</v>
      </c>
      <c r="D389" s="6">
        <v>442269516</v>
      </c>
    </row>
    <row r="390" spans="1:4" x14ac:dyDescent="0.3">
      <c r="A390" s="37">
        <f t="shared" si="6"/>
        <v>389</v>
      </c>
      <c r="B390" s="37" t="s">
        <v>1719</v>
      </c>
      <c r="C390" s="37" t="s">
        <v>1718</v>
      </c>
      <c r="D390" s="6">
        <v>450296971</v>
      </c>
    </row>
    <row r="391" spans="1:4" x14ac:dyDescent="0.3">
      <c r="A391" s="37">
        <f t="shared" si="6"/>
        <v>390</v>
      </c>
      <c r="B391" s="37" t="s">
        <v>338</v>
      </c>
      <c r="C391" s="37" t="s">
        <v>337</v>
      </c>
      <c r="D391" s="6">
        <v>410762928</v>
      </c>
    </row>
    <row r="392" spans="1:4" x14ac:dyDescent="0.3">
      <c r="A392" s="37">
        <f t="shared" si="6"/>
        <v>391</v>
      </c>
      <c r="B392" s="37" t="s">
        <v>1161</v>
      </c>
      <c r="C392" s="37" t="s">
        <v>1160</v>
      </c>
      <c r="D392" s="6">
        <v>447221009</v>
      </c>
    </row>
    <row r="393" spans="1:4" x14ac:dyDescent="0.3">
      <c r="A393" s="37">
        <f t="shared" si="6"/>
        <v>392</v>
      </c>
      <c r="B393" s="37" t="s">
        <v>1158</v>
      </c>
      <c r="C393" s="37" t="s">
        <v>1157</v>
      </c>
      <c r="D393" s="6">
        <v>390602984</v>
      </c>
    </row>
    <row r="394" spans="1:4" x14ac:dyDescent="0.3">
      <c r="A394" s="37">
        <f t="shared" si="6"/>
        <v>393</v>
      </c>
      <c r="B394" s="37" t="s">
        <v>1440</v>
      </c>
      <c r="C394" s="37" t="s">
        <v>1439</v>
      </c>
      <c r="D394" s="6">
        <v>445015557</v>
      </c>
    </row>
    <row r="395" spans="1:4" x14ac:dyDescent="0.3">
      <c r="A395" s="37">
        <f t="shared" si="6"/>
        <v>394</v>
      </c>
      <c r="B395" s="37" t="s">
        <v>655</v>
      </c>
      <c r="C395" s="37" t="s">
        <v>654</v>
      </c>
      <c r="D395" s="6">
        <v>423398840</v>
      </c>
    </row>
    <row r="396" spans="1:4" x14ac:dyDescent="0.3">
      <c r="A396" s="37">
        <f t="shared" si="6"/>
        <v>395</v>
      </c>
      <c r="B396" s="37" t="s">
        <v>1483</v>
      </c>
      <c r="C396" s="37" t="s">
        <v>1482</v>
      </c>
      <c r="D396" s="6">
        <v>401420077</v>
      </c>
    </row>
    <row r="397" spans="1:4" x14ac:dyDescent="0.3">
      <c r="A397" s="37">
        <f t="shared" si="6"/>
        <v>396</v>
      </c>
      <c r="B397" s="37" t="s">
        <v>335</v>
      </c>
      <c r="C397" s="37" t="s">
        <v>334</v>
      </c>
      <c r="D397" s="6">
        <v>461465286</v>
      </c>
    </row>
    <row r="398" spans="1:4" x14ac:dyDescent="0.3">
      <c r="A398" s="37">
        <f t="shared" si="6"/>
        <v>397</v>
      </c>
      <c r="B398" s="37" t="s">
        <v>1717</v>
      </c>
      <c r="C398" s="37" t="s">
        <v>1716</v>
      </c>
      <c r="D398" s="6">
        <v>410066248</v>
      </c>
    </row>
    <row r="399" spans="1:4" x14ac:dyDescent="0.3">
      <c r="A399" s="37">
        <f t="shared" si="6"/>
        <v>398</v>
      </c>
      <c r="B399" s="37" t="s">
        <v>1659</v>
      </c>
      <c r="C399" s="37" t="s">
        <v>1658</v>
      </c>
      <c r="D399" s="6">
        <v>428184261</v>
      </c>
    </row>
    <row r="400" spans="1:4" x14ac:dyDescent="0.3">
      <c r="A400" s="37">
        <f t="shared" si="6"/>
        <v>399</v>
      </c>
      <c r="B400" s="37" t="s">
        <v>108</v>
      </c>
      <c r="C400" s="37" t="s">
        <v>107</v>
      </c>
      <c r="D400" s="6">
        <v>469058041</v>
      </c>
    </row>
    <row r="401" spans="1:4" x14ac:dyDescent="0.3">
      <c r="A401" s="37">
        <f t="shared" si="6"/>
        <v>400</v>
      </c>
      <c r="B401" s="37" t="s">
        <v>1734</v>
      </c>
      <c r="C401" s="37" t="s">
        <v>1733</v>
      </c>
      <c r="D401" s="6">
        <v>452965245</v>
      </c>
    </row>
    <row r="402" spans="1:4" x14ac:dyDescent="0.3">
      <c r="A402" s="37">
        <f t="shared" si="6"/>
        <v>401</v>
      </c>
      <c r="B402" s="37" t="s">
        <v>1481</v>
      </c>
      <c r="C402" s="37" t="s">
        <v>1480</v>
      </c>
      <c r="D402" s="6">
        <v>430029678</v>
      </c>
    </row>
    <row r="403" spans="1:4" x14ac:dyDescent="0.3">
      <c r="A403" s="37">
        <f t="shared" si="6"/>
        <v>402</v>
      </c>
      <c r="B403" s="37" t="s">
        <v>1199</v>
      </c>
      <c r="C403" s="37" t="s">
        <v>1198</v>
      </c>
      <c r="D403" s="6">
        <v>439478960</v>
      </c>
    </row>
    <row r="404" spans="1:4" x14ac:dyDescent="0.3">
      <c r="A404" s="37">
        <f t="shared" si="6"/>
        <v>403</v>
      </c>
      <c r="B404" s="37" t="s">
        <v>1056</v>
      </c>
      <c r="C404" s="37" t="s">
        <v>1055</v>
      </c>
      <c r="D404" s="6">
        <v>430248610</v>
      </c>
    </row>
    <row r="405" spans="1:4" x14ac:dyDescent="0.3">
      <c r="A405" s="37">
        <f t="shared" si="6"/>
        <v>404</v>
      </c>
      <c r="B405" s="37" t="s">
        <v>1754</v>
      </c>
      <c r="C405" s="37" t="s">
        <v>1753</v>
      </c>
      <c r="D405" s="6">
        <v>396855644</v>
      </c>
    </row>
    <row r="406" spans="1:4" x14ac:dyDescent="0.3">
      <c r="A406" s="37">
        <f t="shared" si="6"/>
        <v>405</v>
      </c>
      <c r="B406" s="37" t="s">
        <v>1831</v>
      </c>
      <c r="C406" s="37" t="s">
        <v>1830</v>
      </c>
      <c r="D406" s="6">
        <v>441045909</v>
      </c>
    </row>
    <row r="407" spans="1:4" x14ac:dyDescent="0.3">
      <c r="A407" s="37">
        <f t="shared" si="6"/>
        <v>406</v>
      </c>
      <c r="B407" s="37" t="s">
        <v>502</v>
      </c>
      <c r="C407" s="37" t="s">
        <v>501</v>
      </c>
      <c r="D407" s="6">
        <v>447567489</v>
      </c>
    </row>
    <row r="408" spans="1:4" x14ac:dyDescent="0.3">
      <c r="A408" s="37">
        <f t="shared" si="6"/>
        <v>407</v>
      </c>
      <c r="B408" s="37" t="s">
        <v>1795</v>
      </c>
      <c r="C408" s="37" t="s">
        <v>1794</v>
      </c>
      <c r="D408" s="6">
        <v>444882817</v>
      </c>
    </row>
    <row r="409" spans="1:4" x14ac:dyDescent="0.3">
      <c r="A409" s="37">
        <f t="shared" si="6"/>
        <v>408</v>
      </c>
      <c r="B409" s="37" t="s">
        <v>659</v>
      </c>
      <c r="C409" s="37" t="s">
        <v>658</v>
      </c>
      <c r="D409" s="6">
        <v>449757918</v>
      </c>
    </row>
    <row r="410" spans="1:4" x14ac:dyDescent="0.3">
      <c r="A410" s="37">
        <f t="shared" si="6"/>
        <v>409</v>
      </c>
      <c r="B410" s="37" t="s">
        <v>1409</v>
      </c>
      <c r="C410" s="37" t="s">
        <v>1408</v>
      </c>
      <c r="D410" s="6">
        <v>445302082</v>
      </c>
    </row>
    <row r="411" spans="1:4" x14ac:dyDescent="0.3">
      <c r="A411" s="37">
        <f t="shared" si="6"/>
        <v>410</v>
      </c>
      <c r="B411" s="37" t="s">
        <v>670</v>
      </c>
      <c r="C411" s="37" t="s">
        <v>669</v>
      </c>
      <c r="D411" s="6">
        <v>450477801</v>
      </c>
    </row>
    <row r="412" spans="1:4" x14ac:dyDescent="0.3">
      <c r="A412" s="37">
        <f t="shared" si="6"/>
        <v>411</v>
      </c>
      <c r="B412" s="37" t="s">
        <v>1291</v>
      </c>
      <c r="C412" s="37" t="s">
        <v>1290</v>
      </c>
      <c r="D412" s="6">
        <v>454847238</v>
      </c>
    </row>
    <row r="413" spans="1:4" x14ac:dyDescent="0.3">
      <c r="A413" s="37">
        <f t="shared" si="6"/>
        <v>412</v>
      </c>
      <c r="B413" s="37" t="s">
        <v>1406</v>
      </c>
      <c r="C413" s="37" t="s">
        <v>1405</v>
      </c>
      <c r="D413" s="6">
        <v>459376007</v>
      </c>
    </row>
    <row r="414" spans="1:4" x14ac:dyDescent="0.3">
      <c r="A414" s="37">
        <f t="shared" si="6"/>
        <v>413</v>
      </c>
      <c r="B414" s="37" t="s">
        <v>606</v>
      </c>
      <c r="C414" s="37" t="s">
        <v>605</v>
      </c>
      <c r="D414" s="6">
        <v>439318974</v>
      </c>
    </row>
    <row r="415" spans="1:4" x14ac:dyDescent="0.3">
      <c r="A415" s="37">
        <f t="shared" si="6"/>
        <v>414</v>
      </c>
      <c r="B415" s="37" t="s">
        <v>1123</v>
      </c>
      <c r="C415" s="37" t="s">
        <v>1122</v>
      </c>
      <c r="D415" s="6">
        <v>454897377</v>
      </c>
    </row>
    <row r="416" spans="1:4" x14ac:dyDescent="0.3">
      <c r="A416" s="37">
        <f t="shared" si="6"/>
        <v>415</v>
      </c>
      <c r="B416" s="37" t="s">
        <v>327</v>
      </c>
      <c r="C416" s="37" t="s">
        <v>326</v>
      </c>
      <c r="D416" s="6">
        <v>435864798</v>
      </c>
    </row>
    <row r="417" spans="1:4" x14ac:dyDescent="0.3">
      <c r="A417" s="37">
        <f t="shared" si="6"/>
        <v>416</v>
      </c>
      <c r="B417" s="37" t="s">
        <v>152</v>
      </c>
      <c r="C417" s="37" t="s">
        <v>151</v>
      </c>
      <c r="D417" s="6">
        <v>432320166</v>
      </c>
    </row>
    <row r="418" spans="1:4" x14ac:dyDescent="0.3">
      <c r="A418" s="37">
        <f t="shared" si="6"/>
        <v>417</v>
      </c>
      <c r="B418" s="37" t="s">
        <v>1808</v>
      </c>
      <c r="C418" s="37" t="s">
        <v>1807</v>
      </c>
      <c r="D418" s="6">
        <v>454390211</v>
      </c>
    </row>
    <row r="419" spans="1:4" x14ac:dyDescent="0.3">
      <c r="A419" s="37">
        <f t="shared" si="6"/>
        <v>418</v>
      </c>
      <c r="B419" s="37" t="s">
        <v>1344</v>
      </c>
      <c r="C419" s="37" t="s">
        <v>1343</v>
      </c>
      <c r="D419" s="6">
        <v>449627641</v>
      </c>
    </row>
    <row r="420" spans="1:4" x14ac:dyDescent="0.3">
      <c r="A420" s="37">
        <f t="shared" si="6"/>
        <v>419</v>
      </c>
      <c r="B420" s="37" t="s">
        <v>1669</v>
      </c>
      <c r="C420" s="37" t="s">
        <v>1668</v>
      </c>
      <c r="D420" s="6">
        <v>440733471</v>
      </c>
    </row>
    <row r="421" spans="1:4" x14ac:dyDescent="0.3">
      <c r="A421" s="37">
        <f t="shared" si="6"/>
        <v>420</v>
      </c>
      <c r="B421" s="37" t="s">
        <v>1599</v>
      </c>
      <c r="C421" s="37" t="s">
        <v>1598</v>
      </c>
      <c r="D421" s="6">
        <v>435713453</v>
      </c>
    </row>
    <row r="422" spans="1:4" x14ac:dyDescent="0.3">
      <c r="A422" s="37">
        <f t="shared" si="6"/>
        <v>421</v>
      </c>
      <c r="B422" s="37" t="s">
        <v>102</v>
      </c>
      <c r="C422" s="37" t="s">
        <v>101</v>
      </c>
      <c r="D422" s="6">
        <v>436677229</v>
      </c>
    </row>
    <row r="423" spans="1:4" x14ac:dyDescent="0.3">
      <c r="A423" s="37">
        <f t="shared" si="6"/>
        <v>422</v>
      </c>
      <c r="B423" s="37" t="s">
        <v>850</v>
      </c>
      <c r="C423" s="37" t="s">
        <v>849</v>
      </c>
      <c r="D423" s="6">
        <v>405385579</v>
      </c>
    </row>
    <row r="424" spans="1:4" x14ac:dyDescent="0.3">
      <c r="A424" s="37">
        <f t="shared" si="6"/>
        <v>423</v>
      </c>
      <c r="B424" s="37" t="s">
        <v>51</v>
      </c>
      <c r="C424" s="37" t="s">
        <v>50</v>
      </c>
      <c r="D424" s="6">
        <v>479469790</v>
      </c>
    </row>
    <row r="425" spans="1:4" x14ac:dyDescent="0.3">
      <c r="A425" s="37">
        <f t="shared" si="6"/>
        <v>424</v>
      </c>
      <c r="B425" s="37" t="s">
        <v>1314</v>
      </c>
      <c r="C425" s="37" t="s">
        <v>1313</v>
      </c>
      <c r="D425" s="6">
        <v>381283905</v>
      </c>
    </row>
    <row r="426" spans="1:4" x14ac:dyDescent="0.3">
      <c r="A426" s="37">
        <f t="shared" si="6"/>
        <v>425</v>
      </c>
      <c r="B426" s="37" t="s">
        <v>510</v>
      </c>
      <c r="C426" s="37" t="s">
        <v>509</v>
      </c>
      <c r="D426" s="6">
        <v>425201922</v>
      </c>
    </row>
    <row r="427" spans="1:4" x14ac:dyDescent="0.3">
      <c r="A427" s="37">
        <f t="shared" si="6"/>
        <v>426</v>
      </c>
      <c r="B427" s="37" t="s">
        <v>802</v>
      </c>
      <c r="C427" s="37" t="s">
        <v>801</v>
      </c>
      <c r="D427" s="6">
        <v>410315467</v>
      </c>
    </row>
    <row r="428" spans="1:4" x14ac:dyDescent="0.3">
      <c r="A428" s="37">
        <f t="shared" si="6"/>
        <v>427</v>
      </c>
      <c r="B428" s="37" t="s">
        <v>1615</v>
      </c>
      <c r="C428" s="37" t="s">
        <v>1614</v>
      </c>
      <c r="D428" s="6">
        <v>427862712</v>
      </c>
    </row>
    <row r="429" spans="1:4" x14ac:dyDescent="0.3">
      <c r="A429" s="37">
        <f t="shared" si="6"/>
        <v>428</v>
      </c>
      <c r="B429" s="37" t="s">
        <v>1092</v>
      </c>
      <c r="C429" s="37" t="s">
        <v>1091</v>
      </c>
      <c r="D429" s="6">
        <v>413955212</v>
      </c>
    </row>
    <row r="430" spans="1:4" x14ac:dyDescent="0.3">
      <c r="A430" s="37">
        <f t="shared" si="6"/>
        <v>429</v>
      </c>
      <c r="B430" s="37" t="s">
        <v>722</v>
      </c>
      <c r="C430" s="37" t="s">
        <v>721</v>
      </c>
      <c r="D430" s="6">
        <v>438838767</v>
      </c>
    </row>
    <row r="431" spans="1:4" x14ac:dyDescent="0.3">
      <c r="A431" s="37">
        <f t="shared" si="6"/>
        <v>430</v>
      </c>
      <c r="B431" s="37" t="s">
        <v>1863</v>
      </c>
      <c r="C431" s="37" t="s">
        <v>1862</v>
      </c>
      <c r="D431" s="6">
        <v>506612244</v>
      </c>
    </row>
    <row r="432" spans="1:4" x14ac:dyDescent="0.3">
      <c r="A432" s="37">
        <f t="shared" si="6"/>
        <v>431</v>
      </c>
      <c r="B432" s="37" t="s">
        <v>890</v>
      </c>
      <c r="C432" s="37" t="s">
        <v>889</v>
      </c>
      <c r="D432" s="6" t="e">
        <v>#N/A</v>
      </c>
    </row>
    <row r="433" spans="1:4" x14ac:dyDescent="0.3">
      <c r="A433" s="37">
        <f t="shared" si="6"/>
        <v>432</v>
      </c>
      <c r="B433" s="37" t="s">
        <v>1034</v>
      </c>
      <c r="C433" s="37" t="s">
        <v>1033</v>
      </c>
      <c r="D433" s="6">
        <v>418869991</v>
      </c>
    </row>
    <row r="434" spans="1:4" x14ac:dyDescent="0.3">
      <c r="A434" s="37">
        <f t="shared" si="6"/>
        <v>433</v>
      </c>
      <c r="B434" s="37" t="s">
        <v>1595</v>
      </c>
      <c r="C434" s="37" t="s">
        <v>1594</v>
      </c>
      <c r="D434" s="6">
        <v>431370432</v>
      </c>
    </row>
    <row r="435" spans="1:4" x14ac:dyDescent="0.3">
      <c r="A435" s="37">
        <f t="shared" si="6"/>
        <v>434</v>
      </c>
      <c r="B435" s="37" t="s">
        <v>206</v>
      </c>
      <c r="C435" s="37" t="s">
        <v>205</v>
      </c>
      <c r="D435" s="6">
        <v>423592202</v>
      </c>
    </row>
    <row r="436" spans="1:4" x14ac:dyDescent="0.3">
      <c r="A436" s="37">
        <f t="shared" si="6"/>
        <v>435</v>
      </c>
      <c r="B436" s="37" t="s">
        <v>1051</v>
      </c>
      <c r="C436" s="37" t="s">
        <v>1050</v>
      </c>
      <c r="D436" s="6">
        <v>431832358</v>
      </c>
    </row>
    <row r="437" spans="1:4" x14ac:dyDescent="0.3">
      <c r="A437" s="37">
        <f t="shared" si="6"/>
        <v>436</v>
      </c>
      <c r="B437" s="37" t="s">
        <v>447</v>
      </c>
      <c r="C437" s="37" t="s">
        <v>446</v>
      </c>
      <c r="D437" s="6">
        <v>424464663</v>
      </c>
    </row>
    <row r="438" spans="1:4" x14ac:dyDescent="0.3">
      <c r="A438" s="37">
        <f t="shared" si="6"/>
        <v>437</v>
      </c>
      <c r="B438" s="37" t="s">
        <v>1064</v>
      </c>
      <c r="C438" s="37" t="s">
        <v>1063</v>
      </c>
      <c r="D438" s="6">
        <v>464854209</v>
      </c>
    </row>
    <row r="439" spans="1:4" x14ac:dyDescent="0.3">
      <c r="A439" s="37">
        <f t="shared" si="6"/>
        <v>438</v>
      </c>
      <c r="B439" s="37" t="s">
        <v>1305</v>
      </c>
      <c r="C439" s="37" t="s">
        <v>1304</v>
      </c>
      <c r="D439" s="6">
        <v>407337078</v>
      </c>
    </row>
    <row r="440" spans="1:4" x14ac:dyDescent="0.3">
      <c r="A440" s="37">
        <f t="shared" si="6"/>
        <v>439</v>
      </c>
      <c r="B440" s="37" t="s">
        <v>1259</v>
      </c>
      <c r="C440" s="37" t="s">
        <v>1258</v>
      </c>
      <c r="D440" s="6">
        <v>430388467</v>
      </c>
    </row>
    <row r="441" spans="1:4" x14ac:dyDescent="0.3">
      <c r="A441" s="37">
        <f t="shared" si="6"/>
        <v>440</v>
      </c>
      <c r="B441" s="37" t="s">
        <v>1680</v>
      </c>
      <c r="C441" s="37" t="s">
        <v>1679</v>
      </c>
      <c r="D441" s="6">
        <v>431522735</v>
      </c>
    </row>
    <row r="442" spans="1:4" x14ac:dyDescent="0.3">
      <c r="A442" s="37">
        <f t="shared" si="6"/>
        <v>441</v>
      </c>
      <c r="B442" s="37" t="s">
        <v>105</v>
      </c>
      <c r="C442" s="37" t="s">
        <v>104</v>
      </c>
      <c r="D442" s="6">
        <v>384008296</v>
      </c>
    </row>
    <row r="443" spans="1:4" x14ac:dyDescent="0.3">
      <c r="A443" s="37">
        <f t="shared" si="6"/>
        <v>442</v>
      </c>
      <c r="B443" s="37" t="s">
        <v>1553</v>
      </c>
      <c r="C443" s="37" t="s">
        <v>1552</v>
      </c>
      <c r="D443" s="6">
        <v>467814358</v>
      </c>
    </row>
    <row r="444" spans="1:4" x14ac:dyDescent="0.3">
      <c r="A444" s="37">
        <f t="shared" si="6"/>
        <v>443</v>
      </c>
      <c r="B444" s="37" t="s">
        <v>1657</v>
      </c>
      <c r="C444" s="37" t="s">
        <v>1656</v>
      </c>
      <c r="D444" s="6">
        <v>437388906</v>
      </c>
    </row>
    <row r="445" spans="1:4" x14ac:dyDescent="0.3">
      <c r="A445" s="37">
        <f t="shared" si="6"/>
        <v>444</v>
      </c>
      <c r="B445" s="37" t="s">
        <v>1706</v>
      </c>
      <c r="C445" s="37" t="s">
        <v>1705</v>
      </c>
      <c r="D445" s="6">
        <v>435839782</v>
      </c>
    </row>
    <row r="446" spans="1:4" x14ac:dyDescent="0.3">
      <c r="A446" s="37">
        <f t="shared" si="6"/>
        <v>445</v>
      </c>
      <c r="B446" s="37" t="s">
        <v>1451</v>
      </c>
      <c r="C446" s="37" t="s">
        <v>1450</v>
      </c>
      <c r="D446" s="6">
        <v>418622401</v>
      </c>
    </row>
    <row r="447" spans="1:4" x14ac:dyDescent="0.3">
      <c r="A447" s="37">
        <f t="shared" si="6"/>
        <v>446</v>
      </c>
      <c r="B447" s="37" t="s">
        <v>904</v>
      </c>
      <c r="C447" s="37" t="s">
        <v>903</v>
      </c>
      <c r="D447" s="6">
        <v>433000360</v>
      </c>
    </row>
    <row r="448" spans="1:4" x14ac:dyDescent="0.3">
      <c r="A448" s="37">
        <f t="shared" si="6"/>
        <v>447</v>
      </c>
      <c r="B448" s="37" t="s">
        <v>1003</v>
      </c>
      <c r="C448" s="37" t="s">
        <v>1002</v>
      </c>
      <c r="D448" s="6">
        <v>411740136</v>
      </c>
    </row>
    <row r="449" spans="1:4" x14ac:dyDescent="0.3">
      <c r="A449" s="37">
        <f t="shared" si="6"/>
        <v>448</v>
      </c>
      <c r="B449" s="37" t="s">
        <v>797</v>
      </c>
      <c r="C449" s="37" t="s">
        <v>796</v>
      </c>
      <c r="D449" s="6">
        <v>422371082</v>
      </c>
    </row>
    <row r="450" spans="1:4" x14ac:dyDescent="0.3">
      <c r="A450" s="37">
        <f t="shared" si="6"/>
        <v>449</v>
      </c>
      <c r="B450" s="37" t="s">
        <v>942</v>
      </c>
      <c r="C450" s="37" t="s">
        <v>941</v>
      </c>
      <c r="D450" s="6">
        <v>441883945</v>
      </c>
    </row>
    <row r="451" spans="1:4" x14ac:dyDescent="0.3">
      <c r="A451" s="37">
        <f t="shared" si="6"/>
        <v>450</v>
      </c>
      <c r="B451" s="37" t="s">
        <v>1687</v>
      </c>
      <c r="C451" s="37" t="s">
        <v>1686</v>
      </c>
      <c r="D451" s="6">
        <v>440430767</v>
      </c>
    </row>
    <row r="452" spans="1:4" x14ac:dyDescent="0.3">
      <c r="A452" s="37">
        <f t="shared" ref="A452:A515" si="7">A451+1</f>
        <v>451</v>
      </c>
      <c r="B452" s="37" t="s">
        <v>1170</v>
      </c>
      <c r="C452" s="37" t="s">
        <v>1169</v>
      </c>
      <c r="D452" s="6">
        <v>438800769</v>
      </c>
    </row>
    <row r="453" spans="1:4" x14ac:dyDescent="0.3">
      <c r="A453" s="37">
        <f t="shared" si="7"/>
        <v>452</v>
      </c>
      <c r="B453" s="37" t="s">
        <v>1476</v>
      </c>
      <c r="C453" s="37" t="s">
        <v>1475</v>
      </c>
      <c r="D453" s="6">
        <v>431540381</v>
      </c>
    </row>
    <row r="454" spans="1:4" x14ac:dyDescent="0.3">
      <c r="A454" s="37">
        <f t="shared" si="7"/>
        <v>453</v>
      </c>
      <c r="B454" s="37" t="s">
        <v>1792</v>
      </c>
      <c r="C454" s="37" t="s">
        <v>1791</v>
      </c>
      <c r="D454" s="6">
        <v>426921945</v>
      </c>
    </row>
    <row r="455" spans="1:4" x14ac:dyDescent="0.3">
      <c r="A455" s="37">
        <f t="shared" si="7"/>
        <v>454</v>
      </c>
      <c r="B455" s="37" t="s">
        <v>1781</v>
      </c>
      <c r="C455" s="37" t="s">
        <v>1780</v>
      </c>
      <c r="D455" s="6">
        <v>388200637</v>
      </c>
    </row>
    <row r="456" spans="1:4" x14ac:dyDescent="0.3">
      <c r="A456" s="37">
        <f t="shared" si="7"/>
        <v>455</v>
      </c>
      <c r="B456" s="37" t="s">
        <v>1586</v>
      </c>
      <c r="C456" s="37" t="s">
        <v>1585</v>
      </c>
      <c r="D456" s="6">
        <v>431145616</v>
      </c>
    </row>
    <row r="457" spans="1:4" x14ac:dyDescent="0.3">
      <c r="A457" s="37">
        <f t="shared" si="7"/>
        <v>456</v>
      </c>
      <c r="B457" s="37" t="s">
        <v>449</v>
      </c>
      <c r="C457" s="37" t="s">
        <v>448</v>
      </c>
      <c r="D457" s="6">
        <v>430322285</v>
      </c>
    </row>
    <row r="458" spans="1:4" x14ac:dyDescent="0.3">
      <c r="A458" s="37">
        <f t="shared" si="7"/>
        <v>457</v>
      </c>
      <c r="B458" s="37" t="s">
        <v>57</v>
      </c>
      <c r="C458" s="37" t="s">
        <v>56</v>
      </c>
      <c r="D458" s="6">
        <v>436899404</v>
      </c>
    </row>
    <row r="459" spans="1:4" x14ac:dyDescent="0.3">
      <c r="A459" s="37">
        <f t="shared" si="7"/>
        <v>458</v>
      </c>
      <c r="B459" s="37" t="s">
        <v>760</v>
      </c>
      <c r="C459" s="37" t="s">
        <v>759</v>
      </c>
      <c r="D459" s="6">
        <v>384964245</v>
      </c>
    </row>
    <row r="460" spans="1:4" x14ac:dyDescent="0.3">
      <c r="A460" s="37">
        <f t="shared" si="7"/>
        <v>459</v>
      </c>
      <c r="B460" s="37" t="s">
        <v>1455</v>
      </c>
      <c r="C460" s="37" t="s">
        <v>1454</v>
      </c>
      <c r="D460" s="6">
        <v>397418258</v>
      </c>
    </row>
    <row r="461" spans="1:4" x14ac:dyDescent="0.3">
      <c r="A461" s="37">
        <f t="shared" si="7"/>
        <v>460</v>
      </c>
      <c r="B461" s="37" t="s">
        <v>321</v>
      </c>
      <c r="C461" s="37" t="s">
        <v>320</v>
      </c>
      <c r="D461" s="6">
        <v>425671816</v>
      </c>
    </row>
    <row r="462" spans="1:4" x14ac:dyDescent="0.3">
      <c r="A462" s="37">
        <f t="shared" si="7"/>
        <v>461</v>
      </c>
      <c r="B462" s="37" t="s">
        <v>1770</v>
      </c>
      <c r="C462" s="37" t="s">
        <v>1769</v>
      </c>
      <c r="D462" s="6">
        <v>399171648</v>
      </c>
    </row>
    <row r="463" spans="1:4" x14ac:dyDescent="0.3">
      <c r="A463" s="37">
        <f t="shared" si="7"/>
        <v>462</v>
      </c>
      <c r="B463" s="37" t="s">
        <v>444</v>
      </c>
      <c r="C463" s="37" t="s">
        <v>443</v>
      </c>
      <c r="D463" s="6">
        <v>427919110</v>
      </c>
    </row>
    <row r="464" spans="1:4" x14ac:dyDescent="0.3">
      <c r="A464" s="37">
        <f t="shared" si="7"/>
        <v>463</v>
      </c>
      <c r="B464" s="37" t="s">
        <v>649</v>
      </c>
      <c r="C464" s="37" t="s">
        <v>648</v>
      </c>
      <c r="D464" s="6">
        <v>431733490</v>
      </c>
    </row>
    <row r="465" spans="1:4" x14ac:dyDescent="0.3">
      <c r="A465" s="37">
        <f t="shared" si="7"/>
        <v>464</v>
      </c>
      <c r="B465" s="37" t="s">
        <v>73</v>
      </c>
      <c r="C465" s="37" t="s">
        <v>72</v>
      </c>
      <c r="D465" s="6">
        <v>421314768</v>
      </c>
    </row>
    <row r="466" spans="1:4" x14ac:dyDescent="0.3">
      <c r="A466" s="37">
        <f t="shared" si="7"/>
        <v>465</v>
      </c>
      <c r="B466" s="37" t="s">
        <v>1106</v>
      </c>
      <c r="C466" s="37" t="s">
        <v>1105</v>
      </c>
      <c r="D466" s="6">
        <v>424333511</v>
      </c>
    </row>
    <row r="467" spans="1:4" x14ac:dyDescent="0.3">
      <c r="A467" s="37">
        <f t="shared" si="7"/>
        <v>466</v>
      </c>
      <c r="B467" s="37" t="s">
        <v>1730</v>
      </c>
      <c r="C467" s="37" t="s">
        <v>1729</v>
      </c>
      <c r="D467" s="6">
        <v>433630590</v>
      </c>
    </row>
    <row r="468" spans="1:4" x14ac:dyDescent="0.3">
      <c r="A468" s="37">
        <f t="shared" si="7"/>
        <v>467</v>
      </c>
      <c r="B468" s="37" t="s">
        <v>1507</v>
      </c>
      <c r="C468" s="37" t="s">
        <v>1506</v>
      </c>
      <c r="D468" s="6">
        <v>434381683</v>
      </c>
    </row>
    <row r="469" spans="1:4" x14ac:dyDescent="0.3">
      <c r="A469" s="37">
        <f t="shared" si="7"/>
        <v>468</v>
      </c>
      <c r="B469" s="37" t="s">
        <v>1426</v>
      </c>
      <c r="C469" s="37" t="s">
        <v>1425</v>
      </c>
      <c r="D469" s="6">
        <v>434892380</v>
      </c>
    </row>
    <row r="470" spans="1:4" x14ac:dyDescent="0.3">
      <c r="A470" s="37">
        <f t="shared" si="7"/>
        <v>469</v>
      </c>
      <c r="B470" s="37" t="s">
        <v>227</v>
      </c>
      <c r="C470" s="37" t="s">
        <v>226</v>
      </c>
      <c r="D470" s="6">
        <v>389266684</v>
      </c>
    </row>
    <row r="471" spans="1:4" x14ac:dyDescent="0.3">
      <c r="A471" s="37">
        <f t="shared" si="7"/>
        <v>470</v>
      </c>
      <c r="B471" s="37" t="s">
        <v>1779</v>
      </c>
      <c r="C471" s="37" t="s">
        <v>1778</v>
      </c>
      <c r="D471" s="6">
        <v>421769019</v>
      </c>
    </row>
    <row r="472" spans="1:4" x14ac:dyDescent="0.3">
      <c r="A472" s="37">
        <f t="shared" si="7"/>
        <v>471</v>
      </c>
      <c r="B472" s="37" t="s">
        <v>1861</v>
      </c>
      <c r="C472" s="37" t="s">
        <v>1860</v>
      </c>
      <c r="D472" s="6">
        <v>417363580</v>
      </c>
    </row>
    <row r="473" spans="1:4" x14ac:dyDescent="0.3">
      <c r="A473" s="37">
        <f t="shared" si="7"/>
        <v>472</v>
      </c>
      <c r="B473" s="37" t="s">
        <v>662</v>
      </c>
      <c r="C473" s="37" t="s">
        <v>661</v>
      </c>
      <c r="D473" s="6">
        <v>396758087</v>
      </c>
    </row>
    <row r="474" spans="1:4" x14ac:dyDescent="0.3">
      <c r="A474" s="37">
        <f t="shared" si="7"/>
        <v>473</v>
      </c>
      <c r="B474" s="37" t="s">
        <v>1664</v>
      </c>
      <c r="C474" s="37" t="s">
        <v>1663</v>
      </c>
      <c r="D474" s="6">
        <v>430290802</v>
      </c>
    </row>
    <row r="475" spans="1:4" x14ac:dyDescent="0.3">
      <c r="A475" s="37">
        <f t="shared" si="7"/>
        <v>474</v>
      </c>
      <c r="B475" s="37" t="s">
        <v>785</v>
      </c>
      <c r="C475" s="37" t="s">
        <v>784</v>
      </c>
      <c r="D475" s="6">
        <v>445479355</v>
      </c>
    </row>
    <row r="476" spans="1:4" x14ac:dyDescent="0.3">
      <c r="A476" s="37">
        <f t="shared" si="7"/>
        <v>475</v>
      </c>
      <c r="B476" s="37" t="s">
        <v>158</v>
      </c>
      <c r="C476" s="37" t="s">
        <v>157</v>
      </c>
      <c r="D476" s="6">
        <v>409978168</v>
      </c>
    </row>
    <row r="477" spans="1:4" x14ac:dyDescent="0.3">
      <c r="A477" s="37">
        <f t="shared" si="7"/>
        <v>476</v>
      </c>
      <c r="B477" s="37" t="s">
        <v>1732</v>
      </c>
      <c r="C477" s="37" t="s">
        <v>1731</v>
      </c>
      <c r="D477" s="6">
        <v>438845947</v>
      </c>
    </row>
    <row r="478" spans="1:4" x14ac:dyDescent="0.3">
      <c r="A478" s="37">
        <f t="shared" si="7"/>
        <v>477</v>
      </c>
      <c r="B478" s="37" t="s">
        <v>221</v>
      </c>
      <c r="C478" s="37" t="s">
        <v>220</v>
      </c>
      <c r="D478" s="6">
        <v>421809650</v>
      </c>
    </row>
    <row r="479" spans="1:4" x14ac:dyDescent="0.3">
      <c r="A479" s="37">
        <f t="shared" si="7"/>
        <v>478</v>
      </c>
      <c r="B479" s="37" t="s">
        <v>7</v>
      </c>
      <c r="C479" s="37" t="s">
        <v>6</v>
      </c>
      <c r="D479" s="6" t="e">
        <v>#N/A</v>
      </c>
    </row>
    <row r="480" spans="1:4" x14ac:dyDescent="0.3">
      <c r="A480" s="37">
        <f t="shared" si="7"/>
        <v>479</v>
      </c>
      <c r="B480" s="37" t="s">
        <v>1857</v>
      </c>
      <c r="C480" s="37" t="s">
        <v>1856</v>
      </c>
      <c r="D480" s="6">
        <v>404861080</v>
      </c>
    </row>
    <row r="481" spans="1:4" x14ac:dyDescent="0.3">
      <c r="A481" s="37">
        <f t="shared" si="7"/>
        <v>480</v>
      </c>
      <c r="B481" s="37" t="s">
        <v>1726</v>
      </c>
      <c r="C481" s="37" t="s">
        <v>1725</v>
      </c>
      <c r="D481" s="6">
        <v>424461364</v>
      </c>
    </row>
    <row r="482" spans="1:4" x14ac:dyDescent="0.3">
      <c r="A482" s="37">
        <f t="shared" si="7"/>
        <v>481</v>
      </c>
      <c r="B482" s="37" t="s">
        <v>1020</v>
      </c>
      <c r="C482" s="37" t="s">
        <v>1019</v>
      </c>
      <c r="D482" s="6">
        <v>445542243</v>
      </c>
    </row>
    <row r="483" spans="1:4" x14ac:dyDescent="0.3">
      <c r="A483" s="37">
        <f t="shared" si="7"/>
        <v>482</v>
      </c>
      <c r="B483" s="37" t="s">
        <v>1603</v>
      </c>
      <c r="C483" s="37" t="s">
        <v>1602</v>
      </c>
      <c r="D483" s="6">
        <v>413180437</v>
      </c>
    </row>
    <row r="484" spans="1:4" x14ac:dyDescent="0.3">
      <c r="A484" s="37">
        <f t="shared" si="7"/>
        <v>483</v>
      </c>
      <c r="B484" s="37" t="s">
        <v>548</v>
      </c>
      <c r="C484" s="37" t="s">
        <v>547</v>
      </c>
      <c r="D484" s="6">
        <v>401185504</v>
      </c>
    </row>
    <row r="485" spans="1:4" x14ac:dyDescent="0.3">
      <c r="A485" s="37">
        <f t="shared" si="7"/>
        <v>484</v>
      </c>
      <c r="B485" s="37" t="s">
        <v>1013</v>
      </c>
      <c r="C485" s="37" t="s">
        <v>1012</v>
      </c>
      <c r="D485" s="6">
        <v>407166009</v>
      </c>
    </row>
    <row r="486" spans="1:4" x14ac:dyDescent="0.3">
      <c r="A486" s="37">
        <f t="shared" si="7"/>
        <v>485</v>
      </c>
      <c r="B486" s="37" t="s">
        <v>1154</v>
      </c>
      <c r="C486" s="37" t="s">
        <v>1153</v>
      </c>
      <c r="D486" s="6">
        <v>452517709</v>
      </c>
    </row>
    <row r="487" spans="1:4" x14ac:dyDescent="0.3">
      <c r="A487" s="37">
        <f t="shared" si="7"/>
        <v>486</v>
      </c>
      <c r="B487" s="37" t="s">
        <v>1463</v>
      </c>
      <c r="C487" s="37" t="s">
        <v>1462</v>
      </c>
      <c r="D487" s="6">
        <v>405410896</v>
      </c>
    </row>
    <row r="488" spans="1:4" x14ac:dyDescent="0.3">
      <c r="A488" s="37">
        <f t="shared" si="7"/>
        <v>487</v>
      </c>
      <c r="B488" s="37" t="s">
        <v>755</v>
      </c>
      <c r="C488" s="37" t="s">
        <v>754</v>
      </c>
      <c r="D488" s="6">
        <v>392074626</v>
      </c>
    </row>
    <row r="489" spans="1:4" x14ac:dyDescent="0.3">
      <c r="A489" s="37">
        <f t="shared" si="7"/>
        <v>488</v>
      </c>
      <c r="B489" s="37" t="s">
        <v>1261</v>
      </c>
      <c r="C489" s="37" t="s">
        <v>1260</v>
      </c>
      <c r="D489" s="6">
        <v>449499938</v>
      </c>
    </row>
    <row r="490" spans="1:4" x14ac:dyDescent="0.3">
      <c r="A490" s="37">
        <f t="shared" si="7"/>
        <v>489</v>
      </c>
      <c r="B490" s="37" t="s">
        <v>1760</v>
      </c>
      <c r="C490" s="37" t="s">
        <v>1759</v>
      </c>
      <c r="D490" s="6">
        <v>399962003</v>
      </c>
    </row>
    <row r="491" spans="1:4" x14ac:dyDescent="0.3">
      <c r="A491" s="37">
        <f t="shared" si="7"/>
        <v>490</v>
      </c>
      <c r="B491" s="37" t="s">
        <v>1242</v>
      </c>
      <c r="C491" s="37" t="s">
        <v>1241</v>
      </c>
      <c r="D491" s="6">
        <v>477502087</v>
      </c>
    </row>
    <row r="492" spans="1:4" x14ac:dyDescent="0.3">
      <c r="A492" s="37">
        <f t="shared" si="7"/>
        <v>491</v>
      </c>
      <c r="B492" s="37" t="s">
        <v>1750</v>
      </c>
      <c r="C492" s="37" t="s">
        <v>1749</v>
      </c>
      <c r="D492" s="6">
        <v>411762805</v>
      </c>
    </row>
    <row r="493" spans="1:4" x14ac:dyDescent="0.3">
      <c r="A493" s="37">
        <f t="shared" si="7"/>
        <v>492</v>
      </c>
      <c r="B493" s="37" t="s">
        <v>1394</v>
      </c>
      <c r="C493" s="37" t="s">
        <v>1393</v>
      </c>
      <c r="D493" s="6">
        <v>420091972</v>
      </c>
    </row>
    <row r="494" spans="1:4" x14ac:dyDescent="0.3">
      <c r="A494" s="37">
        <f t="shared" si="7"/>
        <v>493</v>
      </c>
      <c r="B494" s="37" t="s">
        <v>1248</v>
      </c>
      <c r="C494" s="37" t="s">
        <v>1247</v>
      </c>
      <c r="D494" s="6">
        <v>439725715</v>
      </c>
    </row>
    <row r="495" spans="1:4" x14ac:dyDescent="0.3">
      <c r="A495" s="37">
        <f t="shared" si="7"/>
        <v>494</v>
      </c>
      <c r="B495" s="37" t="s">
        <v>313</v>
      </c>
      <c r="C495" s="37" t="s">
        <v>312</v>
      </c>
      <c r="D495" s="6">
        <v>416817065</v>
      </c>
    </row>
    <row r="496" spans="1:4" x14ac:dyDescent="0.3">
      <c r="A496" s="37">
        <f t="shared" si="7"/>
        <v>495</v>
      </c>
      <c r="B496" s="37" t="s">
        <v>1531</v>
      </c>
      <c r="C496" s="37" t="s">
        <v>1530</v>
      </c>
      <c r="D496" s="6">
        <v>435717841</v>
      </c>
    </row>
    <row r="497" spans="1:4" x14ac:dyDescent="0.3">
      <c r="A497" s="37">
        <f t="shared" si="7"/>
        <v>496</v>
      </c>
      <c r="B497" s="37" t="s">
        <v>1404</v>
      </c>
      <c r="C497" s="37" t="s">
        <v>1403</v>
      </c>
      <c r="D497" s="6">
        <v>419914755</v>
      </c>
    </row>
    <row r="498" spans="1:4" x14ac:dyDescent="0.3">
      <c r="A498" s="37">
        <f t="shared" si="7"/>
        <v>497</v>
      </c>
      <c r="B498" s="37" t="s">
        <v>86</v>
      </c>
      <c r="C498" s="37" t="s">
        <v>85</v>
      </c>
      <c r="D498" s="6">
        <v>436754730</v>
      </c>
    </row>
    <row r="499" spans="1:4" x14ac:dyDescent="0.3">
      <c r="A499" s="37">
        <f t="shared" si="7"/>
        <v>498</v>
      </c>
      <c r="B499" s="37" t="s">
        <v>1738</v>
      </c>
      <c r="C499" s="37" t="s">
        <v>1737</v>
      </c>
      <c r="D499" s="6">
        <v>409799423</v>
      </c>
    </row>
    <row r="500" spans="1:4" x14ac:dyDescent="0.3">
      <c r="A500" s="37">
        <f t="shared" si="7"/>
        <v>499</v>
      </c>
      <c r="B500" s="37" t="s">
        <v>1814</v>
      </c>
      <c r="C500" s="37" t="s">
        <v>1813</v>
      </c>
      <c r="D500" s="6">
        <v>435594526</v>
      </c>
    </row>
    <row r="501" spans="1:4" x14ac:dyDescent="0.3">
      <c r="A501" s="37">
        <f t="shared" si="7"/>
        <v>500</v>
      </c>
      <c r="B501" s="37" t="s">
        <v>1627</v>
      </c>
      <c r="C501" s="37" t="s">
        <v>1626</v>
      </c>
      <c r="D501" s="6">
        <v>390601238</v>
      </c>
    </row>
    <row r="502" spans="1:4" x14ac:dyDescent="0.3">
      <c r="A502" s="37">
        <f t="shared" si="7"/>
        <v>501</v>
      </c>
      <c r="B502" s="37" t="s">
        <v>1631</v>
      </c>
      <c r="C502" s="37" t="s">
        <v>1630</v>
      </c>
      <c r="D502" s="6">
        <v>412063699</v>
      </c>
    </row>
    <row r="503" spans="1:4" x14ac:dyDescent="0.3">
      <c r="A503" s="37">
        <f t="shared" si="7"/>
        <v>502</v>
      </c>
      <c r="B503" s="37" t="s">
        <v>1086</v>
      </c>
      <c r="C503" s="37" t="s">
        <v>1085</v>
      </c>
      <c r="D503" s="6">
        <v>385906862</v>
      </c>
    </row>
    <row r="504" spans="1:4" x14ac:dyDescent="0.3">
      <c r="A504" s="37">
        <f t="shared" si="7"/>
        <v>503</v>
      </c>
      <c r="B504" s="37" t="s">
        <v>976</v>
      </c>
      <c r="C504" s="37" t="s">
        <v>975</v>
      </c>
      <c r="D504" s="6">
        <v>369321451</v>
      </c>
    </row>
    <row r="505" spans="1:4" x14ac:dyDescent="0.3">
      <c r="A505" s="37">
        <f t="shared" si="7"/>
        <v>504</v>
      </c>
      <c r="B505" s="37" t="s">
        <v>678</v>
      </c>
      <c r="C505" s="37" t="s">
        <v>677</v>
      </c>
      <c r="D505" s="6">
        <v>424703724</v>
      </c>
    </row>
    <row r="506" spans="1:4" x14ac:dyDescent="0.3">
      <c r="A506" s="37">
        <f t="shared" si="7"/>
        <v>505</v>
      </c>
      <c r="B506" s="37" t="s">
        <v>400</v>
      </c>
      <c r="C506" s="37" t="s">
        <v>399</v>
      </c>
      <c r="D506" s="6">
        <v>409139414</v>
      </c>
    </row>
    <row r="507" spans="1:4" x14ac:dyDescent="0.3">
      <c r="A507" s="37">
        <f t="shared" si="7"/>
        <v>506</v>
      </c>
      <c r="B507" s="37" t="s">
        <v>1478</v>
      </c>
      <c r="C507" s="37" t="s">
        <v>1477</v>
      </c>
      <c r="D507" s="6">
        <v>378246477</v>
      </c>
    </row>
    <row r="508" spans="1:4" x14ac:dyDescent="0.3">
      <c r="A508" s="37">
        <f t="shared" si="7"/>
        <v>507</v>
      </c>
      <c r="B508" s="37" t="s">
        <v>273</v>
      </c>
      <c r="C508" s="37" t="s">
        <v>272</v>
      </c>
      <c r="D508" s="6">
        <v>412983486</v>
      </c>
    </row>
    <row r="509" spans="1:4" x14ac:dyDescent="0.3">
      <c r="A509" s="37">
        <f t="shared" si="7"/>
        <v>508</v>
      </c>
      <c r="B509" s="37" t="s">
        <v>236</v>
      </c>
      <c r="C509" s="37" t="s">
        <v>235</v>
      </c>
      <c r="D509" s="6">
        <v>399201442</v>
      </c>
    </row>
    <row r="510" spans="1:4" x14ac:dyDescent="0.3">
      <c r="A510" s="37">
        <f t="shared" si="7"/>
        <v>509</v>
      </c>
      <c r="B510" s="37" t="s">
        <v>715</v>
      </c>
      <c r="C510" s="37" t="s">
        <v>714</v>
      </c>
      <c r="D510" s="6">
        <v>392169197</v>
      </c>
    </row>
    <row r="511" spans="1:4" x14ac:dyDescent="0.3">
      <c r="A511" s="37">
        <f t="shared" si="7"/>
        <v>510</v>
      </c>
      <c r="B511" s="37" t="s">
        <v>1094</v>
      </c>
      <c r="C511" s="37" t="s">
        <v>1093</v>
      </c>
      <c r="D511" s="6">
        <v>390659697</v>
      </c>
    </row>
    <row r="512" spans="1:4" x14ac:dyDescent="0.3">
      <c r="A512" s="37">
        <f t="shared" si="7"/>
        <v>511</v>
      </c>
      <c r="B512" s="37" t="s">
        <v>1843</v>
      </c>
      <c r="C512" s="37" t="s">
        <v>1842</v>
      </c>
      <c r="D512" s="6">
        <v>421489370</v>
      </c>
    </row>
    <row r="513" spans="1:4" x14ac:dyDescent="0.3">
      <c r="A513" s="37">
        <f t="shared" si="7"/>
        <v>512</v>
      </c>
      <c r="B513" s="37" t="s">
        <v>1186</v>
      </c>
      <c r="C513" s="37" t="s">
        <v>1185</v>
      </c>
      <c r="D513" s="6">
        <v>419255120</v>
      </c>
    </row>
    <row r="514" spans="1:4" x14ac:dyDescent="0.3">
      <c r="A514" s="37">
        <f t="shared" si="7"/>
        <v>513</v>
      </c>
      <c r="B514" s="37" t="s">
        <v>1557</v>
      </c>
      <c r="C514" s="37" t="s">
        <v>1556</v>
      </c>
      <c r="D514" s="6">
        <v>408720468</v>
      </c>
    </row>
    <row r="515" spans="1:4" x14ac:dyDescent="0.3">
      <c r="A515" s="37">
        <f t="shared" si="7"/>
        <v>514</v>
      </c>
      <c r="B515" s="37" t="s">
        <v>1828</v>
      </c>
      <c r="C515" s="37" t="s">
        <v>1827</v>
      </c>
      <c r="D515" s="6">
        <v>388746120</v>
      </c>
    </row>
    <row r="516" spans="1:4" x14ac:dyDescent="0.3">
      <c r="A516" s="37">
        <f t="shared" ref="A516:A579" si="8">A515+1</f>
        <v>515</v>
      </c>
      <c r="B516" s="37" t="s">
        <v>704</v>
      </c>
      <c r="C516" s="37" t="s">
        <v>703</v>
      </c>
      <c r="D516" s="6">
        <v>431845277</v>
      </c>
    </row>
    <row r="517" spans="1:4" x14ac:dyDescent="0.3">
      <c r="A517" s="37">
        <f t="shared" si="8"/>
        <v>516</v>
      </c>
      <c r="B517" s="37" t="s">
        <v>1797</v>
      </c>
      <c r="C517" s="37" t="s">
        <v>1796</v>
      </c>
      <c r="D517" s="6">
        <v>435756728</v>
      </c>
    </row>
    <row r="518" spans="1:4" x14ac:dyDescent="0.3">
      <c r="A518" s="37">
        <f t="shared" si="8"/>
        <v>517</v>
      </c>
      <c r="B518" s="37" t="s">
        <v>765</v>
      </c>
      <c r="C518" s="37" t="s">
        <v>764</v>
      </c>
      <c r="D518" s="6">
        <v>433578982</v>
      </c>
    </row>
    <row r="519" spans="1:4" x14ac:dyDescent="0.3">
      <c r="A519" s="37">
        <f t="shared" si="8"/>
        <v>518</v>
      </c>
      <c r="B519" s="37" t="s">
        <v>1022</v>
      </c>
      <c r="C519" s="37" t="s">
        <v>1021</v>
      </c>
      <c r="D519" s="6">
        <v>422301071</v>
      </c>
    </row>
    <row r="520" spans="1:4" x14ac:dyDescent="0.3">
      <c r="A520" s="37">
        <f t="shared" si="8"/>
        <v>519</v>
      </c>
      <c r="B520" s="37" t="s">
        <v>937</v>
      </c>
      <c r="C520" s="37" t="s">
        <v>936</v>
      </c>
      <c r="D520" s="6">
        <v>421753712</v>
      </c>
    </row>
    <row r="521" spans="1:4" x14ac:dyDescent="0.3">
      <c r="A521" s="37">
        <f t="shared" si="8"/>
        <v>520</v>
      </c>
      <c r="B521" s="37" t="s">
        <v>1110</v>
      </c>
      <c r="C521" s="37" t="s">
        <v>1109</v>
      </c>
      <c r="D521" s="6">
        <v>407884181</v>
      </c>
    </row>
    <row r="522" spans="1:4" x14ac:dyDescent="0.3">
      <c r="A522" s="37">
        <f t="shared" si="8"/>
        <v>521</v>
      </c>
      <c r="B522" s="37" t="s">
        <v>1196</v>
      </c>
      <c r="C522" s="37" t="s">
        <v>1195</v>
      </c>
      <c r="D522" s="6">
        <v>385412244</v>
      </c>
    </row>
    <row r="523" spans="1:4" x14ac:dyDescent="0.3">
      <c r="A523" s="37">
        <f t="shared" si="8"/>
        <v>522</v>
      </c>
      <c r="B523" s="37" t="s">
        <v>1276</v>
      </c>
      <c r="C523" s="37" t="s">
        <v>1275</v>
      </c>
      <c r="D523" s="6">
        <v>424027850</v>
      </c>
    </row>
    <row r="524" spans="1:4" x14ac:dyDescent="0.3">
      <c r="A524" s="37">
        <f t="shared" si="8"/>
        <v>523</v>
      </c>
      <c r="B524" s="37" t="s">
        <v>753</v>
      </c>
      <c r="C524" s="37" t="s">
        <v>751</v>
      </c>
      <c r="D524" s="6">
        <v>408004773</v>
      </c>
    </row>
    <row r="525" spans="1:4" x14ac:dyDescent="0.3">
      <c r="A525" s="37">
        <f t="shared" si="8"/>
        <v>524</v>
      </c>
      <c r="B525" s="37" t="s">
        <v>47</v>
      </c>
      <c r="C525" s="37" t="s">
        <v>46</v>
      </c>
      <c r="D525" s="6">
        <v>420767623</v>
      </c>
    </row>
    <row r="526" spans="1:4" x14ac:dyDescent="0.3">
      <c r="A526" s="37">
        <f t="shared" si="8"/>
        <v>525</v>
      </c>
      <c r="B526" s="37" t="s">
        <v>831</v>
      </c>
      <c r="C526" s="37" t="s">
        <v>830</v>
      </c>
      <c r="D526" s="6">
        <v>409991843</v>
      </c>
    </row>
    <row r="527" spans="1:4" x14ac:dyDescent="0.3">
      <c r="A527" s="37">
        <f t="shared" si="8"/>
        <v>526</v>
      </c>
      <c r="B527" s="37" t="s">
        <v>1691</v>
      </c>
      <c r="C527" s="37" t="s">
        <v>1690</v>
      </c>
      <c r="D527" s="6">
        <v>389768589</v>
      </c>
    </row>
    <row r="528" spans="1:4" x14ac:dyDescent="0.3">
      <c r="A528" s="37">
        <f t="shared" si="8"/>
        <v>527</v>
      </c>
      <c r="B528" s="37" t="s">
        <v>1177</v>
      </c>
      <c r="C528" s="37" t="s">
        <v>1176</v>
      </c>
      <c r="D528" s="6">
        <v>422868723</v>
      </c>
    </row>
    <row r="529" spans="1:4" x14ac:dyDescent="0.3">
      <c r="A529" s="37">
        <f t="shared" si="8"/>
        <v>528</v>
      </c>
      <c r="B529" s="37" t="s">
        <v>149</v>
      </c>
      <c r="C529" s="37" t="s">
        <v>148</v>
      </c>
      <c r="D529" s="6">
        <v>411332126</v>
      </c>
    </row>
    <row r="530" spans="1:4" x14ac:dyDescent="0.3">
      <c r="A530" s="37">
        <f t="shared" si="8"/>
        <v>529</v>
      </c>
      <c r="B530" s="37" t="s">
        <v>1636</v>
      </c>
      <c r="C530" s="37" t="s">
        <v>1635</v>
      </c>
      <c r="D530" s="6">
        <v>429570699</v>
      </c>
    </row>
    <row r="531" spans="1:4" x14ac:dyDescent="0.3">
      <c r="A531" s="37">
        <f t="shared" si="8"/>
        <v>530</v>
      </c>
      <c r="B531" s="37" t="s">
        <v>1289</v>
      </c>
      <c r="C531" s="37" t="s">
        <v>1288</v>
      </c>
      <c r="D531" s="6">
        <v>411432377</v>
      </c>
    </row>
    <row r="532" spans="1:4" x14ac:dyDescent="0.3">
      <c r="A532" s="37">
        <f t="shared" si="8"/>
        <v>531</v>
      </c>
      <c r="B532" s="37" t="s">
        <v>1442</v>
      </c>
      <c r="C532" s="37" t="s">
        <v>1441</v>
      </c>
      <c r="D532" s="6">
        <v>409105592</v>
      </c>
    </row>
    <row r="533" spans="1:4" x14ac:dyDescent="0.3">
      <c r="A533" s="37">
        <f t="shared" si="8"/>
        <v>532</v>
      </c>
      <c r="B533" s="37" t="s">
        <v>1619</v>
      </c>
      <c r="C533" s="37" t="s">
        <v>1618</v>
      </c>
      <c r="D533" s="6">
        <v>410785561</v>
      </c>
    </row>
    <row r="534" spans="1:4" x14ac:dyDescent="0.3">
      <c r="A534" s="37">
        <f t="shared" si="8"/>
        <v>533</v>
      </c>
      <c r="B534" s="37" t="s">
        <v>185</v>
      </c>
      <c r="C534" s="37" t="s">
        <v>184</v>
      </c>
      <c r="D534" s="6">
        <v>426548553</v>
      </c>
    </row>
    <row r="535" spans="1:4" x14ac:dyDescent="0.3">
      <c r="A535" s="37">
        <f t="shared" si="8"/>
        <v>534</v>
      </c>
      <c r="B535" s="37" t="s">
        <v>1822</v>
      </c>
      <c r="C535" s="37" t="s">
        <v>1821</v>
      </c>
      <c r="D535" s="6">
        <v>421543325</v>
      </c>
    </row>
    <row r="536" spans="1:4" x14ac:dyDescent="0.3">
      <c r="A536" s="37">
        <f t="shared" si="8"/>
        <v>535</v>
      </c>
      <c r="B536" s="37" t="s">
        <v>1422</v>
      </c>
      <c r="C536" s="37" t="s">
        <v>1421</v>
      </c>
      <c r="D536" s="6">
        <v>398761989</v>
      </c>
    </row>
    <row r="537" spans="1:4" x14ac:dyDescent="0.3">
      <c r="A537" s="37">
        <f t="shared" si="8"/>
        <v>536</v>
      </c>
      <c r="B537" s="37" t="s">
        <v>839</v>
      </c>
      <c r="C537" s="37" t="s">
        <v>838</v>
      </c>
      <c r="D537" s="6">
        <v>346289874</v>
      </c>
    </row>
    <row r="538" spans="1:4" x14ac:dyDescent="0.3">
      <c r="A538" s="37">
        <f t="shared" si="8"/>
        <v>537</v>
      </c>
      <c r="B538" s="37" t="s">
        <v>300</v>
      </c>
      <c r="C538" s="37" t="s">
        <v>299</v>
      </c>
      <c r="D538" s="6">
        <v>459049234</v>
      </c>
    </row>
    <row r="539" spans="1:4" x14ac:dyDescent="0.3">
      <c r="A539" s="37">
        <f t="shared" si="8"/>
        <v>538</v>
      </c>
      <c r="B539" s="37" t="s">
        <v>54</v>
      </c>
      <c r="C539" s="37" t="s">
        <v>53</v>
      </c>
      <c r="D539" s="6">
        <v>421239499</v>
      </c>
    </row>
    <row r="540" spans="1:4" x14ac:dyDescent="0.3">
      <c r="A540" s="37">
        <f t="shared" si="8"/>
        <v>539</v>
      </c>
      <c r="B540" s="37" t="s">
        <v>1623</v>
      </c>
      <c r="C540" s="37" t="s">
        <v>1622</v>
      </c>
      <c r="D540" s="6">
        <v>411969038</v>
      </c>
    </row>
    <row r="541" spans="1:4" x14ac:dyDescent="0.3">
      <c r="A541" s="37">
        <f t="shared" si="8"/>
        <v>540</v>
      </c>
      <c r="B541" s="37" t="s">
        <v>351</v>
      </c>
      <c r="C541" s="37" t="s">
        <v>350</v>
      </c>
      <c r="D541" s="6">
        <v>392961067</v>
      </c>
    </row>
    <row r="542" spans="1:4" x14ac:dyDescent="0.3">
      <c r="A542" s="37">
        <f t="shared" si="8"/>
        <v>541</v>
      </c>
      <c r="B542" s="37" t="s">
        <v>412</v>
      </c>
      <c r="C542" s="37" t="s">
        <v>411</v>
      </c>
      <c r="D542" s="6">
        <v>400520959</v>
      </c>
    </row>
    <row r="543" spans="1:4" x14ac:dyDescent="0.3">
      <c r="A543" s="37">
        <f t="shared" si="8"/>
        <v>542</v>
      </c>
      <c r="B543" s="37" t="s">
        <v>962</v>
      </c>
      <c r="C543" s="37" t="s">
        <v>961</v>
      </c>
      <c r="D543" s="6">
        <v>375929559</v>
      </c>
    </row>
    <row r="544" spans="1:4" x14ac:dyDescent="0.3">
      <c r="A544" s="37">
        <f t="shared" si="8"/>
        <v>543</v>
      </c>
      <c r="B544" s="37" t="s">
        <v>26</v>
      </c>
      <c r="C544" s="37" t="s">
        <v>25</v>
      </c>
      <c r="D544" s="6">
        <v>395060887</v>
      </c>
    </row>
    <row r="545" spans="1:4" x14ac:dyDescent="0.3">
      <c r="A545" s="37">
        <f t="shared" si="8"/>
        <v>544</v>
      </c>
      <c r="B545" s="37" t="s">
        <v>972</v>
      </c>
      <c r="C545" s="37" t="s">
        <v>971</v>
      </c>
      <c r="D545" s="6">
        <v>428510455</v>
      </c>
    </row>
    <row r="546" spans="1:4" x14ac:dyDescent="0.3">
      <c r="A546" s="37">
        <f t="shared" si="8"/>
        <v>545</v>
      </c>
      <c r="B546" s="37" t="s">
        <v>1303</v>
      </c>
      <c r="C546" s="37" t="s">
        <v>1302</v>
      </c>
      <c r="D546" s="6">
        <v>394684452</v>
      </c>
    </row>
    <row r="547" spans="1:4" x14ac:dyDescent="0.3">
      <c r="A547" s="37">
        <f t="shared" si="8"/>
        <v>546</v>
      </c>
      <c r="B547" s="37" t="s">
        <v>1621</v>
      </c>
      <c r="C547" s="37" t="s">
        <v>1620</v>
      </c>
      <c r="D547" s="6">
        <v>409515934</v>
      </c>
    </row>
    <row r="548" spans="1:4" x14ac:dyDescent="0.3">
      <c r="A548" s="37">
        <f t="shared" si="8"/>
        <v>547</v>
      </c>
      <c r="B548" s="37" t="s">
        <v>1505</v>
      </c>
      <c r="C548" s="37" t="s">
        <v>1504</v>
      </c>
      <c r="D548" s="6">
        <v>399075857</v>
      </c>
    </row>
    <row r="549" spans="1:4" x14ac:dyDescent="0.3">
      <c r="A549" s="37">
        <f t="shared" si="8"/>
        <v>548</v>
      </c>
      <c r="B549" s="37" t="s">
        <v>1218</v>
      </c>
      <c r="C549" s="37" t="s">
        <v>1217</v>
      </c>
      <c r="D549" s="6">
        <v>379754394</v>
      </c>
    </row>
    <row r="550" spans="1:4" x14ac:dyDescent="0.3">
      <c r="A550" s="37">
        <f t="shared" si="8"/>
        <v>549</v>
      </c>
      <c r="B550" s="37" t="s">
        <v>1453</v>
      </c>
      <c r="C550" s="37" t="s">
        <v>1452</v>
      </c>
      <c r="D550" s="6">
        <v>411276464</v>
      </c>
    </row>
    <row r="551" spans="1:4" x14ac:dyDescent="0.3">
      <c r="A551" s="37">
        <f t="shared" si="8"/>
        <v>550</v>
      </c>
      <c r="B551" s="37" t="s">
        <v>1728</v>
      </c>
      <c r="C551" s="37" t="s">
        <v>1727</v>
      </c>
      <c r="D551" s="6">
        <v>403865605</v>
      </c>
    </row>
    <row r="552" spans="1:4" x14ac:dyDescent="0.3">
      <c r="A552" s="37">
        <f t="shared" si="8"/>
        <v>551</v>
      </c>
      <c r="B552" s="37" t="s">
        <v>1437</v>
      </c>
      <c r="C552" s="37" t="s">
        <v>1436</v>
      </c>
      <c r="D552" s="6">
        <v>380976190</v>
      </c>
    </row>
    <row r="553" spans="1:4" x14ac:dyDescent="0.3">
      <c r="A553" s="37">
        <f t="shared" si="8"/>
        <v>552</v>
      </c>
      <c r="B553" s="37" t="s">
        <v>460</v>
      </c>
      <c r="C553" s="37" t="s">
        <v>459</v>
      </c>
      <c r="D553" s="6">
        <v>402219509</v>
      </c>
    </row>
    <row r="554" spans="1:4" x14ac:dyDescent="0.3">
      <c r="A554" s="37">
        <f t="shared" si="8"/>
        <v>553</v>
      </c>
      <c r="B554" s="37" t="s">
        <v>1689</v>
      </c>
      <c r="C554" s="37" t="s">
        <v>1688</v>
      </c>
      <c r="D554" s="6">
        <v>432946170</v>
      </c>
    </row>
    <row r="555" spans="1:4" x14ac:dyDescent="0.3">
      <c r="A555" s="37">
        <f t="shared" si="8"/>
        <v>554</v>
      </c>
      <c r="B555" s="37" t="s">
        <v>197</v>
      </c>
      <c r="C555" s="37" t="s">
        <v>196</v>
      </c>
      <c r="D555" s="6">
        <v>398563444</v>
      </c>
    </row>
    <row r="556" spans="1:4" x14ac:dyDescent="0.3">
      <c r="A556" s="37">
        <f t="shared" si="8"/>
        <v>555</v>
      </c>
      <c r="B556" s="37" t="s">
        <v>214</v>
      </c>
      <c r="C556" s="37" t="s">
        <v>213</v>
      </c>
      <c r="D556" s="6">
        <v>406956920</v>
      </c>
    </row>
    <row r="557" spans="1:4" x14ac:dyDescent="0.3">
      <c r="A557" s="37">
        <f t="shared" si="8"/>
        <v>556</v>
      </c>
      <c r="B557" s="37" t="s">
        <v>251</v>
      </c>
      <c r="C557" s="37" t="s">
        <v>250</v>
      </c>
      <c r="D557" s="6">
        <v>400784217</v>
      </c>
    </row>
    <row r="558" spans="1:4" x14ac:dyDescent="0.3">
      <c r="A558" s="37">
        <f t="shared" si="8"/>
        <v>557</v>
      </c>
      <c r="B558" s="37" t="s">
        <v>435</v>
      </c>
      <c r="C558" s="37" t="s">
        <v>434</v>
      </c>
      <c r="D558" s="6">
        <v>391069062</v>
      </c>
    </row>
    <row r="559" spans="1:4" x14ac:dyDescent="0.3">
      <c r="A559" s="37">
        <f t="shared" si="8"/>
        <v>558</v>
      </c>
      <c r="B559" s="37" t="s">
        <v>896</v>
      </c>
      <c r="C559" s="37" t="s">
        <v>895</v>
      </c>
      <c r="D559" s="6">
        <v>393988598</v>
      </c>
    </row>
    <row r="560" spans="1:4" x14ac:dyDescent="0.3">
      <c r="A560" s="37">
        <f t="shared" si="8"/>
        <v>559</v>
      </c>
      <c r="B560" s="37" t="s">
        <v>96</v>
      </c>
      <c r="C560" s="37" t="s">
        <v>95</v>
      </c>
      <c r="D560" s="6">
        <v>427510010</v>
      </c>
    </row>
    <row r="561" spans="1:4" x14ac:dyDescent="0.3">
      <c r="A561" s="37">
        <f t="shared" si="8"/>
        <v>560</v>
      </c>
      <c r="B561" s="37" t="s">
        <v>769</v>
      </c>
      <c r="C561" s="37" t="s">
        <v>768</v>
      </c>
      <c r="D561" s="6">
        <v>414071175</v>
      </c>
    </row>
    <row r="562" spans="1:4" x14ac:dyDescent="0.3">
      <c r="A562" s="37">
        <f t="shared" si="8"/>
        <v>561</v>
      </c>
      <c r="B562" s="37" t="s">
        <v>417</v>
      </c>
      <c r="C562" s="37" t="s">
        <v>416</v>
      </c>
      <c r="D562" s="6">
        <v>395732531</v>
      </c>
    </row>
    <row r="563" spans="1:4" x14ac:dyDescent="0.3">
      <c r="A563" s="37">
        <f t="shared" si="8"/>
        <v>562</v>
      </c>
      <c r="B563" s="37" t="s">
        <v>1655</v>
      </c>
      <c r="C563" s="37" t="s">
        <v>1654</v>
      </c>
      <c r="D563" s="6">
        <v>382095713</v>
      </c>
    </row>
    <row r="564" spans="1:4" x14ac:dyDescent="0.3">
      <c r="A564" s="37">
        <f t="shared" si="8"/>
        <v>563</v>
      </c>
      <c r="B564" s="37" t="s">
        <v>1851</v>
      </c>
      <c r="C564" s="37" t="s">
        <v>1850</v>
      </c>
      <c r="D564" s="6">
        <v>393469795</v>
      </c>
    </row>
    <row r="565" spans="1:4" x14ac:dyDescent="0.3">
      <c r="A565" s="37">
        <f t="shared" si="8"/>
        <v>564</v>
      </c>
      <c r="B565" s="37" t="s">
        <v>515</v>
      </c>
      <c r="C565" s="37" t="s">
        <v>514</v>
      </c>
      <c r="D565" s="6">
        <v>403485825</v>
      </c>
    </row>
    <row r="566" spans="1:4" x14ac:dyDescent="0.3">
      <c r="A566" s="37">
        <f t="shared" si="8"/>
        <v>565</v>
      </c>
      <c r="B566" s="37" t="s">
        <v>1695</v>
      </c>
      <c r="C566" s="37" t="s">
        <v>1694</v>
      </c>
      <c r="D566" s="6">
        <v>398336746</v>
      </c>
    </row>
    <row r="567" spans="1:4" x14ac:dyDescent="0.3">
      <c r="A567" s="37">
        <f t="shared" si="8"/>
        <v>566</v>
      </c>
      <c r="B567" s="37" t="s">
        <v>1617</v>
      </c>
      <c r="C567" s="37" t="s">
        <v>1616</v>
      </c>
      <c r="D567" s="6">
        <v>424778918</v>
      </c>
    </row>
    <row r="568" spans="1:4" x14ac:dyDescent="0.3">
      <c r="A568" s="37">
        <f t="shared" si="8"/>
        <v>567</v>
      </c>
      <c r="B568" s="37" t="s">
        <v>1713</v>
      </c>
      <c r="C568" s="37" t="s">
        <v>1712</v>
      </c>
      <c r="D568" s="6">
        <v>371870543</v>
      </c>
    </row>
    <row r="569" spans="1:4" x14ac:dyDescent="0.3">
      <c r="A569" s="37">
        <f t="shared" si="8"/>
        <v>568</v>
      </c>
      <c r="B569" s="37" t="s">
        <v>1613</v>
      </c>
      <c r="C569" s="37" t="s">
        <v>1612</v>
      </c>
      <c r="D569" s="6">
        <v>418586979</v>
      </c>
    </row>
    <row r="570" spans="1:4" x14ac:dyDescent="0.3">
      <c r="A570" s="37">
        <f t="shared" si="8"/>
        <v>569</v>
      </c>
      <c r="B570" s="37" t="s">
        <v>1581</v>
      </c>
      <c r="C570" s="37" t="s">
        <v>1580</v>
      </c>
      <c r="D570" s="6">
        <v>392239030</v>
      </c>
    </row>
    <row r="571" spans="1:4" x14ac:dyDescent="0.3">
      <c r="A571" s="37">
        <f t="shared" si="8"/>
        <v>570</v>
      </c>
      <c r="B571" s="37" t="s">
        <v>438</v>
      </c>
      <c r="C571" s="37" t="s">
        <v>437</v>
      </c>
      <c r="D571" s="6">
        <v>410899653</v>
      </c>
    </row>
    <row r="572" spans="1:4" x14ac:dyDescent="0.3">
      <c r="A572" s="37">
        <f t="shared" si="8"/>
        <v>571</v>
      </c>
      <c r="B572" s="37" t="s">
        <v>1193</v>
      </c>
      <c r="C572" s="37" t="s">
        <v>1192</v>
      </c>
      <c r="D572" s="6">
        <v>376562147</v>
      </c>
    </row>
    <row r="573" spans="1:4" x14ac:dyDescent="0.3">
      <c r="A573" s="37">
        <f t="shared" si="8"/>
        <v>572</v>
      </c>
      <c r="B573" s="37" t="s">
        <v>1571</v>
      </c>
      <c r="C573" s="37" t="s">
        <v>1570</v>
      </c>
      <c r="D573" s="6">
        <v>410387080</v>
      </c>
    </row>
    <row r="574" spans="1:4" x14ac:dyDescent="0.3">
      <c r="A574" s="37">
        <f t="shared" si="8"/>
        <v>573</v>
      </c>
      <c r="B574" s="37" t="s">
        <v>1445</v>
      </c>
      <c r="C574" s="37" t="s">
        <v>1444</v>
      </c>
      <c r="D574" s="6">
        <v>381893316</v>
      </c>
    </row>
    <row r="575" spans="1:4" x14ac:dyDescent="0.3">
      <c r="A575" s="37">
        <f t="shared" si="8"/>
        <v>574</v>
      </c>
      <c r="B575" s="37" t="s">
        <v>911</v>
      </c>
      <c r="C575" s="37" t="s">
        <v>910</v>
      </c>
      <c r="D575" s="6">
        <v>395978570</v>
      </c>
    </row>
    <row r="576" spans="1:4" x14ac:dyDescent="0.3">
      <c r="A576" s="37">
        <f t="shared" si="8"/>
        <v>575</v>
      </c>
      <c r="B576" s="37" t="s">
        <v>454</v>
      </c>
      <c r="C576" s="37" t="s">
        <v>453</v>
      </c>
      <c r="D576" s="6">
        <v>393222836</v>
      </c>
    </row>
    <row r="577" spans="1:4" x14ac:dyDescent="0.3">
      <c r="A577" s="37">
        <f t="shared" si="8"/>
        <v>576</v>
      </c>
      <c r="B577" s="37" t="s">
        <v>1210</v>
      </c>
      <c r="C577" s="37" t="s">
        <v>1209</v>
      </c>
      <c r="D577" s="6">
        <v>397486550</v>
      </c>
    </row>
    <row r="578" spans="1:4" x14ac:dyDescent="0.3">
      <c r="A578" s="37">
        <f t="shared" si="8"/>
        <v>577</v>
      </c>
      <c r="B578" s="37" t="s">
        <v>1820</v>
      </c>
      <c r="C578" s="37" t="s">
        <v>1819</v>
      </c>
      <c r="D578" s="6">
        <v>419482350</v>
      </c>
    </row>
    <row r="579" spans="1:4" x14ac:dyDescent="0.3">
      <c r="A579" s="37">
        <f t="shared" si="8"/>
        <v>578</v>
      </c>
      <c r="B579" s="37" t="s">
        <v>422</v>
      </c>
      <c r="C579" s="37" t="s">
        <v>421</v>
      </c>
      <c r="D579" s="6">
        <v>405994111</v>
      </c>
    </row>
    <row r="580" spans="1:4" x14ac:dyDescent="0.3">
      <c r="A580" s="37">
        <f t="shared" ref="A580:A643" si="9">A579+1</f>
        <v>579</v>
      </c>
      <c r="B580" s="37" t="s">
        <v>1350</v>
      </c>
      <c r="C580" s="37" t="s">
        <v>1349</v>
      </c>
      <c r="D580" s="6">
        <v>392740991</v>
      </c>
    </row>
    <row r="581" spans="1:4" x14ac:dyDescent="0.3">
      <c r="A581" s="37">
        <f t="shared" si="9"/>
        <v>580</v>
      </c>
      <c r="B581" s="37" t="s">
        <v>1001</v>
      </c>
      <c r="C581" s="37" t="s">
        <v>1000</v>
      </c>
      <c r="D581" s="6">
        <v>371280568</v>
      </c>
    </row>
    <row r="582" spans="1:4" x14ac:dyDescent="0.3">
      <c r="A582" s="37">
        <f t="shared" si="9"/>
        <v>581</v>
      </c>
      <c r="B582" s="37" t="s">
        <v>194</v>
      </c>
      <c r="C582" s="37" t="s">
        <v>193</v>
      </c>
      <c r="D582" s="6">
        <v>411793571</v>
      </c>
    </row>
    <row r="583" spans="1:4" x14ac:dyDescent="0.3">
      <c r="A583" s="37">
        <f t="shared" si="9"/>
        <v>582</v>
      </c>
      <c r="B583" s="37" t="s">
        <v>741</v>
      </c>
      <c r="C583" s="37" t="s">
        <v>740</v>
      </c>
      <c r="D583" s="6">
        <v>368110326</v>
      </c>
    </row>
    <row r="584" spans="1:4" x14ac:dyDescent="0.3">
      <c r="A584" s="37">
        <f t="shared" si="9"/>
        <v>583</v>
      </c>
      <c r="B584" s="37" t="s">
        <v>1238</v>
      </c>
      <c r="C584" s="37" t="s">
        <v>1237</v>
      </c>
      <c r="D584" s="6">
        <v>439164423</v>
      </c>
    </row>
    <row r="585" spans="1:4" x14ac:dyDescent="0.3">
      <c r="A585" s="37">
        <f t="shared" si="9"/>
        <v>584</v>
      </c>
      <c r="B585" s="37" t="s">
        <v>465</v>
      </c>
      <c r="C585" s="37" t="s">
        <v>464</v>
      </c>
      <c r="D585" s="6">
        <v>361591656</v>
      </c>
    </row>
    <row r="586" spans="1:4" x14ac:dyDescent="0.3">
      <c r="A586" s="37">
        <f t="shared" si="9"/>
        <v>585</v>
      </c>
      <c r="B586" s="37" t="s">
        <v>1287</v>
      </c>
      <c r="C586" s="37" t="s">
        <v>1286</v>
      </c>
      <c r="D586" s="6">
        <v>391005234</v>
      </c>
    </row>
    <row r="587" spans="1:4" x14ac:dyDescent="0.3">
      <c r="A587" s="37">
        <f t="shared" si="9"/>
        <v>586</v>
      </c>
      <c r="B587" s="37" t="s">
        <v>1355</v>
      </c>
      <c r="C587" s="37" t="s">
        <v>1354</v>
      </c>
      <c r="D587" s="6">
        <v>394269652</v>
      </c>
    </row>
    <row r="588" spans="1:4" x14ac:dyDescent="0.3">
      <c r="A588" s="37">
        <f t="shared" si="9"/>
        <v>587</v>
      </c>
      <c r="B588" s="37" t="s">
        <v>1400</v>
      </c>
      <c r="C588" s="37" t="s">
        <v>1399</v>
      </c>
      <c r="D588" s="6">
        <v>356731825</v>
      </c>
    </row>
    <row r="589" spans="1:4" x14ac:dyDescent="0.3">
      <c r="A589" s="37">
        <f t="shared" si="9"/>
        <v>588</v>
      </c>
      <c r="B589" s="37" t="s">
        <v>1412</v>
      </c>
      <c r="C589" s="37" t="s">
        <v>1411</v>
      </c>
      <c r="D589" s="6">
        <v>390966340</v>
      </c>
    </row>
    <row r="590" spans="1:4" x14ac:dyDescent="0.3">
      <c r="A590" s="37">
        <f t="shared" si="9"/>
        <v>589</v>
      </c>
      <c r="B590" s="37" t="s">
        <v>550</v>
      </c>
      <c r="C590" s="37" t="s">
        <v>549</v>
      </c>
      <c r="D590" s="6">
        <v>409591619</v>
      </c>
    </row>
    <row r="591" spans="1:4" x14ac:dyDescent="0.3">
      <c r="A591" s="37">
        <f t="shared" si="9"/>
        <v>590</v>
      </c>
      <c r="B591" s="37" t="s">
        <v>1419</v>
      </c>
      <c r="C591" s="37" t="s">
        <v>1418</v>
      </c>
      <c r="D591" s="6">
        <v>411034333</v>
      </c>
    </row>
    <row r="592" spans="1:4" x14ac:dyDescent="0.3">
      <c r="A592" s="37">
        <f t="shared" si="9"/>
        <v>591</v>
      </c>
      <c r="B592" s="37" t="s">
        <v>200</v>
      </c>
      <c r="C592" s="37" t="s">
        <v>199</v>
      </c>
      <c r="D592" s="6">
        <v>410841321</v>
      </c>
    </row>
    <row r="593" spans="1:4" x14ac:dyDescent="0.3">
      <c r="A593" s="37">
        <f t="shared" si="9"/>
        <v>592</v>
      </c>
      <c r="B593" s="37" t="s">
        <v>1205</v>
      </c>
      <c r="C593" s="37" t="s">
        <v>1204</v>
      </c>
      <c r="D593" s="6">
        <v>386962204</v>
      </c>
    </row>
    <row r="594" spans="1:4" x14ac:dyDescent="0.3">
      <c r="A594" s="37">
        <f t="shared" si="9"/>
        <v>593</v>
      </c>
      <c r="B594" s="37" t="s">
        <v>1229</v>
      </c>
      <c r="C594" s="37" t="s">
        <v>1228</v>
      </c>
      <c r="D594" s="6">
        <v>426592894</v>
      </c>
    </row>
    <row r="595" spans="1:4" x14ac:dyDescent="0.3">
      <c r="A595" s="37">
        <f t="shared" si="9"/>
        <v>594</v>
      </c>
      <c r="B595" s="37" t="s">
        <v>1752</v>
      </c>
      <c r="C595" s="37" t="s">
        <v>1751</v>
      </c>
      <c r="D595" s="6">
        <v>388575310</v>
      </c>
    </row>
    <row r="596" spans="1:4" x14ac:dyDescent="0.3">
      <c r="A596" s="37">
        <f t="shared" si="9"/>
        <v>595</v>
      </c>
      <c r="B596" s="37" t="s">
        <v>1671</v>
      </c>
      <c r="C596" s="37" t="s">
        <v>1670</v>
      </c>
      <c r="D596" s="6">
        <v>393321877</v>
      </c>
    </row>
    <row r="597" spans="1:4" x14ac:dyDescent="0.3">
      <c r="A597" s="37">
        <f t="shared" si="9"/>
        <v>596</v>
      </c>
      <c r="B597" s="37" t="s">
        <v>1764</v>
      </c>
      <c r="C597" s="37" t="s">
        <v>1763</v>
      </c>
      <c r="D597" s="6">
        <v>401923342</v>
      </c>
    </row>
    <row r="598" spans="1:4" x14ac:dyDescent="0.3">
      <c r="A598" s="37">
        <f t="shared" si="9"/>
        <v>597</v>
      </c>
      <c r="B598" s="37" t="s">
        <v>431</v>
      </c>
      <c r="C598" s="37" t="s">
        <v>430</v>
      </c>
      <c r="D598" s="6">
        <v>418687278</v>
      </c>
    </row>
    <row r="599" spans="1:4" x14ac:dyDescent="0.3">
      <c r="A599" s="37">
        <f t="shared" si="9"/>
        <v>598</v>
      </c>
      <c r="B599" s="37" t="s">
        <v>1768</v>
      </c>
      <c r="C599" s="37" t="s">
        <v>1767</v>
      </c>
      <c r="D599" s="6">
        <v>375174949</v>
      </c>
    </row>
    <row r="600" spans="1:4" x14ac:dyDescent="0.3">
      <c r="A600" s="37">
        <f t="shared" si="9"/>
        <v>599</v>
      </c>
      <c r="B600" s="37" t="s">
        <v>775</v>
      </c>
      <c r="C600" s="37" t="s">
        <v>774</v>
      </c>
      <c r="D600" s="6">
        <v>370605082</v>
      </c>
    </row>
    <row r="601" spans="1:4" x14ac:dyDescent="0.3">
      <c r="A601" s="37">
        <f t="shared" si="9"/>
        <v>600</v>
      </c>
      <c r="B601" s="37" t="s">
        <v>609</v>
      </c>
      <c r="C601" s="37" t="s">
        <v>608</v>
      </c>
      <c r="D601" s="6">
        <v>420438817</v>
      </c>
    </row>
    <row r="602" spans="1:4" x14ac:dyDescent="0.3">
      <c r="A602" s="37">
        <f t="shared" si="9"/>
        <v>601</v>
      </c>
      <c r="B602" s="37" t="s">
        <v>1790</v>
      </c>
      <c r="C602" s="37" t="s">
        <v>1789</v>
      </c>
      <c r="D602" s="6">
        <v>388819015</v>
      </c>
    </row>
    <row r="603" spans="1:4" x14ac:dyDescent="0.3">
      <c r="A603" s="37">
        <f t="shared" si="9"/>
        <v>602</v>
      </c>
      <c r="B603" s="37" t="s">
        <v>1491</v>
      </c>
      <c r="C603" s="37" t="s">
        <v>1490</v>
      </c>
      <c r="D603" s="6">
        <v>381696271</v>
      </c>
    </row>
    <row r="604" spans="1:4" x14ac:dyDescent="0.3">
      <c r="A604" s="37">
        <f t="shared" si="9"/>
        <v>603</v>
      </c>
      <c r="B604" s="37" t="s">
        <v>1191</v>
      </c>
      <c r="C604" s="37" t="s">
        <v>1190</v>
      </c>
      <c r="D604" s="6">
        <v>397926090</v>
      </c>
    </row>
    <row r="605" spans="1:4" x14ac:dyDescent="0.3">
      <c r="A605" s="37">
        <f t="shared" si="9"/>
        <v>604</v>
      </c>
      <c r="B605" s="37" t="s">
        <v>457</v>
      </c>
      <c r="C605" s="37" t="s">
        <v>456</v>
      </c>
      <c r="D605" s="6">
        <v>395002175</v>
      </c>
    </row>
    <row r="606" spans="1:4" x14ac:dyDescent="0.3">
      <c r="A606" s="37">
        <f t="shared" si="9"/>
        <v>605</v>
      </c>
      <c r="B606" s="37" t="s">
        <v>1121</v>
      </c>
      <c r="C606" s="37" t="s">
        <v>1120</v>
      </c>
      <c r="D606" s="6">
        <v>390532497</v>
      </c>
    </row>
    <row r="607" spans="1:4" x14ac:dyDescent="0.3">
      <c r="A607" s="37">
        <f t="shared" si="9"/>
        <v>606</v>
      </c>
      <c r="B607" s="37" t="s">
        <v>1474</v>
      </c>
      <c r="C607" s="37" t="s">
        <v>1473</v>
      </c>
      <c r="D607" s="6">
        <v>397744203</v>
      </c>
    </row>
    <row r="608" spans="1:4" x14ac:dyDescent="0.3">
      <c r="A608" s="37">
        <f t="shared" si="9"/>
        <v>607</v>
      </c>
      <c r="B608" s="37" t="s">
        <v>318</v>
      </c>
      <c r="C608" s="37" t="s">
        <v>317</v>
      </c>
      <c r="D608" s="6">
        <v>374357610</v>
      </c>
    </row>
    <row r="609" spans="1:4" x14ac:dyDescent="0.3">
      <c r="A609" s="37">
        <f t="shared" si="9"/>
        <v>608</v>
      </c>
      <c r="B609" s="37" t="s">
        <v>1417</v>
      </c>
      <c r="C609" s="37" t="s">
        <v>1416</v>
      </c>
      <c r="D609" s="6">
        <v>397497803</v>
      </c>
    </row>
    <row r="610" spans="1:4" x14ac:dyDescent="0.3">
      <c r="A610" s="37">
        <f t="shared" si="9"/>
        <v>609</v>
      </c>
      <c r="B610" s="37" t="s">
        <v>859</v>
      </c>
      <c r="C610" s="37" t="s">
        <v>858</v>
      </c>
      <c r="D610" s="6">
        <v>362667684</v>
      </c>
    </row>
    <row r="611" spans="1:4" x14ac:dyDescent="0.3">
      <c r="A611" s="37">
        <f t="shared" si="9"/>
        <v>610</v>
      </c>
      <c r="B611" s="37" t="s">
        <v>70</v>
      </c>
      <c r="C611" s="37" t="s">
        <v>69</v>
      </c>
      <c r="D611" s="6">
        <v>383509061</v>
      </c>
    </row>
    <row r="612" spans="1:4" x14ac:dyDescent="0.3">
      <c r="A612" s="37">
        <f t="shared" si="9"/>
        <v>611</v>
      </c>
      <c r="B612" s="37" t="s">
        <v>1392</v>
      </c>
      <c r="C612" s="37" t="s">
        <v>1391</v>
      </c>
      <c r="D612" s="6">
        <v>380632466</v>
      </c>
    </row>
    <row r="613" spans="1:4" x14ac:dyDescent="0.3">
      <c r="A613" s="37">
        <f t="shared" si="9"/>
        <v>612</v>
      </c>
      <c r="B613" s="37" t="s">
        <v>473</v>
      </c>
      <c r="C613" s="37" t="s">
        <v>1784</v>
      </c>
      <c r="D613" s="6">
        <v>361738815</v>
      </c>
    </row>
    <row r="614" spans="1:4" x14ac:dyDescent="0.3">
      <c r="A614" s="37">
        <f t="shared" si="9"/>
        <v>613</v>
      </c>
      <c r="B614" s="37" t="s">
        <v>1515</v>
      </c>
      <c r="C614" s="37" t="s">
        <v>1514</v>
      </c>
      <c r="D614" s="6">
        <v>384878412</v>
      </c>
    </row>
    <row r="615" spans="1:4" x14ac:dyDescent="0.3">
      <c r="A615" s="37">
        <f t="shared" si="9"/>
        <v>614</v>
      </c>
      <c r="B615" s="37" t="s">
        <v>985</v>
      </c>
      <c r="C615" s="37" t="s">
        <v>984</v>
      </c>
      <c r="D615" s="6">
        <v>380513165</v>
      </c>
    </row>
    <row r="616" spans="1:4" x14ac:dyDescent="0.3">
      <c r="A616" s="37">
        <f t="shared" si="9"/>
        <v>615</v>
      </c>
      <c r="B616" s="37" t="s">
        <v>762</v>
      </c>
      <c r="C616" s="37" t="s">
        <v>761</v>
      </c>
      <c r="D616" s="6">
        <v>379778570</v>
      </c>
    </row>
    <row r="617" spans="1:4" x14ac:dyDescent="0.3">
      <c r="A617" s="37">
        <f t="shared" si="9"/>
        <v>616</v>
      </c>
      <c r="B617" s="37" t="s">
        <v>1089</v>
      </c>
      <c r="C617" s="37" t="s">
        <v>1088</v>
      </c>
      <c r="D617" s="6">
        <v>383910404</v>
      </c>
    </row>
    <row r="618" spans="1:4" x14ac:dyDescent="0.3">
      <c r="A618" s="37">
        <f t="shared" si="9"/>
        <v>617</v>
      </c>
      <c r="B618" s="37" t="s">
        <v>1646</v>
      </c>
      <c r="C618" s="37" t="s">
        <v>1645</v>
      </c>
      <c r="D618" s="6">
        <v>386717276</v>
      </c>
    </row>
    <row r="619" spans="1:4" x14ac:dyDescent="0.3">
      <c r="A619" s="37">
        <f t="shared" si="9"/>
        <v>618</v>
      </c>
      <c r="B619" s="37" t="s">
        <v>1424</v>
      </c>
      <c r="C619" s="37" t="s">
        <v>1423</v>
      </c>
      <c r="D619" s="6">
        <v>396888742</v>
      </c>
    </row>
    <row r="620" spans="1:4" x14ac:dyDescent="0.3">
      <c r="A620" s="37">
        <f t="shared" si="9"/>
        <v>619</v>
      </c>
      <c r="B620" s="37" t="s">
        <v>944</v>
      </c>
      <c r="C620" s="37" t="s">
        <v>943</v>
      </c>
      <c r="D620" s="6">
        <v>393112293</v>
      </c>
    </row>
    <row r="621" spans="1:4" x14ac:dyDescent="0.3">
      <c r="A621" s="37">
        <f t="shared" si="9"/>
        <v>620</v>
      </c>
      <c r="B621" s="37" t="s">
        <v>934</v>
      </c>
      <c r="C621" s="37" t="s">
        <v>933</v>
      </c>
      <c r="D621" s="6">
        <v>372434252</v>
      </c>
    </row>
    <row r="622" spans="1:4" x14ac:dyDescent="0.3">
      <c r="A622" s="37">
        <f t="shared" si="9"/>
        <v>621</v>
      </c>
      <c r="B622" s="37" t="s">
        <v>1812</v>
      </c>
      <c r="C622" s="37" t="s">
        <v>1811</v>
      </c>
      <c r="D622" s="6">
        <v>365499404</v>
      </c>
    </row>
    <row r="623" spans="1:4" x14ac:dyDescent="0.3">
      <c r="A623" s="37">
        <f t="shared" si="9"/>
        <v>622</v>
      </c>
      <c r="B623" s="37" t="s">
        <v>311</v>
      </c>
      <c r="C623" s="37" t="s">
        <v>310</v>
      </c>
      <c r="D623" s="6">
        <v>398315467</v>
      </c>
    </row>
    <row r="624" spans="1:4" x14ac:dyDescent="0.3">
      <c r="A624" s="37">
        <f t="shared" si="9"/>
        <v>623</v>
      </c>
      <c r="B624" s="37" t="s">
        <v>1174</v>
      </c>
      <c r="C624" s="37" t="s">
        <v>1173</v>
      </c>
      <c r="D624" s="6">
        <v>346910010</v>
      </c>
    </row>
    <row r="625" spans="1:4" x14ac:dyDescent="0.3">
      <c r="A625" s="37">
        <f t="shared" si="9"/>
        <v>624</v>
      </c>
      <c r="B625" s="37" t="s">
        <v>1346</v>
      </c>
      <c r="C625" s="37" t="s">
        <v>1345</v>
      </c>
      <c r="D625" s="6">
        <v>361852724</v>
      </c>
    </row>
    <row r="626" spans="1:4" x14ac:dyDescent="0.3">
      <c r="A626" s="37">
        <f t="shared" si="9"/>
        <v>625</v>
      </c>
      <c r="B626" s="37" t="s">
        <v>1328</v>
      </c>
      <c r="C626" s="37" t="s">
        <v>1327</v>
      </c>
      <c r="D626" s="6">
        <v>331097438</v>
      </c>
    </row>
    <row r="627" spans="1:4" x14ac:dyDescent="0.3">
      <c r="A627" s="37">
        <f t="shared" si="9"/>
        <v>626</v>
      </c>
      <c r="B627" s="37" t="s">
        <v>646</v>
      </c>
      <c r="C627" s="37" t="s">
        <v>645</v>
      </c>
      <c r="D627" s="6">
        <v>395940240</v>
      </c>
    </row>
    <row r="628" spans="1:4" x14ac:dyDescent="0.3">
      <c r="A628" s="37">
        <f t="shared" si="9"/>
        <v>627</v>
      </c>
      <c r="B628" s="37" t="s">
        <v>1629</v>
      </c>
      <c r="C628" s="37" t="s">
        <v>1628</v>
      </c>
      <c r="D628" s="6">
        <v>447445521</v>
      </c>
    </row>
    <row r="629" spans="1:4" x14ac:dyDescent="0.3">
      <c r="A629" s="37">
        <f t="shared" si="9"/>
        <v>628</v>
      </c>
      <c r="B629" s="37" t="s">
        <v>39</v>
      </c>
      <c r="C629" s="37" t="s">
        <v>38</v>
      </c>
      <c r="D629" s="6">
        <v>384207357</v>
      </c>
    </row>
    <row r="630" spans="1:4" x14ac:dyDescent="0.3">
      <c r="A630" s="37">
        <f t="shared" si="9"/>
        <v>629</v>
      </c>
      <c r="B630" s="37" t="s">
        <v>1348</v>
      </c>
      <c r="C630" s="37" t="s">
        <v>1347</v>
      </c>
      <c r="D630" s="6">
        <v>372282744</v>
      </c>
    </row>
    <row r="631" spans="1:4" x14ac:dyDescent="0.3">
      <c r="A631" s="37">
        <f t="shared" si="9"/>
        <v>630</v>
      </c>
      <c r="B631" s="37" t="s">
        <v>1561</v>
      </c>
      <c r="C631" s="37" t="s">
        <v>1560</v>
      </c>
      <c r="D631" s="6">
        <v>350429914</v>
      </c>
    </row>
    <row r="632" spans="1:4" x14ac:dyDescent="0.3">
      <c r="A632" s="37">
        <f t="shared" si="9"/>
        <v>631</v>
      </c>
      <c r="B632" s="37" t="s">
        <v>1081</v>
      </c>
      <c r="C632" s="37" t="s">
        <v>1080</v>
      </c>
      <c r="D632" s="6">
        <v>376165127</v>
      </c>
    </row>
    <row r="633" spans="1:4" x14ac:dyDescent="0.3">
      <c r="A633" s="37">
        <f t="shared" si="9"/>
        <v>632</v>
      </c>
      <c r="B633" s="37" t="s">
        <v>1485</v>
      </c>
      <c r="C633" s="37" t="s">
        <v>1484</v>
      </c>
      <c r="D633" s="6">
        <v>367390082</v>
      </c>
    </row>
    <row r="634" spans="1:4" x14ac:dyDescent="0.3">
      <c r="A634" s="37">
        <f t="shared" si="9"/>
        <v>633</v>
      </c>
      <c r="B634" s="37" t="s">
        <v>224</v>
      </c>
      <c r="C634" s="37" t="s">
        <v>223</v>
      </c>
      <c r="D634" s="6">
        <v>363354534</v>
      </c>
    </row>
    <row r="635" spans="1:4" x14ac:dyDescent="0.3">
      <c r="A635" s="37">
        <f t="shared" si="9"/>
        <v>634</v>
      </c>
      <c r="B635" s="37" t="s">
        <v>1240</v>
      </c>
      <c r="C635" s="37" t="s">
        <v>1239</v>
      </c>
      <c r="D635" s="6">
        <v>371859378</v>
      </c>
    </row>
    <row r="636" spans="1:4" x14ac:dyDescent="0.3">
      <c r="A636" s="37">
        <f t="shared" si="9"/>
        <v>635</v>
      </c>
      <c r="B636" s="37" t="s">
        <v>1697</v>
      </c>
      <c r="C636" s="37" t="s">
        <v>1696</v>
      </c>
      <c r="D636" s="6">
        <v>394413460</v>
      </c>
    </row>
    <row r="637" spans="1:4" x14ac:dyDescent="0.3">
      <c r="A637" s="37">
        <f t="shared" si="9"/>
        <v>636</v>
      </c>
      <c r="B637" s="37" t="s">
        <v>1802</v>
      </c>
      <c r="C637" s="37" t="s">
        <v>1801</v>
      </c>
      <c r="D637" s="6">
        <v>369156154</v>
      </c>
    </row>
    <row r="638" spans="1:4" x14ac:dyDescent="0.3">
      <c r="A638" s="37">
        <f t="shared" si="9"/>
        <v>637</v>
      </c>
      <c r="B638" s="37" t="s">
        <v>758</v>
      </c>
      <c r="C638" s="37" t="s">
        <v>757</v>
      </c>
      <c r="D638" s="6">
        <v>373355697</v>
      </c>
    </row>
    <row r="639" spans="1:4" x14ac:dyDescent="0.3">
      <c r="A639" s="37">
        <f t="shared" si="9"/>
        <v>638</v>
      </c>
      <c r="B639" s="37" t="s">
        <v>1601</v>
      </c>
      <c r="C639" s="37" t="s">
        <v>1600</v>
      </c>
      <c r="D639" s="6">
        <v>340185782</v>
      </c>
    </row>
    <row r="640" spans="1:4" x14ac:dyDescent="0.3">
      <c r="A640" s="37">
        <f t="shared" si="9"/>
        <v>639</v>
      </c>
      <c r="B640" s="37" t="s">
        <v>1853</v>
      </c>
      <c r="C640" s="37" t="s">
        <v>1852</v>
      </c>
      <c r="D640" s="6">
        <v>355891290</v>
      </c>
    </row>
    <row r="641" spans="1:4" x14ac:dyDescent="0.3">
      <c r="A641" s="37">
        <f t="shared" si="9"/>
        <v>640</v>
      </c>
      <c r="B641" s="37" t="s">
        <v>1168</v>
      </c>
      <c r="C641" s="37" t="s">
        <v>1167</v>
      </c>
      <c r="D641" s="6">
        <v>375193537</v>
      </c>
    </row>
    <row r="642" spans="1:4" x14ac:dyDescent="0.3">
      <c r="A642" s="37">
        <f t="shared" si="9"/>
        <v>641</v>
      </c>
      <c r="B642" s="37" t="s">
        <v>182</v>
      </c>
      <c r="C642" s="37" t="s">
        <v>181</v>
      </c>
      <c r="D642" s="6">
        <v>375922651</v>
      </c>
    </row>
    <row r="643" spans="1:4" x14ac:dyDescent="0.3">
      <c r="A643" s="37">
        <f t="shared" si="9"/>
        <v>642</v>
      </c>
      <c r="B643" s="37" t="s">
        <v>468</v>
      </c>
      <c r="C643" s="37" t="s">
        <v>467</v>
      </c>
      <c r="D643" s="6">
        <v>380574164</v>
      </c>
    </row>
    <row r="644" spans="1:4" x14ac:dyDescent="0.3">
      <c r="A644" s="37">
        <f t="shared" ref="A644:A707" si="10">A643+1</f>
        <v>643</v>
      </c>
      <c r="B644" s="37" t="s">
        <v>1593</v>
      </c>
      <c r="C644" s="37" t="s">
        <v>1592</v>
      </c>
      <c r="D644" s="6">
        <v>384683605</v>
      </c>
    </row>
    <row r="645" spans="1:4" x14ac:dyDescent="0.3">
      <c r="A645" s="37">
        <f t="shared" si="10"/>
        <v>644</v>
      </c>
      <c r="B645" s="37" t="s">
        <v>908</v>
      </c>
      <c r="C645" s="37" t="s">
        <v>907</v>
      </c>
      <c r="D645" s="6">
        <v>350115230</v>
      </c>
    </row>
    <row r="646" spans="1:4" x14ac:dyDescent="0.3">
      <c r="A646" s="37">
        <f t="shared" si="10"/>
        <v>645</v>
      </c>
      <c r="B646" s="37" t="s">
        <v>1398</v>
      </c>
      <c r="C646" s="37" t="s">
        <v>1397</v>
      </c>
      <c r="D646" s="6">
        <v>373193234</v>
      </c>
    </row>
    <row r="647" spans="1:4" x14ac:dyDescent="0.3">
      <c r="A647" s="37">
        <f t="shared" si="10"/>
        <v>646</v>
      </c>
      <c r="B647" s="37" t="s">
        <v>1060</v>
      </c>
      <c r="C647" s="37" t="s">
        <v>1059</v>
      </c>
      <c r="D647" s="6">
        <v>368522530</v>
      </c>
    </row>
    <row r="648" spans="1:4" x14ac:dyDescent="0.3">
      <c r="A648" s="37">
        <f t="shared" si="10"/>
        <v>647</v>
      </c>
      <c r="B648" s="37" t="s">
        <v>1667</v>
      </c>
      <c r="C648" s="37" t="s">
        <v>1666</v>
      </c>
      <c r="D648" s="6">
        <v>367837207</v>
      </c>
    </row>
    <row r="649" spans="1:4" x14ac:dyDescent="0.3">
      <c r="A649" s="37">
        <f t="shared" si="10"/>
        <v>648</v>
      </c>
      <c r="B649" s="37" t="s">
        <v>324</v>
      </c>
      <c r="C649" s="37" t="s">
        <v>323</v>
      </c>
      <c r="D649" s="6">
        <v>359279717</v>
      </c>
    </row>
    <row r="650" spans="1:4" x14ac:dyDescent="0.3">
      <c r="A650" s="37">
        <f t="shared" si="10"/>
        <v>649</v>
      </c>
      <c r="B650" s="37" t="s">
        <v>1841</v>
      </c>
      <c r="C650" s="37" t="s">
        <v>1840</v>
      </c>
      <c r="D650" s="6">
        <v>397294873</v>
      </c>
    </row>
    <row r="651" spans="1:4" x14ac:dyDescent="0.3">
      <c r="A651" s="37">
        <f t="shared" si="10"/>
        <v>650</v>
      </c>
      <c r="B651" s="37" t="s">
        <v>1470</v>
      </c>
      <c r="C651" s="37" t="s">
        <v>1469</v>
      </c>
      <c r="D651" s="6">
        <v>383713445</v>
      </c>
    </row>
    <row r="652" spans="1:4" x14ac:dyDescent="0.3">
      <c r="A652" s="37">
        <f t="shared" si="10"/>
        <v>651</v>
      </c>
      <c r="B652" s="37" t="s">
        <v>893</v>
      </c>
      <c r="C652" s="37" t="s">
        <v>892</v>
      </c>
      <c r="D652" s="6">
        <v>361583740</v>
      </c>
    </row>
    <row r="653" spans="1:4" x14ac:dyDescent="0.3">
      <c r="A653" s="37">
        <f t="shared" si="10"/>
        <v>652</v>
      </c>
      <c r="B653" s="37" t="s">
        <v>171</v>
      </c>
      <c r="C653" s="37" t="s">
        <v>170</v>
      </c>
      <c r="D653" s="6">
        <v>327518718</v>
      </c>
    </row>
    <row r="654" spans="1:4" x14ac:dyDescent="0.3">
      <c r="A654" s="37">
        <f t="shared" si="10"/>
        <v>653</v>
      </c>
      <c r="B654" s="37" t="s">
        <v>1833</v>
      </c>
      <c r="C654" s="37" t="s">
        <v>1832</v>
      </c>
      <c r="D654" s="6">
        <v>372353020</v>
      </c>
    </row>
    <row r="655" spans="1:4" x14ac:dyDescent="0.3">
      <c r="A655" s="37">
        <f t="shared" si="10"/>
        <v>654</v>
      </c>
      <c r="B655" s="37" t="s">
        <v>1777</v>
      </c>
      <c r="C655" s="37" t="s">
        <v>1776</v>
      </c>
      <c r="D655" s="6">
        <v>374461297</v>
      </c>
    </row>
    <row r="656" spans="1:4" x14ac:dyDescent="0.3">
      <c r="A656" s="37">
        <f t="shared" si="10"/>
        <v>655</v>
      </c>
      <c r="B656" s="37" t="s">
        <v>428</v>
      </c>
      <c r="C656" s="37" t="s">
        <v>427</v>
      </c>
      <c r="D656" s="6">
        <v>382624453</v>
      </c>
    </row>
    <row r="657" spans="1:4" x14ac:dyDescent="0.3">
      <c r="A657" s="37">
        <f t="shared" si="10"/>
        <v>656</v>
      </c>
      <c r="B657" s="37" t="s">
        <v>1131</v>
      </c>
      <c r="C657" s="37" t="s">
        <v>1130</v>
      </c>
      <c r="D657" s="6">
        <v>418879250</v>
      </c>
    </row>
    <row r="658" spans="1:4" x14ac:dyDescent="0.3">
      <c r="A658" s="37">
        <f t="shared" si="10"/>
        <v>657</v>
      </c>
      <c r="B658" s="37" t="s">
        <v>1758</v>
      </c>
      <c r="C658" s="37" t="s">
        <v>1757</v>
      </c>
      <c r="D658" s="6">
        <v>438558186</v>
      </c>
    </row>
    <row r="659" spans="1:4" x14ac:dyDescent="0.3">
      <c r="A659" s="37">
        <f t="shared" si="10"/>
        <v>658</v>
      </c>
      <c r="B659" s="37" t="s">
        <v>1101</v>
      </c>
      <c r="C659" s="37" t="s">
        <v>1100</v>
      </c>
      <c r="D659" s="6">
        <v>370556278</v>
      </c>
    </row>
    <row r="660" spans="1:4" x14ac:dyDescent="0.3">
      <c r="A660" s="37">
        <f t="shared" si="10"/>
        <v>659</v>
      </c>
      <c r="B660" s="37" t="s">
        <v>1357</v>
      </c>
      <c r="C660" s="37" t="s">
        <v>1356</v>
      </c>
      <c r="D660" s="6">
        <v>372164989</v>
      </c>
    </row>
    <row r="661" spans="1:4" x14ac:dyDescent="0.3">
      <c r="A661" s="37">
        <f t="shared" si="10"/>
        <v>660</v>
      </c>
      <c r="B661" s="37" t="s">
        <v>180</v>
      </c>
      <c r="C661" s="37" t="s">
        <v>179</v>
      </c>
      <c r="D661" s="6">
        <v>383883573</v>
      </c>
    </row>
    <row r="662" spans="1:4" x14ac:dyDescent="0.3">
      <c r="A662" s="37">
        <f t="shared" si="10"/>
        <v>661</v>
      </c>
      <c r="B662" s="37" t="s">
        <v>992</v>
      </c>
      <c r="C662" s="37" t="s">
        <v>991</v>
      </c>
      <c r="D662" s="6">
        <v>365744938</v>
      </c>
    </row>
    <row r="663" spans="1:4" x14ac:dyDescent="0.3">
      <c r="A663" s="37">
        <f t="shared" si="10"/>
        <v>662</v>
      </c>
      <c r="B663" s="37" t="s">
        <v>1648</v>
      </c>
      <c r="C663" s="37" t="s">
        <v>1647</v>
      </c>
      <c r="D663" s="6">
        <v>362713290</v>
      </c>
    </row>
    <row r="664" spans="1:4" x14ac:dyDescent="0.3">
      <c r="A664" s="37">
        <f t="shared" si="10"/>
        <v>663</v>
      </c>
      <c r="B664" s="37" t="s">
        <v>1685</v>
      </c>
      <c r="C664" s="37" t="s">
        <v>1684</v>
      </c>
      <c r="D664" s="6">
        <v>367838617</v>
      </c>
    </row>
    <row r="665" spans="1:4" x14ac:dyDescent="0.3">
      <c r="A665" s="37">
        <f t="shared" si="10"/>
        <v>664</v>
      </c>
      <c r="B665" s="37" t="s">
        <v>1610</v>
      </c>
      <c r="C665" s="37" t="s">
        <v>1609</v>
      </c>
      <c r="D665" s="6">
        <v>353659063</v>
      </c>
    </row>
    <row r="666" spans="1:4" x14ac:dyDescent="0.3">
      <c r="A666" s="37">
        <f t="shared" si="10"/>
        <v>665</v>
      </c>
      <c r="B666" s="37" t="s">
        <v>267</v>
      </c>
      <c r="C666" s="37" t="s">
        <v>266</v>
      </c>
      <c r="D666" s="6">
        <v>346879166</v>
      </c>
    </row>
    <row r="667" spans="1:4" x14ac:dyDescent="0.3">
      <c r="A667" s="37">
        <f t="shared" si="10"/>
        <v>666</v>
      </c>
      <c r="B667" s="37" t="s">
        <v>471</v>
      </c>
      <c r="C667" s="37" t="s">
        <v>2082</v>
      </c>
      <c r="D667" s="6">
        <v>337287285</v>
      </c>
    </row>
    <row r="668" spans="1:4" x14ac:dyDescent="0.3">
      <c r="A668" s="37">
        <f t="shared" si="10"/>
        <v>667</v>
      </c>
      <c r="B668" s="37" t="s">
        <v>1499</v>
      </c>
      <c r="C668" s="37" t="s">
        <v>1498</v>
      </c>
      <c r="D668" s="6">
        <v>364667650</v>
      </c>
    </row>
    <row r="669" spans="1:4" x14ac:dyDescent="0.3">
      <c r="A669" s="37">
        <f t="shared" si="10"/>
        <v>668</v>
      </c>
      <c r="B669" s="37" t="s">
        <v>1678</v>
      </c>
      <c r="C669" s="37" t="s">
        <v>1677</v>
      </c>
      <c r="D669" s="6">
        <v>372237934</v>
      </c>
    </row>
    <row r="670" spans="1:4" x14ac:dyDescent="0.3">
      <c r="A670" s="37">
        <f t="shared" si="10"/>
        <v>669</v>
      </c>
      <c r="B670" s="37" t="s">
        <v>67</v>
      </c>
      <c r="C670" s="37" t="s">
        <v>66</v>
      </c>
      <c r="D670" s="6">
        <v>383814995</v>
      </c>
    </row>
    <row r="671" spans="1:4" x14ac:dyDescent="0.3">
      <c r="A671" s="37">
        <f t="shared" si="10"/>
        <v>670</v>
      </c>
      <c r="B671" s="37" t="s">
        <v>816</v>
      </c>
      <c r="C671" s="37" t="s">
        <v>815</v>
      </c>
      <c r="D671" s="6">
        <v>370775105</v>
      </c>
    </row>
    <row r="672" spans="1:4" x14ac:dyDescent="0.3">
      <c r="A672" s="37">
        <f t="shared" si="10"/>
        <v>671</v>
      </c>
      <c r="B672" s="37" t="s">
        <v>344</v>
      </c>
      <c r="C672" s="37" t="s">
        <v>343</v>
      </c>
      <c r="D672" s="6">
        <v>298374619</v>
      </c>
    </row>
    <row r="673" spans="1:4" x14ac:dyDescent="0.3">
      <c r="A673" s="37">
        <f t="shared" si="10"/>
        <v>672</v>
      </c>
      <c r="B673" s="37" t="s">
        <v>739</v>
      </c>
      <c r="C673" s="37" t="s">
        <v>738</v>
      </c>
      <c r="D673" s="6">
        <v>341847718</v>
      </c>
    </row>
    <row r="674" spans="1:4" x14ac:dyDescent="0.3">
      <c r="A674" s="37">
        <f t="shared" si="10"/>
        <v>673</v>
      </c>
      <c r="B674" s="37" t="s">
        <v>1709</v>
      </c>
      <c r="C674" s="37" t="s">
        <v>1708</v>
      </c>
      <c r="D674" s="6">
        <v>329051728</v>
      </c>
    </row>
    <row r="675" spans="1:4" x14ac:dyDescent="0.3">
      <c r="A675" s="37">
        <f t="shared" si="10"/>
        <v>674</v>
      </c>
      <c r="B675" s="37" t="s">
        <v>1588</v>
      </c>
      <c r="C675" s="37" t="s">
        <v>1587</v>
      </c>
      <c r="D675" s="6">
        <v>384306816</v>
      </c>
    </row>
    <row r="676" spans="1:4" x14ac:dyDescent="0.3">
      <c r="A676" s="37">
        <f t="shared" si="10"/>
        <v>675</v>
      </c>
      <c r="B676" s="37" t="s">
        <v>419</v>
      </c>
      <c r="C676" s="37" t="s">
        <v>418</v>
      </c>
      <c r="D676" s="6">
        <v>364877411</v>
      </c>
    </row>
    <row r="677" spans="1:4" x14ac:dyDescent="0.3">
      <c r="A677" s="37">
        <f t="shared" si="10"/>
        <v>676</v>
      </c>
      <c r="B677" s="37" t="s">
        <v>80</v>
      </c>
      <c r="C677" s="37" t="s">
        <v>79</v>
      </c>
      <c r="D677" s="6">
        <v>364538918</v>
      </c>
    </row>
    <row r="678" spans="1:4" x14ac:dyDescent="0.3">
      <c r="A678" s="37">
        <f t="shared" si="10"/>
        <v>677</v>
      </c>
      <c r="B678" s="37" t="s">
        <v>1605</v>
      </c>
      <c r="C678" s="37" t="s">
        <v>1604</v>
      </c>
      <c r="D678" s="6">
        <v>360647419</v>
      </c>
    </row>
    <row r="679" spans="1:4" x14ac:dyDescent="0.3">
      <c r="A679" s="37">
        <f t="shared" si="10"/>
        <v>678</v>
      </c>
      <c r="B679" s="37" t="s">
        <v>296</v>
      </c>
      <c r="C679" s="37" t="s">
        <v>295</v>
      </c>
      <c r="D679" s="6">
        <v>341639761</v>
      </c>
    </row>
    <row r="680" spans="1:4" x14ac:dyDescent="0.3">
      <c r="A680" s="37">
        <f t="shared" si="10"/>
        <v>679</v>
      </c>
      <c r="B680" s="37" t="s">
        <v>1428</v>
      </c>
      <c r="C680" s="37" t="s">
        <v>1427</v>
      </c>
      <c r="D680" s="6">
        <v>358913968</v>
      </c>
    </row>
    <row r="681" spans="1:4" x14ac:dyDescent="0.3">
      <c r="A681" s="37">
        <f t="shared" si="10"/>
        <v>680</v>
      </c>
      <c r="B681" s="37" t="s">
        <v>1559</v>
      </c>
      <c r="C681" s="37" t="s">
        <v>1558</v>
      </c>
      <c r="D681" s="6">
        <v>331154138</v>
      </c>
    </row>
    <row r="682" spans="1:4" x14ac:dyDescent="0.3">
      <c r="A682" s="37">
        <f t="shared" si="10"/>
        <v>681</v>
      </c>
      <c r="B682" s="37" t="s">
        <v>1736</v>
      </c>
      <c r="C682" s="37" t="s">
        <v>1735</v>
      </c>
      <c r="D682" s="6">
        <v>355439127</v>
      </c>
    </row>
    <row r="683" spans="1:4" x14ac:dyDescent="0.3">
      <c r="A683" s="37">
        <f t="shared" si="10"/>
        <v>682</v>
      </c>
      <c r="B683" s="37" t="s">
        <v>1880</v>
      </c>
      <c r="C683" s="37" t="s">
        <v>1879</v>
      </c>
      <c r="D683" s="6">
        <v>349220690</v>
      </c>
    </row>
    <row r="684" spans="1:4" x14ac:dyDescent="0.3">
      <c r="A684" s="37">
        <f t="shared" si="10"/>
        <v>683</v>
      </c>
      <c r="B684" s="37" t="s">
        <v>442</v>
      </c>
      <c r="C684" s="37" t="s">
        <v>441</v>
      </c>
      <c r="D684" s="6" t="e">
        <v>#N/A</v>
      </c>
    </row>
    <row r="685" spans="1:4" x14ac:dyDescent="0.3">
      <c r="A685" s="37">
        <f t="shared" si="10"/>
        <v>684</v>
      </c>
      <c r="B685" s="37" t="s">
        <v>1465</v>
      </c>
      <c r="C685" s="37" t="s">
        <v>1464</v>
      </c>
      <c r="D685" s="6">
        <v>366246770</v>
      </c>
    </row>
    <row r="686" spans="1:4" x14ac:dyDescent="0.3">
      <c r="A686" s="37">
        <f t="shared" si="10"/>
        <v>685</v>
      </c>
      <c r="B686" s="37" t="s">
        <v>1330</v>
      </c>
      <c r="C686" s="37" t="s">
        <v>1329</v>
      </c>
      <c r="D686" s="6">
        <v>374166208</v>
      </c>
    </row>
    <row r="687" spans="1:4" x14ac:dyDescent="0.3">
      <c r="A687" s="37">
        <f t="shared" si="10"/>
        <v>686</v>
      </c>
      <c r="B687" s="37" t="s">
        <v>1016</v>
      </c>
      <c r="C687" s="37" t="s">
        <v>1015</v>
      </c>
      <c r="D687" s="6">
        <v>353378740</v>
      </c>
    </row>
    <row r="688" spans="1:4" x14ac:dyDescent="0.3">
      <c r="A688" s="37">
        <f t="shared" si="10"/>
        <v>687</v>
      </c>
      <c r="B688" s="37" t="s">
        <v>807</v>
      </c>
      <c r="C688" s="37" t="s">
        <v>806</v>
      </c>
      <c r="D688" s="6">
        <v>364534825</v>
      </c>
    </row>
    <row r="689" spans="1:4" x14ac:dyDescent="0.3">
      <c r="A689" s="37">
        <f t="shared" si="10"/>
        <v>688</v>
      </c>
      <c r="B689" s="37" t="s">
        <v>950</v>
      </c>
      <c r="C689" s="37" t="s">
        <v>949</v>
      </c>
      <c r="D689" s="6">
        <v>350934513</v>
      </c>
    </row>
    <row r="690" spans="1:4" x14ac:dyDescent="0.3">
      <c r="A690" s="37">
        <f t="shared" si="10"/>
        <v>689</v>
      </c>
      <c r="B690" s="37" t="s">
        <v>1543</v>
      </c>
      <c r="C690" s="37" t="s">
        <v>1542</v>
      </c>
      <c r="D690" s="6">
        <v>370610064</v>
      </c>
    </row>
    <row r="691" spans="1:4" x14ac:dyDescent="0.3">
      <c r="A691" s="37">
        <f t="shared" si="10"/>
        <v>690</v>
      </c>
      <c r="B691" s="37" t="s">
        <v>191</v>
      </c>
      <c r="C691" s="37" t="s">
        <v>190</v>
      </c>
      <c r="D691" s="6">
        <v>353272784</v>
      </c>
    </row>
    <row r="692" spans="1:4" x14ac:dyDescent="0.3">
      <c r="A692" s="37">
        <f t="shared" si="10"/>
        <v>691</v>
      </c>
      <c r="B692" s="37" t="s">
        <v>341</v>
      </c>
      <c r="C692" s="37" t="s">
        <v>340</v>
      </c>
      <c r="D692" s="6">
        <v>337559122</v>
      </c>
    </row>
    <row r="693" spans="1:4" x14ac:dyDescent="0.3">
      <c r="A693" s="37">
        <f t="shared" si="10"/>
        <v>692</v>
      </c>
      <c r="B693" s="37" t="s">
        <v>1149</v>
      </c>
      <c r="C693" s="37" t="s">
        <v>1148</v>
      </c>
      <c r="D693" s="6">
        <v>385789660</v>
      </c>
    </row>
    <row r="694" spans="1:4" x14ac:dyDescent="0.3">
      <c r="A694" s="37">
        <f t="shared" si="10"/>
        <v>693</v>
      </c>
      <c r="B694" s="37" t="s">
        <v>212</v>
      </c>
      <c r="C694" s="37" t="s">
        <v>211</v>
      </c>
      <c r="D694" s="6">
        <v>346801712</v>
      </c>
    </row>
    <row r="695" spans="1:4" x14ac:dyDescent="0.3">
      <c r="A695" s="37">
        <f t="shared" si="10"/>
        <v>694</v>
      </c>
      <c r="B695" s="37" t="s">
        <v>19</v>
      </c>
      <c r="C695" s="37" t="s">
        <v>18</v>
      </c>
      <c r="D695" s="6">
        <v>345420171</v>
      </c>
    </row>
    <row r="696" spans="1:4" x14ac:dyDescent="0.3">
      <c r="A696" s="37">
        <f t="shared" si="10"/>
        <v>695</v>
      </c>
      <c r="B696" s="37" t="s">
        <v>407</v>
      </c>
      <c r="C696" s="37" t="s">
        <v>406</v>
      </c>
      <c r="D696" s="6">
        <v>351783720</v>
      </c>
    </row>
    <row r="697" spans="1:4" x14ac:dyDescent="0.3">
      <c r="A697" s="37">
        <f t="shared" si="10"/>
        <v>696</v>
      </c>
      <c r="B697" s="37" t="s">
        <v>1070</v>
      </c>
      <c r="C697" s="37" t="s">
        <v>1069</v>
      </c>
      <c r="D697" s="6">
        <v>351704179</v>
      </c>
    </row>
    <row r="698" spans="1:4" x14ac:dyDescent="0.3">
      <c r="A698" s="37">
        <f t="shared" si="10"/>
        <v>697</v>
      </c>
      <c r="B698" s="37" t="s">
        <v>1207</v>
      </c>
      <c r="C698" s="37" t="s">
        <v>1206</v>
      </c>
      <c r="D698" s="6">
        <v>354759407</v>
      </c>
    </row>
    <row r="699" spans="1:4" x14ac:dyDescent="0.3">
      <c r="A699" s="37">
        <f t="shared" si="10"/>
        <v>698</v>
      </c>
      <c r="B699" s="37" t="s">
        <v>262</v>
      </c>
      <c r="C699" s="37" t="s">
        <v>261</v>
      </c>
      <c r="D699" s="6">
        <v>308615493</v>
      </c>
    </row>
    <row r="700" spans="1:4" x14ac:dyDescent="0.3">
      <c r="A700" s="37">
        <f t="shared" si="10"/>
        <v>699</v>
      </c>
      <c r="B700" s="37" t="s">
        <v>404</v>
      </c>
      <c r="C700" s="37" t="s">
        <v>403</v>
      </c>
      <c r="D700" s="6">
        <v>346611100</v>
      </c>
    </row>
    <row r="701" spans="1:4" x14ac:dyDescent="0.3">
      <c r="A701" s="37">
        <f t="shared" si="10"/>
        <v>700</v>
      </c>
      <c r="B701" s="37" t="s">
        <v>381</v>
      </c>
      <c r="C701" s="37" t="s">
        <v>380</v>
      </c>
      <c r="D701" s="6">
        <v>365780855</v>
      </c>
    </row>
    <row r="702" spans="1:4" x14ac:dyDescent="0.3">
      <c r="A702" s="37">
        <f t="shared" si="10"/>
        <v>701</v>
      </c>
      <c r="B702" s="37" t="s">
        <v>1172</v>
      </c>
      <c r="C702" s="37" t="s">
        <v>1171</v>
      </c>
      <c r="D702" s="6">
        <v>339941644</v>
      </c>
    </row>
    <row r="703" spans="1:4" x14ac:dyDescent="0.3">
      <c r="A703" s="37">
        <f t="shared" si="10"/>
        <v>702</v>
      </c>
      <c r="B703" s="37" t="s">
        <v>1294</v>
      </c>
      <c r="C703" s="37" t="s">
        <v>1293</v>
      </c>
      <c r="D703" s="6">
        <v>366862051</v>
      </c>
    </row>
    <row r="704" spans="1:4" x14ac:dyDescent="0.3">
      <c r="A704" s="37">
        <f t="shared" si="10"/>
        <v>703</v>
      </c>
      <c r="B704" s="37" t="s">
        <v>790</v>
      </c>
      <c r="C704" s="37" t="s">
        <v>789</v>
      </c>
      <c r="D704" s="6">
        <v>345688743</v>
      </c>
    </row>
    <row r="705" spans="1:4" x14ac:dyDescent="0.3">
      <c r="A705" s="37">
        <f t="shared" si="10"/>
        <v>704</v>
      </c>
      <c r="B705" s="37" t="s">
        <v>1818</v>
      </c>
      <c r="C705" s="37" t="s">
        <v>1817</v>
      </c>
      <c r="D705" s="6">
        <v>363395332</v>
      </c>
    </row>
    <row r="706" spans="1:4" x14ac:dyDescent="0.3">
      <c r="A706" s="37">
        <f t="shared" si="10"/>
        <v>705</v>
      </c>
      <c r="B706" s="37" t="s">
        <v>1468</v>
      </c>
      <c r="C706" s="37" t="s">
        <v>1467</v>
      </c>
      <c r="D706" s="6">
        <v>336910940</v>
      </c>
    </row>
    <row r="707" spans="1:4" x14ac:dyDescent="0.3">
      <c r="A707" s="37">
        <f t="shared" si="10"/>
        <v>706</v>
      </c>
      <c r="B707" s="37" t="s">
        <v>370</v>
      </c>
      <c r="C707" s="37" t="s">
        <v>369</v>
      </c>
      <c r="D707" s="6">
        <v>340653576</v>
      </c>
    </row>
    <row r="708" spans="1:4" x14ac:dyDescent="0.3">
      <c r="A708" s="37">
        <f t="shared" ref="A708:A747" si="11">A707+1</f>
        <v>707</v>
      </c>
      <c r="B708" s="37" t="s">
        <v>383</v>
      </c>
      <c r="C708" s="37" t="s">
        <v>382</v>
      </c>
      <c r="D708" s="6">
        <v>325920200</v>
      </c>
    </row>
    <row r="709" spans="1:4" x14ac:dyDescent="0.3">
      <c r="A709" s="37">
        <f t="shared" si="11"/>
        <v>708</v>
      </c>
      <c r="B709" s="37" t="s">
        <v>1316</v>
      </c>
      <c r="C709" s="37" t="s">
        <v>1315</v>
      </c>
      <c r="D709" s="6">
        <v>308508073</v>
      </c>
    </row>
    <row r="710" spans="1:4" x14ac:dyDescent="0.3">
      <c r="A710" s="37">
        <f t="shared" si="11"/>
        <v>709</v>
      </c>
      <c r="B710" s="37" t="s">
        <v>133</v>
      </c>
      <c r="C710" s="37" t="s">
        <v>132</v>
      </c>
      <c r="D710" s="6">
        <v>295576035</v>
      </c>
    </row>
    <row r="711" spans="1:4" x14ac:dyDescent="0.3">
      <c r="A711" s="37">
        <f t="shared" si="11"/>
        <v>710</v>
      </c>
      <c r="B711" s="37" t="s">
        <v>114</v>
      </c>
      <c r="C711" s="37" t="s">
        <v>113</v>
      </c>
      <c r="D711" s="6">
        <v>332707225</v>
      </c>
    </row>
    <row r="712" spans="1:4" x14ac:dyDescent="0.3">
      <c r="A712" s="37">
        <f t="shared" si="11"/>
        <v>711</v>
      </c>
      <c r="B712" s="37" t="s">
        <v>1548</v>
      </c>
      <c r="C712" s="37" t="s">
        <v>1547</v>
      </c>
      <c r="D712" s="6">
        <v>351737846</v>
      </c>
    </row>
    <row r="713" spans="1:4" x14ac:dyDescent="0.3">
      <c r="A713" s="37">
        <f t="shared" si="11"/>
        <v>712</v>
      </c>
      <c r="B713" s="37" t="s">
        <v>906</v>
      </c>
      <c r="C713" s="37" t="s">
        <v>905</v>
      </c>
      <c r="D713" s="6">
        <v>336054655</v>
      </c>
    </row>
    <row r="714" spans="1:4" x14ac:dyDescent="0.3">
      <c r="A714" s="37">
        <f t="shared" si="11"/>
        <v>713</v>
      </c>
      <c r="B714" s="37" t="s">
        <v>1607</v>
      </c>
      <c r="C714" s="37" t="s">
        <v>1606</v>
      </c>
      <c r="D714" s="6">
        <v>324381450</v>
      </c>
    </row>
    <row r="715" spans="1:4" x14ac:dyDescent="0.3">
      <c r="A715" s="37">
        <f t="shared" si="11"/>
        <v>714</v>
      </c>
      <c r="B715" s="37" t="s">
        <v>1519</v>
      </c>
      <c r="C715" s="37" t="s">
        <v>1518</v>
      </c>
      <c r="D715" s="6">
        <v>299927504</v>
      </c>
    </row>
    <row r="716" spans="1:4" x14ac:dyDescent="0.3">
      <c r="A716" s="37">
        <f t="shared" si="11"/>
        <v>715</v>
      </c>
      <c r="B716" s="37" t="s">
        <v>643</v>
      </c>
      <c r="C716" s="37" t="s">
        <v>642</v>
      </c>
      <c r="D716" s="6">
        <v>300827262</v>
      </c>
    </row>
    <row r="717" spans="1:4" x14ac:dyDescent="0.3">
      <c r="A717" s="37">
        <f t="shared" si="11"/>
        <v>716</v>
      </c>
      <c r="B717" s="37" t="s">
        <v>1414</v>
      </c>
      <c r="C717" s="37" t="s">
        <v>1413</v>
      </c>
      <c r="D717" s="6">
        <v>300921700</v>
      </c>
    </row>
    <row r="718" spans="1:4" x14ac:dyDescent="0.3">
      <c r="A718" s="37">
        <f t="shared" si="11"/>
        <v>717</v>
      </c>
      <c r="B718" s="37" t="s">
        <v>1018</v>
      </c>
      <c r="C718" s="37" t="s">
        <v>1017</v>
      </c>
      <c r="D718" s="6">
        <v>272540483</v>
      </c>
    </row>
    <row r="719" spans="1:4" x14ac:dyDescent="0.3">
      <c r="A719" s="37">
        <f t="shared" si="11"/>
        <v>718</v>
      </c>
      <c r="B719" s="37" t="s">
        <v>836</v>
      </c>
      <c r="C719" s="37" t="s">
        <v>835</v>
      </c>
      <c r="D719" s="6">
        <v>301659074</v>
      </c>
    </row>
    <row r="720" spans="1:4" x14ac:dyDescent="0.3">
      <c r="A720" s="37">
        <f t="shared" si="11"/>
        <v>719</v>
      </c>
      <c r="B720" s="37" t="s">
        <v>242</v>
      </c>
      <c r="C720" s="37" t="s">
        <v>241</v>
      </c>
      <c r="D720" s="6">
        <v>264120700</v>
      </c>
    </row>
    <row r="721" spans="1:4" x14ac:dyDescent="0.3">
      <c r="A721" s="37">
        <f t="shared" si="11"/>
        <v>720</v>
      </c>
      <c r="B721" s="37" t="s">
        <v>640</v>
      </c>
      <c r="C721" s="37" t="s">
        <v>639</v>
      </c>
      <c r="D721" s="6">
        <v>255390549</v>
      </c>
    </row>
    <row r="722" spans="1:4" x14ac:dyDescent="0.3">
      <c r="A722" s="37">
        <f t="shared" si="11"/>
        <v>721</v>
      </c>
      <c r="B722" s="37" t="s">
        <v>914</v>
      </c>
      <c r="C722" s="37" t="s">
        <v>913</v>
      </c>
      <c r="D722" s="6">
        <v>293814621</v>
      </c>
    </row>
    <row r="723" spans="1:4" x14ac:dyDescent="0.3">
      <c r="A723" s="37">
        <f t="shared" si="11"/>
        <v>722</v>
      </c>
      <c r="B723" s="37" t="s">
        <v>1072</v>
      </c>
      <c r="C723" s="37" t="s">
        <v>1071</v>
      </c>
      <c r="D723" s="6">
        <v>242599423</v>
      </c>
    </row>
    <row r="724" spans="1:4" x14ac:dyDescent="0.3">
      <c r="A724" s="37">
        <f t="shared" si="11"/>
        <v>723</v>
      </c>
      <c r="B724" s="37" t="s">
        <v>1704</v>
      </c>
      <c r="C724" s="37" t="s">
        <v>1703</v>
      </c>
      <c r="D724" s="6">
        <v>231050149</v>
      </c>
    </row>
    <row r="725" spans="1:4" x14ac:dyDescent="0.3">
      <c r="A725" s="37">
        <f t="shared" si="11"/>
        <v>724</v>
      </c>
      <c r="B725" s="37" t="s">
        <v>169</v>
      </c>
      <c r="C725" s="37" t="s">
        <v>168</v>
      </c>
      <c r="D725" s="6">
        <v>248004113</v>
      </c>
    </row>
    <row r="726" spans="1:4" x14ac:dyDescent="0.3">
      <c r="A726" s="37">
        <f t="shared" si="11"/>
        <v>725</v>
      </c>
      <c r="B726" s="37" t="s">
        <v>136</v>
      </c>
      <c r="C726" s="37" t="s">
        <v>135</v>
      </c>
      <c r="D726" s="6">
        <v>196436842</v>
      </c>
    </row>
    <row r="727" spans="1:4" x14ac:dyDescent="0.3">
      <c r="A727" s="37">
        <f t="shared" si="11"/>
        <v>726</v>
      </c>
      <c r="B727" s="37" t="s">
        <v>1528</v>
      </c>
      <c r="C727" s="37" t="s">
        <v>1527</v>
      </c>
      <c r="D727" s="6">
        <v>216991587</v>
      </c>
    </row>
    <row r="728" spans="1:4" x14ac:dyDescent="0.3">
      <c r="A728" s="37">
        <f t="shared" si="11"/>
        <v>727</v>
      </c>
      <c r="B728" s="37" t="s">
        <v>1526</v>
      </c>
      <c r="C728" s="37" t="s">
        <v>1525</v>
      </c>
      <c r="D728" s="6">
        <v>166672436</v>
      </c>
    </row>
    <row r="729" spans="1:4" x14ac:dyDescent="0.3">
      <c r="A729" s="37">
        <f t="shared" si="11"/>
        <v>728</v>
      </c>
      <c r="B729" s="37" t="s">
        <v>699</v>
      </c>
      <c r="C729" s="37" t="s">
        <v>698</v>
      </c>
      <c r="D729" s="6">
        <v>149591663</v>
      </c>
    </row>
    <row r="730" spans="1:4" x14ac:dyDescent="0.3">
      <c r="A730" s="37">
        <f t="shared" si="11"/>
        <v>729</v>
      </c>
      <c r="B730" s="37" t="s">
        <v>1296</v>
      </c>
      <c r="C730" s="37" t="s">
        <v>1295</v>
      </c>
      <c r="D730" s="6">
        <v>170550413</v>
      </c>
    </row>
    <row r="731" spans="1:4" x14ac:dyDescent="0.3">
      <c r="A731" s="37">
        <f t="shared" si="11"/>
        <v>730</v>
      </c>
      <c r="B731" s="37" t="s">
        <v>451</v>
      </c>
      <c r="C731" s="37" t="s">
        <v>450</v>
      </c>
      <c r="D731" s="6">
        <v>153704526</v>
      </c>
    </row>
    <row r="732" spans="1:4" x14ac:dyDescent="0.3">
      <c r="A732" s="37">
        <f t="shared" si="11"/>
        <v>731</v>
      </c>
      <c r="B732" s="37" t="s">
        <v>11</v>
      </c>
      <c r="C732" s="37" t="s">
        <v>10</v>
      </c>
      <c r="D732" s="6">
        <v>21092596</v>
      </c>
    </row>
    <row r="733" spans="1:4" x14ac:dyDescent="0.3">
      <c r="A733" s="37">
        <f t="shared" si="11"/>
        <v>732</v>
      </c>
      <c r="B733" s="37" t="s">
        <v>561</v>
      </c>
      <c r="C733" s="37" t="s">
        <v>560</v>
      </c>
      <c r="D733" s="6">
        <v>453420221</v>
      </c>
    </row>
    <row r="734" spans="1:4" x14ac:dyDescent="0.3">
      <c r="A734" s="37">
        <f t="shared" si="11"/>
        <v>733</v>
      </c>
      <c r="B734" s="84" t="s">
        <v>513</v>
      </c>
      <c r="C734" s="37" t="s">
        <v>512</v>
      </c>
      <c r="D734" s="6">
        <v>524852940</v>
      </c>
    </row>
    <row r="735" spans="1:4" x14ac:dyDescent="0.3">
      <c r="A735" s="37">
        <f t="shared" si="11"/>
        <v>734</v>
      </c>
      <c r="B735" s="84" t="s">
        <v>1839</v>
      </c>
      <c r="C735" s="37" t="s">
        <v>1838</v>
      </c>
      <c r="D735" s="6">
        <v>421629154</v>
      </c>
    </row>
    <row r="736" spans="1:4" x14ac:dyDescent="0.3">
      <c r="A736" s="37">
        <f t="shared" si="11"/>
        <v>735</v>
      </c>
      <c r="B736" s="84" t="s">
        <v>1836</v>
      </c>
      <c r="C736" s="37" t="s">
        <v>1835</v>
      </c>
      <c r="D736" s="6">
        <v>519512353</v>
      </c>
    </row>
    <row r="737" spans="1:5" x14ac:dyDescent="0.3">
      <c r="A737" s="37">
        <f t="shared" si="11"/>
        <v>736</v>
      </c>
      <c r="B737" s="84" t="s">
        <v>1402</v>
      </c>
      <c r="C737" s="37" t="s">
        <v>1401</v>
      </c>
      <c r="D737" s="6">
        <v>373911812</v>
      </c>
    </row>
    <row r="738" spans="1:5" x14ac:dyDescent="0.3">
      <c r="A738" s="37">
        <f t="shared" si="11"/>
        <v>737</v>
      </c>
      <c r="B738" s="37" t="s">
        <v>1702</v>
      </c>
      <c r="C738" s="37" t="s">
        <v>1701</v>
      </c>
      <c r="D738" s="6">
        <v>471180911</v>
      </c>
    </row>
    <row r="739" spans="1:5" x14ac:dyDescent="0.3">
      <c r="A739" s="37">
        <f t="shared" si="11"/>
        <v>738</v>
      </c>
      <c r="B739" s="37" t="s">
        <v>1816</v>
      </c>
      <c r="C739" s="37" t="s">
        <v>1815</v>
      </c>
      <c r="D739" s="6">
        <v>439737392</v>
      </c>
    </row>
    <row r="740" spans="1:5" x14ac:dyDescent="0.3">
      <c r="A740" s="37">
        <f t="shared" si="11"/>
        <v>739</v>
      </c>
      <c r="B740" s="37" t="s">
        <v>1743</v>
      </c>
      <c r="C740" s="37" t="s">
        <v>1742</v>
      </c>
      <c r="D740" s="6">
        <v>391797820</v>
      </c>
    </row>
    <row r="741" spans="1:5" x14ac:dyDescent="0.3">
      <c r="A741" s="37">
        <f t="shared" si="11"/>
        <v>740</v>
      </c>
      <c r="B741" s="37" t="s">
        <v>1643</v>
      </c>
      <c r="C741" s="37" t="s">
        <v>1642</v>
      </c>
      <c r="D741" s="6">
        <v>401877584</v>
      </c>
    </row>
    <row r="742" spans="1:5" x14ac:dyDescent="0.3">
      <c r="A742" s="37">
        <f t="shared" si="11"/>
        <v>741</v>
      </c>
      <c r="B742" s="85" t="s">
        <v>494</v>
      </c>
      <c r="C742" s="37" t="s">
        <v>493</v>
      </c>
      <c r="D742" s="6">
        <v>670903514</v>
      </c>
      <c r="E742" s="37" t="s">
        <v>2245</v>
      </c>
    </row>
    <row r="743" spans="1:5" x14ac:dyDescent="0.3">
      <c r="A743" s="37">
        <f t="shared" si="11"/>
        <v>742</v>
      </c>
      <c r="B743" t="s">
        <v>490</v>
      </c>
      <c r="C743" t="s">
        <v>489</v>
      </c>
      <c r="D743" s="86"/>
      <c r="E743" s="37" t="s">
        <v>2246</v>
      </c>
    </row>
    <row r="744" spans="1:5" x14ac:dyDescent="0.3">
      <c r="A744" s="37">
        <f t="shared" si="11"/>
        <v>743</v>
      </c>
      <c r="B744" t="s">
        <v>2166</v>
      </c>
      <c r="C744" t="s">
        <v>2247</v>
      </c>
      <c r="D744" s="86"/>
      <c r="E744" s="37" t="s">
        <v>2248</v>
      </c>
    </row>
    <row r="745" spans="1:5" x14ac:dyDescent="0.3">
      <c r="A745" s="37">
        <f t="shared" si="11"/>
        <v>744</v>
      </c>
      <c r="B745" t="s">
        <v>2249</v>
      </c>
      <c r="C745" t="s">
        <v>485</v>
      </c>
      <c r="D745" s="86"/>
      <c r="E745" s="37" t="s">
        <v>488</v>
      </c>
    </row>
    <row r="746" spans="1:5" x14ac:dyDescent="0.3">
      <c r="A746" s="37">
        <f t="shared" si="11"/>
        <v>745</v>
      </c>
      <c r="B746" t="s">
        <v>482</v>
      </c>
      <c r="C746" t="s">
        <v>481</v>
      </c>
      <c r="D746" s="86"/>
      <c r="E746" s="37" t="s">
        <v>488</v>
      </c>
    </row>
    <row r="747" spans="1:5" x14ac:dyDescent="0.3">
      <c r="A747" s="37">
        <f t="shared" si="11"/>
        <v>746</v>
      </c>
      <c r="B747" t="s">
        <v>478</v>
      </c>
      <c r="C747" t="s">
        <v>477</v>
      </c>
      <c r="D747" s="86"/>
      <c r="E747" s="37" t="s">
        <v>476</v>
      </c>
    </row>
  </sheetData>
  <conditionalFormatting sqref="B198 B594:B595 B604:B626 B629:B630 B641:B647 B660:B665 B704:B709">
    <cfRule type="cellIs" dxfId="201" priority="2" stopIfTrue="1" operator="equal">
      <formula>"Sabtu"</formula>
    </cfRule>
    <cfRule type="cellIs" dxfId="200" priority="3" stopIfTrue="1" operator="equal">
      <formula>"Minggu"</formula>
    </cfRule>
  </conditionalFormatting>
  <conditionalFormatting sqref="B704:B709 B660:B665 B629:B630 B641:B647 B604:B626 B594:B595 B198">
    <cfRule type="colorScale" priority="1">
      <colorScale>
        <cfvo type="num" val="2"/>
        <cfvo type="num" val="3"/>
        <cfvo type="num" val="4"/>
        <color rgb="FFFFFF00"/>
        <color rgb="FFFF0000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Y757"/>
  <sheetViews>
    <sheetView topLeftCell="A756" workbookViewId="0">
      <selection activeCell="N223" sqref="N223"/>
    </sheetView>
  </sheetViews>
  <sheetFormatPr defaultColWidth="9.109375" defaultRowHeight="14.4" x14ac:dyDescent="0.3"/>
  <cols>
    <col min="1" max="1" width="4.44140625" style="1" customWidth="1"/>
    <col min="2" max="2" width="9.109375" style="1"/>
    <col min="3" max="3" width="47.44140625" style="1" bestFit="1" customWidth="1"/>
    <col min="4" max="4" width="13.33203125" style="1" customWidth="1"/>
    <col min="5" max="5" width="19.109375" style="1" customWidth="1"/>
    <col min="6" max="6" width="14.109375" style="1" customWidth="1"/>
    <col min="7" max="7" width="9.33203125" style="1" customWidth="1"/>
    <col min="8" max="8" width="9.88671875" style="1" customWidth="1"/>
    <col min="9" max="9" width="9.44140625" style="1" bestFit="1" customWidth="1"/>
    <col min="10" max="10" width="9.109375" style="1"/>
    <col min="11" max="11" width="9.5546875" style="2" customWidth="1"/>
    <col min="12" max="12" width="9.109375" style="1"/>
    <col min="13" max="13" width="9.109375" style="1" customWidth="1"/>
    <col min="14" max="14" width="2.6640625" style="1" customWidth="1"/>
    <col min="15" max="16384" width="9.109375" style="1"/>
  </cols>
  <sheetData>
    <row r="1" spans="1:25" x14ac:dyDescent="0.3">
      <c r="A1" s="1" t="s">
        <v>1898</v>
      </c>
      <c r="B1" s="1" t="s">
        <v>1897</v>
      </c>
      <c r="C1" s="1" t="s">
        <v>1896</v>
      </c>
      <c r="E1" s="1" t="s">
        <v>1895</v>
      </c>
    </row>
    <row r="2" spans="1:25" ht="35.25" customHeight="1" x14ac:dyDescent="0.3">
      <c r="A2" s="14" t="s">
        <v>1894</v>
      </c>
      <c r="B2" s="14" t="s">
        <v>1893</v>
      </c>
      <c r="C2" s="14" t="s">
        <v>1892</v>
      </c>
      <c r="D2" s="14" t="s">
        <v>1891</v>
      </c>
      <c r="E2" s="14" t="s">
        <v>1890</v>
      </c>
      <c r="F2" s="14"/>
      <c r="G2" s="26" t="s">
        <v>1889</v>
      </c>
      <c r="H2" s="28" t="s">
        <v>1888</v>
      </c>
      <c r="I2" s="28" t="s">
        <v>1887</v>
      </c>
      <c r="J2" s="28" t="s">
        <v>1886</v>
      </c>
      <c r="K2" s="29" t="s">
        <v>1885</v>
      </c>
      <c r="L2" s="28" t="s">
        <v>1884</v>
      </c>
      <c r="O2" s="18" t="s">
        <v>1883</v>
      </c>
      <c r="U2" s="1">
        <v>8</v>
      </c>
      <c r="V2" s="1">
        <v>4</v>
      </c>
      <c r="W2" s="1">
        <f>V2*12</f>
        <v>48</v>
      </c>
      <c r="X2" s="1">
        <v>26</v>
      </c>
      <c r="Y2" s="1">
        <f>W2+X2</f>
        <v>74</v>
      </c>
    </row>
    <row r="3" spans="1:25" x14ac:dyDescent="0.3">
      <c r="A3" s="27"/>
      <c r="B3" s="14"/>
      <c r="C3" s="14"/>
      <c r="D3" s="14"/>
      <c r="E3" s="14"/>
      <c r="F3" s="14"/>
      <c r="G3" s="26"/>
      <c r="H3" s="4"/>
      <c r="I3" s="4"/>
      <c r="J3" s="4"/>
      <c r="K3" s="25"/>
      <c r="L3" s="4"/>
    </row>
    <row r="4" spans="1:25" hidden="1" x14ac:dyDescent="0.3">
      <c r="A4" s="3">
        <v>1</v>
      </c>
      <c r="B4" s="8" t="s">
        <v>1882</v>
      </c>
      <c r="C4" s="5" t="s">
        <v>1881</v>
      </c>
      <c r="D4" s="6">
        <v>546017415</v>
      </c>
      <c r="E4" s="5" t="s">
        <v>153</v>
      </c>
      <c r="F4" s="5" t="s">
        <v>9</v>
      </c>
      <c r="G4" s="5" t="s">
        <v>3</v>
      </c>
      <c r="H4" s="2"/>
      <c r="I4" s="2"/>
      <c r="J4" s="2">
        <v>46207</v>
      </c>
      <c r="K4" s="2" t="str">
        <f>IFERROR(VLOOKUP(B4,#REF!,4,0),"")</f>
        <v/>
      </c>
      <c r="L4" s="1" t="s">
        <v>124</v>
      </c>
      <c r="M4" s="1" t="s">
        <v>17</v>
      </c>
      <c r="O4" s="4"/>
      <c r="Q4" s="4"/>
    </row>
    <row r="5" spans="1:25" hidden="1" x14ac:dyDescent="0.3">
      <c r="A5" s="3">
        <f t="shared" ref="A5:A36" si="0">1+A4</f>
        <v>2</v>
      </c>
      <c r="B5" s="8" t="s">
        <v>1880</v>
      </c>
      <c r="C5" s="5" t="s">
        <v>1879</v>
      </c>
      <c r="D5" s="6">
        <v>357697562</v>
      </c>
      <c r="E5" s="5" t="s">
        <v>260</v>
      </c>
      <c r="F5" s="5" t="s">
        <v>9</v>
      </c>
      <c r="G5" s="5" t="s">
        <v>3</v>
      </c>
      <c r="H5" s="2">
        <v>46151</v>
      </c>
      <c r="I5" s="2"/>
      <c r="J5" s="2">
        <v>46226</v>
      </c>
      <c r="K5" s="2" t="str">
        <f>IFERROR(VLOOKUP(B5,#REF!,4,0),"")</f>
        <v/>
      </c>
      <c r="L5" s="1" t="s">
        <v>124</v>
      </c>
      <c r="M5" s="1" t="s">
        <v>12</v>
      </c>
      <c r="O5" s="4"/>
      <c r="Q5" s="4"/>
    </row>
    <row r="6" spans="1:25" hidden="1" x14ac:dyDescent="0.3">
      <c r="A6" s="3">
        <f t="shared" si="0"/>
        <v>3</v>
      </c>
      <c r="B6" s="8" t="s">
        <v>1878</v>
      </c>
      <c r="C6" s="5" t="s">
        <v>1877</v>
      </c>
      <c r="D6" s="6">
        <v>526281234</v>
      </c>
      <c r="E6" s="5" t="s">
        <v>78</v>
      </c>
      <c r="F6" s="5" t="s">
        <v>4</v>
      </c>
      <c r="G6" s="5" t="s">
        <v>3</v>
      </c>
      <c r="H6" s="2">
        <v>46167</v>
      </c>
      <c r="I6" s="2"/>
      <c r="J6" s="2"/>
      <c r="K6" s="2" t="str">
        <f>IFERROR(VLOOKUP(B6,#REF!,4,0),"")</f>
        <v/>
      </c>
      <c r="L6" s="1" t="s">
        <v>2</v>
      </c>
      <c r="M6" s="1" t="s">
        <v>17</v>
      </c>
      <c r="O6" s="4"/>
      <c r="Q6" s="4"/>
    </row>
    <row r="7" spans="1:25" hidden="1" x14ac:dyDescent="0.3">
      <c r="A7" s="3">
        <f t="shared" si="0"/>
        <v>4</v>
      </c>
      <c r="B7" s="8" t="s">
        <v>1876</v>
      </c>
      <c r="C7" s="5" t="s">
        <v>1875</v>
      </c>
      <c r="D7" s="6">
        <v>552838404</v>
      </c>
      <c r="E7" s="5" t="s">
        <v>1503</v>
      </c>
      <c r="F7" s="5" t="s">
        <v>4</v>
      </c>
      <c r="G7" s="5" t="s">
        <v>3</v>
      </c>
      <c r="H7" s="2"/>
      <c r="I7" s="2">
        <v>46179</v>
      </c>
      <c r="J7" s="2"/>
      <c r="K7" s="2" t="str">
        <f>IFERROR(VLOOKUP(B7,#REF!,4,0),"")</f>
        <v/>
      </c>
      <c r="L7" s="1" t="s">
        <v>2</v>
      </c>
      <c r="M7" s="1" t="s">
        <v>17</v>
      </c>
      <c r="O7" s="4"/>
      <c r="Q7" s="4"/>
    </row>
    <row r="8" spans="1:25" hidden="1" x14ac:dyDescent="0.3">
      <c r="A8" s="3">
        <f t="shared" si="0"/>
        <v>5</v>
      </c>
      <c r="B8" s="8" t="s">
        <v>1874</v>
      </c>
      <c r="C8" s="5" t="s">
        <v>1873</v>
      </c>
      <c r="D8" s="6">
        <v>499466205</v>
      </c>
      <c r="E8" s="5" t="s">
        <v>1866</v>
      </c>
      <c r="F8" s="5" t="s">
        <v>28</v>
      </c>
      <c r="G8" s="5" t="s">
        <v>496</v>
      </c>
      <c r="H8" s="2">
        <v>46144</v>
      </c>
      <c r="I8" s="2"/>
      <c r="J8" s="2"/>
      <c r="K8" s="2" t="str">
        <f>IFERROR(VLOOKUP(B8,#REF!,4,0),"")</f>
        <v/>
      </c>
      <c r="L8" s="1" t="s">
        <v>27</v>
      </c>
      <c r="M8" s="1" t="s">
        <v>17</v>
      </c>
      <c r="O8" s="4"/>
      <c r="Q8" s="4"/>
    </row>
    <row r="9" spans="1:25" hidden="1" x14ac:dyDescent="0.3">
      <c r="A9" s="3">
        <f t="shared" si="0"/>
        <v>6</v>
      </c>
      <c r="B9" s="8" t="s">
        <v>1872</v>
      </c>
      <c r="C9" s="5" t="s">
        <v>1871</v>
      </c>
      <c r="D9" s="6">
        <v>532214445</v>
      </c>
      <c r="E9" s="5" t="s">
        <v>339</v>
      </c>
      <c r="F9" s="5" t="s">
        <v>36</v>
      </c>
      <c r="G9" s="5" t="s">
        <v>496</v>
      </c>
      <c r="H9" s="2">
        <v>46144</v>
      </c>
      <c r="I9" s="2"/>
      <c r="J9" s="2"/>
      <c r="K9" s="2" t="str">
        <f>IFERROR(VLOOKUP(B9,#REF!,4,0),"")</f>
        <v/>
      </c>
      <c r="L9" s="1" t="s">
        <v>13</v>
      </c>
      <c r="M9" s="1" t="s">
        <v>17</v>
      </c>
      <c r="O9" s="4"/>
      <c r="Q9" s="4"/>
    </row>
    <row r="10" spans="1:25" hidden="1" x14ac:dyDescent="0.3">
      <c r="A10" s="3">
        <f t="shared" si="0"/>
        <v>7</v>
      </c>
      <c r="B10" s="8" t="s">
        <v>1870</v>
      </c>
      <c r="C10" s="5" t="s">
        <v>1869</v>
      </c>
      <c r="D10" s="6">
        <v>565994605</v>
      </c>
      <c r="E10" s="5" t="s">
        <v>461</v>
      </c>
      <c r="F10" s="5" t="s">
        <v>28</v>
      </c>
      <c r="G10" s="5" t="s">
        <v>496</v>
      </c>
      <c r="H10" s="2">
        <v>46146</v>
      </c>
      <c r="I10" s="2"/>
      <c r="J10" s="2"/>
      <c r="K10" s="2" t="str">
        <f>IFERROR(VLOOKUP(B10,#REF!,4,0),"")</f>
        <v/>
      </c>
      <c r="L10" s="1" t="s">
        <v>27</v>
      </c>
      <c r="M10" s="1" t="s">
        <v>12</v>
      </c>
      <c r="O10" s="4"/>
      <c r="Q10" s="4"/>
    </row>
    <row r="11" spans="1:25" hidden="1" x14ac:dyDescent="0.3">
      <c r="A11" s="3">
        <f t="shared" si="0"/>
        <v>8</v>
      </c>
      <c r="B11" s="8" t="s">
        <v>1868</v>
      </c>
      <c r="C11" s="5" t="s">
        <v>1867</v>
      </c>
      <c r="D11" s="6">
        <v>609431063</v>
      </c>
      <c r="E11" s="5" t="s">
        <v>1866</v>
      </c>
      <c r="F11" s="5" t="s">
        <v>28</v>
      </c>
      <c r="G11" s="5" t="s">
        <v>496</v>
      </c>
      <c r="H11" s="2">
        <v>46147</v>
      </c>
      <c r="I11" s="2"/>
      <c r="J11" s="2"/>
      <c r="K11" s="2" t="str">
        <f>IFERROR(VLOOKUP(B11,#REF!,4,0),"")</f>
        <v/>
      </c>
      <c r="L11" s="1" t="s">
        <v>27</v>
      </c>
      <c r="M11" s="1" t="s">
        <v>17</v>
      </c>
      <c r="O11" s="4"/>
      <c r="Q11" s="4"/>
    </row>
    <row r="12" spans="1:25" hidden="1" x14ac:dyDescent="0.3">
      <c r="A12" s="3">
        <f t="shared" si="0"/>
        <v>9</v>
      </c>
      <c r="B12" s="8" t="s">
        <v>1865</v>
      </c>
      <c r="C12" s="5" t="s">
        <v>1864</v>
      </c>
      <c r="D12" s="6">
        <v>462987147</v>
      </c>
      <c r="E12" s="5" t="s">
        <v>339</v>
      </c>
      <c r="F12" s="5" t="s">
        <v>36</v>
      </c>
      <c r="G12" s="5" t="s">
        <v>496</v>
      </c>
      <c r="H12" s="2">
        <v>46147</v>
      </c>
      <c r="I12" s="2"/>
      <c r="J12" s="2"/>
      <c r="K12" s="2" t="str">
        <f>IFERROR(VLOOKUP(B12,#REF!,4,0),"")</f>
        <v/>
      </c>
      <c r="L12" s="1" t="s">
        <v>13</v>
      </c>
      <c r="M12" s="1" t="s">
        <v>17</v>
      </c>
      <c r="O12" s="4"/>
      <c r="Q12" s="4"/>
    </row>
    <row r="13" spans="1:25" hidden="1" x14ac:dyDescent="0.3">
      <c r="A13" s="3">
        <f t="shared" si="0"/>
        <v>10</v>
      </c>
      <c r="B13" s="8" t="s">
        <v>1863</v>
      </c>
      <c r="C13" s="5" t="s">
        <v>1862</v>
      </c>
      <c r="D13" s="6">
        <v>489442598</v>
      </c>
      <c r="E13" s="5" t="s">
        <v>1773</v>
      </c>
      <c r="F13" s="5" t="s">
        <v>9</v>
      </c>
      <c r="G13" s="5" t="s">
        <v>496</v>
      </c>
      <c r="H13" s="2">
        <v>46147</v>
      </c>
      <c r="I13" s="2"/>
      <c r="J13" s="2"/>
      <c r="K13" s="2" t="str">
        <f>IFERROR(VLOOKUP(B13,#REF!,4,0),"")</f>
        <v/>
      </c>
      <c r="L13" s="1" t="s">
        <v>20</v>
      </c>
      <c r="M13" s="1" t="s">
        <v>17</v>
      </c>
      <c r="O13" s="4"/>
      <c r="Q13" s="4"/>
    </row>
    <row r="14" spans="1:25" hidden="1" x14ac:dyDescent="0.3">
      <c r="A14" s="3">
        <f t="shared" si="0"/>
        <v>11</v>
      </c>
      <c r="B14" s="8" t="s">
        <v>1861</v>
      </c>
      <c r="C14" s="5" t="s">
        <v>1860</v>
      </c>
      <c r="D14" s="6">
        <v>431072320</v>
      </c>
      <c r="E14" s="5" t="s">
        <v>1292</v>
      </c>
      <c r="F14" s="5" t="s">
        <v>4</v>
      </c>
      <c r="G14" s="5" t="s">
        <v>3</v>
      </c>
      <c r="H14" s="2"/>
      <c r="I14" s="2"/>
      <c r="J14" s="2">
        <v>46210</v>
      </c>
      <c r="K14" s="2" t="str">
        <f>IFERROR(VLOOKUP(B14,#REF!,4,0),"")</f>
        <v/>
      </c>
      <c r="L14" s="1" t="s">
        <v>77</v>
      </c>
      <c r="M14" s="1" t="s">
        <v>12</v>
      </c>
      <c r="O14" s="4"/>
      <c r="Q14" s="4"/>
    </row>
    <row r="15" spans="1:25" hidden="1" x14ac:dyDescent="0.3">
      <c r="A15" s="3">
        <f t="shared" si="0"/>
        <v>12</v>
      </c>
      <c r="B15" s="8" t="s">
        <v>1859</v>
      </c>
      <c r="C15" s="5" t="s">
        <v>1858</v>
      </c>
      <c r="D15" s="6">
        <v>489730647</v>
      </c>
      <c r="E15" s="5" t="s">
        <v>210</v>
      </c>
      <c r="F15" s="5" t="s">
        <v>9</v>
      </c>
      <c r="G15" s="5" t="s">
        <v>3</v>
      </c>
      <c r="H15" s="2">
        <v>46147</v>
      </c>
      <c r="I15" s="2"/>
      <c r="J15" s="2"/>
      <c r="K15" s="2" t="str">
        <f>IFERROR(VLOOKUP(B15,#REF!,4,0),"")</f>
        <v/>
      </c>
      <c r="L15" s="1" t="s">
        <v>124</v>
      </c>
      <c r="M15" s="1" t="s">
        <v>12</v>
      </c>
      <c r="O15" s="4"/>
      <c r="Q15" s="4"/>
    </row>
    <row r="16" spans="1:25" hidden="1" x14ac:dyDescent="0.3">
      <c r="A16" s="3">
        <f t="shared" si="0"/>
        <v>13</v>
      </c>
      <c r="B16" s="8" t="s">
        <v>1857</v>
      </c>
      <c r="C16" s="5" t="s">
        <v>1856</v>
      </c>
      <c r="D16" s="6">
        <v>400268306</v>
      </c>
      <c r="E16" s="5" t="s">
        <v>854</v>
      </c>
      <c r="F16" s="5" t="s">
        <v>4</v>
      </c>
      <c r="G16" s="5" t="s">
        <v>3</v>
      </c>
      <c r="H16" s="2">
        <v>46148</v>
      </c>
      <c r="I16" s="2"/>
      <c r="J16" s="2"/>
      <c r="K16" s="2" t="str">
        <f>IFERROR(VLOOKUP(B16,#REF!,4,0),"")</f>
        <v/>
      </c>
      <c r="L16" s="1" t="s">
        <v>2</v>
      </c>
      <c r="M16" s="1" t="s">
        <v>12</v>
      </c>
      <c r="O16" s="4"/>
      <c r="Q16" s="4"/>
    </row>
    <row r="17" spans="1:17" hidden="1" x14ac:dyDescent="0.3">
      <c r="A17" s="3">
        <f t="shared" si="0"/>
        <v>14</v>
      </c>
      <c r="B17" s="8" t="s">
        <v>1855</v>
      </c>
      <c r="C17" s="5" t="s">
        <v>1854</v>
      </c>
      <c r="D17" s="6">
        <v>464953469</v>
      </c>
      <c r="E17" s="5" t="s">
        <v>125</v>
      </c>
      <c r="F17" s="5" t="s">
        <v>9</v>
      </c>
      <c r="G17" s="5" t="s">
        <v>3</v>
      </c>
      <c r="H17" s="2">
        <v>46157</v>
      </c>
      <c r="I17" s="2"/>
      <c r="J17" s="2"/>
      <c r="K17" s="2" t="str">
        <f>IFERROR(VLOOKUP(B17,#REF!,4,0),"")</f>
        <v/>
      </c>
      <c r="L17" s="1" t="s">
        <v>124</v>
      </c>
      <c r="M17" s="1" t="s">
        <v>17</v>
      </c>
      <c r="O17" s="4"/>
      <c r="Q17" s="4"/>
    </row>
    <row r="18" spans="1:17" hidden="1" x14ac:dyDescent="0.3">
      <c r="A18" s="3">
        <f t="shared" si="0"/>
        <v>15</v>
      </c>
      <c r="B18" s="8" t="s">
        <v>1853</v>
      </c>
      <c r="C18" s="5" t="s">
        <v>1852</v>
      </c>
      <c r="D18" s="6">
        <v>351189060</v>
      </c>
      <c r="E18" s="5" t="s">
        <v>1438</v>
      </c>
      <c r="F18" s="5" t="s">
        <v>32</v>
      </c>
      <c r="G18" s="5" t="s">
        <v>3</v>
      </c>
      <c r="H18" s="2">
        <v>46160</v>
      </c>
      <c r="I18" s="2">
        <v>46181</v>
      </c>
      <c r="J18" s="2"/>
      <c r="K18" s="2" t="str">
        <f>IFERROR(VLOOKUP(B18,#REF!,4,0),"")</f>
        <v/>
      </c>
      <c r="L18" s="1" t="s">
        <v>27</v>
      </c>
      <c r="M18" s="1" t="s">
        <v>12</v>
      </c>
      <c r="O18" s="4"/>
      <c r="Q18" s="4"/>
    </row>
    <row r="19" spans="1:17" hidden="1" x14ac:dyDescent="0.3">
      <c r="A19" s="3">
        <f t="shared" si="0"/>
        <v>16</v>
      </c>
      <c r="B19" s="8" t="s">
        <v>1851</v>
      </c>
      <c r="C19" s="5" t="s">
        <v>1850</v>
      </c>
      <c r="D19" s="6">
        <v>380643572</v>
      </c>
      <c r="E19" s="5" t="s">
        <v>1849</v>
      </c>
      <c r="F19" s="5" t="s">
        <v>32</v>
      </c>
      <c r="G19" s="5" t="s">
        <v>3</v>
      </c>
      <c r="H19" s="2">
        <v>46160</v>
      </c>
      <c r="I19" s="2"/>
      <c r="J19" s="2"/>
      <c r="K19" s="2" t="str">
        <f>IFERROR(VLOOKUP(B19,#REF!,4,0),"")</f>
        <v/>
      </c>
      <c r="L19" s="1" t="s">
        <v>27</v>
      </c>
      <c r="M19" s="1" t="s">
        <v>12</v>
      </c>
      <c r="O19" s="4"/>
      <c r="Q19" s="4"/>
    </row>
    <row r="20" spans="1:17" hidden="1" x14ac:dyDescent="0.3">
      <c r="A20" s="3">
        <f t="shared" si="0"/>
        <v>17</v>
      </c>
      <c r="B20" s="8" t="s">
        <v>1848</v>
      </c>
      <c r="C20" s="5" t="s">
        <v>1847</v>
      </c>
      <c r="D20" s="6">
        <v>526837154</v>
      </c>
      <c r="E20" s="5" t="s">
        <v>287</v>
      </c>
      <c r="F20" s="5" t="s">
        <v>48</v>
      </c>
      <c r="G20" s="5" t="s">
        <v>3</v>
      </c>
      <c r="H20" s="2">
        <v>46170</v>
      </c>
      <c r="I20" s="2">
        <v>46195</v>
      </c>
      <c r="J20" s="2"/>
      <c r="K20" s="2" t="str">
        <f>IFERROR(VLOOKUP(B20,#REF!,4,0),"")</f>
        <v/>
      </c>
      <c r="L20" s="1" t="s">
        <v>44</v>
      </c>
      <c r="M20" s="1" t="s">
        <v>12</v>
      </c>
      <c r="O20" s="4"/>
      <c r="Q20" s="4"/>
    </row>
    <row r="21" spans="1:17" hidden="1" x14ac:dyDescent="0.3">
      <c r="A21" s="3">
        <f t="shared" si="0"/>
        <v>18</v>
      </c>
      <c r="B21" s="8" t="s">
        <v>1846</v>
      </c>
      <c r="C21" s="5" t="s">
        <v>1845</v>
      </c>
      <c r="D21" s="6">
        <v>472744131</v>
      </c>
      <c r="E21" s="5" t="s">
        <v>1844</v>
      </c>
      <c r="F21" s="5" t="s">
        <v>36</v>
      </c>
      <c r="G21" s="5" t="s">
        <v>3</v>
      </c>
      <c r="H21" s="2">
        <v>46170</v>
      </c>
      <c r="I21" s="2"/>
      <c r="J21" s="2"/>
      <c r="K21" s="2" t="str">
        <f>IFERROR(VLOOKUP(B21,#REF!,4,0),"")</f>
        <v/>
      </c>
      <c r="L21" s="1" t="s">
        <v>13</v>
      </c>
      <c r="M21" s="1" t="s">
        <v>17</v>
      </c>
      <c r="O21" s="4"/>
      <c r="Q21" s="4"/>
    </row>
    <row r="22" spans="1:17" hidden="1" x14ac:dyDescent="0.3">
      <c r="A22" s="3">
        <f t="shared" si="0"/>
        <v>19</v>
      </c>
      <c r="B22" s="8" t="s">
        <v>1843</v>
      </c>
      <c r="C22" s="5" t="s">
        <v>1842</v>
      </c>
      <c r="D22" s="6">
        <v>408323810</v>
      </c>
      <c r="E22" s="5" t="s">
        <v>131</v>
      </c>
      <c r="F22" s="5" t="s">
        <v>9</v>
      </c>
      <c r="G22" s="5" t="s">
        <v>3</v>
      </c>
      <c r="H22" s="2">
        <v>46172</v>
      </c>
      <c r="I22" s="2"/>
      <c r="J22" s="2"/>
      <c r="K22" s="2" t="str">
        <f>IFERROR(VLOOKUP(B22,#REF!,4,0),"")</f>
        <v/>
      </c>
      <c r="L22" s="1" t="s">
        <v>124</v>
      </c>
      <c r="M22" s="1" t="s">
        <v>12</v>
      </c>
      <c r="O22" s="4"/>
      <c r="Q22" s="4"/>
    </row>
    <row r="23" spans="1:17" hidden="1" x14ac:dyDescent="0.3">
      <c r="A23" s="3">
        <f t="shared" si="0"/>
        <v>20</v>
      </c>
      <c r="B23" s="8" t="s">
        <v>1841</v>
      </c>
      <c r="C23" s="5" t="s">
        <v>1840</v>
      </c>
      <c r="D23" s="6">
        <v>413754601</v>
      </c>
      <c r="E23" s="5" t="s">
        <v>373</v>
      </c>
      <c r="F23" s="5" t="s">
        <v>4</v>
      </c>
      <c r="G23" s="5" t="s">
        <v>3</v>
      </c>
      <c r="H23" s="2"/>
      <c r="I23" s="2">
        <v>46193</v>
      </c>
      <c r="J23" s="2"/>
      <c r="K23" s="2" t="str">
        <f>IFERROR(VLOOKUP(B23,#REF!,4,0),"")</f>
        <v/>
      </c>
      <c r="L23" s="1" t="s">
        <v>2</v>
      </c>
      <c r="M23" s="1" t="s">
        <v>12</v>
      </c>
      <c r="O23" s="4"/>
      <c r="Q23" s="4"/>
    </row>
    <row r="24" spans="1:17" hidden="1" x14ac:dyDescent="0.3">
      <c r="A24" s="3">
        <f t="shared" si="0"/>
        <v>21</v>
      </c>
      <c r="B24" s="8" t="s">
        <v>1839</v>
      </c>
      <c r="C24" s="5" t="s">
        <v>1838</v>
      </c>
      <c r="D24" s="6">
        <v>421629154</v>
      </c>
      <c r="E24" s="5" t="s">
        <v>21</v>
      </c>
      <c r="F24" s="5" t="s">
        <v>1837</v>
      </c>
      <c r="G24" s="5" t="s">
        <v>3</v>
      </c>
      <c r="H24" s="2"/>
      <c r="I24" s="2">
        <v>46203</v>
      </c>
      <c r="J24" s="2"/>
      <c r="K24" s="2" t="str">
        <f>IFERROR(VLOOKUP(B24,#REF!,4,0),"")</f>
        <v/>
      </c>
      <c r="L24" s="1" t="s">
        <v>20</v>
      </c>
      <c r="M24" s="1" t="s">
        <v>17</v>
      </c>
      <c r="O24" s="4"/>
      <c r="Q24" s="4"/>
    </row>
    <row r="25" spans="1:17" hidden="1" x14ac:dyDescent="0.3">
      <c r="A25" s="3">
        <f t="shared" si="0"/>
        <v>22</v>
      </c>
      <c r="B25" s="8" t="s">
        <v>1836</v>
      </c>
      <c r="C25" s="5" t="s">
        <v>1835</v>
      </c>
      <c r="D25" s="6">
        <v>535662073</v>
      </c>
      <c r="E25" s="5" t="s">
        <v>1834</v>
      </c>
      <c r="F25" s="5" t="s">
        <v>40</v>
      </c>
      <c r="G25" s="5" t="s">
        <v>3</v>
      </c>
      <c r="H25" s="2"/>
      <c r="I25" s="2">
        <v>46202</v>
      </c>
      <c r="J25" s="2"/>
      <c r="K25" s="2" t="str">
        <f>IFERROR(VLOOKUP(B25,#REF!,4,0),"")</f>
        <v/>
      </c>
      <c r="L25" s="1" t="s">
        <v>27</v>
      </c>
      <c r="M25" s="1" t="s">
        <v>17</v>
      </c>
      <c r="O25" s="4"/>
      <c r="Q25" s="4"/>
    </row>
    <row r="26" spans="1:17" hidden="1" x14ac:dyDescent="0.3">
      <c r="A26" s="3">
        <f t="shared" si="0"/>
        <v>23</v>
      </c>
      <c r="B26" s="10" t="s">
        <v>1833</v>
      </c>
      <c r="C26" s="5" t="s">
        <v>1832</v>
      </c>
      <c r="D26" s="6">
        <v>373504193</v>
      </c>
      <c r="E26" s="5" t="s">
        <v>384</v>
      </c>
      <c r="F26" s="5" t="s">
        <v>4</v>
      </c>
      <c r="G26" s="5" t="s">
        <v>496</v>
      </c>
      <c r="H26" s="2">
        <v>46146</v>
      </c>
      <c r="I26" s="2"/>
      <c r="J26" s="2"/>
      <c r="K26" s="2" t="str">
        <f>IFERROR(VLOOKUP(B26,#REF!,4,0),"")</f>
        <v/>
      </c>
      <c r="L26" s="1" t="s">
        <v>2</v>
      </c>
      <c r="M26" s="1" t="s">
        <v>12</v>
      </c>
      <c r="O26" s="4"/>
      <c r="Q26" s="4"/>
    </row>
    <row r="27" spans="1:17" hidden="1" x14ac:dyDescent="0.3">
      <c r="A27" s="3">
        <f t="shared" si="0"/>
        <v>24</v>
      </c>
      <c r="B27" s="8" t="s">
        <v>1831</v>
      </c>
      <c r="C27" s="5" t="s">
        <v>1830</v>
      </c>
      <c r="D27" s="6">
        <v>430561213</v>
      </c>
      <c r="E27" s="5" t="s">
        <v>1829</v>
      </c>
      <c r="F27" s="5" t="s">
        <v>36</v>
      </c>
      <c r="G27" s="5" t="s">
        <v>496</v>
      </c>
      <c r="H27" s="2">
        <v>46146</v>
      </c>
      <c r="I27" s="2"/>
      <c r="J27" s="2"/>
      <c r="K27" s="2" t="str">
        <f>IFERROR(VLOOKUP(B27,#REF!,4,0),"")</f>
        <v/>
      </c>
      <c r="L27" s="1" t="s">
        <v>13</v>
      </c>
      <c r="M27" s="1" t="s">
        <v>12</v>
      </c>
      <c r="O27" s="4"/>
      <c r="Q27" s="4"/>
    </row>
    <row r="28" spans="1:17" hidden="1" x14ac:dyDescent="0.3">
      <c r="A28" s="3">
        <f t="shared" si="0"/>
        <v>25</v>
      </c>
      <c r="B28" s="8" t="s">
        <v>1828</v>
      </c>
      <c r="C28" s="5" t="s">
        <v>1827</v>
      </c>
      <c r="D28" s="6">
        <v>384948454</v>
      </c>
      <c r="E28" s="5" t="s">
        <v>1826</v>
      </c>
      <c r="F28" s="5" t="s">
        <v>36</v>
      </c>
      <c r="G28" s="5" t="s">
        <v>496</v>
      </c>
      <c r="H28" s="2">
        <v>46146</v>
      </c>
      <c r="I28" s="2"/>
      <c r="J28" s="2"/>
      <c r="K28" s="2" t="str">
        <f>IFERROR(VLOOKUP(B28,#REF!,4,0),"")</f>
        <v/>
      </c>
      <c r="L28" s="1" t="s">
        <v>13</v>
      </c>
      <c r="M28" s="1" t="s">
        <v>12</v>
      </c>
      <c r="O28" s="4"/>
      <c r="Q28" s="4"/>
    </row>
    <row r="29" spans="1:17" hidden="1" x14ac:dyDescent="0.3">
      <c r="A29" s="3">
        <f t="shared" si="0"/>
        <v>26</v>
      </c>
      <c r="B29" s="8" t="s">
        <v>1825</v>
      </c>
      <c r="C29" s="5" t="s">
        <v>1824</v>
      </c>
      <c r="D29" s="6">
        <v>450211437</v>
      </c>
      <c r="E29" s="5" t="s">
        <v>423</v>
      </c>
      <c r="F29" s="5" t="s">
        <v>48</v>
      </c>
      <c r="G29" s="5" t="s">
        <v>496</v>
      </c>
      <c r="H29" s="2">
        <v>46147</v>
      </c>
      <c r="I29" s="2"/>
      <c r="J29" s="2"/>
      <c r="K29" s="2" t="str">
        <f>IFERROR(VLOOKUP(B29,#REF!,4,0),"")</f>
        <v/>
      </c>
      <c r="L29" s="1" t="s">
        <v>44</v>
      </c>
      <c r="M29" s="1" t="s">
        <v>12</v>
      </c>
      <c r="N29" s="1" t="s">
        <v>1823</v>
      </c>
      <c r="O29" s="4"/>
      <c r="Q29" s="4"/>
    </row>
    <row r="30" spans="1:17" hidden="1" x14ac:dyDescent="0.3">
      <c r="A30" s="3">
        <f t="shared" si="0"/>
        <v>27</v>
      </c>
      <c r="B30" s="8" t="s">
        <v>1822</v>
      </c>
      <c r="C30" s="5" t="s">
        <v>1821</v>
      </c>
      <c r="D30" s="6">
        <v>442867018</v>
      </c>
      <c r="E30" s="5" t="s">
        <v>210</v>
      </c>
      <c r="F30" s="5" t="s">
        <v>9</v>
      </c>
      <c r="G30" s="5" t="s">
        <v>496</v>
      </c>
      <c r="H30" s="2">
        <v>46147</v>
      </c>
      <c r="I30" s="2"/>
      <c r="J30" s="2"/>
      <c r="K30" s="2" t="str">
        <f>IFERROR(VLOOKUP(B30,#REF!,4,0),"")</f>
        <v/>
      </c>
      <c r="L30" s="1" t="s">
        <v>124</v>
      </c>
      <c r="M30" s="1" t="s">
        <v>12</v>
      </c>
      <c r="O30" s="4"/>
      <c r="Q30" s="4"/>
    </row>
    <row r="31" spans="1:17" hidden="1" x14ac:dyDescent="0.3">
      <c r="A31" s="3">
        <f t="shared" si="0"/>
        <v>28</v>
      </c>
      <c r="B31" s="8" t="s">
        <v>1820</v>
      </c>
      <c r="C31" s="5" t="s">
        <v>1819</v>
      </c>
      <c r="D31" s="6">
        <v>417581219</v>
      </c>
      <c r="E31" s="5" t="s">
        <v>647</v>
      </c>
      <c r="F31" s="5" t="s">
        <v>4</v>
      </c>
      <c r="G31" s="5" t="s">
        <v>496</v>
      </c>
      <c r="H31" s="2">
        <v>46148</v>
      </c>
      <c r="I31" s="2"/>
      <c r="J31" s="2"/>
      <c r="K31" s="2" t="str">
        <f>IFERROR(VLOOKUP(B31,#REF!,4,0),"")</f>
        <v/>
      </c>
      <c r="L31" s="1" t="s">
        <v>2</v>
      </c>
      <c r="M31" s="1" t="s">
        <v>12</v>
      </c>
      <c r="O31" s="4"/>
      <c r="Q31" s="4"/>
    </row>
    <row r="32" spans="1:17" hidden="1" x14ac:dyDescent="0.3">
      <c r="A32" s="3">
        <f t="shared" si="0"/>
        <v>29</v>
      </c>
      <c r="B32" s="8" t="s">
        <v>1818</v>
      </c>
      <c r="C32" s="5" t="s">
        <v>1817</v>
      </c>
      <c r="D32" s="6">
        <v>374795313</v>
      </c>
      <c r="E32" s="5" t="s">
        <v>536</v>
      </c>
      <c r="F32" s="5" t="s">
        <v>4</v>
      </c>
      <c r="G32" s="5" t="s">
        <v>496</v>
      </c>
      <c r="H32" s="2">
        <v>46153</v>
      </c>
      <c r="I32" s="2"/>
      <c r="J32" s="2"/>
      <c r="K32" s="2" t="str">
        <f>IFERROR(VLOOKUP(B32,#REF!,4,0),"")</f>
        <v/>
      </c>
      <c r="L32" s="1" t="s">
        <v>2</v>
      </c>
      <c r="M32" s="1" t="s">
        <v>12</v>
      </c>
      <c r="O32" s="4"/>
      <c r="Q32" s="4"/>
    </row>
    <row r="33" spans="1:17" hidden="1" x14ac:dyDescent="0.3">
      <c r="A33" s="3">
        <f t="shared" si="0"/>
        <v>30</v>
      </c>
      <c r="B33" s="5" t="s">
        <v>1816</v>
      </c>
      <c r="C33" s="5" t="s">
        <v>1815</v>
      </c>
      <c r="D33" s="6">
        <v>403241291</v>
      </c>
      <c r="E33" s="5" t="s">
        <v>279</v>
      </c>
      <c r="F33" s="5" t="s">
        <v>40</v>
      </c>
      <c r="G33" s="5" t="s">
        <v>3</v>
      </c>
      <c r="H33" s="2"/>
      <c r="I33" s="2"/>
      <c r="J33" s="2"/>
      <c r="K33" s="2" t="str">
        <f>IFERROR(VLOOKUP(B33,#REF!,4,0),"")</f>
        <v/>
      </c>
      <c r="L33" s="1" t="s">
        <v>27</v>
      </c>
      <c r="M33" s="1" t="s">
        <v>12</v>
      </c>
      <c r="N33" s="1" t="s">
        <v>1640</v>
      </c>
      <c r="O33" s="4"/>
      <c r="Q33" s="4"/>
    </row>
    <row r="34" spans="1:17" hidden="1" x14ac:dyDescent="0.3">
      <c r="A34" s="3">
        <f t="shared" si="0"/>
        <v>31</v>
      </c>
      <c r="B34" s="13" t="s">
        <v>1814</v>
      </c>
      <c r="C34" s="5" t="s">
        <v>1813</v>
      </c>
      <c r="D34" s="6">
        <v>444031401</v>
      </c>
      <c r="E34" s="5" t="s">
        <v>1292</v>
      </c>
      <c r="F34" s="5" t="s">
        <v>4</v>
      </c>
      <c r="G34" s="5" t="s">
        <v>3</v>
      </c>
      <c r="H34" s="2"/>
      <c r="I34" s="2"/>
      <c r="J34" s="2">
        <v>46210</v>
      </c>
      <c r="K34" s="2" t="str">
        <f>IFERROR(VLOOKUP(B34,#REF!,4,0),"")</f>
        <v/>
      </c>
      <c r="L34" s="1" t="s">
        <v>77</v>
      </c>
      <c r="M34" s="1" t="s">
        <v>12</v>
      </c>
      <c r="O34" s="4"/>
      <c r="Q34" s="4"/>
    </row>
    <row r="35" spans="1:17" hidden="1" x14ac:dyDescent="0.3">
      <c r="A35" s="3">
        <f t="shared" si="0"/>
        <v>32</v>
      </c>
      <c r="B35" s="8" t="s">
        <v>1812</v>
      </c>
      <c r="C35" s="5" t="s">
        <v>1811</v>
      </c>
      <c r="D35" s="6">
        <v>367807652</v>
      </c>
      <c r="E35" s="5" t="s">
        <v>207</v>
      </c>
      <c r="F35" s="5" t="s">
        <v>28</v>
      </c>
      <c r="G35" s="5" t="s">
        <v>3</v>
      </c>
      <c r="H35" s="2">
        <v>46168</v>
      </c>
      <c r="I35" s="2"/>
      <c r="J35" s="2">
        <v>46213</v>
      </c>
      <c r="K35" s="2" t="str">
        <f>IFERROR(VLOOKUP(B35,#REF!,4,0),"")</f>
        <v/>
      </c>
      <c r="L35" s="1" t="s">
        <v>27</v>
      </c>
      <c r="M35" s="1" t="s">
        <v>12</v>
      </c>
      <c r="O35" s="4"/>
      <c r="Q35" s="4"/>
    </row>
    <row r="36" spans="1:17" hidden="1" x14ac:dyDescent="0.3">
      <c r="A36" s="3">
        <f t="shared" si="0"/>
        <v>33</v>
      </c>
      <c r="B36" s="8" t="s">
        <v>1810</v>
      </c>
      <c r="C36" s="5" t="s">
        <v>1809</v>
      </c>
      <c r="D36" s="6">
        <v>534356805</v>
      </c>
      <c r="E36" s="5" t="s">
        <v>820</v>
      </c>
      <c r="F36" s="5" t="s">
        <v>9</v>
      </c>
      <c r="G36" s="5" t="s">
        <v>3</v>
      </c>
      <c r="H36" s="2">
        <v>46155</v>
      </c>
      <c r="I36" s="2"/>
      <c r="J36" s="2"/>
      <c r="K36" s="2" t="str">
        <f>IFERROR(VLOOKUP(B36,#REF!,4,0),"")</f>
        <v/>
      </c>
      <c r="L36" s="1" t="s">
        <v>20</v>
      </c>
      <c r="M36" s="1" t="s">
        <v>12</v>
      </c>
      <c r="O36" s="4"/>
      <c r="Q36" s="4"/>
    </row>
    <row r="37" spans="1:17" hidden="1" x14ac:dyDescent="0.3">
      <c r="A37" s="3">
        <f t="shared" ref="A37:A68" si="1">1+A36</f>
        <v>34</v>
      </c>
      <c r="B37" s="8" t="s">
        <v>1808</v>
      </c>
      <c r="C37" s="5" t="s">
        <v>1807</v>
      </c>
      <c r="D37" s="6">
        <v>440614383</v>
      </c>
      <c r="E37" s="5" t="s">
        <v>1806</v>
      </c>
      <c r="F37" s="5" t="s">
        <v>36</v>
      </c>
      <c r="G37" s="5" t="s">
        <v>3</v>
      </c>
      <c r="H37" s="2"/>
      <c r="I37" s="2">
        <v>46175</v>
      </c>
      <c r="J37" s="2"/>
      <c r="K37" s="2" t="str">
        <f>IFERROR(VLOOKUP(B37,#REF!,4,0),"")</f>
        <v/>
      </c>
      <c r="L37" s="1" t="s">
        <v>13</v>
      </c>
      <c r="M37" s="1" t="s">
        <v>12</v>
      </c>
      <c r="O37" s="4"/>
      <c r="Q37" s="4"/>
    </row>
    <row r="38" spans="1:17" hidden="1" x14ac:dyDescent="0.3">
      <c r="A38" s="3">
        <f t="shared" si="1"/>
        <v>35</v>
      </c>
      <c r="B38" s="8" t="s">
        <v>1805</v>
      </c>
      <c r="C38" s="5" t="s">
        <v>1804</v>
      </c>
      <c r="D38" s="6">
        <v>512495496</v>
      </c>
      <c r="E38" s="5" t="s">
        <v>1803</v>
      </c>
      <c r="F38" s="5" t="s">
        <v>36</v>
      </c>
      <c r="G38" s="5" t="s">
        <v>496</v>
      </c>
      <c r="H38" s="2">
        <v>46146</v>
      </c>
      <c r="I38" s="2"/>
      <c r="J38" s="2"/>
      <c r="K38" s="2" t="str">
        <f>IFERROR(VLOOKUP(B38,#REF!,4,0),"")</f>
        <v/>
      </c>
      <c r="L38" s="1" t="s">
        <v>13</v>
      </c>
      <c r="M38" s="1" t="s">
        <v>12</v>
      </c>
      <c r="O38" s="4"/>
      <c r="Q38" s="4"/>
    </row>
    <row r="39" spans="1:17" hidden="1" x14ac:dyDescent="0.3">
      <c r="A39" s="3">
        <f t="shared" si="1"/>
        <v>36</v>
      </c>
      <c r="B39" s="8" t="s">
        <v>1802</v>
      </c>
      <c r="C39" s="5" t="s">
        <v>1801</v>
      </c>
      <c r="D39" s="6">
        <v>381062612</v>
      </c>
      <c r="E39" s="5" t="s">
        <v>523</v>
      </c>
      <c r="F39" s="5" t="s">
        <v>4</v>
      </c>
      <c r="G39" s="5" t="s">
        <v>496</v>
      </c>
      <c r="H39" s="2">
        <v>46146</v>
      </c>
      <c r="I39" s="2"/>
      <c r="J39" s="2"/>
      <c r="K39" s="2" t="str">
        <f>IFERROR(VLOOKUP(B39,#REF!,4,0),"")</f>
        <v/>
      </c>
      <c r="L39" s="1" t="s">
        <v>2</v>
      </c>
      <c r="M39" s="1" t="s">
        <v>12</v>
      </c>
      <c r="O39" s="4"/>
      <c r="Q39" s="4"/>
    </row>
    <row r="40" spans="1:17" hidden="1" x14ac:dyDescent="0.3">
      <c r="A40" s="3">
        <f t="shared" si="1"/>
        <v>37</v>
      </c>
      <c r="B40" s="8" t="s">
        <v>1800</v>
      </c>
      <c r="C40" s="5" t="s">
        <v>1799</v>
      </c>
      <c r="D40" s="6">
        <v>420453125</v>
      </c>
      <c r="E40" s="5" t="s">
        <v>1798</v>
      </c>
      <c r="F40" s="5" t="s">
        <v>58</v>
      </c>
      <c r="G40" s="5" t="s">
        <v>496</v>
      </c>
      <c r="H40" s="2">
        <v>46146</v>
      </c>
      <c r="I40" s="2"/>
      <c r="J40" s="2"/>
      <c r="K40" s="2" t="str">
        <f>IFERROR(VLOOKUP(B40,#REF!,4,0),"")</f>
        <v/>
      </c>
      <c r="L40" s="1" t="s">
        <v>27</v>
      </c>
      <c r="M40" s="1" t="s">
        <v>12</v>
      </c>
      <c r="O40" s="4"/>
      <c r="Q40" s="4"/>
    </row>
    <row r="41" spans="1:17" hidden="1" x14ac:dyDescent="0.3">
      <c r="A41" s="3">
        <f t="shared" si="1"/>
        <v>38</v>
      </c>
      <c r="B41" s="8" t="s">
        <v>1797</v>
      </c>
      <c r="C41" s="5" t="s">
        <v>1796</v>
      </c>
      <c r="D41" s="6">
        <v>428594425</v>
      </c>
      <c r="E41" s="5" t="s">
        <v>384</v>
      </c>
      <c r="F41" s="5" t="s">
        <v>4</v>
      </c>
      <c r="G41" s="5" t="s">
        <v>496</v>
      </c>
      <c r="H41" s="2">
        <v>46146</v>
      </c>
      <c r="I41" s="2"/>
      <c r="J41" s="2"/>
      <c r="K41" s="2" t="str">
        <f>IFERROR(VLOOKUP(B41,#REF!,4,0),"")</f>
        <v/>
      </c>
      <c r="L41" s="1" t="s">
        <v>2</v>
      </c>
      <c r="M41" s="1" t="s">
        <v>17</v>
      </c>
      <c r="O41" s="4"/>
      <c r="Q41" s="4"/>
    </row>
    <row r="42" spans="1:17" hidden="1" x14ac:dyDescent="0.3">
      <c r="A42" s="3">
        <f t="shared" si="1"/>
        <v>39</v>
      </c>
      <c r="B42" s="8" t="s">
        <v>1795</v>
      </c>
      <c r="C42" s="5" t="s">
        <v>1794</v>
      </c>
      <c r="D42" s="6">
        <v>440361546</v>
      </c>
      <c r="E42" s="5" t="s">
        <v>1793</v>
      </c>
      <c r="F42" s="5" t="s">
        <v>36</v>
      </c>
      <c r="G42" s="5" t="s">
        <v>496</v>
      </c>
      <c r="H42" s="2">
        <v>46146</v>
      </c>
      <c r="I42" s="2"/>
      <c r="J42" s="2"/>
      <c r="K42" s="2" t="str">
        <f>IFERROR(VLOOKUP(B42,#REF!,4,0),"")</f>
        <v/>
      </c>
      <c r="L42" s="1" t="s">
        <v>13</v>
      </c>
      <c r="M42" s="1" t="s">
        <v>12</v>
      </c>
      <c r="O42" s="4"/>
      <c r="Q42" s="4"/>
    </row>
    <row r="43" spans="1:17" hidden="1" x14ac:dyDescent="0.3">
      <c r="A43" s="3">
        <f t="shared" si="1"/>
        <v>40</v>
      </c>
      <c r="B43" s="8" t="s">
        <v>1792</v>
      </c>
      <c r="C43" s="5" t="s">
        <v>1791</v>
      </c>
      <c r="D43" s="6">
        <v>410344946</v>
      </c>
      <c r="E43" s="5" t="s">
        <v>1420</v>
      </c>
      <c r="F43" s="5" t="s">
        <v>58</v>
      </c>
      <c r="G43" s="5" t="s">
        <v>496</v>
      </c>
      <c r="H43" s="2">
        <v>46146</v>
      </c>
      <c r="I43" s="2"/>
      <c r="J43" s="2"/>
      <c r="K43" s="2" t="str">
        <f>IFERROR(VLOOKUP(B43,#REF!,4,0),"")</f>
        <v/>
      </c>
      <c r="L43" s="1" t="s">
        <v>27</v>
      </c>
      <c r="M43" s="1" t="s">
        <v>12</v>
      </c>
      <c r="O43" s="4"/>
      <c r="Q43" s="4"/>
    </row>
    <row r="44" spans="1:17" hidden="1" x14ac:dyDescent="0.3">
      <c r="A44" s="3">
        <f t="shared" si="1"/>
        <v>41</v>
      </c>
      <c r="B44" s="8" t="s">
        <v>1790</v>
      </c>
      <c r="C44" s="5" t="s">
        <v>1789</v>
      </c>
      <c r="D44" s="6">
        <v>380922199</v>
      </c>
      <c r="E44" s="5" t="s">
        <v>953</v>
      </c>
      <c r="F44" s="5" t="s">
        <v>4</v>
      </c>
      <c r="G44" s="5" t="s">
        <v>496</v>
      </c>
      <c r="H44" s="2">
        <v>46147</v>
      </c>
      <c r="I44" s="2"/>
      <c r="J44" s="2"/>
      <c r="K44" s="2" t="str">
        <f>IFERROR(VLOOKUP(B44,#REF!,4,0),"")</f>
        <v/>
      </c>
      <c r="L44" s="1" t="s">
        <v>2</v>
      </c>
      <c r="M44" s="1" t="s">
        <v>12</v>
      </c>
      <c r="O44" s="4"/>
      <c r="Q44" s="4"/>
    </row>
    <row r="45" spans="1:17" hidden="1" x14ac:dyDescent="0.3">
      <c r="A45" s="3">
        <f t="shared" si="1"/>
        <v>42</v>
      </c>
      <c r="B45" s="8" t="s">
        <v>1788</v>
      </c>
      <c r="C45" s="5" t="s">
        <v>1787</v>
      </c>
      <c r="D45" s="6">
        <v>517472257</v>
      </c>
      <c r="E45" s="5" t="s">
        <v>1282</v>
      </c>
      <c r="F45" s="5" t="s">
        <v>9</v>
      </c>
      <c r="G45" s="5" t="s">
        <v>496</v>
      </c>
      <c r="H45" s="2">
        <v>46147</v>
      </c>
      <c r="I45" s="2"/>
      <c r="J45" s="2"/>
      <c r="K45" s="2" t="str">
        <f>IFERROR(VLOOKUP(B45,#REF!,4,0),"")</f>
        <v/>
      </c>
      <c r="L45" s="1" t="s">
        <v>20</v>
      </c>
      <c r="M45" s="1" t="s">
        <v>12</v>
      </c>
      <c r="O45" s="4"/>
      <c r="Q45" s="4"/>
    </row>
    <row r="46" spans="1:17" hidden="1" x14ac:dyDescent="0.3">
      <c r="A46" s="3">
        <f t="shared" si="1"/>
        <v>43</v>
      </c>
      <c r="B46" s="8" t="s">
        <v>1786</v>
      </c>
      <c r="C46" s="5" t="s">
        <v>1785</v>
      </c>
      <c r="D46" s="6">
        <v>461232315</v>
      </c>
      <c r="E46" s="5" t="s">
        <v>953</v>
      </c>
      <c r="F46" s="5" t="s">
        <v>4</v>
      </c>
      <c r="G46" s="5" t="s">
        <v>496</v>
      </c>
      <c r="H46" s="2">
        <v>46148</v>
      </c>
      <c r="I46" s="2"/>
      <c r="J46" s="2"/>
      <c r="K46" s="2" t="str">
        <f>IFERROR(VLOOKUP(B46,#REF!,4,0),"")</f>
        <v/>
      </c>
      <c r="L46" s="1" t="s">
        <v>2</v>
      </c>
      <c r="M46" s="1" t="s">
        <v>12</v>
      </c>
      <c r="O46" s="4"/>
      <c r="Q46" s="4"/>
    </row>
    <row r="47" spans="1:17" hidden="1" x14ac:dyDescent="0.3">
      <c r="A47" s="3">
        <f t="shared" si="1"/>
        <v>44</v>
      </c>
      <c r="B47" s="8" t="s">
        <v>473</v>
      </c>
      <c r="C47" s="5" t="s">
        <v>1784</v>
      </c>
      <c r="D47" s="6">
        <v>367336865</v>
      </c>
      <c r="E47" s="5" t="s">
        <v>167</v>
      </c>
      <c r="F47" s="5" t="s">
        <v>9</v>
      </c>
      <c r="G47" s="5" t="s">
        <v>496</v>
      </c>
      <c r="H47" s="2">
        <v>46148</v>
      </c>
      <c r="I47" s="2"/>
      <c r="J47" s="2"/>
      <c r="K47" s="2" t="str">
        <f>IFERROR(VLOOKUP(B47,#REF!,4,0),"")</f>
        <v/>
      </c>
      <c r="L47" s="1" t="s">
        <v>124</v>
      </c>
      <c r="M47" s="1" t="s">
        <v>12</v>
      </c>
      <c r="O47" s="4"/>
      <c r="Q47" s="4"/>
    </row>
    <row r="48" spans="1:17" hidden="1" x14ac:dyDescent="0.3">
      <c r="A48" s="3">
        <f t="shared" si="1"/>
        <v>45</v>
      </c>
      <c r="B48" s="8" t="s">
        <v>1783</v>
      </c>
      <c r="C48" s="5" t="s">
        <v>1782</v>
      </c>
      <c r="D48" s="6">
        <v>531657698</v>
      </c>
      <c r="E48" s="5" t="s">
        <v>426</v>
      </c>
      <c r="F48" s="5" t="s">
        <v>9</v>
      </c>
      <c r="G48" s="5" t="s">
        <v>496</v>
      </c>
      <c r="H48" s="2">
        <v>46151</v>
      </c>
      <c r="I48" s="2"/>
      <c r="J48" s="2"/>
      <c r="K48" s="2" t="str">
        <f>IFERROR(VLOOKUP(B48,#REF!,4,0),"")</f>
        <v/>
      </c>
      <c r="L48" s="1" t="s">
        <v>124</v>
      </c>
      <c r="M48" s="1" t="s">
        <v>17</v>
      </c>
      <c r="O48" s="4">
        <v>7</v>
      </c>
      <c r="Q48" s="4"/>
    </row>
    <row r="49" spans="1:17" hidden="1" x14ac:dyDescent="0.3">
      <c r="A49" s="3">
        <f t="shared" si="1"/>
        <v>46</v>
      </c>
      <c r="B49" s="8" t="s">
        <v>1781</v>
      </c>
      <c r="C49" s="5" t="s">
        <v>1780</v>
      </c>
      <c r="D49" s="6">
        <v>391197391</v>
      </c>
      <c r="E49" s="5" t="s">
        <v>207</v>
      </c>
      <c r="F49" s="5" t="s">
        <v>28</v>
      </c>
      <c r="G49" s="5" t="s">
        <v>496</v>
      </c>
      <c r="H49" s="2">
        <v>46153</v>
      </c>
      <c r="I49" s="2"/>
      <c r="J49" s="2"/>
      <c r="K49" s="2" t="str">
        <f>IFERROR(VLOOKUP(B49,#REF!,4,0),"")</f>
        <v/>
      </c>
      <c r="L49" s="1" t="s">
        <v>27</v>
      </c>
      <c r="M49" s="1" t="s">
        <v>12</v>
      </c>
      <c r="O49" s="4"/>
      <c r="Q49" s="4"/>
    </row>
    <row r="50" spans="1:17" hidden="1" x14ac:dyDescent="0.3">
      <c r="A50" s="3">
        <f t="shared" si="1"/>
        <v>47</v>
      </c>
      <c r="B50" s="8" t="s">
        <v>1779</v>
      </c>
      <c r="C50" s="5" t="s">
        <v>1778</v>
      </c>
      <c r="D50" s="6">
        <v>399049103</v>
      </c>
      <c r="E50" s="5" t="s">
        <v>562</v>
      </c>
      <c r="F50" s="5" t="s">
        <v>48</v>
      </c>
      <c r="G50" s="5" t="s">
        <v>496</v>
      </c>
      <c r="H50" s="2">
        <v>46157</v>
      </c>
      <c r="I50" s="2"/>
      <c r="J50" s="2"/>
      <c r="K50" s="2" t="str">
        <f>IFERROR(VLOOKUP(B50,#REF!,4,0),"")</f>
        <v/>
      </c>
      <c r="L50" s="1" t="s">
        <v>44</v>
      </c>
      <c r="M50" s="1" t="s">
        <v>12</v>
      </c>
      <c r="O50" s="4"/>
      <c r="Q50" s="4"/>
    </row>
    <row r="51" spans="1:17" hidden="1" x14ac:dyDescent="0.3">
      <c r="A51" s="3">
        <f t="shared" si="1"/>
        <v>48</v>
      </c>
      <c r="B51" s="8" t="s">
        <v>1777</v>
      </c>
      <c r="C51" s="5" t="s">
        <v>1776</v>
      </c>
      <c r="D51" s="6">
        <v>378088447</v>
      </c>
      <c r="E51" s="5" t="s">
        <v>711</v>
      </c>
      <c r="F51" s="5" t="s">
        <v>48</v>
      </c>
      <c r="G51" s="5" t="s">
        <v>496</v>
      </c>
      <c r="H51" s="2">
        <v>46157</v>
      </c>
      <c r="I51" s="2"/>
      <c r="J51" s="2"/>
      <c r="K51" s="2" t="str">
        <f>IFERROR(VLOOKUP(B51,#REF!,4,0),"")</f>
        <v/>
      </c>
      <c r="L51" s="1" t="s">
        <v>44</v>
      </c>
      <c r="M51" s="1" t="s">
        <v>12</v>
      </c>
      <c r="O51" s="4"/>
      <c r="Q51" s="4"/>
    </row>
    <row r="52" spans="1:17" hidden="1" x14ac:dyDescent="0.3">
      <c r="A52" s="3">
        <f t="shared" si="1"/>
        <v>49</v>
      </c>
      <c r="B52" s="8" t="s">
        <v>1775</v>
      </c>
      <c r="C52" s="5" t="s">
        <v>1774</v>
      </c>
      <c r="D52" s="6">
        <v>494038219</v>
      </c>
      <c r="E52" s="5" t="s">
        <v>1773</v>
      </c>
      <c r="F52" s="5" t="s">
        <v>9</v>
      </c>
      <c r="G52" s="5" t="s">
        <v>496</v>
      </c>
      <c r="H52" s="2">
        <v>46164</v>
      </c>
      <c r="I52" s="2">
        <v>46178</v>
      </c>
      <c r="J52" s="2"/>
      <c r="K52" s="2" t="str">
        <f>IFERROR(VLOOKUP(B52,#REF!,4,0),"")</f>
        <v/>
      </c>
      <c r="L52" s="1" t="s">
        <v>20</v>
      </c>
      <c r="M52" s="1" t="s">
        <v>12</v>
      </c>
      <c r="O52" s="4"/>
      <c r="Q52" s="4"/>
    </row>
    <row r="53" spans="1:17" hidden="1" x14ac:dyDescent="0.3">
      <c r="A53" s="3">
        <f t="shared" si="1"/>
        <v>50</v>
      </c>
      <c r="B53" s="8" t="s">
        <v>1772</v>
      </c>
      <c r="C53" s="5" t="s">
        <v>1771</v>
      </c>
      <c r="D53" s="6">
        <v>660085738</v>
      </c>
      <c r="E53" s="5" t="s">
        <v>379</v>
      </c>
      <c r="F53" s="5" t="s">
        <v>4</v>
      </c>
      <c r="G53" s="5" t="s">
        <v>3</v>
      </c>
      <c r="H53" s="2"/>
      <c r="I53" s="2"/>
      <c r="J53" s="2">
        <v>46205</v>
      </c>
      <c r="K53" s="2" t="str">
        <f>IFERROR(VLOOKUP(B53,#REF!,4,0),"")</f>
        <v/>
      </c>
      <c r="L53" s="1" t="s">
        <v>2</v>
      </c>
      <c r="M53" s="1" t="s">
        <v>535</v>
      </c>
      <c r="O53" s="4"/>
      <c r="Q53" s="4"/>
    </row>
    <row r="54" spans="1:17" hidden="1" x14ac:dyDescent="0.3">
      <c r="A54" s="3">
        <f t="shared" si="1"/>
        <v>51</v>
      </c>
      <c r="B54" s="8" t="s">
        <v>1770</v>
      </c>
      <c r="C54" s="5" t="s">
        <v>1769</v>
      </c>
      <c r="D54" s="6">
        <v>404143984</v>
      </c>
      <c r="E54" s="5" t="s">
        <v>1009</v>
      </c>
      <c r="F54" s="5" t="s">
        <v>4</v>
      </c>
      <c r="G54" s="5" t="s">
        <v>3</v>
      </c>
      <c r="H54" s="2">
        <v>46155</v>
      </c>
      <c r="I54" s="2"/>
      <c r="J54" s="2">
        <v>46212</v>
      </c>
      <c r="K54" s="2" t="str">
        <f>IFERROR(VLOOKUP(B54,#REF!,4,0),"")</f>
        <v/>
      </c>
      <c r="L54" s="1" t="s">
        <v>77</v>
      </c>
      <c r="M54" s="1" t="s">
        <v>12</v>
      </c>
      <c r="O54" s="4"/>
      <c r="Q54" s="4"/>
    </row>
    <row r="55" spans="1:17" hidden="1" x14ac:dyDescent="0.3">
      <c r="A55" s="3">
        <f t="shared" si="1"/>
        <v>52</v>
      </c>
      <c r="B55" s="8" t="s">
        <v>1768</v>
      </c>
      <c r="C55" s="5" t="s">
        <v>1767</v>
      </c>
      <c r="D55" s="6">
        <v>370188281</v>
      </c>
      <c r="E55" s="5" t="s">
        <v>879</v>
      </c>
      <c r="F55" s="5" t="s">
        <v>4</v>
      </c>
      <c r="G55" s="5" t="s">
        <v>3</v>
      </c>
      <c r="H55" s="2">
        <v>46167</v>
      </c>
      <c r="I55" s="2">
        <v>46192</v>
      </c>
      <c r="J55" s="2">
        <v>46212</v>
      </c>
      <c r="K55" s="2" t="str">
        <f>IFERROR(VLOOKUP(B55,#REF!,4,0),"")</f>
        <v/>
      </c>
      <c r="L55" s="1" t="s">
        <v>77</v>
      </c>
      <c r="M55" s="1" t="s">
        <v>12</v>
      </c>
      <c r="O55" s="4" t="s">
        <v>0</v>
      </c>
      <c r="Q55" s="4" t="s">
        <v>0</v>
      </c>
    </row>
    <row r="56" spans="1:17" hidden="1" x14ac:dyDescent="0.3">
      <c r="A56" s="3">
        <f t="shared" si="1"/>
        <v>53</v>
      </c>
      <c r="B56" s="8" t="s">
        <v>1766</v>
      </c>
      <c r="C56" s="5" t="s">
        <v>1765</v>
      </c>
      <c r="D56" s="6">
        <v>451786522</v>
      </c>
      <c r="E56" s="5" t="s">
        <v>37</v>
      </c>
      <c r="F56" s="5" t="s">
        <v>36</v>
      </c>
      <c r="G56" s="5" t="s">
        <v>3</v>
      </c>
      <c r="H56" s="2">
        <v>46160</v>
      </c>
      <c r="I56" s="2">
        <v>46191</v>
      </c>
      <c r="J56" s="2">
        <v>46230</v>
      </c>
      <c r="K56" s="2" t="str">
        <f>IFERROR(VLOOKUP(B56,#REF!,4,0),"")</f>
        <v/>
      </c>
      <c r="L56" s="1" t="s">
        <v>13</v>
      </c>
      <c r="M56" s="1" t="s">
        <v>12</v>
      </c>
      <c r="O56" s="4" t="s">
        <v>0</v>
      </c>
      <c r="Q56" s="4" t="s">
        <v>0</v>
      </c>
    </row>
    <row r="57" spans="1:17" hidden="1" x14ac:dyDescent="0.3">
      <c r="A57" s="3">
        <f t="shared" si="1"/>
        <v>54</v>
      </c>
      <c r="B57" s="8" t="s">
        <v>1764</v>
      </c>
      <c r="C57" s="5" t="s">
        <v>1763</v>
      </c>
      <c r="D57" s="6">
        <v>418222894</v>
      </c>
      <c r="E57" s="5" t="s">
        <v>523</v>
      </c>
      <c r="F57" s="5" t="s">
        <v>4</v>
      </c>
      <c r="G57" s="5" t="s">
        <v>3</v>
      </c>
      <c r="H57" s="2">
        <v>46167</v>
      </c>
      <c r="I57" s="2">
        <v>46198</v>
      </c>
      <c r="J57" s="2">
        <v>46231</v>
      </c>
      <c r="K57" s="2" t="str">
        <f>IFERROR(VLOOKUP(B57,#REF!,4,0),"")</f>
        <v/>
      </c>
      <c r="L57" s="1" t="s">
        <v>2</v>
      </c>
      <c r="M57" s="1" t="s">
        <v>12</v>
      </c>
      <c r="O57" s="4" t="s">
        <v>0</v>
      </c>
      <c r="Q57" s="4" t="s">
        <v>0</v>
      </c>
    </row>
    <row r="58" spans="1:17" hidden="1" x14ac:dyDescent="0.3">
      <c r="A58" s="3">
        <f t="shared" si="1"/>
        <v>55</v>
      </c>
      <c r="B58" s="8" t="s">
        <v>1762</v>
      </c>
      <c r="C58" s="5" t="s">
        <v>1761</v>
      </c>
      <c r="D58" s="6">
        <v>504716555</v>
      </c>
      <c r="E58" s="5" t="s">
        <v>426</v>
      </c>
      <c r="F58" s="5" t="s">
        <v>9</v>
      </c>
      <c r="G58" s="5" t="s">
        <v>3</v>
      </c>
      <c r="H58" s="2">
        <v>46146</v>
      </c>
      <c r="I58" s="2"/>
      <c r="J58" s="2"/>
      <c r="K58" s="2" t="str">
        <f>IFERROR(VLOOKUP(B58,#REF!,4,0),"")</f>
        <v/>
      </c>
      <c r="L58" s="1" t="s">
        <v>124</v>
      </c>
      <c r="M58" s="1" t="s">
        <v>12</v>
      </c>
      <c r="O58" s="4"/>
      <c r="Q58" s="4"/>
    </row>
    <row r="59" spans="1:17" hidden="1" x14ac:dyDescent="0.3">
      <c r="A59" s="3">
        <f t="shared" si="1"/>
        <v>56</v>
      </c>
      <c r="B59" s="8" t="s">
        <v>1760</v>
      </c>
      <c r="C59" s="5" t="s">
        <v>1759</v>
      </c>
      <c r="D59" s="6">
        <v>412104051</v>
      </c>
      <c r="E59" s="5" t="s">
        <v>167</v>
      </c>
      <c r="F59" s="5" t="s">
        <v>9</v>
      </c>
      <c r="G59" s="5" t="s">
        <v>3</v>
      </c>
      <c r="H59" s="2">
        <v>46147</v>
      </c>
      <c r="I59" s="2"/>
      <c r="J59" s="2"/>
      <c r="K59" s="2" t="str">
        <f>IFERROR(VLOOKUP(B59,#REF!,4,0),"")</f>
        <v/>
      </c>
      <c r="L59" s="1" t="s">
        <v>124</v>
      </c>
      <c r="M59" s="1" t="s">
        <v>12</v>
      </c>
      <c r="O59" s="4"/>
      <c r="Q59" s="4"/>
    </row>
    <row r="60" spans="1:17" hidden="1" x14ac:dyDescent="0.3">
      <c r="A60" s="3">
        <f t="shared" si="1"/>
        <v>57</v>
      </c>
      <c r="B60" s="8" t="s">
        <v>1758</v>
      </c>
      <c r="C60" s="5" t="s">
        <v>1757</v>
      </c>
      <c r="D60" s="6">
        <v>441236642</v>
      </c>
      <c r="E60" s="5" t="s">
        <v>316</v>
      </c>
      <c r="F60" s="5" t="s">
        <v>9</v>
      </c>
      <c r="G60" s="5" t="s">
        <v>3</v>
      </c>
      <c r="H60" s="2">
        <v>46161</v>
      </c>
      <c r="I60" s="2"/>
      <c r="J60" s="2"/>
      <c r="K60" s="2" t="str">
        <f>IFERROR(VLOOKUP(B60,#REF!,4,0),"")</f>
        <v/>
      </c>
      <c r="L60" s="1" t="s">
        <v>20</v>
      </c>
      <c r="M60" s="1" t="s">
        <v>12</v>
      </c>
      <c r="O60" s="4"/>
      <c r="Q60" s="4"/>
    </row>
    <row r="61" spans="1:17" hidden="1" x14ac:dyDescent="0.3">
      <c r="A61" s="3">
        <f t="shared" si="1"/>
        <v>58</v>
      </c>
      <c r="B61" s="8" t="s">
        <v>1756</v>
      </c>
      <c r="C61" s="5" t="s">
        <v>1755</v>
      </c>
      <c r="D61" s="6">
        <v>492652680</v>
      </c>
      <c r="E61" s="5" t="s">
        <v>1522</v>
      </c>
      <c r="F61" s="5" t="s">
        <v>40</v>
      </c>
      <c r="G61" s="5" t="s">
        <v>3</v>
      </c>
      <c r="H61" s="2">
        <v>46172</v>
      </c>
      <c r="I61" s="2"/>
      <c r="J61" s="2"/>
      <c r="K61" s="2" t="str">
        <f>IFERROR(VLOOKUP(B61,#REF!,4,0),"")</f>
        <v/>
      </c>
      <c r="L61" s="1" t="s">
        <v>27</v>
      </c>
      <c r="M61" s="1" t="s">
        <v>12</v>
      </c>
      <c r="O61" s="4"/>
      <c r="Q61" s="4"/>
    </row>
    <row r="62" spans="1:17" hidden="1" x14ac:dyDescent="0.3">
      <c r="A62" s="3">
        <f t="shared" si="1"/>
        <v>59</v>
      </c>
      <c r="B62" s="8" t="s">
        <v>1754</v>
      </c>
      <c r="C62" s="5" t="s">
        <v>1753</v>
      </c>
      <c r="D62" s="6">
        <v>396258298</v>
      </c>
      <c r="E62" s="5" t="s">
        <v>1415</v>
      </c>
      <c r="F62" s="5" t="s">
        <v>36</v>
      </c>
      <c r="G62" s="5" t="s">
        <v>3</v>
      </c>
      <c r="H62" s="2"/>
      <c r="I62" s="2">
        <v>46182</v>
      </c>
      <c r="J62" s="2"/>
      <c r="K62" s="2" t="str">
        <f>IFERROR(VLOOKUP(B62,#REF!,4,0),"")</f>
        <v/>
      </c>
      <c r="L62" s="1" t="s">
        <v>13</v>
      </c>
      <c r="M62" s="1" t="s">
        <v>12</v>
      </c>
      <c r="O62" s="4"/>
      <c r="Q62" s="4"/>
    </row>
    <row r="63" spans="1:17" hidden="1" x14ac:dyDescent="0.3">
      <c r="A63" s="3">
        <f t="shared" si="1"/>
        <v>60</v>
      </c>
      <c r="B63" s="8" t="s">
        <v>1752</v>
      </c>
      <c r="C63" s="5" t="s">
        <v>1751</v>
      </c>
      <c r="D63" s="6">
        <v>395947259</v>
      </c>
      <c r="E63" s="5" t="s">
        <v>167</v>
      </c>
      <c r="F63" s="5" t="s">
        <v>9</v>
      </c>
      <c r="G63" s="5" t="s">
        <v>496</v>
      </c>
      <c r="H63" s="2">
        <v>46147</v>
      </c>
      <c r="I63" s="2"/>
      <c r="J63" s="2"/>
      <c r="K63" s="2" t="str">
        <f>IFERROR(VLOOKUP(B63,#REF!,4,0),"")</f>
        <v/>
      </c>
      <c r="L63" s="1" t="s">
        <v>124</v>
      </c>
      <c r="M63" s="1" t="s">
        <v>12</v>
      </c>
      <c r="O63" s="4"/>
      <c r="Q63" s="4"/>
    </row>
    <row r="64" spans="1:17" hidden="1" x14ac:dyDescent="0.3">
      <c r="A64" s="3">
        <f t="shared" si="1"/>
        <v>61</v>
      </c>
      <c r="B64" s="8" t="s">
        <v>1750</v>
      </c>
      <c r="C64" s="5" t="s">
        <v>1749</v>
      </c>
      <c r="D64" s="6">
        <v>399633965</v>
      </c>
      <c r="E64" s="5" t="s">
        <v>55</v>
      </c>
      <c r="F64" s="5" t="s">
        <v>9</v>
      </c>
      <c r="G64" s="5" t="s">
        <v>496</v>
      </c>
      <c r="H64" s="2">
        <v>46153</v>
      </c>
      <c r="I64" s="2"/>
      <c r="J64" s="2"/>
      <c r="K64" s="2" t="str">
        <f>IFERROR(VLOOKUP(B64,#REF!,4,0),"")</f>
        <v/>
      </c>
      <c r="L64" s="1" t="s">
        <v>20</v>
      </c>
      <c r="M64" s="1" t="s">
        <v>12</v>
      </c>
      <c r="O64" s="4"/>
      <c r="Q64" s="4"/>
    </row>
    <row r="65" spans="1:17" hidden="1" x14ac:dyDescent="0.3">
      <c r="A65" s="3">
        <f t="shared" si="1"/>
        <v>62</v>
      </c>
      <c r="B65" s="8" t="s">
        <v>1748</v>
      </c>
      <c r="C65" s="5" t="s">
        <v>1747</v>
      </c>
      <c r="D65" s="6">
        <v>477982009</v>
      </c>
      <c r="E65" s="5" t="s">
        <v>14</v>
      </c>
      <c r="F65" s="5" t="s">
        <v>9</v>
      </c>
      <c r="G65" s="5" t="s">
        <v>496</v>
      </c>
      <c r="H65" s="2">
        <v>46157</v>
      </c>
      <c r="I65" s="2"/>
      <c r="J65" s="2"/>
      <c r="K65" s="2" t="str">
        <f>IFERROR(VLOOKUP(B65,#REF!,4,0),"")</f>
        <v/>
      </c>
      <c r="L65" s="1" t="s">
        <v>13</v>
      </c>
      <c r="M65" s="1" t="s">
        <v>12</v>
      </c>
      <c r="O65" s="4"/>
      <c r="Q65" s="4"/>
    </row>
    <row r="66" spans="1:17" hidden="1" x14ac:dyDescent="0.3">
      <c r="A66" s="3">
        <f t="shared" si="1"/>
        <v>63</v>
      </c>
      <c r="B66" s="8" t="s">
        <v>1746</v>
      </c>
      <c r="C66" s="5" t="s">
        <v>1745</v>
      </c>
      <c r="D66" s="6">
        <v>482227938</v>
      </c>
      <c r="E66" s="5" t="s">
        <v>1744</v>
      </c>
      <c r="F66" s="5" t="s">
        <v>48</v>
      </c>
      <c r="G66" s="5" t="s">
        <v>496</v>
      </c>
      <c r="H66" s="2">
        <v>46164</v>
      </c>
      <c r="I66" s="2">
        <v>46182</v>
      </c>
      <c r="J66" s="2"/>
      <c r="K66" s="2" t="str">
        <f>IFERROR(VLOOKUP(B66,#REF!,4,0),"")</f>
        <v/>
      </c>
      <c r="L66" s="1" t="s">
        <v>44</v>
      </c>
      <c r="M66" s="1" t="s">
        <v>17</v>
      </c>
      <c r="O66" s="4"/>
      <c r="Q66" s="4"/>
    </row>
    <row r="67" spans="1:17" hidden="1" x14ac:dyDescent="0.3">
      <c r="A67" s="3">
        <f t="shared" si="1"/>
        <v>64</v>
      </c>
      <c r="B67" s="10" t="s">
        <v>1743</v>
      </c>
      <c r="C67" s="5" t="s">
        <v>1742</v>
      </c>
      <c r="D67" s="6">
        <v>385687796</v>
      </c>
      <c r="E67" s="5" t="s">
        <v>1142</v>
      </c>
      <c r="F67" s="5" t="s">
        <v>1522</v>
      </c>
      <c r="G67" s="5" t="s">
        <v>3</v>
      </c>
      <c r="H67" s="2"/>
      <c r="I67" s="2"/>
      <c r="J67" s="2"/>
      <c r="K67" s="2" t="str">
        <f>IFERROR(VLOOKUP(B67,#REF!,4,0),"")</f>
        <v/>
      </c>
      <c r="L67" s="1" t="s">
        <v>27</v>
      </c>
      <c r="M67" s="1" t="s">
        <v>12</v>
      </c>
      <c r="N67" s="1" t="s">
        <v>1700</v>
      </c>
      <c r="O67" s="4"/>
      <c r="Q67" s="4"/>
    </row>
    <row r="68" spans="1:17" hidden="1" x14ac:dyDescent="0.3">
      <c r="A68" s="3">
        <f t="shared" si="1"/>
        <v>65</v>
      </c>
      <c r="B68" s="8" t="s">
        <v>1741</v>
      </c>
      <c r="C68" s="5" t="s">
        <v>1740</v>
      </c>
      <c r="D68" s="6">
        <v>434610705</v>
      </c>
      <c r="E68" s="5" t="s">
        <v>1739</v>
      </c>
      <c r="F68" s="5" t="s">
        <v>9</v>
      </c>
      <c r="G68" s="5" t="s">
        <v>3</v>
      </c>
      <c r="H68" s="2">
        <v>46158</v>
      </c>
      <c r="I68" s="2">
        <v>46179</v>
      </c>
      <c r="J68" s="2">
        <v>46205</v>
      </c>
      <c r="K68" s="2" t="str">
        <f>IFERROR(VLOOKUP(B68,#REF!,4,0),"")</f>
        <v/>
      </c>
      <c r="L68" s="1" t="s">
        <v>20</v>
      </c>
      <c r="M68" s="1" t="s">
        <v>12</v>
      </c>
      <c r="O68" s="4" t="s">
        <v>0</v>
      </c>
      <c r="Q68" s="4" t="s">
        <v>0</v>
      </c>
    </row>
    <row r="69" spans="1:17" hidden="1" x14ac:dyDescent="0.3">
      <c r="A69" s="3">
        <f t="shared" ref="A69:A100" si="2">1+A68</f>
        <v>66</v>
      </c>
      <c r="B69" s="10" t="s">
        <v>1738</v>
      </c>
      <c r="C69" s="5" t="s">
        <v>1737</v>
      </c>
      <c r="D69" s="6">
        <v>394819751</v>
      </c>
      <c r="E69" s="5" t="s">
        <v>330</v>
      </c>
      <c r="F69" s="5" t="s">
        <v>48</v>
      </c>
      <c r="G69" s="5" t="s">
        <v>3</v>
      </c>
      <c r="H69" s="2">
        <v>46162</v>
      </c>
      <c r="I69" s="2">
        <v>46200</v>
      </c>
      <c r="J69" s="2">
        <v>46212</v>
      </c>
      <c r="K69" s="2" t="str">
        <f>IFERROR(VLOOKUP(B69,#REF!,4,0),"")</f>
        <v/>
      </c>
      <c r="L69" s="1" t="s">
        <v>44</v>
      </c>
      <c r="M69" s="1" t="s">
        <v>12</v>
      </c>
      <c r="O69" s="4"/>
      <c r="Q69" s="4"/>
    </row>
    <row r="70" spans="1:17" hidden="1" x14ac:dyDescent="0.3">
      <c r="A70" s="3">
        <f t="shared" si="2"/>
        <v>67</v>
      </c>
      <c r="B70" s="8" t="s">
        <v>1736</v>
      </c>
      <c r="C70" s="5" t="s">
        <v>1735</v>
      </c>
      <c r="D70" s="6">
        <v>348965490</v>
      </c>
      <c r="E70" s="5" t="s">
        <v>586</v>
      </c>
      <c r="F70" s="5" t="s">
        <v>36</v>
      </c>
      <c r="G70" s="5" t="s">
        <v>3</v>
      </c>
      <c r="H70" s="2"/>
      <c r="I70" s="2">
        <v>46176</v>
      </c>
      <c r="J70" s="2">
        <v>46212</v>
      </c>
      <c r="K70" s="2" t="str">
        <f>IFERROR(VLOOKUP(B70,#REF!,4,0),"")</f>
        <v/>
      </c>
      <c r="L70" s="1" t="s">
        <v>13</v>
      </c>
      <c r="M70" s="1" t="s">
        <v>12</v>
      </c>
      <c r="O70" s="4"/>
      <c r="Q70" s="4"/>
    </row>
    <row r="71" spans="1:17" hidden="1" x14ac:dyDescent="0.3">
      <c r="A71" s="3">
        <f t="shared" si="2"/>
        <v>68</v>
      </c>
      <c r="B71" s="8" t="s">
        <v>1734</v>
      </c>
      <c r="C71" s="5" t="s">
        <v>1733</v>
      </c>
      <c r="D71" s="6">
        <v>456463624</v>
      </c>
      <c r="E71" s="5" t="s">
        <v>373</v>
      </c>
      <c r="F71" s="5" t="s">
        <v>4</v>
      </c>
      <c r="G71" s="5" t="s">
        <v>3</v>
      </c>
      <c r="H71" s="2">
        <v>46153</v>
      </c>
      <c r="I71" s="2">
        <v>46191</v>
      </c>
      <c r="J71" s="2">
        <v>46220</v>
      </c>
      <c r="K71" s="2" t="str">
        <f>IFERROR(VLOOKUP(B71,#REF!,4,0),"")</f>
        <v/>
      </c>
      <c r="L71" s="1" t="s">
        <v>2</v>
      </c>
      <c r="M71" s="1" t="s">
        <v>12</v>
      </c>
      <c r="O71" s="4" t="s">
        <v>0</v>
      </c>
      <c r="Q71" s="4" t="s">
        <v>0</v>
      </c>
    </row>
    <row r="72" spans="1:17" hidden="1" x14ac:dyDescent="0.3">
      <c r="A72" s="3">
        <f t="shared" si="2"/>
        <v>69</v>
      </c>
      <c r="B72" s="8" t="s">
        <v>1732</v>
      </c>
      <c r="C72" s="5" t="s">
        <v>1731</v>
      </c>
      <c r="D72" s="6">
        <v>408283376</v>
      </c>
      <c r="E72" s="5" t="s">
        <v>316</v>
      </c>
      <c r="F72" s="5" t="s">
        <v>9</v>
      </c>
      <c r="G72" s="5" t="s">
        <v>3</v>
      </c>
      <c r="H72" s="2">
        <v>46158</v>
      </c>
      <c r="I72" s="2">
        <v>46188</v>
      </c>
      <c r="J72" s="2">
        <v>46224</v>
      </c>
      <c r="K72" s="2" t="str">
        <f>IFERROR(VLOOKUP(B72,#REF!,4,0),"")</f>
        <v/>
      </c>
      <c r="L72" s="1" t="s">
        <v>20</v>
      </c>
      <c r="M72" s="1" t="s">
        <v>12</v>
      </c>
      <c r="O72" s="4" t="s">
        <v>0</v>
      </c>
      <c r="Q72" s="4" t="s">
        <v>0</v>
      </c>
    </row>
    <row r="73" spans="1:17" hidden="1" x14ac:dyDescent="0.3">
      <c r="A73" s="3">
        <f t="shared" si="2"/>
        <v>70</v>
      </c>
      <c r="B73" s="8" t="s">
        <v>1730</v>
      </c>
      <c r="C73" s="5" t="s">
        <v>1729</v>
      </c>
      <c r="D73" s="6">
        <v>401142151</v>
      </c>
      <c r="E73" s="5" t="s">
        <v>316</v>
      </c>
      <c r="F73" s="5" t="s">
        <v>9</v>
      </c>
      <c r="G73" s="5" t="s">
        <v>3</v>
      </c>
      <c r="H73" s="2"/>
      <c r="I73" s="2"/>
      <c r="J73" s="2">
        <v>46224</v>
      </c>
      <c r="K73" s="2" t="str">
        <f>IFERROR(VLOOKUP(B73,#REF!,4,0),"")</f>
        <v/>
      </c>
      <c r="L73" s="1" t="s">
        <v>20</v>
      </c>
      <c r="M73" s="1" t="s">
        <v>12</v>
      </c>
      <c r="O73" s="4"/>
      <c r="Q73" s="4"/>
    </row>
    <row r="74" spans="1:17" hidden="1" x14ac:dyDescent="0.3">
      <c r="A74" s="3">
        <f t="shared" si="2"/>
        <v>71</v>
      </c>
      <c r="B74" s="8" t="s">
        <v>1728</v>
      </c>
      <c r="C74" s="5" t="s">
        <v>1727</v>
      </c>
      <c r="D74" s="6">
        <v>407382649</v>
      </c>
      <c r="E74" s="5" t="s">
        <v>1707</v>
      </c>
      <c r="F74" s="5" t="s">
        <v>28</v>
      </c>
      <c r="G74" s="5" t="s">
        <v>3</v>
      </c>
      <c r="H74" s="2">
        <v>46158</v>
      </c>
      <c r="I74" s="2">
        <v>46191</v>
      </c>
      <c r="J74" s="2">
        <v>46226</v>
      </c>
      <c r="K74" s="2" t="str">
        <f>IFERROR(VLOOKUP(B74,#REF!,4,0),"")</f>
        <v/>
      </c>
      <c r="L74" s="1" t="s">
        <v>27</v>
      </c>
      <c r="M74" s="1" t="s">
        <v>12</v>
      </c>
      <c r="O74" s="4" t="s">
        <v>0</v>
      </c>
      <c r="Q74" s="4" t="s">
        <v>0</v>
      </c>
    </row>
    <row r="75" spans="1:17" hidden="1" x14ac:dyDescent="0.3">
      <c r="A75" s="3">
        <f t="shared" si="2"/>
        <v>72</v>
      </c>
      <c r="B75" s="8" t="s">
        <v>1726</v>
      </c>
      <c r="C75" s="5" t="s">
        <v>1725</v>
      </c>
      <c r="D75" s="6">
        <v>420036487</v>
      </c>
      <c r="E75" s="5" t="s">
        <v>373</v>
      </c>
      <c r="F75" s="5" t="s">
        <v>4</v>
      </c>
      <c r="G75" s="5" t="s">
        <v>3</v>
      </c>
      <c r="H75" s="2">
        <v>46168</v>
      </c>
      <c r="I75" s="2">
        <v>46192</v>
      </c>
      <c r="J75" s="2">
        <v>46226</v>
      </c>
      <c r="K75" s="2" t="str">
        <f>IFERROR(VLOOKUP(B75,#REF!,4,0),"")</f>
        <v/>
      </c>
      <c r="M75" s="1" t="s">
        <v>12</v>
      </c>
      <c r="O75" s="4" t="s">
        <v>0</v>
      </c>
      <c r="Q75" s="4" t="s">
        <v>0</v>
      </c>
    </row>
    <row r="76" spans="1:17" hidden="1" x14ac:dyDescent="0.3">
      <c r="A76" s="3">
        <f t="shared" si="2"/>
        <v>73</v>
      </c>
      <c r="B76" s="8" t="s">
        <v>1724</v>
      </c>
      <c r="C76" s="5" t="s">
        <v>1723</v>
      </c>
      <c r="D76" s="6">
        <v>468312903</v>
      </c>
      <c r="E76" s="5" t="s">
        <v>373</v>
      </c>
      <c r="F76" s="5" t="s">
        <v>4</v>
      </c>
      <c r="G76" s="5" t="s">
        <v>3</v>
      </c>
      <c r="H76" s="2">
        <v>46161</v>
      </c>
      <c r="I76" s="2">
        <v>46198</v>
      </c>
      <c r="J76" s="2">
        <v>46227</v>
      </c>
      <c r="K76" s="2" t="str">
        <f>IFERROR(VLOOKUP(B76,#REF!,4,0),"")</f>
        <v/>
      </c>
      <c r="M76" s="1" t="s">
        <v>17</v>
      </c>
      <c r="O76" s="4" t="s">
        <v>0</v>
      </c>
      <c r="Q76" s="4" t="s">
        <v>0</v>
      </c>
    </row>
    <row r="77" spans="1:17" hidden="1" x14ac:dyDescent="0.3">
      <c r="A77" s="3">
        <f t="shared" si="2"/>
        <v>74</v>
      </c>
      <c r="B77" s="8" t="s">
        <v>1722</v>
      </c>
      <c r="C77" s="5" t="s">
        <v>1721</v>
      </c>
      <c r="D77" s="6">
        <v>675403432</v>
      </c>
      <c r="E77" s="5" t="s">
        <v>1720</v>
      </c>
      <c r="F77" s="5" t="s">
        <v>36</v>
      </c>
      <c r="G77" s="5" t="s">
        <v>3</v>
      </c>
      <c r="H77" s="2">
        <v>46148</v>
      </c>
      <c r="I77" s="2"/>
      <c r="J77" s="2"/>
      <c r="K77" s="2" t="str">
        <f>IFERROR(VLOOKUP(B77,#REF!,4,0),"")</f>
        <v/>
      </c>
      <c r="L77" s="1" t="s">
        <v>13</v>
      </c>
      <c r="M77" s="1" t="s">
        <v>12</v>
      </c>
      <c r="O77" s="4"/>
      <c r="Q77" s="4"/>
    </row>
    <row r="78" spans="1:17" hidden="1" x14ac:dyDescent="0.3">
      <c r="A78" s="3">
        <f t="shared" si="2"/>
        <v>75</v>
      </c>
      <c r="B78" s="8" t="s">
        <v>1719</v>
      </c>
      <c r="C78" s="5" t="s">
        <v>1718</v>
      </c>
      <c r="D78" s="6">
        <v>471351574</v>
      </c>
      <c r="E78" s="5" t="s">
        <v>210</v>
      </c>
      <c r="F78" s="5" t="s">
        <v>9</v>
      </c>
      <c r="G78" s="5" t="s">
        <v>3</v>
      </c>
      <c r="H78" s="2">
        <v>46163</v>
      </c>
      <c r="I78" s="2"/>
      <c r="J78" s="2"/>
      <c r="K78" s="2" t="str">
        <f>IFERROR(VLOOKUP(B78,#REF!,4,0),"")</f>
        <v/>
      </c>
      <c r="L78" s="1" t="s">
        <v>124</v>
      </c>
      <c r="M78" s="1" t="s">
        <v>17</v>
      </c>
      <c r="O78" s="4"/>
      <c r="Q78" s="4"/>
    </row>
    <row r="79" spans="1:17" hidden="1" x14ac:dyDescent="0.3">
      <c r="A79" s="3">
        <f t="shared" si="2"/>
        <v>76</v>
      </c>
      <c r="B79" s="8" t="s">
        <v>1717</v>
      </c>
      <c r="C79" s="5" t="s">
        <v>1716</v>
      </c>
      <c r="D79" s="6">
        <v>454711878</v>
      </c>
      <c r="E79" s="5" t="s">
        <v>210</v>
      </c>
      <c r="F79" s="5" t="s">
        <v>9</v>
      </c>
      <c r="G79" s="5" t="s">
        <v>3</v>
      </c>
      <c r="H79" s="2"/>
      <c r="I79" s="2">
        <v>46181</v>
      </c>
      <c r="J79" s="2"/>
      <c r="K79" s="2" t="str">
        <f>IFERROR(VLOOKUP(B79,#REF!,4,0),"")</f>
        <v/>
      </c>
      <c r="L79" s="1" t="s">
        <v>124</v>
      </c>
      <c r="M79" s="1" t="s">
        <v>12</v>
      </c>
      <c r="O79" s="4"/>
      <c r="Q79" s="4"/>
    </row>
    <row r="80" spans="1:17" hidden="1" x14ac:dyDescent="0.3">
      <c r="A80" s="3">
        <f t="shared" si="2"/>
        <v>77</v>
      </c>
      <c r="B80" s="8" t="s">
        <v>1715</v>
      </c>
      <c r="C80" s="5" t="s">
        <v>1714</v>
      </c>
      <c r="D80" s="6">
        <v>406980888</v>
      </c>
      <c r="E80" s="5" t="s">
        <v>461</v>
      </c>
      <c r="F80" s="5" t="s">
        <v>28</v>
      </c>
      <c r="G80" s="5" t="s">
        <v>3</v>
      </c>
      <c r="H80" s="2"/>
      <c r="I80" s="2">
        <v>46182</v>
      </c>
      <c r="J80" s="2"/>
      <c r="K80" s="2" t="str">
        <f>IFERROR(VLOOKUP(B80,#REF!,4,0),"")</f>
        <v/>
      </c>
      <c r="L80" s="1" t="s">
        <v>27</v>
      </c>
      <c r="M80" s="1" t="s">
        <v>12</v>
      </c>
      <c r="O80" s="4"/>
      <c r="Q80" s="4"/>
    </row>
    <row r="81" spans="1:17" hidden="1" x14ac:dyDescent="0.3">
      <c r="A81" s="3">
        <f t="shared" si="2"/>
        <v>78</v>
      </c>
      <c r="B81" s="8" t="s">
        <v>1713</v>
      </c>
      <c r="C81" s="5" t="s">
        <v>1712</v>
      </c>
      <c r="D81" s="6">
        <v>373981959</v>
      </c>
      <c r="E81" s="5" t="s">
        <v>461</v>
      </c>
      <c r="F81" s="5" t="s">
        <v>28</v>
      </c>
      <c r="G81" s="5" t="s">
        <v>496</v>
      </c>
      <c r="H81" s="2">
        <v>46150</v>
      </c>
      <c r="I81" s="2"/>
      <c r="J81" s="2"/>
      <c r="K81" s="2" t="str">
        <f>IFERROR(VLOOKUP(B81,#REF!,4,0),"")</f>
        <v/>
      </c>
      <c r="L81" s="1" t="s">
        <v>27</v>
      </c>
      <c r="M81" s="1" t="s">
        <v>12</v>
      </c>
      <c r="O81" s="4"/>
      <c r="Q81" s="4"/>
    </row>
    <row r="82" spans="1:17" hidden="1" x14ac:dyDescent="0.3">
      <c r="A82" s="3">
        <f t="shared" si="2"/>
        <v>79</v>
      </c>
      <c r="B82" s="8" t="s">
        <v>1711</v>
      </c>
      <c r="C82" s="5" t="s">
        <v>1710</v>
      </c>
      <c r="D82" s="6">
        <v>486736930</v>
      </c>
      <c r="E82" s="5" t="s">
        <v>131</v>
      </c>
      <c r="F82" s="5" t="s">
        <v>9</v>
      </c>
      <c r="G82" s="5" t="s">
        <v>496</v>
      </c>
      <c r="H82" s="2">
        <v>46154</v>
      </c>
      <c r="I82" s="2"/>
      <c r="J82" s="2"/>
      <c r="K82" s="2" t="str">
        <f>IFERROR(VLOOKUP(B82,#REF!,4,0),"")</f>
        <v/>
      </c>
      <c r="L82" s="1" t="s">
        <v>124</v>
      </c>
      <c r="M82" s="1" t="s">
        <v>12</v>
      </c>
      <c r="O82" s="4"/>
      <c r="Q82" s="4"/>
    </row>
    <row r="83" spans="1:17" hidden="1" x14ac:dyDescent="0.3">
      <c r="A83" s="3">
        <f t="shared" si="2"/>
        <v>80</v>
      </c>
      <c r="B83" s="8" t="s">
        <v>1709</v>
      </c>
      <c r="C83" s="5" t="s">
        <v>1708</v>
      </c>
      <c r="D83" s="6">
        <v>335052424</v>
      </c>
      <c r="E83" s="5" t="s">
        <v>1707</v>
      </c>
      <c r="F83" s="5" t="s">
        <v>28</v>
      </c>
      <c r="G83" s="5" t="s">
        <v>496</v>
      </c>
      <c r="H83" s="2">
        <v>46157</v>
      </c>
      <c r="I83" s="2"/>
      <c r="J83" s="2"/>
      <c r="K83" s="2" t="str">
        <f>IFERROR(VLOOKUP(B83,#REF!,4,0),"")</f>
        <v/>
      </c>
      <c r="L83" s="1" t="s">
        <v>27</v>
      </c>
      <c r="M83" s="1" t="s">
        <v>12</v>
      </c>
      <c r="O83" s="4"/>
      <c r="Q83" s="4"/>
    </row>
    <row r="84" spans="1:17" hidden="1" x14ac:dyDescent="0.3">
      <c r="A84" s="3">
        <f t="shared" si="2"/>
        <v>81</v>
      </c>
      <c r="B84" s="8" t="s">
        <v>1706</v>
      </c>
      <c r="C84" s="5" t="s">
        <v>1705</v>
      </c>
      <c r="D84" s="6">
        <v>430405250</v>
      </c>
      <c r="E84" s="5" t="s">
        <v>204</v>
      </c>
      <c r="F84" s="5" t="s">
        <v>36</v>
      </c>
      <c r="G84" s="5" t="s">
        <v>496</v>
      </c>
      <c r="H84" s="2">
        <v>46157</v>
      </c>
      <c r="I84" s="2"/>
      <c r="J84" s="2"/>
      <c r="K84" s="2" t="str">
        <f>IFERROR(VLOOKUP(B84,#REF!,4,0),"")</f>
        <v/>
      </c>
      <c r="L84" s="1" t="s">
        <v>13</v>
      </c>
      <c r="M84" s="1" t="s">
        <v>12</v>
      </c>
      <c r="O84" s="4"/>
      <c r="Q84" s="4"/>
    </row>
    <row r="85" spans="1:17" hidden="1" x14ac:dyDescent="0.3">
      <c r="A85" s="3">
        <f t="shared" si="2"/>
        <v>82</v>
      </c>
      <c r="B85" s="8" t="s">
        <v>1704</v>
      </c>
      <c r="C85" s="5" t="s">
        <v>1703</v>
      </c>
      <c r="D85" s="6">
        <v>259681476</v>
      </c>
      <c r="E85" s="5" t="s">
        <v>860</v>
      </c>
      <c r="F85" s="5" t="s">
        <v>9</v>
      </c>
      <c r="G85" s="5" t="s">
        <v>496</v>
      </c>
      <c r="H85" s="2">
        <v>46162</v>
      </c>
      <c r="I85" s="2"/>
      <c r="J85" s="2"/>
      <c r="K85" s="2" t="str">
        <f>IFERROR(VLOOKUP(B85,#REF!,4,0),"")</f>
        <v/>
      </c>
      <c r="L85" s="1" t="s">
        <v>124</v>
      </c>
      <c r="M85" s="1" t="s">
        <v>342</v>
      </c>
      <c r="O85" s="4"/>
      <c r="Q85" s="4"/>
    </row>
    <row r="86" spans="1:17" ht="14.25" hidden="1" customHeight="1" x14ac:dyDescent="0.3">
      <c r="A86" s="3">
        <f t="shared" si="2"/>
        <v>83</v>
      </c>
      <c r="B86" s="10" t="s">
        <v>1702</v>
      </c>
      <c r="C86" s="5" t="s">
        <v>1701</v>
      </c>
      <c r="D86" s="6">
        <v>425950935</v>
      </c>
      <c r="E86" s="5" t="s">
        <v>309</v>
      </c>
      <c r="F86" s="5" t="s">
        <v>4</v>
      </c>
      <c r="G86" s="5" t="s">
        <v>3</v>
      </c>
      <c r="H86" s="2"/>
      <c r="I86" s="2"/>
      <c r="J86" s="2"/>
      <c r="K86" s="2" t="str">
        <f>IFERROR(VLOOKUP(B86,#REF!,4,0),"")</f>
        <v/>
      </c>
      <c r="L86" s="1" t="s">
        <v>77</v>
      </c>
      <c r="M86" s="1" t="s">
        <v>12</v>
      </c>
      <c r="N86" s="1" t="s">
        <v>1700</v>
      </c>
      <c r="O86" s="4"/>
      <c r="Q86" s="4"/>
    </row>
    <row r="87" spans="1:17" hidden="1" x14ac:dyDescent="0.3">
      <c r="A87" s="3">
        <f t="shared" si="2"/>
        <v>84</v>
      </c>
      <c r="B87" s="8" t="s">
        <v>1699</v>
      </c>
      <c r="C87" s="5" t="s">
        <v>1698</v>
      </c>
      <c r="D87" s="6">
        <v>766677425</v>
      </c>
      <c r="E87" s="5" t="s">
        <v>1456</v>
      </c>
      <c r="F87" s="5" t="s">
        <v>4</v>
      </c>
      <c r="G87" s="5" t="s">
        <v>3</v>
      </c>
      <c r="H87" s="2">
        <v>46164</v>
      </c>
      <c r="I87" s="2">
        <v>46196</v>
      </c>
      <c r="J87" s="2">
        <v>46206</v>
      </c>
      <c r="K87" s="2" t="str">
        <f>IFERROR(VLOOKUP(B87,#REF!,4,0),"")</f>
        <v/>
      </c>
      <c r="L87" s="1" t="s">
        <v>2</v>
      </c>
      <c r="M87" s="1" t="s">
        <v>535</v>
      </c>
      <c r="O87" s="4" t="s">
        <v>0</v>
      </c>
      <c r="Q87" s="4" t="s">
        <v>0</v>
      </c>
    </row>
    <row r="88" spans="1:17" hidden="1" x14ac:dyDescent="0.3">
      <c r="A88" s="3">
        <f t="shared" si="2"/>
        <v>85</v>
      </c>
      <c r="B88" s="8" t="s">
        <v>1697</v>
      </c>
      <c r="C88" s="5" t="s">
        <v>1696</v>
      </c>
      <c r="D88" s="6">
        <v>412368932</v>
      </c>
      <c r="E88" s="5" t="s">
        <v>823</v>
      </c>
      <c r="F88" s="5" t="s">
        <v>28</v>
      </c>
      <c r="G88" s="5" t="s">
        <v>3</v>
      </c>
      <c r="H88" s="2">
        <v>46158</v>
      </c>
      <c r="I88" s="2">
        <v>46193</v>
      </c>
      <c r="J88" s="2">
        <v>46209</v>
      </c>
      <c r="K88" s="2" t="str">
        <f>IFERROR(VLOOKUP(B88,#REF!,4,0),"")</f>
        <v/>
      </c>
      <c r="L88" s="1" t="s">
        <v>27</v>
      </c>
      <c r="M88" s="1" t="s">
        <v>12</v>
      </c>
      <c r="O88" s="4" t="s">
        <v>0</v>
      </c>
      <c r="Q88" s="4" t="s">
        <v>0</v>
      </c>
    </row>
    <row r="89" spans="1:17" hidden="1" x14ac:dyDescent="0.3">
      <c r="A89" s="3">
        <f t="shared" si="2"/>
        <v>86</v>
      </c>
      <c r="B89" s="8" t="s">
        <v>1695</v>
      </c>
      <c r="C89" s="5" t="s">
        <v>1694</v>
      </c>
      <c r="D89" s="6">
        <v>404699665</v>
      </c>
      <c r="E89" s="5" t="s">
        <v>626</v>
      </c>
      <c r="F89" s="5" t="s">
        <v>36</v>
      </c>
      <c r="G89" s="5" t="s">
        <v>3</v>
      </c>
      <c r="H89" s="2">
        <v>46149</v>
      </c>
      <c r="I89" s="2">
        <v>46195</v>
      </c>
      <c r="J89" s="2">
        <v>46216</v>
      </c>
      <c r="K89" s="2" t="str">
        <f>IFERROR(VLOOKUP(B89,#REF!,4,0),"")</f>
        <v/>
      </c>
      <c r="L89" s="1" t="s">
        <v>13</v>
      </c>
      <c r="M89" s="1" t="s">
        <v>12</v>
      </c>
      <c r="O89" s="4" t="s">
        <v>0</v>
      </c>
      <c r="Q89" s="4" t="s">
        <v>0</v>
      </c>
    </row>
    <row r="90" spans="1:17" hidden="1" x14ac:dyDescent="0.3">
      <c r="A90" s="3">
        <f t="shared" si="2"/>
        <v>87</v>
      </c>
      <c r="B90" s="8" t="s">
        <v>1693</v>
      </c>
      <c r="C90" s="5" t="s">
        <v>1692</v>
      </c>
      <c r="D90" s="6">
        <v>472596677</v>
      </c>
      <c r="E90" s="5" t="s">
        <v>626</v>
      </c>
      <c r="F90" s="5" t="s">
        <v>36</v>
      </c>
      <c r="G90" s="5" t="s">
        <v>3</v>
      </c>
      <c r="H90" s="2"/>
      <c r="I90" s="2">
        <v>46195</v>
      </c>
      <c r="J90" s="2">
        <v>46216</v>
      </c>
      <c r="K90" s="2" t="str">
        <f>IFERROR(VLOOKUP(B90,#REF!,4,0),"")</f>
        <v/>
      </c>
      <c r="L90" s="1" t="s">
        <v>13</v>
      </c>
      <c r="M90" s="1" t="s">
        <v>17</v>
      </c>
      <c r="O90" s="4"/>
      <c r="Q90" s="4"/>
    </row>
    <row r="91" spans="1:17" hidden="1" x14ac:dyDescent="0.3">
      <c r="A91" s="3">
        <f t="shared" si="2"/>
        <v>88</v>
      </c>
      <c r="B91" s="8" t="s">
        <v>1691</v>
      </c>
      <c r="C91" s="5" t="s">
        <v>1690</v>
      </c>
      <c r="D91" s="6">
        <v>420957883</v>
      </c>
      <c r="E91" s="5" t="s">
        <v>189</v>
      </c>
      <c r="F91" s="5" t="s">
        <v>4</v>
      </c>
      <c r="G91" s="5" t="s">
        <v>3</v>
      </c>
      <c r="H91" s="2">
        <v>46167</v>
      </c>
      <c r="I91" s="2">
        <v>46199</v>
      </c>
      <c r="J91" s="2">
        <v>46223</v>
      </c>
      <c r="K91" s="2" t="str">
        <f>IFERROR(VLOOKUP(B91,#REF!,4,0),"")</f>
        <v/>
      </c>
      <c r="L91" s="1" t="s">
        <v>77</v>
      </c>
      <c r="M91" s="1" t="s">
        <v>12</v>
      </c>
      <c r="O91" s="4" t="s">
        <v>0</v>
      </c>
      <c r="Q91" s="4" t="s">
        <v>0</v>
      </c>
    </row>
    <row r="92" spans="1:17" hidden="1" x14ac:dyDescent="0.3">
      <c r="A92" s="3">
        <f t="shared" si="2"/>
        <v>89</v>
      </c>
      <c r="B92" s="8" t="s">
        <v>1689</v>
      </c>
      <c r="C92" s="5" t="s">
        <v>1688</v>
      </c>
      <c r="D92" s="6">
        <v>457303706</v>
      </c>
      <c r="E92" s="5" t="s">
        <v>210</v>
      </c>
      <c r="F92" s="5" t="s">
        <v>9</v>
      </c>
      <c r="G92" s="5" t="s">
        <v>3</v>
      </c>
      <c r="H92" s="2"/>
      <c r="I92" s="2"/>
      <c r="J92" s="2">
        <v>46224</v>
      </c>
      <c r="K92" s="2" t="str">
        <f>IFERROR(VLOOKUP(B92,#REF!,4,0),"")</f>
        <v/>
      </c>
      <c r="L92" s="1" t="s">
        <v>124</v>
      </c>
      <c r="M92" s="1" t="s">
        <v>12</v>
      </c>
      <c r="O92" s="4"/>
      <c r="Q92" s="4"/>
    </row>
    <row r="93" spans="1:17" hidden="1" x14ac:dyDescent="0.3">
      <c r="A93" s="3">
        <f t="shared" si="2"/>
        <v>90</v>
      </c>
      <c r="B93" s="8" t="s">
        <v>1687</v>
      </c>
      <c r="C93" s="5" t="s">
        <v>1686</v>
      </c>
      <c r="D93" s="6">
        <v>420189574</v>
      </c>
      <c r="E93" s="5" t="s">
        <v>953</v>
      </c>
      <c r="F93" s="5" t="s">
        <v>4</v>
      </c>
      <c r="G93" s="5" t="s">
        <v>3</v>
      </c>
      <c r="H93" s="2">
        <v>46161</v>
      </c>
      <c r="I93" s="2">
        <v>46197</v>
      </c>
      <c r="J93" s="2">
        <v>46225</v>
      </c>
      <c r="K93" s="2" t="str">
        <f>IFERROR(VLOOKUP(B93,#REF!,4,0),"")</f>
        <v/>
      </c>
      <c r="L93" s="1" t="s">
        <v>2</v>
      </c>
      <c r="M93" s="1" t="s">
        <v>12</v>
      </c>
      <c r="O93" s="4" t="s">
        <v>0</v>
      </c>
      <c r="Q93" s="4" t="s">
        <v>0</v>
      </c>
    </row>
    <row r="94" spans="1:17" hidden="1" x14ac:dyDescent="0.3">
      <c r="A94" s="3">
        <f t="shared" si="2"/>
        <v>91</v>
      </c>
      <c r="B94" s="8" t="s">
        <v>1685</v>
      </c>
      <c r="C94" s="5" t="s">
        <v>1684</v>
      </c>
      <c r="D94" s="6">
        <v>386645752</v>
      </c>
      <c r="E94" s="5" t="s">
        <v>210</v>
      </c>
      <c r="F94" s="5" t="s">
        <v>9</v>
      </c>
      <c r="G94" s="5" t="s">
        <v>3</v>
      </c>
      <c r="H94" s="2">
        <v>46163</v>
      </c>
      <c r="I94" s="2">
        <v>46181</v>
      </c>
      <c r="J94" s="2">
        <v>46230</v>
      </c>
      <c r="K94" s="2" t="str">
        <f>IFERROR(VLOOKUP(B94,#REF!,4,0),"")</f>
        <v/>
      </c>
      <c r="L94" s="1" t="s">
        <v>124</v>
      </c>
      <c r="M94" s="1" t="s">
        <v>12</v>
      </c>
      <c r="O94" s="4" t="s">
        <v>0</v>
      </c>
      <c r="Q94" s="4" t="s">
        <v>0</v>
      </c>
    </row>
    <row r="95" spans="1:17" hidden="1" x14ac:dyDescent="0.3">
      <c r="A95" s="3">
        <f t="shared" si="2"/>
        <v>92</v>
      </c>
      <c r="B95" s="8" t="s">
        <v>1683</v>
      </c>
      <c r="C95" s="5" t="s">
        <v>1682</v>
      </c>
      <c r="D95" s="6">
        <v>636407742</v>
      </c>
      <c r="E95" s="5" t="s">
        <v>1681</v>
      </c>
      <c r="F95" s="5" t="s">
        <v>9</v>
      </c>
      <c r="G95" s="5" t="s">
        <v>3</v>
      </c>
      <c r="H95" s="2">
        <v>46154</v>
      </c>
      <c r="I95" s="2"/>
      <c r="J95" s="2"/>
      <c r="K95" s="2" t="str">
        <f>IFERROR(VLOOKUP(B95,#REF!,4,0),"")</f>
        <v/>
      </c>
      <c r="L95" s="1" t="s">
        <v>20</v>
      </c>
      <c r="M95" s="1" t="s">
        <v>17</v>
      </c>
      <c r="O95" s="4"/>
      <c r="Q95" s="4"/>
    </row>
    <row r="96" spans="1:17" hidden="1" x14ac:dyDescent="0.3">
      <c r="A96" s="3">
        <f t="shared" si="2"/>
        <v>93</v>
      </c>
      <c r="B96" s="8" t="s">
        <v>1680</v>
      </c>
      <c r="C96" s="5" t="s">
        <v>1679</v>
      </c>
      <c r="D96" s="6">
        <v>462863321</v>
      </c>
      <c r="E96" s="5" t="s">
        <v>210</v>
      </c>
      <c r="F96" s="5" t="s">
        <v>9</v>
      </c>
      <c r="G96" s="5" t="s">
        <v>3</v>
      </c>
      <c r="H96" s="2">
        <v>46161</v>
      </c>
      <c r="I96" s="2">
        <v>46179</v>
      </c>
      <c r="J96" s="2"/>
      <c r="K96" s="2" t="str">
        <f>IFERROR(VLOOKUP(B96,#REF!,4,0),"")</f>
        <v/>
      </c>
      <c r="L96" s="1" t="s">
        <v>124</v>
      </c>
      <c r="M96" s="1" t="s">
        <v>17</v>
      </c>
      <c r="O96" s="4" t="s">
        <v>1665</v>
      </c>
      <c r="Q96" s="4"/>
    </row>
    <row r="97" spans="1:17" hidden="1" x14ac:dyDescent="0.3">
      <c r="A97" s="3">
        <f t="shared" si="2"/>
        <v>94</v>
      </c>
      <c r="B97" s="8" t="s">
        <v>1678</v>
      </c>
      <c r="C97" s="5" t="s">
        <v>1677</v>
      </c>
      <c r="D97" s="6">
        <v>389640752</v>
      </c>
      <c r="E97" s="5" t="s">
        <v>210</v>
      </c>
      <c r="F97" s="5" t="s">
        <v>9</v>
      </c>
      <c r="G97" s="5" t="s">
        <v>3</v>
      </c>
      <c r="H97" s="2">
        <v>46163</v>
      </c>
      <c r="I97" s="2">
        <v>46197</v>
      </c>
      <c r="J97" s="2"/>
      <c r="K97" s="2" t="str">
        <f>IFERROR(VLOOKUP(B97,#REF!,4,0),"")</f>
        <v/>
      </c>
      <c r="L97" s="1" t="s">
        <v>124</v>
      </c>
      <c r="M97" s="1" t="s">
        <v>12</v>
      </c>
      <c r="O97" s="4" t="s">
        <v>1665</v>
      </c>
      <c r="Q97" s="4"/>
    </row>
    <row r="98" spans="1:17" hidden="1" x14ac:dyDescent="0.3">
      <c r="A98" s="3">
        <f t="shared" si="2"/>
        <v>95</v>
      </c>
      <c r="B98" s="8" t="s">
        <v>1676</v>
      </c>
      <c r="C98" s="5" t="s">
        <v>1675</v>
      </c>
      <c r="D98" s="6">
        <v>554157329</v>
      </c>
      <c r="E98" s="5" t="s">
        <v>405</v>
      </c>
      <c r="F98" s="5" t="s">
        <v>28</v>
      </c>
      <c r="G98" s="5" t="s">
        <v>496</v>
      </c>
      <c r="H98" s="2">
        <v>46147</v>
      </c>
      <c r="I98" s="2"/>
      <c r="J98" s="2"/>
      <c r="K98" s="2" t="str">
        <f>IFERROR(VLOOKUP(B98,#REF!,4,0),"")</f>
        <v/>
      </c>
      <c r="L98" s="1" t="s">
        <v>27</v>
      </c>
      <c r="M98" s="1" t="s">
        <v>12</v>
      </c>
      <c r="O98" s="4"/>
      <c r="Q98" s="4"/>
    </row>
    <row r="99" spans="1:17" hidden="1" x14ac:dyDescent="0.3">
      <c r="A99" s="3">
        <f t="shared" si="2"/>
        <v>96</v>
      </c>
      <c r="B99" s="8" t="s">
        <v>1674</v>
      </c>
      <c r="C99" s="5" t="s">
        <v>1673</v>
      </c>
      <c r="D99" s="6">
        <v>478967584</v>
      </c>
      <c r="E99" s="5" t="s">
        <v>1672</v>
      </c>
      <c r="F99" s="5" t="s">
        <v>48</v>
      </c>
      <c r="G99" s="5" t="s">
        <v>496</v>
      </c>
      <c r="H99" s="2">
        <v>46153</v>
      </c>
      <c r="I99" s="2"/>
      <c r="J99" s="2"/>
      <c r="K99" s="2" t="str">
        <f>IFERROR(VLOOKUP(B99,#REF!,4,0),"")</f>
        <v/>
      </c>
      <c r="L99" s="1" t="s">
        <v>44</v>
      </c>
      <c r="M99" s="1" t="s">
        <v>12</v>
      </c>
      <c r="O99" s="4"/>
      <c r="Q99" s="4"/>
    </row>
    <row r="100" spans="1:17" hidden="1" x14ac:dyDescent="0.3">
      <c r="A100" s="3">
        <f t="shared" si="2"/>
        <v>97</v>
      </c>
      <c r="B100" s="8" t="s">
        <v>1671</v>
      </c>
      <c r="C100" s="5" t="s">
        <v>1670</v>
      </c>
      <c r="D100" s="6">
        <v>390689222</v>
      </c>
      <c r="E100" s="5" t="s">
        <v>103</v>
      </c>
      <c r="F100" s="5" t="s">
        <v>28</v>
      </c>
      <c r="G100" s="5" t="s">
        <v>496</v>
      </c>
      <c r="H100" s="2">
        <v>46154</v>
      </c>
      <c r="I100" s="2"/>
      <c r="J100" s="2"/>
      <c r="K100" s="2" t="str">
        <f>IFERROR(VLOOKUP(B100,#REF!,4,0),"")</f>
        <v/>
      </c>
      <c r="L100" s="1" t="s">
        <v>27</v>
      </c>
      <c r="M100" s="1" t="s">
        <v>12</v>
      </c>
      <c r="O100" s="4"/>
      <c r="Q100" s="4"/>
    </row>
    <row r="101" spans="1:17" hidden="1" x14ac:dyDescent="0.3">
      <c r="A101" s="3">
        <f t="shared" ref="A101:A113" si="3">1+A100</f>
        <v>98</v>
      </c>
      <c r="B101" s="9" t="s">
        <v>1669</v>
      </c>
      <c r="C101" s="5" t="s">
        <v>1668</v>
      </c>
      <c r="D101" s="6">
        <v>439183559</v>
      </c>
      <c r="E101" s="5" t="s">
        <v>1500</v>
      </c>
      <c r="F101" s="5" t="s">
        <v>9</v>
      </c>
      <c r="G101" s="5" t="s">
        <v>3</v>
      </c>
      <c r="H101" s="2">
        <v>46165</v>
      </c>
      <c r="I101" s="2">
        <v>46190</v>
      </c>
      <c r="J101" s="2">
        <v>46212</v>
      </c>
      <c r="K101" s="2" t="str">
        <f>IFERROR(VLOOKUP(B101,#REF!,4,0),"")</f>
        <v/>
      </c>
      <c r="L101" s="1" t="s">
        <v>20</v>
      </c>
      <c r="M101" s="1" t="s">
        <v>12</v>
      </c>
      <c r="O101" s="4"/>
      <c r="Q101" s="4"/>
    </row>
    <row r="102" spans="1:17" hidden="1" x14ac:dyDescent="0.3">
      <c r="A102" s="3">
        <f t="shared" si="3"/>
        <v>99</v>
      </c>
      <c r="B102" s="8" t="s">
        <v>1667</v>
      </c>
      <c r="C102" s="5" t="s">
        <v>1666</v>
      </c>
      <c r="D102" s="6">
        <v>374501976</v>
      </c>
      <c r="E102" s="5" t="s">
        <v>207</v>
      </c>
      <c r="F102" s="5" t="s">
        <v>28</v>
      </c>
      <c r="G102" s="5" t="s">
        <v>255</v>
      </c>
      <c r="H102" s="2">
        <v>46163</v>
      </c>
      <c r="I102" s="2">
        <v>46184</v>
      </c>
      <c r="J102" s="2">
        <v>46213</v>
      </c>
      <c r="K102" s="2" t="str">
        <f>IFERROR(VLOOKUP(B102,#REF!,4,0),"")</f>
        <v/>
      </c>
      <c r="L102" s="1" t="s">
        <v>27</v>
      </c>
      <c r="M102" s="1" t="s">
        <v>12</v>
      </c>
      <c r="O102" s="4" t="s">
        <v>1665</v>
      </c>
      <c r="Q102" s="4"/>
    </row>
    <row r="103" spans="1:17" hidden="1" x14ac:dyDescent="0.3">
      <c r="A103" s="3">
        <f t="shared" si="3"/>
        <v>100</v>
      </c>
      <c r="B103" s="8" t="s">
        <v>1664</v>
      </c>
      <c r="C103" s="5" t="s">
        <v>1663</v>
      </c>
      <c r="D103" s="6">
        <v>431824538</v>
      </c>
      <c r="E103" s="5" t="s">
        <v>1662</v>
      </c>
      <c r="F103" s="5" t="s">
        <v>4</v>
      </c>
      <c r="G103" s="5" t="s">
        <v>3</v>
      </c>
      <c r="H103" s="2">
        <v>46170</v>
      </c>
      <c r="I103" s="2">
        <v>46198</v>
      </c>
      <c r="J103" s="2">
        <v>46216</v>
      </c>
      <c r="K103" s="2" t="str">
        <f>IFERROR(VLOOKUP(B103,#REF!,4,0),"")</f>
        <v/>
      </c>
      <c r="M103" s="1" t="s">
        <v>12</v>
      </c>
      <c r="O103" s="4" t="s">
        <v>0</v>
      </c>
      <c r="Q103" s="4" t="s">
        <v>0</v>
      </c>
    </row>
    <row r="104" spans="1:17" hidden="1" x14ac:dyDescent="0.3">
      <c r="A104" s="3">
        <f t="shared" si="3"/>
        <v>101</v>
      </c>
      <c r="B104" s="8" t="s">
        <v>1661</v>
      </c>
      <c r="C104" s="5" t="s">
        <v>1660</v>
      </c>
      <c r="D104" s="6">
        <v>466236648</v>
      </c>
      <c r="E104" s="5" t="s">
        <v>508</v>
      </c>
      <c r="F104" s="5" t="s">
        <v>4</v>
      </c>
      <c r="G104" s="5" t="s">
        <v>3</v>
      </c>
      <c r="H104" s="2">
        <v>46170</v>
      </c>
      <c r="I104" s="2">
        <v>46190</v>
      </c>
      <c r="J104" s="2">
        <v>46216</v>
      </c>
      <c r="K104" s="2" t="str">
        <f>IFERROR(VLOOKUP(B104,#REF!,4,0),"")</f>
        <v/>
      </c>
      <c r="M104" s="1" t="s">
        <v>17</v>
      </c>
      <c r="O104" s="4" t="s">
        <v>0</v>
      </c>
      <c r="Q104" s="4" t="s">
        <v>0</v>
      </c>
    </row>
    <row r="105" spans="1:17" hidden="1" x14ac:dyDescent="0.3">
      <c r="A105" s="3">
        <f t="shared" si="3"/>
        <v>102</v>
      </c>
      <c r="B105" s="8" t="s">
        <v>1659</v>
      </c>
      <c r="C105" s="5" t="s">
        <v>1658</v>
      </c>
      <c r="D105" s="6">
        <v>441755425</v>
      </c>
      <c r="E105" s="5" t="s">
        <v>523</v>
      </c>
      <c r="F105" s="5" t="s">
        <v>4</v>
      </c>
      <c r="G105" s="5" t="s">
        <v>3</v>
      </c>
      <c r="H105" s="2">
        <v>46163</v>
      </c>
      <c r="I105" s="2">
        <v>46200</v>
      </c>
      <c r="J105" s="2">
        <v>46218</v>
      </c>
      <c r="K105" s="2" t="str">
        <f>IFERROR(VLOOKUP(B105,#REF!,4,0),"")</f>
        <v/>
      </c>
      <c r="M105" s="1" t="s">
        <v>12</v>
      </c>
      <c r="O105" s="4" t="s">
        <v>0</v>
      </c>
      <c r="Q105" s="4" t="s">
        <v>0</v>
      </c>
    </row>
    <row r="106" spans="1:17" hidden="1" x14ac:dyDescent="0.3">
      <c r="A106" s="3">
        <f t="shared" si="3"/>
        <v>103</v>
      </c>
      <c r="B106" s="8" t="s">
        <v>1657</v>
      </c>
      <c r="C106" s="5" t="s">
        <v>1656</v>
      </c>
      <c r="D106" s="6">
        <v>442417490</v>
      </c>
      <c r="E106" s="5" t="s">
        <v>376</v>
      </c>
      <c r="F106" s="5" t="s">
        <v>9</v>
      </c>
      <c r="G106" s="5" t="s">
        <v>3</v>
      </c>
      <c r="H106" s="2">
        <v>46167</v>
      </c>
      <c r="I106" s="2">
        <v>46199</v>
      </c>
      <c r="J106" s="2">
        <v>46224</v>
      </c>
      <c r="K106" s="2" t="str">
        <f>IFERROR(VLOOKUP(B106,#REF!,4,0),"")</f>
        <v/>
      </c>
      <c r="L106" s="1" t="s">
        <v>20</v>
      </c>
      <c r="M106" s="1" t="s">
        <v>12</v>
      </c>
      <c r="O106" s="4" t="s">
        <v>0</v>
      </c>
      <c r="Q106" s="4" t="s">
        <v>0</v>
      </c>
    </row>
    <row r="107" spans="1:17" hidden="1" x14ac:dyDescent="0.3">
      <c r="A107" s="3">
        <f t="shared" si="3"/>
        <v>104</v>
      </c>
      <c r="B107" s="8" t="s">
        <v>1655</v>
      </c>
      <c r="C107" s="5" t="s">
        <v>1654</v>
      </c>
      <c r="D107" s="6">
        <v>392403805</v>
      </c>
      <c r="E107" s="5" t="s">
        <v>137</v>
      </c>
      <c r="F107" s="5" t="s">
        <v>9</v>
      </c>
      <c r="G107" s="5" t="s">
        <v>3</v>
      </c>
      <c r="H107" s="2">
        <v>46164</v>
      </c>
      <c r="I107" s="2">
        <v>46192</v>
      </c>
      <c r="J107" s="2">
        <v>46227</v>
      </c>
      <c r="K107" s="2" t="str">
        <f>IFERROR(VLOOKUP(B107,#REF!,4,0),"")</f>
        <v/>
      </c>
      <c r="L107" s="1" t="s">
        <v>20</v>
      </c>
      <c r="M107" s="1" t="s">
        <v>12</v>
      </c>
      <c r="O107" s="4" t="s">
        <v>0</v>
      </c>
      <c r="Q107" s="4" t="s">
        <v>0</v>
      </c>
    </row>
    <row r="108" spans="1:17" hidden="1" x14ac:dyDescent="0.3">
      <c r="A108" s="3">
        <f t="shared" si="3"/>
        <v>105</v>
      </c>
      <c r="B108" s="8" t="s">
        <v>1653</v>
      </c>
      <c r="C108" s="5" t="s">
        <v>1652</v>
      </c>
      <c r="D108" s="6">
        <v>477029570</v>
      </c>
      <c r="E108" s="5" t="s">
        <v>1150</v>
      </c>
      <c r="F108" s="5" t="s">
        <v>36</v>
      </c>
      <c r="G108" s="5" t="s">
        <v>3</v>
      </c>
      <c r="H108" s="2"/>
      <c r="I108" s="2">
        <v>46186</v>
      </c>
      <c r="J108" s="2"/>
      <c r="K108" s="2" t="str">
        <f>IFERROR(VLOOKUP(B108,#REF!,4,0),"")</f>
        <v/>
      </c>
      <c r="L108" s="1" t="s">
        <v>13</v>
      </c>
      <c r="M108" s="1" t="s">
        <v>17</v>
      </c>
      <c r="O108" s="4"/>
      <c r="Q108" s="4"/>
    </row>
    <row r="109" spans="1:17" hidden="1" x14ac:dyDescent="0.3">
      <c r="A109" s="3">
        <f t="shared" si="3"/>
        <v>106</v>
      </c>
      <c r="B109" s="8" t="s">
        <v>1651</v>
      </c>
      <c r="C109" s="5" t="s">
        <v>1650</v>
      </c>
      <c r="D109" s="6">
        <v>439013217</v>
      </c>
      <c r="E109" s="5" t="s">
        <v>1649</v>
      </c>
      <c r="F109" s="5" t="s">
        <v>36</v>
      </c>
      <c r="G109" s="5" t="s">
        <v>496</v>
      </c>
      <c r="H109" s="2">
        <v>46148</v>
      </c>
      <c r="I109" s="2"/>
      <c r="J109" s="2"/>
      <c r="K109" s="2" t="str">
        <f>IFERROR(VLOOKUP(B109,#REF!,4,0),"")</f>
        <v/>
      </c>
      <c r="L109" s="1" t="s">
        <v>13</v>
      </c>
      <c r="M109" s="1" t="s">
        <v>12</v>
      </c>
      <c r="O109" s="4"/>
      <c r="Q109" s="4"/>
    </row>
    <row r="110" spans="1:17" hidden="1" x14ac:dyDescent="0.3">
      <c r="A110" s="3">
        <f t="shared" si="3"/>
        <v>107</v>
      </c>
      <c r="B110" s="8" t="s">
        <v>1648</v>
      </c>
      <c r="C110" s="5" t="s">
        <v>1647</v>
      </c>
      <c r="D110" s="6">
        <v>351889581</v>
      </c>
      <c r="E110" s="5" t="s">
        <v>756</v>
      </c>
      <c r="F110" s="5" t="s">
        <v>4</v>
      </c>
      <c r="G110" s="5" t="s">
        <v>496</v>
      </c>
      <c r="H110" s="2">
        <v>46149</v>
      </c>
      <c r="I110" s="2"/>
      <c r="J110" s="2"/>
      <c r="K110" s="2" t="str">
        <f>IFERROR(VLOOKUP(B110,#REF!,4,0),"")</f>
        <v/>
      </c>
      <c r="L110" s="1" t="s">
        <v>124</v>
      </c>
      <c r="M110" s="1" t="s">
        <v>12</v>
      </c>
      <c r="O110" s="4"/>
      <c r="Q110" s="4"/>
    </row>
    <row r="111" spans="1:17" hidden="1" x14ac:dyDescent="0.3">
      <c r="A111" s="3">
        <f t="shared" si="3"/>
        <v>108</v>
      </c>
      <c r="B111" s="8" t="s">
        <v>1646</v>
      </c>
      <c r="C111" s="5" t="s">
        <v>1645</v>
      </c>
      <c r="D111" s="6">
        <v>410241862</v>
      </c>
      <c r="E111" s="5" t="s">
        <v>1644</v>
      </c>
      <c r="F111" s="5" t="s">
        <v>28</v>
      </c>
      <c r="G111" s="5" t="s">
        <v>496</v>
      </c>
      <c r="H111" s="2">
        <v>46153</v>
      </c>
      <c r="I111" s="2"/>
      <c r="J111" s="2"/>
      <c r="K111" s="2" t="str">
        <f>IFERROR(VLOOKUP(B111,#REF!,4,0),"")</f>
        <v/>
      </c>
      <c r="L111" s="1" t="s">
        <v>27</v>
      </c>
      <c r="M111" s="1" t="s">
        <v>12</v>
      </c>
      <c r="O111" s="4"/>
      <c r="Q111" s="4"/>
    </row>
    <row r="112" spans="1:17" hidden="1" x14ac:dyDescent="0.3">
      <c r="A112" s="3">
        <f t="shared" si="3"/>
        <v>109</v>
      </c>
      <c r="B112" s="18" t="s">
        <v>1643</v>
      </c>
      <c r="C112" s="5" t="s">
        <v>1642</v>
      </c>
      <c r="D112" s="6">
        <v>363539264</v>
      </c>
      <c r="E112" s="5" t="s">
        <v>1641</v>
      </c>
      <c r="F112" s="5" t="s">
        <v>4</v>
      </c>
      <c r="G112" s="5" t="s">
        <v>3</v>
      </c>
      <c r="H112" s="2"/>
      <c r="I112" s="2"/>
      <c r="J112" s="2"/>
      <c r="K112" s="2" t="str">
        <f>IFERROR(VLOOKUP(B112,#REF!,4,0),"")</f>
        <v/>
      </c>
      <c r="L112" s="1" t="s">
        <v>2</v>
      </c>
      <c r="M112" s="1" t="s">
        <v>12</v>
      </c>
      <c r="N112" s="1" t="s">
        <v>1640</v>
      </c>
      <c r="O112" s="4"/>
      <c r="Q112" s="4"/>
    </row>
    <row r="113" spans="1:18" hidden="1" x14ac:dyDescent="0.3">
      <c r="A113" s="3">
        <f t="shared" si="3"/>
        <v>110</v>
      </c>
      <c r="B113" s="8" t="s">
        <v>1639</v>
      </c>
      <c r="C113" s="5" t="s">
        <v>1638</v>
      </c>
      <c r="D113" s="6">
        <v>546631651</v>
      </c>
      <c r="E113" s="5" t="s">
        <v>1637</v>
      </c>
      <c r="F113" s="5" t="s">
        <v>48</v>
      </c>
      <c r="G113" s="5" t="s">
        <v>496</v>
      </c>
      <c r="H113" s="2">
        <v>46154</v>
      </c>
      <c r="I113" s="2">
        <v>46183</v>
      </c>
      <c r="J113" s="2"/>
      <c r="K113" s="2" t="str">
        <f>IFERROR(VLOOKUP(B113,#REF!,4,0),"")</f>
        <v/>
      </c>
      <c r="L113" s="1" t="s">
        <v>44</v>
      </c>
      <c r="M113" s="1" t="s">
        <v>17</v>
      </c>
      <c r="O113" s="4"/>
      <c r="Q113" s="4"/>
    </row>
    <row r="114" spans="1:18" hidden="1" x14ac:dyDescent="0.3">
      <c r="A114" s="3"/>
      <c r="B114" s="8"/>
      <c r="C114" s="5"/>
      <c r="D114" s="6"/>
      <c r="E114" s="5"/>
      <c r="F114" s="5"/>
      <c r="G114" s="5"/>
      <c r="H114" s="2"/>
      <c r="I114" s="2"/>
      <c r="J114" s="2"/>
      <c r="O114" s="4"/>
      <c r="Q114" s="4"/>
    </row>
    <row r="115" spans="1:18" hidden="1" x14ac:dyDescent="0.3">
      <c r="A115" s="3">
        <f>1+A113</f>
        <v>111</v>
      </c>
      <c r="B115" s="8" t="s">
        <v>1636</v>
      </c>
      <c r="C115" s="5" t="s">
        <v>1635</v>
      </c>
      <c r="D115" s="6">
        <v>420194452</v>
      </c>
      <c r="E115" s="5" t="s">
        <v>843</v>
      </c>
      <c r="F115" s="5" t="s">
        <v>9</v>
      </c>
      <c r="G115" s="5" t="s">
        <v>3</v>
      </c>
      <c r="H115" s="2">
        <v>46167</v>
      </c>
      <c r="I115" s="2">
        <v>46186</v>
      </c>
      <c r="J115" s="2">
        <v>46209</v>
      </c>
      <c r="K115" s="2" t="str">
        <f>IFERROR(VLOOKUP(B115,#REF!,4,0),"")</f>
        <v/>
      </c>
      <c r="L115" s="1" t="s">
        <v>20</v>
      </c>
      <c r="M115" s="1" t="s">
        <v>12</v>
      </c>
      <c r="O115" s="4"/>
      <c r="Q115" s="4"/>
    </row>
    <row r="116" spans="1:18" hidden="1" x14ac:dyDescent="0.3">
      <c r="A116" s="3">
        <f t="shared" ref="A116:A147" si="4">1+A115</f>
        <v>112</v>
      </c>
      <c r="B116" s="8" t="s">
        <v>1634</v>
      </c>
      <c r="C116" s="5" t="s">
        <v>1633</v>
      </c>
      <c r="D116" s="6">
        <v>481318601</v>
      </c>
      <c r="E116" s="5" t="s">
        <v>1632</v>
      </c>
      <c r="F116" s="5" t="s">
        <v>28</v>
      </c>
      <c r="G116" s="5" t="s">
        <v>3</v>
      </c>
      <c r="H116" s="2"/>
      <c r="I116" s="2"/>
      <c r="J116" s="2">
        <v>46209</v>
      </c>
      <c r="K116" s="2" t="str">
        <f>IFERROR(VLOOKUP(B116,#REF!,4,0),"")</f>
        <v/>
      </c>
      <c r="L116" s="1" t="s">
        <v>27</v>
      </c>
      <c r="M116" s="1" t="s">
        <v>12</v>
      </c>
      <c r="O116" s="4" t="s">
        <v>0</v>
      </c>
      <c r="Q116" s="4" t="s">
        <v>0</v>
      </c>
      <c r="R116" s="1" t="s">
        <v>0</v>
      </c>
    </row>
    <row r="117" spans="1:18" hidden="1" x14ac:dyDescent="0.3">
      <c r="A117" s="3">
        <f t="shared" si="4"/>
        <v>113</v>
      </c>
      <c r="B117" s="8" t="s">
        <v>1631</v>
      </c>
      <c r="C117" s="5" t="s">
        <v>1630</v>
      </c>
      <c r="D117" s="6">
        <v>404795571</v>
      </c>
      <c r="E117" s="5" t="s">
        <v>1187</v>
      </c>
      <c r="F117" s="5" t="s">
        <v>9</v>
      </c>
      <c r="G117" s="5" t="s">
        <v>3</v>
      </c>
      <c r="H117" s="2"/>
      <c r="I117" s="2"/>
      <c r="J117" s="2">
        <v>46209</v>
      </c>
      <c r="K117" s="2" t="str">
        <f>IFERROR(VLOOKUP(B117,#REF!,4,0),"")</f>
        <v/>
      </c>
      <c r="L117" s="1" t="s">
        <v>20</v>
      </c>
      <c r="M117" s="1" t="s">
        <v>12</v>
      </c>
      <c r="O117" s="4"/>
      <c r="Q117" s="4"/>
    </row>
    <row r="118" spans="1:18" hidden="1" x14ac:dyDescent="0.3">
      <c r="A118" s="3">
        <f t="shared" si="4"/>
        <v>114</v>
      </c>
      <c r="B118" s="8" t="s">
        <v>1629</v>
      </c>
      <c r="C118" s="5" t="s">
        <v>1628</v>
      </c>
      <c r="D118" s="6">
        <v>481825004</v>
      </c>
      <c r="E118" s="5" t="s">
        <v>1340</v>
      </c>
      <c r="F118" s="5" t="s">
        <v>28</v>
      </c>
      <c r="G118" s="5" t="s">
        <v>3</v>
      </c>
      <c r="H118" s="2"/>
      <c r="I118" s="2"/>
      <c r="J118" s="2">
        <v>46209</v>
      </c>
      <c r="K118" s="2" t="str">
        <f>IFERROR(VLOOKUP(B118,#REF!,4,0),"")</f>
        <v/>
      </c>
      <c r="L118" s="1" t="s">
        <v>27</v>
      </c>
      <c r="M118" s="1" t="s">
        <v>17</v>
      </c>
      <c r="O118" s="4"/>
      <c r="Q118" s="4"/>
    </row>
    <row r="119" spans="1:18" hidden="1" x14ac:dyDescent="0.3">
      <c r="A119" s="3">
        <f t="shared" si="4"/>
        <v>115</v>
      </c>
      <c r="B119" s="8" t="s">
        <v>1627</v>
      </c>
      <c r="C119" s="5" t="s">
        <v>1626</v>
      </c>
      <c r="D119" s="6">
        <v>396379258</v>
      </c>
      <c r="E119" s="5" t="s">
        <v>1150</v>
      </c>
      <c r="F119" s="5" t="s">
        <v>36</v>
      </c>
      <c r="G119" s="5" t="s">
        <v>3</v>
      </c>
      <c r="H119" s="2">
        <v>46153</v>
      </c>
      <c r="I119" s="2">
        <v>46185</v>
      </c>
      <c r="J119" s="2">
        <v>46213</v>
      </c>
      <c r="K119" s="2" t="str">
        <f>IFERROR(VLOOKUP(B119,#REF!,4,0),"")</f>
        <v/>
      </c>
      <c r="L119" s="1" t="s">
        <v>13</v>
      </c>
      <c r="M119" s="1" t="s">
        <v>12</v>
      </c>
      <c r="O119" s="4"/>
      <c r="Q119" s="4"/>
    </row>
    <row r="120" spans="1:18" hidden="1" x14ac:dyDescent="0.3">
      <c r="A120" s="3">
        <f t="shared" si="4"/>
        <v>116</v>
      </c>
      <c r="B120" s="8" t="s">
        <v>1625</v>
      </c>
      <c r="C120" s="5" t="s">
        <v>1624</v>
      </c>
      <c r="D120" s="6">
        <v>531778581</v>
      </c>
      <c r="E120" s="5" t="s">
        <v>536</v>
      </c>
      <c r="F120" s="5" t="s">
        <v>4</v>
      </c>
      <c r="G120" s="5" t="s">
        <v>3</v>
      </c>
      <c r="H120" s="2">
        <v>46150</v>
      </c>
      <c r="I120" s="2">
        <v>46178</v>
      </c>
      <c r="J120" s="2">
        <v>46214</v>
      </c>
      <c r="K120" s="2" t="str">
        <f>IFERROR(VLOOKUP(B120,#REF!,4,0),"")</f>
        <v/>
      </c>
      <c r="L120" s="1" t="s">
        <v>2</v>
      </c>
      <c r="M120" s="1" t="s">
        <v>17</v>
      </c>
      <c r="O120" s="4" t="s">
        <v>0</v>
      </c>
      <c r="Q120" s="4" t="s">
        <v>0</v>
      </c>
      <c r="R120" s="1" t="s">
        <v>0</v>
      </c>
    </row>
    <row r="121" spans="1:18" hidden="1" x14ac:dyDescent="0.3">
      <c r="A121" s="3">
        <f t="shared" si="4"/>
        <v>117</v>
      </c>
      <c r="B121" s="8" t="s">
        <v>1623</v>
      </c>
      <c r="C121" s="5" t="s">
        <v>1622</v>
      </c>
      <c r="D121" s="6">
        <v>441954374</v>
      </c>
      <c r="E121" s="5" t="s">
        <v>201</v>
      </c>
      <c r="F121" s="5" t="s">
        <v>36</v>
      </c>
      <c r="G121" s="5" t="s">
        <v>3</v>
      </c>
      <c r="H121" s="2">
        <v>46149</v>
      </c>
      <c r="I121" s="2"/>
      <c r="J121" s="2">
        <v>46216</v>
      </c>
      <c r="K121" s="2" t="str">
        <f>IFERROR(VLOOKUP(B121,#REF!,4,0),"")</f>
        <v/>
      </c>
      <c r="L121" s="1" t="s">
        <v>13</v>
      </c>
      <c r="M121" s="1" t="s">
        <v>12</v>
      </c>
      <c r="O121" s="4"/>
      <c r="Q121" s="4"/>
    </row>
    <row r="122" spans="1:18" hidden="1" x14ac:dyDescent="0.3">
      <c r="A122" s="3">
        <f t="shared" si="4"/>
        <v>118</v>
      </c>
      <c r="B122" s="8" t="s">
        <v>1621</v>
      </c>
      <c r="C122" s="5" t="s">
        <v>1620</v>
      </c>
      <c r="D122" s="6">
        <v>408745083</v>
      </c>
      <c r="E122" s="5" t="s">
        <v>1119</v>
      </c>
      <c r="F122" s="5" t="s">
        <v>4</v>
      </c>
      <c r="G122" s="5" t="s">
        <v>3</v>
      </c>
      <c r="H122" s="2">
        <v>46149</v>
      </c>
      <c r="I122" s="2">
        <v>46192</v>
      </c>
      <c r="J122" s="2">
        <v>46219</v>
      </c>
      <c r="K122" s="2" t="str">
        <f>IFERROR(VLOOKUP(B122,#REF!,4,0),"")</f>
        <v/>
      </c>
      <c r="L122" s="1" t="s">
        <v>2</v>
      </c>
      <c r="M122" s="1" t="s">
        <v>17</v>
      </c>
      <c r="O122" s="4" t="s">
        <v>0</v>
      </c>
      <c r="Q122" s="4" t="s">
        <v>0</v>
      </c>
      <c r="R122" s="1" t="s">
        <v>0</v>
      </c>
    </row>
    <row r="123" spans="1:18" hidden="1" x14ac:dyDescent="0.3">
      <c r="A123" s="3">
        <f t="shared" si="4"/>
        <v>119</v>
      </c>
      <c r="B123" s="8" t="s">
        <v>1619</v>
      </c>
      <c r="C123" s="5" t="s">
        <v>1618</v>
      </c>
      <c r="D123" s="6">
        <v>412601941</v>
      </c>
      <c r="E123" s="5" t="s">
        <v>78</v>
      </c>
      <c r="F123" s="5" t="s">
        <v>4</v>
      </c>
      <c r="G123" s="5" t="s">
        <v>3</v>
      </c>
      <c r="H123" s="2">
        <v>46154</v>
      </c>
      <c r="I123" s="2">
        <v>46192</v>
      </c>
      <c r="J123" s="2">
        <v>46219</v>
      </c>
      <c r="K123" s="2" t="str">
        <f>IFERROR(VLOOKUP(B123,#REF!,4,0),"")</f>
        <v/>
      </c>
      <c r="L123" s="1" t="s">
        <v>2</v>
      </c>
      <c r="M123" s="1" t="s">
        <v>12</v>
      </c>
      <c r="O123" s="4" t="s">
        <v>0</v>
      </c>
      <c r="Q123" s="4" t="s">
        <v>0</v>
      </c>
      <c r="R123" s="1" t="s">
        <v>0</v>
      </c>
    </row>
    <row r="124" spans="1:18" hidden="1" x14ac:dyDescent="0.3">
      <c r="A124" s="3">
        <f t="shared" si="4"/>
        <v>120</v>
      </c>
      <c r="B124" s="8" t="s">
        <v>1617</v>
      </c>
      <c r="C124" s="5" t="s">
        <v>1616</v>
      </c>
      <c r="D124" s="6">
        <v>419275253</v>
      </c>
      <c r="E124" s="5" t="s">
        <v>192</v>
      </c>
      <c r="F124" s="5" t="s">
        <v>9</v>
      </c>
      <c r="G124" s="5" t="s">
        <v>3</v>
      </c>
      <c r="H124" s="2">
        <v>46161</v>
      </c>
      <c r="I124" s="2">
        <v>46185</v>
      </c>
      <c r="J124" s="2">
        <v>46223</v>
      </c>
      <c r="K124" s="2" t="str">
        <f>IFERROR(VLOOKUP(B124,#REF!,4,0),"")</f>
        <v/>
      </c>
      <c r="L124" s="1" t="s">
        <v>20</v>
      </c>
      <c r="M124" s="1" t="s">
        <v>17</v>
      </c>
      <c r="O124" s="4" t="s">
        <v>0</v>
      </c>
      <c r="Q124" s="4" t="s">
        <v>0</v>
      </c>
      <c r="R124" s="1" t="s">
        <v>0</v>
      </c>
    </row>
    <row r="125" spans="1:18" hidden="1" x14ac:dyDescent="0.3">
      <c r="A125" s="3">
        <f t="shared" si="4"/>
        <v>121</v>
      </c>
      <c r="B125" s="8" t="s">
        <v>1615</v>
      </c>
      <c r="C125" s="5" t="s">
        <v>1614</v>
      </c>
      <c r="D125" s="6">
        <v>431203778</v>
      </c>
      <c r="E125" s="5" t="s">
        <v>192</v>
      </c>
      <c r="F125" s="5" t="s">
        <v>9</v>
      </c>
      <c r="G125" s="5" t="s">
        <v>3</v>
      </c>
      <c r="H125" s="2">
        <v>46155</v>
      </c>
      <c r="I125" s="2">
        <v>46192</v>
      </c>
      <c r="J125" s="2">
        <v>46224</v>
      </c>
      <c r="K125" s="2" t="str">
        <f>IFERROR(VLOOKUP(B125,#REF!,4,0),"")</f>
        <v/>
      </c>
      <c r="L125" s="1" t="s">
        <v>20</v>
      </c>
      <c r="M125" s="1" t="s">
        <v>12</v>
      </c>
      <c r="O125" s="4" t="s">
        <v>0</v>
      </c>
      <c r="Q125" s="4" t="s">
        <v>0</v>
      </c>
      <c r="R125" s="1" t="s">
        <v>0</v>
      </c>
    </row>
    <row r="126" spans="1:18" hidden="1" x14ac:dyDescent="0.3">
      <c r="A126" s="3">
        <f t="shared" si="4"/>
        <v>122</v>
      </c>
      <c r="B126" s="8" t="s">
        <v>1613</v>
      </c>
      <c r="C126" s="5" t="s">
        <v>1612</v>
      </c>
      <c r="D126" s="6">
        <v>400310503</v>
      </c>
      <c r="E126" s="5" t="s">
        <v>1611</v>
      </c>
      <c r="F126" s="5" t="s">
        <v>4</v>
      </c>
      <c r="G126" s="5" t="s">
        <v>3</v>
      </c>
      <c r="H126" s="2">
        <v>46165</v>
      </c>
      <c r="I126" s="2">
        <v>46177</v>
      </c>
      <c r="J126" s="2">
        <v>46227</v>
      </c>
      <c r="K126" s="2" t="str">
        <f>IFERROR(VLOOKUP(B126,#REF!,4,0),"")</f>
        <v/>
      </c>
      <c r="L126" s="1" t="s">
        <v>77</v>
      </c>
      <c r="M126" s="1" t="s">
        <v>12</v>
      </c>
      <c r="O126" s="4"/>
      <c r="Q126" s="4"/>
    </row>
    <row r="127" spans="1:18" hidden="1" x14ac:dyDescent="0.3">
      <c r="A127" s="3">
        <f t="shared" si="4"/>
        <v>123</v>
      </c>
      <c r="B127" s="8" t="s">
        <v>1610</v>
      </c>
      <c r="C127" s="5" t="s">
        <v>1609</v>
      </c>
      <c r="D127" s="6">
        <v>360137646</v>
      </c>
      <c r="E127" s="5" t="s">
        <v>1608</v>
      </c>
      <c r="F127" s="5" t="s">
        <v>48</v>
      </c>
      <c r="G127" s="5" t="s">
        <v>3</v>
      </c>
      <c r="H127" s="2">
        <v>46164</v>
      </c>
      <c r="I127" s="2">
        <v>46200</v>
      </c>
      <c r="J127" s="2">
        <v>46231</v>
      </c>
      <c r="K127" s="2" t="str">
        <f>IFERROR(VLOOKUP(B127,#REF!,4,0),"")</f>
        <v/>
      </c>
      <c r="L127" s="1" t="s">
        <v>44</v>
      </c>
      <c r="M127" s="1" t="s">
        <v>12</v>
      </c>
      <c r="O127" s="4"/>
      <c r="Q127" s="4"/>
    </row>
    <row r="128" spans="1:18" hidden="1" x14ac:dyDescent="0.3">
      <c r="A128" s="3">
        <f t="shared" si="4"/>
        <v>124</v>
      </c>
      <c r="B128" s="8" t="s">
        <v>1607</v>
      </c>
      <c r="C128" s="5" t="s">
        <v>1606</v>
      </c>
      <c r="D128" s="6">
        <v>330264153</v>
      </c>
      <c r="E128" s="5" t="s">
        <v>178</v>
      </c>
      <c r="F128" s="5" t="s">
        <v>28</v>
      </c>
      <c r="G128" s="5" t="s">
        <v>3</v>
      </c>
      <c r="H128" s="2"/>
      <c r="I128" s="2">
        <v>46183</v>
      </c>
      <c r="J128" s="2"/>
      <c r="K128" s="2" t="str">
        <f>IFERROR(VLOOKUP(B128,#REF!,4,0),"")</f>
        <v/>
      </c>
      <c r="L128" s="1" t="s">
        <v>27</v>
      </c>
      <c r="M128" s="1" t="s">
        <v>12</v>
      </c>
      <c r="O128" s="4"/>
      <c r="Q128" s="4"/>
    </row>
    <row r="129" spans="1:18" hidden="1" x14ac:dyDescent="0.3">
      <c r="A129" s="3">
        <f t="shared" si="4"/>
        <v>125</v>
      </c>
      <c r="B129" s="8" t="s">
        <v>1605</v>
      </c>
      <c r="C129" s="5" t="s">
        <v>1604</v>
      </c>
      <c r="D129" s="6">
        <v>371894802</v>
      </c>
      <c r="E129" s="5" t="s">
        <v>131</v>
      </c>
      <c r="F129" s="5" t="s">
        <v>9</v>
      </c>
      <c r="G129" s="5" t="s">
        <v>3</v>
      </c>
      <c r="H129" s="2"/>
      <c r="I129" s="2">
        <v>46195</v>
      </c>
      <c r="J129" s="2"/>
      <c r="K129" s="2" t="str">
        <f>IFERROR(VLOOKUP(B129,#REF!,4,0),"")</f>
        <v/>
      </c>
      <c r="L129" s="1" t="s">
        <v>124</v>
      </c>
      <c r="M129" s="1" t="s">
        <v>12</v>
      </c>
      <c r="O129" s="4"/>
      <c r="Q129" s="4"/>
    </row>
    <row r="130" spans="1:18" hidden="1" x14ac:dyDescent="0.3">
      <c r="A130" s="3">
        <f t="shared" si="4"/>
        <v>126</v>
      </c>
      <c r="B130" s="8" t="s">
        <v>1603</v>
      </c>
      <c r="C130" s="5" t="s">
        <v>1602</v>
      </c>
      <c r="D130" s="6">
        <v>413778108</v>
      </c>
      <c r="E130" s="5" t="s">
        <v>131</v>
      </c>
      <c r="F130" s="5" t="s">
        <v>9</v>
      </c>
      <c r="G130" s="5" t="s">
        <v>3</v>
      </c>
      <c r="H130" s="2"/>
      <c r="I130" s="2">
        <v>46179</v>
      </c>
      <c r="J130" s="2"/>
      <c r="K130" s="2" t="str">
        <f>IFERROR(VLOOKUP(B130,#REF!,4,0),"")</f>
        <v/>
      </c>
      <c r="L130" s="1" t="s">
        <v>124</v>
      </c>
      <c r="M130" s="1" t="s">
        <v>12</v>
      </c>
      <c r="O130" s="4"/>
      <c r="Q130" s="4"/>
    </row>
    <row r="131" spans="1:18" hidden="1" x14ac:dyDescent="0.3">
      <c r="A131" s="3">
        <f t="shared" si="4"/>
        <v>127</v>
      </c>
      <c r="B131" s="8" t="s">
        <v>1601</v>
      </c>
      <c r="C131" s="5" t="s">
        <v>1600</v>
      </c>
      <c r="D131" s="6">
        <v>359962686</v>
      </c>
      <c r="E131" s="5" t="s">
        <v>167</v>
      </c>
      <c r="F131" s="5" t="s">
        <v>9</v>
      </c>
      <c r="G131" s="5" t="s">
        <v>3</v>
      </c>
      <c r="H131" s="2"/>
      <c r="I131" s="2">
        <v>46175</v>
      </c>
      <c r="J131" s="2"/>
      <c r="K131" s="2" t="str">
        <f>IFERROR(VLOOKUP(B131,#REF!,4,0),"")</f>
        <v/>
      </c>
      <c r="L131" s="1" t="s">
        <v>124</v>
      </c>
      <c r="M131" s="1" t="s">
        <v>12</v>
      </c>
      <c r="O131" s="4"/>
      <c r="Q131" s="4"/>
    </row>
    <row r="132" spans="1:18" hidden="1" x14ac:dyDescent="0.3">
      <c r="A132" s="3">
        <f t="shared" si="4"/>
        <v>128</v>
      </c>
      <c r="B132" s="8" t="s">
        <v>1599</v>
      </c>
      <c r="C132" s="5" t="s">
        <v>1598</v>
      </c>
      <c r="D132" s="6">
        <v>471628561</v>
      </c>
      <c r="E132" s="5" t="s">
        <v>167</v>
      </c>
      <c r="F132" s="5" t="s">
        <v>9</v>
      </c>
      <c r="G132" s="5" t="s">
        <v>3</v>
      </c>
      <c r="H132" s="2"/>
      <c r="I132" s="2">
        <v>46177</v>
      </c>
      <c r="J132" s="2"/>
      <c r="K132" s="2" t="str">
        <f>IFERROR(VLOOKUP(B132,#REF!,4,0),"")</f>
        <v/>
      </c>
      <c r="L132" s="1" t="s">
        <v>124</v>
      </c>
      <c r="M132" s="1" t="s">
        <v>12</v>
      </c>
      <c r="O132" s="4"/>
      <c r="Q132" s="4"/>
    </row>
    <row r="133" spans="1:18" hidden="1" x14ac:dyDescent="0.3">
      <c r="A133" s="3">
        <f t="shared" si="4"/>
        <v>129</v>
      </c>
      <c r="B133" s="8" t="s">
        <v>1597</v>
      </c>
      <c r="C133" s="5" t="s">
        <v>1596</v>
      </c>
      <c r="D133" s="6">
        <v>449842355</v>
      </c>
      <c r="E133" s="5" t="s">
        <v>201</v>
      </c>
      <c r="F133" s="5" t="s">
        <v>36</v>
      </c>
      <c r="G133" s="5" t="s">
        <v>496</v>
      </c>
      <c r="H133" s="2">
        <v>46149</v>
      </c>
      <c r="I133" s="2"/>
      <c r="J133" s="2"/>
      <c r="K133" s="2" t="str">
        <f>IFERROR(VLOOKUP(B133,#REF!,4,0),"")</f>
        <v/>
      </c>
      <c r="L133" s="1" t="s">
        <v>13</v>
      </c>
      <c r="M133" s="1" t="s">
        <v>17</v>
      </c>
      <c r="O133" s="4"/>
      <c r="Q133" s="4"/>
    </row>
    <row r="134" spans="1:18" hidden="1" x14ac:dyDescent="0.3">
      <c r="A134" s="3">
        <f t="shared" si="4"/>
        <v>130</v>
      </c>
      <c r="B134" s="8" t="s">
        <v>1595</v>
      </c>
      <c r="C134" s="5" t="s">
        <v>1594</v>
      </c>
      <c r="D134" s="6">
        <v>432223268</v>
      </c>
      <c r="E134" s="5" t="s">
        <v>178</v>
      </c>
      <c r="F134" s="5" t="s">
        <v>28</v>
      </c>
      <c r="G134" s="5" t="s">
        <v>496</v>
      </c>
      <c r="H134" s="2">
        <v>46154</v>
      </c>
      <c r="I134" s="2"/>
      <c r="J134" s="2"/>
      <c r="K134" s="2" t="str">
        <f>IFERROR(VLOOKUP(B134,#REF!,4,0),"")</f>
        <v/>
      </c>
      <c r="L134" s="1" t="s">
        <v>27</v>
      </c>
      <c r="M134" s="1" t="s">
        <v>12</v>
      </c>
      <c r="O134" s="4"/>
      <c r="Q134" s="4"/>
    </row>
    <row r="135" spans="1:18" hidden="1" x14ac:dyDescent="0.3">
      <c r="A135" s="3">
        <f t="shared" si="4"/>
        <v>131</v>
      </c>
      <c r="B135" s="8" t="s">
        <v>1593</v>
      </c>
      <c r="C135" s="5" t="s">
        <v>1592</v>
      </c>
      <c r="D135" s="6">
        <v>369389831</v>
      </c>
      <c r="E135" s="5" t="s">
        <v>336</v>
      </c>
      <c r="F135" s="5" t="s">
        <v>9</v>
      </c>
      <c r="G135" s="5" t="s">
        <v>496</v>
      </c>
      <c r="H135" s="2">
        <v>46157</v>
      </c>
      <c r="I135" s="2"/>
      <c r="J135" s="2"/>
      <c r="K135" s="2" t="str">
        <f>IFERROR(VLOOKUP(B135,#REF!,4,0),"")</f>
        <v/>
      </c>
      <c r="L135" s="1" t="s">
        <v>13</v>
      </c>
      <c r="M135" s="1" t="s">
        <v>12</v>
      </c>
      <c r="O135" s="4"/>
      <c r="Q135" s="4"/>
    </row>
    <row r="136" spans="1:18" hidden="1" x14ac:dyDescent="0.3">
      <c r="A136" s="3">
        <f t="shared" si="4"/>
        <v>132</v>
      </c>
      <c r="B136" s="8" t="s">
        <v>1591</v>
      </c>
      <c r="C136" s="5" t="s">
        <v>1590</v>
      </c>
      <c r="D136" s="6">
        <v>500729889</v>
      </c>
      <c r="E136" s="5" t="s">
        <v>1589</v>
      </c>
      <c r="F136" s="5" t="s">
        <v>48</v>
      </c>
      <c r="G136" s="5" t="s">
        <v>496</v>
      </c>
      <c r="H136" s="2">
        <v>46160</v>
      </c>
      <c r="I136" s="2"/>
      <c r="J136" s="2"/>
      <c r="K136" s="2" t="str">
        <f>IFERROR(VLOOKUP(B136,#REF!,4,0),"")</f>
        <v/>
      </c>
      <c r="L136" s="1" t="s">
        <v>44</v>
      </c>
      <c r="M136" s="1" t="s">
        <v>17</v>
      </c>
      <c r="O136" s="4"/>
      <c r="Q136" s="4"/>
    </row>
    <row r="137" spans="1:18" hidden="1" x14ac:dyDescent="0.3">
      <c r="A137" s="3">
        <f t="shared" si="4"/>
        <v>133</v>
      </c>
      <c r="B137" s="8" t="s">
        <v>1588</v>
      </c>
      <c r="C137" s="5" t="s">
        <v>1587</v>
      </c>
      <c r="D137" s="6">
        <v>395326057</v>
      </c>
      <c r="E137" s="5" t="s">
        <v>536</v>
      </c>
      <c r="F137" s="5" t="s">
        <v>4</v>
      </c>
      <c r="G137" s="5" t="s">
        <v>3</v>
      </c>
      <c r="H137" s="2"/>
      <c r="I137" s="2"/>
      <c r="J137" s="2">
        <v>46204</v>
      </c>
      <c r="K137" s="2" t="str">
        <f>IFERROR(VLOOKUP(B137,#REF!,4,0),"")</f>
        <v/>
      </c>
      <c r="L137" s="1" t="s">
        <v>2</v>
      </c>
      <c r="M137" s="1" t="s">
        <v>12</v>
      </c>
      <c r="O137" s="4" t="s">
        <v>0</v>
      </c>
      <c r="Q137" s="4" t="s">
        <v>0</v>
      </c>
      <c r="R137" s="1" t="s">
        <v>0</v>
      </c>
    </row>
    <row r="138" spans="1:18" hidden="1" x14ac:dyDescent="0.3">
      <c r="A138" s="3">
        <f t="shared" si="4"/>
        <v>134</v>
      </c>
      <c r="B138" s="23" t="s">
        <v>1586</v>
      </c>
      <c r="C138" s="5" t="s">
        <v>1585</v>
      </c>
      <c r="D138" s="6">
        <v>425894491</v>
      </c>
      <c r="E138" s="5" t="s">
        <v>1584</v>
      </c>
      <c r="F138" s="5" t="s">
        <v>36</v>
      </c>
      <c r="G138" s="5" t="s">
        <v>3</v>
      </c>
      <c r="H138" s="2"/>
      <c r="I138" s="2"/>
      <c r="J138" s="2">
        <v>46204</v>
      </c>
      <c r="K138" s="2" t="str">
        <f>IFERROR(VLOOKUP(B138,#REF!,4,0),"")</f>
        <v/>
      </c>
      <c r="L138" s="1" t="s">
        <v>13</v>
      </c>
      <c r="M138" s="1" t="s">
        <v>12</v>
      </c>
      <c r="O138" s="4"/>
      <c r="Q138" s="4"/>
    </row>
    <row r="139" spans="1:18" hidden="1" x14ac:dyDescent="0.3">
      <c r="A139" s="3">
        <f t="shared" si="4"/>
        <v>135</v>
      </c>
      <c r="B139" s="8" t="s">
        <v>1583</v>
      </c>
      <c r="C139" s="5" t="s">
        <v>1582</v>
      </c>
      <c r="D139" s="6">
        <v>469570425</v>
      </c>
      <c r="E139" s="5" t="s">
        <v>979</v>
      </c>
      <c r="F139" s="5" t="s">
        <v>9</v>
      </c>
      <c r="G139" s="5" t="s">
        <v>3</v>
      </c>
      <c r="H139" s="2"/>
      <c r="I139" s="2"/>
      <c r="J139" s="2">
        <v>46207</v>
      </c>
      <c r="K139" s="2" t="str">
        <f>IFERROR(VLOOKUP(B139,#REF!,4,0),"")</f>
        <v/>
      </c>
      <c r="L139" s="1" t="s">
        <v>20</v>
      </c>
      <c r="M139" s="1" t="s">
        <v>12</v>
      </c>
      <c r="O139" s="4"/>
      <c r="Q139" s="4"/>
    </row>
    <row r="140" spans="1:18" hidden="1" x14ac:dyDescent="0.3">
      <c r="A140" s="3">
        <f t="shared" si="4"/>
        <v>136</v>
      </c>
      <c r="B140" s="8" t="s">
        <v>1581</v>
      </c>
      <c r="C140" s="5" t="s">
        <v>1580</v>
      </c>
      <c r="D140" s="6">
        <v>394679091</v>
      </c>
      <c r="E140" s="5" t="s">
        <v>938</v>
      </c>
      <c r="F140" s="5" t="s">
        <v>48</v>
      </c>
      <c r="G140" s="5" t="s">
        <v>3</v>
      </c>
      <c r="H140" s="2">
        <v>46147</v>
      </c>
      <c r="I140" s="2">
        <v>46197</v>
      </c>
      <c r="J140" s="2">
        <v>46219</v>
      </c>
      <c r="K140" s="2" t="str">
        <f>IFERROR(VLOOKUP(B140,#REF!,4,0),"")</f>
        <v/>
      </c>
      <c r="L140" s="1" t="s">
        <v>44</v>
      </c>
      <c r="M140" s="1" t="s">
        <v>12</v>
      </c>
      <c r="O140" s="4"/>
      <c r="Q140" s="4"/>
    </row>
    <row r="141" spans="1:18" hidden="1" x14ac:dyDescent="0.3">
      <c r="A141" s="3">
        <f t="shared" si="4"/>
        <v>137</v>
      </c>
      <c r="B141" s="8" t="s">
        <v>1579</v>
      </c>
      <c r="C141" s="5" t="s">
        <v>1578</v>
      </c>
      <c r="D141" s="6">
        <v>439849136</v>
      </c>
      <c r="E141" s="5" t="s">
        <v>1277</v>
      </c>
      <c r="F141" s="5" t="s">
        <v>4</v>
      </c>
      <c r="G141" s="5" t="s">
        <v>3</v>
      </c>
      <c r="H141" s="2">
        <v>46153</v>
      </c>
      <c r="I141" s="2">
        <v>46188</v>
      </c>
      <c r="J141" s="2">
        <v>46223</v>
      </c>
      <c r="K141" s="2" t="str">
        <f>IFERROR(VLOOKUP(B141,#REF!,4,0),"")</f>
        <v/>
      </c>
      <c r="L141" s="1" t="s">
        <v>77</v>
      </c>
      <c r="M141" s="1" t="s">
        <v>12</v>
      </c>
      <c r="O141" s="4" t="s">
        <v>0</v>
      </c>
      <c r="Q141" s="4" t="s">
        <v>0</v>
      </c>
      <c r="R141" s="1" t="s">
        <v>0</v>
      </c>
    </row>
    <row r="142" spans="1:18" hidden="1" x14ac:dyDescent="0.3">
      <c r="A142" s="3">
        <f t="shared" si="4"/>
        <v>138</v>
      </c>
      <c r="B142" s="8" t="s">
        <v>1577</v>
      </c>
      <c r="C142" s="5" t="s">
        <v>1576</v>
      </c>
      <c r="D142" s="6">
        <v>510860593</v>
      </c>
      <c r="E142" s="5" t="s">
        <v>287</v>
      </c>
      <c r="F142" s="5" t="s">
        <v>48</v>
      </c>
      <c r="G142" s="5" t="s">
        <v>3</v>
      </c>
      <c r="H142" s="2">
        <v>46164</v>
      </c>
      <c r="I142" s="2">
        <v>46198</v>
      </c>
      <c r="J142" s="2">
        <v>46224</v>
      </c>
      <c r="K142" s="2" t="str">
        <f>IFERROR(VLOOKUP(B142,#REF!,4,0),"")</f>
        <v/>
      </c>
      <c r="L142" s="1" t="s">
        <v>44</v>
      </c>
      <c r="M142" s="1" t="s">
        <v>17</v>
      </c>
      <c r="O142" s="4"/>
      <c r="Q142" s="4"/>
    </row>
    <row r="143" spans="1:18" hidden="1" x14ac:dyDescent="0.3">
      <c r="A143" s="3">
        <f t="shared" si="4"/>
        <v>139</v>
      </c>
      <c r="B143" s="8" t="s">
        <v>1575</v>
      </c>
      <c r="C143" s="5" t="s">
        <v>1574</v>
      </c>
      <c r="D143" s="6">
        <v>436687412</v>
      </c>
      <c r="E143" s="5" t="s">
        <v>131</v>
      </c>
      <c r="F143" s="5" t="s">
        <v>9</v>
      </c>
      <c r="G143" s="5" t="s">
        <v>3</v>
      </c>
      <c r="H143" s="2"/>
      <c r="I143" s="2">
        <v>46190</v>
      </c>
      <c r="J143" s="2">
        <v>46226</v>
      </c>
      <c r="K143" s="2" t="str">
        <f>IFERROR(VLOOKUP(B143,#REF!,4,0),"")</f>
        <v/>
      </c>
      <c r="L143" s="1" t="s">
        <v>124</v>
      </c>
      <c r="M143" s="1" t="s">
        <v>17</v>
      </c>
      <c r="O143" s="4" t="s">
        <v>0</v>
      </c>
      <c r="Q143" s="4" t="s">
        <v>0</v>
      </c>
      <c r="R143" s="1" t="s">
        <v>0</v>
      </c>
    </row>
    <row r="144" spans="1:18" hidden="1" x14ac:dyDescent="0.3">
      <c r="A144" s="3">
        <f t="shared" si="4"/>
        <v>140</v>
      </c>
      <c r="B144" s="8" t="s">
        <v>1573</v>
      </c>
      <c r="C144" s="5" t="s">
        <v>1572</v>
      </c>
      <c r="D144" s="6">
        <v>442278392</v>
      </c>
      <c r="E144" s="5" t="s">
        <v>837</v>
      </c>
      <c r="F144" s="5" t="s">
        <v>4</v>
      </c>
      <c r="G144" s="5" t="s">
        <v>3</v>
      </c>
      <c r="H144" s="2">
        <v>46165</v>
      </c>
      <c r="I144" s="2">
        <v>46197</v>
      </c>
      <c r="J144" s="2">
        <v>46228</v>
      </c>
      <c r="K144" s="2" t="str">
        <f>IFERROR(VLOOKUP(B144,#REF!,4,0),"")</f>
        <v/>
      </c>
      <c r="M144" s="1" t="s">
        <v>12</v>
      </c>
      <c r="O144" s="4" t="s">
        <v>0</v>
      </c>
      <c r="Q144" s="4" t="s">
        <v>0</v>
      </c>
      <c r="R144" s="1" t="s">
        <v>0</v>
      </c>
    </row>
    <row r="145" spans="1:18" hidden="1" x14ac:dyDescent="0.3">
      <c r="A145" s="3">
        <f t="shared" si="4"/>
        <v>141</v>
      </c>
      <c r="B145" s="8" t="s">
        <v>1571</v>
      </c>
      <c r="C145" s="5" t="s">
        <v>1570</v>
      </c>
      <c r="D145" s="6">
        <v>391777167</v>
      </c>
      <c r="E145" s="5" t="s">
        <v>5</v>
      </c>
      <c r="F145" s="5" t="s">
        <v>4</v>
      </c>
      <c r="G145" s="5" t="s">
        <v>3</v>
      </c>
      <c r="H145" s="2">
        <v>46160</v>
      </c>
      <c r="I145" s="2">
        <v>46184</v>
      </c>
      <c r="J145" s="2">
        <v>46230</v>
      </c>
      <c r="K145" s="2" t="str">
        <f>IFERROR(VLOOKUP(B145,#REF!,4,0),"")</f>
        <v/>
      </c>
      <c r="L145" s="1" t="s">
        <v>2</v>
      </c>
      <c r="M145" s="1" t="s">
        <v>12</v>
      </c>
      <c r="O145" s="4"/>
      <c r="Q145" s="4"/>
    </row>
    <row r="146" spans="1:18" hidden="1" x14ac:dyDescent="0.3">
      <c r="A146" s="3">
        <f t="shared" si="4"/>
        <v>142</v>
      </c>
      <c r="B146" s="8" t="s">
        <v>1569</v>
      </c>
      <c r="C146" s="5" t="s">
        <v>1568</v>
      </c>
      <c r="D146" s="6">
        <v>430137817</v>
      </c>
      <c r="E146" s="5" t="s">
        <v>1382</v>
      </c>
      <c r="F146" s="5" t="s">
        <v>32</v>
      </c>
      <c r="G146" s="5" t="s">
        <v>3</v>
      </c>
      <c r="H146" s="2">
        <v>46146</v>
      </c>
      <c r="I146" s="2">
        <v>46186</v>
      </c>
      <c r="J146" s="2"/>
      <c r="K146" s="2" t="str">
        <f>IFERROR(VLOOKUP(B146,#REF!,4,0),"")</f>
        <v/>
      </c>
      <c r="L146" s="1" t="s">
        <v>27</v>
      </c>
      <c r="M146" s="1" t="s">
        <v>12</v>
      </c>
      <c r="O146" s="4"/>
      <c r="Q146" s="4"/>
    </row>
    <row r="147" spans="1:18" hidden="1" x14ac:dyDescent="0.3">
      <c r="A147" s="3">
        <f t="shared" si="4"/>
        <v>143</v>
      </c>
      <c r="B147" s="8" t="s">
        <v>1567</v>
      </c>
      <c r="C147" s="5" t="s">
        <v>1566</v>
      </c>
      <c r="D147" s="6">
        <v>433617003</v>
      </c>
      <c r="E147" s="5" t="s">
        <v>1565</v>
      </c>
      <c r="F147" s="5" t="s">
        <v>40</v>
      </c>
      <c r="G147" s="5" t="s">
        <v>3</v>
      </c>
      <c r="H147" s="2">
        <v>46149</v>
      </c>
      <c r="I147" s="2">
        <v>46192</v>
      </c>
      <c r="J147" s="2"/>
      <c r="K147" s="2" t="str">
        <f>IFERROR(VLOOKUP(B147,#REF!,4,0),"")</f>
        <v/>
      </c>
      <c r="L147" s="1" t="s">
        <v>27</v>
      </c>
      <c r="M147" s="1" t="s">
        <v>12</v>
      </c>
      <c r="O147" s="4"/>
      <c r="Q147" s="4"/>
    </row>
    <row r="148" spans="1:18" hidden="1" x14ac:dyDescent="0.3">
      <c r="A148" s="3">
        <f t="shared" ref="A148:A179" si="5">1+A147</f>
        <v>144</v>
      </c>
      <c r="B148" s="8" t="s">
        <v>1564</v>
      </c>
      <c r="C148" s="5" t="s">
        <v>1563</v>
      </c>
      <c r="D148" s="6">
        <v>453326623</v>
      </c>
      <c r="E148" s="5" t="s">
        <v>137</v>
      </c>
      <c r="F148" s="5" t="s">
        <v>9</v>
      </c>
      <c r="G148" s="5" t="s">
        <v>3</v>
      </c>
      <c r="H148" s="2">
        <v>46155</v>
      </c>
      <c r="I148" s="2">
        <v>46192</v>
      </c>
      <c r="J148" s="2"/>
      <c r="K148" s="2" t="str">
        <f>IFERROR(VLOOKUP(B148,#REF!,4,0),"")</f>
        <v/>
      </c>
      <c r="L148" s="1" t="s">
        <v>20</v>
      </c>
      <c r="M148" s="1" t="s">
        <v>12</v>
      </c>
      <c r="O148" s="4" t="s">
        <v>1562</v>
      </c>
      <c r="Q148" s="4"/>
    </row>
    <row r="149" spans="1:18" hidden="1" x14ac:dyDescent="0.3">
      <c r="A149" s="3">
        <f t="shared" si="5"/>
        <v>145</v>
      </c>
      <c r="B149" s="8" t="s">
        <v>1561</v>
      </c>
      <c r="C149" s="5" t="s">
        <v>1560</v>
      </c>
      <c r="D149" s="6">
        <v>363280983</v>
      </c>
      <c r="E149" s="5" t="s">
        <v>137</v>
      </c>
      <c r="F149" s="5" t="s">
        <v>9</v>
      </c>
      <c r="G149" s="5" t="s">
        <v>3</v>
      </c>
      <c r="H149" s="2">
        <v>46162</v>
      </c>
      <c r="I149" s="2">
        <v>46188</v>
      </c>
      <c r="J149" s="2"/>
      <c r="K149" s="2" t="str">
        <f>IFERROR(VLOOKUP(B149,#REF!,4,0),"")</f>
        <v/>
      </c>
      <c r="L149" s="1" t="s">
        <v>20</v>
      </c>
      <c r="M149" s="1" t="s">
        <v>12</v>
      </c>
      <c r="O149" s="4"/>
      <c r="Q149" s="4"/>
    </row>
    <row r="150" spans="1:18" hidden="1" x14ac:dyDescent="0.3">
      <c r="A150" s="3">
        <f t="shared" si="5"/>
        <v>146</v>
      </c>
      <c r="B150" s="8" t="s">
        <v>1559</v>
      </c>
      <c r="C150" s="5" t="s">
        <v>1558</v>
      </c>
      <c r="D150" s="6">
        <v>357611904</v>
      </c>
      <c r="E150" s="5" t="s">
        <v>125</v>
      </c>
      <c r="F150" s="5" t="s">
        <v>9</v>
      </c>
      <c r="G150" s="5" t="s">
        <v>3</v>
      </c>
      <c r="H150" s="2">
        <v>46162</v>
      </c>
      <c r="I150" s="2">
        <v>46191</v>
      </c>
      <c r="J150" s="2"/>
      <c r="K150" s="2" t="str">
        <f>IFERROR(VLOOKUP(B150,#REF!,4,0),"")</f>
        <v/>
      </c>
      <c r="L150" s="1" t="s">
        <v>124</v>
      </c>
      <c r="M150" s="1" t="s">
        <v>12</v>
      </c>
      <c r="O150" s="4"/>
      <c r="Q150" s="4"/>
    </row>
    <row r="151" spans="1:18" hidden="1" x14ac:dyDescent="0.3">
      <c r="A151" s="3">
        <f t="shared" si="5"/>
        <v>147</v>
      </c>
      <c r="B151" s="8" t="s">
        <v>1557</v>
      </c>
      <c r="C151" s="5" t="s">
        <v>1556</v>
      </c>
      <c r="D151" s="6">
        <v>405330060</v>
      </c>
      <c r="E151" s="5" t="s">
        <v>125</v>
      </c>
      <c r="F151" s="5" t="s">
        <v>9</v>
      </c>
      <c r="G151" s="5" t="s">
        <v>3</v>
      </c>
      <c r="H151" s="2"/>
      <c r="I151" s="2">
        <v>46203</v>
      </c>
      <c r="J151" s="2"/>
      <c r="K151" s="2" t="str">
        <f>IFERROR(VLOOKUP(B151,#REF!,4,0),"")</f>
        <v/>
      </c>
      <c r="L151" s="1" t="s">
        <v>124</v>
      </c>
      <c r="M151" s="1" t="s">
        <v>12</v>
      </c>
      <c r="O151" s="4"/>
      <c r="Q151" s="4"/>
    </row>
    <row r="152" spans="1:18" hidden="1" x14ac:dyDescent="0.3">
      <c r="A152" s="3">
        <f t="shared" si="5"/>
        <v>148</v>
      </c>
      <c r="B152" s="8" t="s">
        <v>1555</v>
      </c>
      <c r="C152" s="5" t="s">
        <v>1554</v>
      </c>
      <c r="D152" s="6">
        <v>493789441</v>
      </c>
      <c r="E152" s="5" t="s">
        <v>368</v>
      </c>
      <c r="F152" s="5" t="s">
        <v>36</v>
      </c>
      <c r="G152" s="5" t="s">
        <v>3</v>
      </c>
      <c r="H152" s="2"/>
      <c r="I152" s="2">
        <v>46185</v>
      </c>
      <c r="J152" s="2"/>
      <c r="K152" s="2" t="str">
        <f>IFERROR(VLOOKUP(B152,#REF!,4,0),"")</f>
        <v/>
      </c>
      <c r="L152" s="1" t="s">
        <v>13</v>
      </c>
      <c r="M152" s="1" t="s">
        <v>12</v>
      </c>
      <c r="O152" s="4"/>
      <c r="Q152" s="4"/>
    </row>
    <row r="153" spans="1:18" hidden="1" x14ac:dyDescent="0.3">
      <c r="A153" s="3">
        <f t="shared" si="5"/>
        <v>149</v>
      </c>
      <c r="B153" s="8" t="s">
        <v>1553</v>
      </c>
      <c r="C153" s="5" t="s">
        <v>1552</v>
      </c>
      <c r="D153" s="6">
        <v>453185212</v>
      </c>
      <c r="E153" s="5" t="s">
        <v>131</v>
      </c>
      <c r="F153" s="5" t="s">
        <v>9</v>
      </c>
      <c r="G153" s="5" t="s">
        <v>496</v>
      </c>
      <c r="H153" s="2">
        <v>46150</v>
      </c>
      <c r="I153" s="2"/>
      <c r="J153" s="2"/>
      <c r="K153" s="2" t="str">
        <f>IFERROR(VLOOKUP(B153,#REF!,4,0),"")</f>
        <v/>
      </c>
      <c r="L153" s="1" t="s">
        <v>124</v>
      </c>
      <c r="M153" s="1" t="s">
        <v>12</v>
      </c>
      <c r="O153" s="4"/>
      <c r="Q153" s="4"/>
    </row>
    <row r="154" spans="1:18" hidden="1" x14ac:dyDescent="0.3">
      <c r="A154" s="3">
        <f t="shared" si="5"/>
        <v>150</v>
      </c>
      <c r="B154" s="10" t="s">
        <v>1551</v>
      </c>
      <c r="C154" s="5" t="s">
        <v>1550</v>
      </c>
      <c r="D154" s="6">
        <v>516288238</v>
      </c>
      <c r="E154" s="5" t="s">
        <v>1549</v>
      </c>
      <c r="F154" s="5" t="s">
        <v>36</v>
      </c>
      <c r="G154" s="5" t="s">
        <v>496</v>
      </c>
      <c r="H154" s="2">
        <v>46154</v>
      </c>
      <c r="I154" s="2"/>
      <c r="J154" s="2"/>
      <c r="K154" s="2" t="str">
        <f>IFERROR(VLOOKUP(B154,#REF!,4,0),"")</f>
        <v/>
      </c>
      <c r="L154" s="1" t="s">
        <v>13</v>
      </c>
      <c r="M154" s="1" t="s">
        <v>17</v>
      </c>
      <c r="O154" s="4"/>
      <c r="Q154" s="4"/>
    </row>
    <row r="155" spans="1:18" hidden="1" x14ac:dyDescent="0.3">
      <c r="A155" s="3">
        <f t="shared" si="5"/>
        <v>151</v>
      </c>
      <c r="B155" s="8" t="s">
        <v>1548</v>
      </c>
      <c r="C155" s="5" t="s">
        <v>1547</v>
      </c>
      <c r="D155" s="6">
        <v>355598868</v>
      </c>
      <c r="E155" s="5" t="s">
        <v>65</v>
      </c>
      <c r="F155" s="5" t="s">
        <v>4</v>
      </c>
      <c r="G155" s="5" t="s">
        <v>3</v>
      </c>
      <c r="H155" s="2">
        <v>46168</v>
      </c>
      <c r="I155" s="2">
        <v>46182</v>
      </c>
      <c r="J155" s="2">
        <v>46217</v>
      </c>
      <c r="K155" s="2" t="str">
        <f>IFERROR(VLOOKUP(B155,#REF!,4,0),"")</f>
        <v/>
      </c>
      <c r="L155" s="1" t="s">
        <v>77</v>
      </c>
      <c r="M155" s="1" t="s">
        <v>12</v>
      </c>
      <c r="O155" s="4"/>
      <c r="Q155" s="4"/>
    </row>
    <row r="156" spans="1:18" hidden="1" x14ac:dyDescent="0.3">
      <c r="A156" s="3">
        <f t="shared" si="5"/>
        <v>152</v>
      </c>
      <c r="B156" s="8" t="s">
        <v>1546</v>
      </c>
      <c r="C156" s="5" t="s">
        <v>1545</v>
      </c>
      <c r="D156" s="6">
        <v>479669433</v>
      </c>
      <c r="E156" s="5" t="s">
        <v>1544</v>
      </c>
      <c r="F156" s="5" t="s">
        <v>9</v>
      </c>
      <c r="G156" s="5" t="s">
        <v>3</v>
      </c>
      <c r="H156" s="2"/>
      <c r="I156" s="2">
        <v>46186</v>
      </c>
      <c r="J156" s="2">
        <v>46224</v>
      </c>
      <c r="K156" s="2" t="str">
        <f>IFERROR(VLOOKUP(B156,#REF!,4,0),"")</f>
        <v/>
      </c>
      <c r="L156" s="1" t="s">
        <v>20</v>
      </c>
      <c r="M156" s="1" t="s">
        <v>12</v>
      </c>
      <c r="O156" s="4"/>
      <c r="Q156" s="4"/>
    </row>
    <row r="157" spans="1:18" hidden="1" x14ac:dyDescent="0.3">
      <c r="A157" s="3">
        <f t="shared" si="5"/>
        <v>153</v>
      </c>
      <c r="B157" s="8" t="s">
        <v>1543</v>
      </c>
      <c r="C157" s="5" t="s">
        <v>1542</v>
      </c>
      <c r="D157" s="6">
        <v>384753118</v>
      </c>
      <c r="E157" s="5" t="s">
        <v>536</v>
      </c>
      <c r="F157" s="5" t="s">
        <v>4</v>
      </c>
      <c r="G157" s="5" t="s">
        <v>3</v>
      </c>
      <c r="H157" s="2">
        <v>46167</v>
      </c>
      <c r="I157" s="2">
        <v>46190</v>
      </c>
      <c r="J157" s="2">
        <v>46233</v>
      </c>
      <c r="K157" s="2" t="str">
        <f>IFERROR(VLOOKUP(B157,#REF!,4,0),"")</f>
        <v/>
      </c>
      <c r="M157" s="1" t="s">
        <v>12</v>
      </c>
      <c r="O157" s="4" t="s">
        <v>0</v>
      </c>
      <c r="Q157" s="4" t="s">
        <v>0</v>
      </c>
      <c r="R157" s="1" t="s">
        <v>0</v>
      </c>
    </row>
    <row r="158" spans="1:18" hidden="1" x14ac:dyDescent="0.3">
      <c r="A158" s="3">
        <f t="shared" si="5"/>
        <v>154</v>
      </c>
      <c r="B158" s="8" t="s">
        <v>1541</v>
      </c>
      <c r="C158" s="5" t="s">
        <v>1540</v>
      </c>
      <c r="D158" s="6">
        <v>560259201</v>
      </c>
      <c r="E158" s="5" t="s">
        <v>647</v>
      </c>
      <c r="F158" s="5" t="s">
        <v>4</v>
      </c>
      <c r="G158" s="5" t="s">
        <v>3</v>
      </c>
      <c r="H158" s="2">
        <v>46155</v>
      </c>
      <c r="I158" s="2">
        <v>46185</v>
      </c>
      <c r="J158" s="2">
        <v>46205</v>
      </c>
      <c r="K158" s="2" t="str">
        <f>IFERROR(VLOOKUP(B158,#REF!,4,0),"")</f>
        <v/>
      </c>
      <c r="L158" s="1" t="s">
        <v>2</v>
      </c>
      <c r="M158" s="1" t="s">
        <v>535</v>
      </c>
      <c r="O158" s="4" t="s">
        <v>0</v>
      </c>
      <c r="Q158" s="4" t="s">
        <v>0</v>
      </c>
      <c r="R158" s="1" t="s">
        <v>0</v>
      </c>
    </row>
    <row r="159" spans="1:18" hidden="1" x14ac:dyDescent="0.3">
      <c r="A159" s="3">
        <f t="shared" si="5"/>
        <v>155</v>
      </c>
      <c r="B159" s="8" t="s">
        <v>1539</v>
      </c>
      <c r="C159" s="5" t="s">
        <v>1538</v>
      </c>
      <c r="D159" s="6">
        <v>562979275</v>
      </c>
      <c r="E159" s="5" t="s">
        <v>829</v>
      </c>
      <c r="F159" s="5" t="s">
        <v>4</v>
      </c>
      <c r="G159" s="5" t="s">
        <v>3</v>
      </c>
      <c r="H159" s="2">
        <v>46146</v>
      </c>
      <c r="I159" s="2">
        <v>46184</v>
      </c>
      <c r="J159" s="2">
        <v>46209</v>
      </c>
      <c r="K159" s="2" t="str">
        <f>IFERROR(VLOOKUP(B159,#REF!,4,0),"")</f>
        <v/>
      </c>
      <c r="L159" s="1" t="s">
        <v>2</v>
      </c>
      <c r="M159" s="1" t="s">
        <v>17</v>
      </c>
      <c r="O159" s="4"/>
      <c r="Q159" s="4"/>
    </row>
    <row r="160" spans="1:18" hidden="1" x14ac:dyDescent="0.3">
      <c r="A160" s="3">
        <f t="shared" si="5"/>
        <v>156</v>
      </c>
      <c r="B160" s="8" t="s">
        <v>1537</v>
      </c>
      <c r="C160" s="5" t="s">
        <v>1536</v>
      </c>
      <c r="D160" s="6">
        <v>696530248</v>
      </c>
      <c r="E160" s="5" t="s">
        <v>718</v>
      </c>
      <c r="F160" s="5" t="s">
        <v>4</v>
      </c>
      <c r="G160" s="5" t="s">
        <v>3</v>
      </c>
      <c r="H160" s="2">
        <v>46157</v>
      </c>
      <c r="I160" s="2">
        <v>46197</v>
      </c>
      <c r="J160" s="2">
        <v>46224</v>
      </c>
      <c r="K160" s="2" t="str">
        <f>IFERROR(VLOOKUP(B160,#REF!,4,0),"")</f>
        <v/>
      </c>
      <c r="L160" s="1" t="s">
        <v>20</v>
      </c>
      <c r="M160" s="1" t="s">
        <v>535</v>
      </c>
      <c r="O160" s="4"/>
      <c r="Q160" s="4"/>
    </row>
    <row r="161" spans="1:18" hidden="1" x14ac:dyDescent="0.3">
      <c r="A161" s="3">
        <f t="shared" si="5"/>
        <v>157</v>
      </c>
      <c r="B161" s="8" t="s">
        <v>1535</v>
      </c>
      <c r="C161" s="5" t="s">
        <v>1534</v>
      </c>
      <c r="D161" s="6">
        <v>532554956</v>
      </c>
      <c r="E161" s="5" t="s">
        <v>1150</v>
      </c>
      <c r="F161" s="5" t="s">
        <v>36</v>
      </c>
      <c r="G161" s="5" t="s">
        <v>3</v>
      </c>
      <c r="H161" s="2"/>
      <c r="I161" s="2"/>
      <c r="J161" s="2"/>
      <c r="K161" s="2" t="str">
        <f>IFERROR(VLOOKUP(B161,#REF!,4,0),"")</f>
        <v/>
      </c>
      <c r="L161" s="1" t="s">
        <v>13</v>
      </c>
      <c r="M161" s="1" t="s">
        <v>17</v>
      </c>
      <c r="N161" s="1" t="s">
        <v>616</v>
      </c>
      <c r="O161" s="4"/>
      <c r="Q161" s="4"/>
    </row>
    <row r="162" spans="1:18" hidden="1" x14ac:dyDescent="0.3">
      <c r="A162" s="3">
        <f t="shared" si="5"/>
        <v>158</v>
      </c>
      <c r="B162" s="24" t="s">
        <v>1533</v>
      </c>
      <c r="C162" s="5" t="s">
        <v>1532</v>
      </c>
      <c r="D162" s="6">
        <v>482679367</v>
      </c>
      <c r="E162" s="5" t="s">
        <v>691</v>
      </c>
      <c r="F162" s="5" t="s">
        <v>4</v>
      </c>
      <c r="G162" s="5" t="s">
        <v>496</v>
      </c>
      <c r="H162" s="2">
        <v>46147</v>
      </c>
      <c r="I162" s="2"/>
      <c r="J162" s="2"/>
      <c r="K162" s="2" t="str">
        <f>IFERROR(VLOOKUP(B162,#REF!,4,0),"")</f>
        <v/>
      </c>
      <c r="L162" s="1" t="s">
        <v>77</v>
      </c>
      <c r="M162" s="1" t="s">
        <v>17</v>
      </c>
      <c r="O162" s="4"/>
      <c r="Q162" s="4"/>
    </row>
    <row r="163" spans="1:18" hidden="1" x14ac:dyDescent="0.3">
      <c r="A163" s="3">
        <f t="shared" si="5"/>
        <v>159</v>
      </c>
      <c r="B163" s="8" t="s">
        <v>1531</v>
      </c>
      <c r="C163" s="5" t="s">
        <v>1530</v>
      </c>
      <c r="D163" s="6">
        <v>457278000</v>
      </c>
      <c r="E163" s="5" t="s">
        <v>1529</v>
      </c>
      <c r="F163" s="5" t="s">
        <v>40</v>
      </c>
      <c r="G163" s="5" t="s">
        <v>496</v>
      </c>
      <c r="H163" s="2">
        <v>46149</v>
      </c>
      <c r="I163" s="2"/>
      <c r="J163" s="2"/>
      <c r="K163" s="2" t="str">
        <f>IFERROR(VLOOKUP(B163,#REF!,4,0),"")</f>
        <v/>
      </c>
      <c r="L163" s="1" t="s">
        <v>27</v>
      </c>
      <c r="M163" s="1" t="s">
        <v>12</v>
      </c>
      <c r="O163" s="4"/>
      <c r="Q163" s="4"/>
    </row>
    <row r="164" spans="1:18" hidden="1" x14ac:dyDescent="0.3">
      <c r="A164" s="3">
        <f t="shared" si="5"/>
        <v>160</v>
      </c>
      <c r="B164" s="8" t="s">
        <v>1528</v>
      </c>
      <c r="C164" s="5" t="s">
        <v>1527</v>
      </c>
      <c r="D164" s="6">
        <v>217535578</v>
      </c>
      <c r="E164" s="5" t="s">
        <v>426</v>
      </c>
      <c r="F164" s="5" t="s">
        <v>9</v>
      </c>
      <c r="G164" s="5" t="s">
        <v>496</v>
      </c>
      <c r="H164" s="2">
        <v>46154</v>
      </c>
      <c r="I164" s="2"/>
      <c r="J164" s="2"/>
      <c r="K164" s="2" t="str">
        <f>IFERROR(VLOOKUP(B164,#REF!,4,0),"")</f>
        <v/>
      </c>
      <c r="L164" s="1" t="s">
        <v>124</v>
      </c>
      <c r="M164" s="1" t="s">
        <v>134</v>
      </c>
      <c r="O164" s="4"/>
      <c r="Q164" s="4"/>
    </row>
    <row r="165" spans="1:18" hidden="1" x14ac:dyDescent="0.3">
      <c r="A165" s="3">
        <f t="shared" si="5"/>
        <v>161</v>
      </c>
      <c r="B165" s="8" t="s">
        <v>1526</v>
      </c>
      <c r="C165" s="5" t="s">
        <v>1525</v>
      </c>
      <c r="D165" s="6">
        <v>174212749</v>
      </c>
      <c r="E165" s="5" t="s">
        <v>260</v>
      </c>
      <c r="F165" s="5" t="s">
        <v>9</v>
      </c>
      <c r="G165" s="5" t="s">
        <v>496</v>
      </c>
      <c r="H165" s="2">
        <v>46157</v>
      </c>
      <c r="I165" s="2"/>
      <c r="J165" s="2"/>
      <c r="K165" s="2" t="str">
        <f>IFERROR(VLOOKUP(B165,#REF!,4,0),"")</f>
        <v/>
      </c>
      <c r="L165" s="1" t="s">
        <v>124</v>
      </c>
      <c r="M165" s="1" t="s">
        <v>259</v>
      </c>
      <c r="O165" s="4"/>
      <c r="Q165" s="4"/>
    </row>
    <row r="166" spans="1:18" hidden="1" x14ac:dyDescent="0.3">
      <c r="A166" s="3">
        <f t="shared" si="5"/>
        <v>162</v>
      </c>
      <c r="B166" s="8" t="s">
        <v>1524</v>
      </c>
      <c r="C166" s="5" t="s">
        <v>1523</v>
      </c>
      <c r="D166" s="6">
        <v>506177070</v>
      </c>
      <c r="E166" s="5" t="s">
        <v>1522</v>
      </c>
      <c r="F166" s="5" t="s">
        <v>40</v>
      </c>
      <c r="G166" s="5" t="s">
        <v>496</v>
      </c>
      <c r="H166" s="2">
        <v>46161</v>
      </c>
      <c r="I166" s="2"/>
      <c r="J166" s="2"/>
      <c r="K166" s="2" t="str">
        <f>IFERROR(VLOOKUP(B166,#REF!,4,0),"")</f>
        <v/>
      </c>
      <c r="L166" s="1" t="s">
        <v>27</v>
      </c>
      <c r="M166" s="1" t="s">
        <v>17</v>
      </c>
      <c r="O166" s="4"/>
      <c r="Q166" s="4"/>
    </row>
    <row r="167" spans="1:18" hidden="1" x14ac:dyDescent="0.3">
      <c r="A167" s="3">
        <f t="shared" si="5"/>
        <v>163</v>
      </c>
      <c r="B167" s="8" t="s">
        <v>1521</v>
      </c>
      <c r="C167" s="5" t="s">
        <v>1520</v>
      </c>
      <c r="D167" s="6">
        <v>435458596</v>
      </c>
      <c r="E167" s="5" t="s">
        <v>131</v>
      </c>
      <c r="F167" s="5" t="s">
        <v>9</v>
      </c>
      <c r="G167" s="5" t="s">
        <v>3</v>
      </c>
      <c r="H167" s="2">
        <v>46155</v>
      </c>
      <c r="I167" s="2">
        <v>46188</v>
      </c>
      <c r="J167" s="2">
        <v>46204</v>
      </c>
      <c r="K167" s="2" t="str">
        <f>IFERROR(VLOOKUP(B167,#REF!,4,0),"")</f>
        <v/>
      </c>
      <c r="L167" s="1" t="s">
        <v>124</v>
      </c>
      <c r="M167" s="1" t="s">
        <v>12</v>
      </c>
      <c r="O167" s="4" t="s">
        <v>0</v>
      </c>
      <c r="Q167" s="4" t="s">
        <v>0</v>
      </c>
      <c r="R167" s="1" t="s">
        <v>0</v>
      </c>
    </row>
    <row r="168" spans="1:18" hidden="1" x14ac:dyDescent="0.3">
      <c r="A168" s="3">
        <f t="shared" si="5"/>
        <v>164</v>
      </c>
      <c r="B168" s="8" t="s">
        <v>1519</v>
      </c>
      <c r="C168" s="5" t="s">
        <v>1518</v>
      </c>
      <c r="D168" s="6">
        <v>317196570</v>
      </c>
      <c r="E168" s="5" t="s">
        <v>647</v>
      </c>
      <c r="F168" s="5" t="s">
        <v>4</v>
      </c>
      <c r="G168" s="5" t="s">
        <v>3</v>
      </c>
      <c r="H168" s="2"/>
      <c r="I168" s="2">
        <v>46181</v>
      </c>
      <c r="J168" s="2">
        <v>46217</v>
      </c>
      <c r="K168" s="2" t="str">
        <f>IFERROR(VLOOKUP(B168,#REF!,4,0),"")</f>
        <v/>
      </c>
      <c r="M168" s="1" t="s">
        <v>12</v>
      </c>
      <c r="O168" s="4"/>
      <c r="Q168" s="4"/>
    </row>
    <row r="169" spans="1:18" hidden="1" x14ac:dyDescent="0.3">
      <c r="A169" s="3">
        <f t="shared" si="5"/>
        <v>165</v>
      </c>
      <c r="B169" s="8" t="s">
        <v>1517</v>
      </c>
      <c r="C169" s="5" t="s">
        <v>1516</v>
      </c>
      <c r="D169" s="6">
        <v>521828033</v>
      </c>
      <c r="E169" s="5" t="s">
        <v>287</v>
      </c>
      <c r="F169" s="5" t="s">
        <v>48</v>
      </c>
      <c r="G169" s="5" t="s">
        <v>3</v>
      </c>
      <c r="H169" s="2">
        <v>46165</v>
      </c>
      <c r="I169" s="2"/>
      <c r="J169" s="2"/>
      <c r="K169" s="2" t="str">
        <f>IFERROR(VLOOKUP(B169,#REF!,4,0),"")</f>
        <v/>
      </c>
      <c r="L169" s="1" t="s">
        <v>44</v>
      </c>
      <c r="M169" s="1" t="s">
        <v>17</v>
      </c>
      <c r="O169" s="4"/>
      <c r="Q169" s="4"/>
    </row>
    <row r="170" spans="1:18" hidden="1" x14ac:dyDescent="0.3">
      <c r="A170" s="3">
        <f t="shared" si="5"/>
        <v>166</v>
      </c>
      <c r="B170" s="8" t="s">
        <v>1515</v>
      </c>
      <c r="C170" s="5" t="s">
        <v>1514</v>
      </c>
      <c r="D170" s="6">
        <v>389339247</v>
      </c>
      <c r="E170" s="5" t="s">
        <v>256</v>
      </c>
      <c r="F170" s="5" t="s">
        <v>4</v>
      </c>
      <c r="G170" s="5" t="s">
        <v>3</v>
      </c>
      <c r="H170" s="2"/>
      <c r="I170" s="2"/>
      <c r="J170" s="2">
        <v>46204</v>
      </c>
      <c r="K170" s="2" t="str">
        <f>IFERROR(VLOOKUP(B170,#REF!,4,0),"")</f>
        <v/>
      </c>
      <c r="M170" s="1" t="s">
        <v>12</v>
      </c>
      <c r="O170" s="4"/>
      <c r="Q170" s="4"/>
    </row>
    <row r="171" spans="1:18" hidden="1" x14ac:dyDescent="0.3">
      <c r="A171" s="3">
        <f t="shared" si="5"/>
        <v>167</v>
      </c>
      <c r="B171" s="8" t="s">
        <v>1513</v>
      </c>
      <c r="C171" s="5" t="s">
        <v>1512</v>
      </c>
      <c r="D171" s="6">
        <v>451955145</v>
      </c>
      <c r="E171" s="5" t="s">
        <v>256</v>
      </c>
      <c r="F171" s="5" t="s">
        <v>4</v>
      </c>
      <c r="G171" s="5" t="s">
        <v>3</v>
      </c>
      <c r="H171" s="2"/>
      <c r="I171" s="2"/>
      <c r="J171" s="2">
        <v>46204</v>
      </c>
      <c r="K171" s="2" t="str">
        <f>IFERROR(VLOOKUP(B171,#REF!,4,0),"")</f>
        <v/>
      </c>
      <c r="M171" s="1" t="s">
        <v>12</v>
      </c>
      <c r="O171" s="4"/>
      <c r="Q171" s="4"/>
    </row>
    <row r="172" spans="1:18" hidden="1" x14ac:dyDescent="0.3">
      <c r="A172" s="3">
        <f t="shared" si="5"/>
        <v>168</v>
      </c>
      <c r="B172" s="8" t="s">
        <v>1511</v>
      </c>
      <c r="C172" s="5" t="s">
        <v>1510</v>
      </c>
      <c r="D172" s="6">
        <v>463024457</v>
      </c>
      <c r="E172" s="5" t="s">
        <v>968</v>
      </c>
      <c r="F172" s="5" t="s">
        <v>4</v>
      </c>
      <c r="G172" s="5" t="s">
        <v>3</v>
      </c>
      <c r="H172" s="2">
        <v>46148</v>
      </c>
      <c r="I172" s="2">
        <v>46185</v>
      </c>
      <c r="J172" s="2">
        <v>46212</v>
      </c>
      <c r="K172" s="2" t="str">
        <f>IFERROR(VLOOKUP(B172,#REF!,4,0),"")</f>
        <v/>
      </c>
      <c r="L172" s="1" t="s">
        <v>2</v>
      </c>
      <c r="M172" s="1" t="s">
        <v>12</v>
      </c>
      <c r="O172" s="4" t="s">
        <v>0</v>
      </c>
      <c r="Q172" s="4" t="s">
        <v>0</v>
      </c>
      <c r="R172" s="1" t="s">
        <v>0</v>
      </c>
    </row>
    <row r="173" spans="1:18" hidden="1" x14ac:dyDescent="0.3">
      <c r="A173" s="3">
        <f t="shared" si="5"/>
        <v>169</v>
      </c>
      <c r="B173" s="8" t="s">
        <v>1509</v>
      </c>
      <c r="C173" s="5" t="s">
        <v>1508</v>
      </c>
      <c r="D173" s="6">
        <v>426501343</v>
      </c>
      <c r="E173" s="5" t="s">
        <v>268</v>
      </c>
      <c r="F173" s="5" t="s">
        <v>4</v>
      </c>
      <c r="G173" s="5" t="s">
        <v>3</v>
      </c>
      <c r="H173" s="2">
        <v>46153</v>
      </c>
      <c r="I173" s="2"/>
      <c r="J173" s="2">
        <v>46213</v>
      </c>
      <c r="K173" s="2" t="str">
        <f>IFERROR(VLOOKUP(B173,#REF!,4,0),"")</f>
        <v/>
      </c>
      <c r="M173" s="1" t="s">
        <v>12</v>
      </c>
      <c r="O173" s="4" t="s">
        <v>0</v>
      </c>
      <c r="Q173" s="4" t="s">
        <v>0</v>
      </c>
      <c r="R173" s="1" t="s">
        <v>0</v>
      </c>
    </row>
    <row r="174" spans="1:18" hidden="1" x14ac:dyDescent="0.3">
      <c r="A174" s="3">
        <f t="shared" si="5"/>
        <v>170</v>
      </c>
      <c r="B174" s="8" t="s">
        <v>1507</v>
      </c>
      <c r="C174" s="5" t="s">
        <v>1506</v>
      </c>
      <c r="D174" s="6">
        <v>429252031</v>
      </c>
      <c r="E174" s="5" t="s">
        <v>268</v>
      </c>
      <c r="F174" s="5" t="s">
        <v>4</v>
      </c>
      <c r="G174" s="5" t="s">
        <v>3</v>
      </c>
      <c r="H174" s="2">
        <v>46161</v>
      </c>
      <c r="I174" s="2">
        <v>46185</v>
      </c>
      <c r="J174" s="2">
        <v>46213</v>
      </c>
      <c r="K174" s="2" t="str">
        <f>IFERROR(VLOOKUP(B174,#REF!,4,0),"")</f>
        <v/>
      </c>
      <c r="M174" s="1" t="s">
        <v>12</v>
      </c>
      <c r="O174" s="4" t="s">
        <v>0</v>
      </c>
      <c r="Q174" s="4" t="s">
        <v>0</v>
      </c>
      <c r="R174" s="1" t="s">
        <v>0</v>
      </c>
    </row>
    <row r="175" spans="1:18" hidden="1" x14ac:dyDescent="0.3">
      <c r="A175" s="3">
        <f t="shared" si="5"/>
        <v>171</v>
      </c>
      <c r="B175" s="8" t="s">
        <v>1505</v>
      </c>
      <c r="C175" s="5" t="s">
        <v>1504</v>
      </c>
      <c r="D175" s="6">
        <v>418184263</v>
      </c>
      <c r="E175" s="5" t="s">
        <v>1503</v>
      </c>
      <c r="F175" s="5" t="s">
        <v>4</v>
      </c>
      <c r="G175" s="5" t="s">
        <v>3</v>
      </c>
      <c r="H175" s="2">
        <v>46158</v>
      </c>
      <c r="I175" s="2">
        <v>46175</v>
      </c>
      <c r="J175" s="2">
        <v>46216</v>
      </c>
      <c r="K175" s="2" t="str">
        <f>IFERROR(VLOOKUP(B175,#REF!,4,0),"")</f>
        <v/>
      </c>
      <c r="L175" s="1" t="s">
        <v>2</v>
      </c>
      <c r="M175" s="1" t="s">
        <v>12</v>
      </c>
      <c r="O175" s="4" t="s">
        <v>0</v>
      </c>
      <c r="Q175" s="4" t="s">
        <v>0</v>
      </c>
      <c r="R175" s="1" t="s">
        <v>0</v>
      </c>
    </row>
    <row r="176" spans="1:18" hidden="1" x14ac:dyDescent="0.3">
      <c r="A176" s="3">
        <f t="shared" si="5"/>
        <v>172</v>
      </c>
      <c r="B176" s="8" t="s">
        <v>1502</v>
      </c>
      <c r="C176" s="5" t="s">
        <v>1501</v>
      </c>
      <c r="D176" s="6">
        <v>666163443</v>
      </c>
      <c r="E176" s="5" t="s">
        <v>1500</v>
      </c>
      <c r="F176" s="5" t="s">
        <v>9</v>
      </c>
      <c r="G176" s="5" t="s">
        <v>3</v>
      </c>
      <c r="H176" s="2">
        <v>46160</v>
      </c>
      <c r="I176" s="2">
        <v>46195</v>
      </c>
      <c r="J176" s="2">
        <v>46217</v>
      </c>
      <c r="K176" s="2" t="str">
        <f>IFERROR(VLOOKUP(B176,#REF!,4,0),"")</f>
        <v/>
      </c>
      <c r="L176" s="1" t="s">
        <v>20</v>
      </c>
      <c r="M176" s="1" t="s">
        <v>17</v>
      </c>
      <c r="O176" s="4" t="s">
        <v>0</v>
      </c>
      <c r="Q176" s="4" t="s">
        <v>0</v>
      </c>
      <c r="R176" s="1" t="s">
        <v>0</v>
      </c>
    </row>
    <row r="177" spans="1:18" hidden="1" x14ac:dyDescent="0.3">
      <c r="A177" s="3">
        <f t="shared" si="5"/>
        <v>173</v>
      </c>
      <c r="B177" s="8" t="s">
        <v>1499</v>
      </c>
      <c r="C177" s="5" t="s">
        <v>1498</v>
      </c>
      <c r="D177" s="6">
        <v>361797191</v>
      </c>
      <c r="E177" s="5" t="s">
        <v>192</v>
      </c>
      <c r="F177" s="5" t="s">
        <v>9</v>
      </c>
      <c r="G177" s="5" t="s">
        <v>3</v>
      </c>
      <c r="H177" s="2">
        <v>46148</v>
      </c>
      <c r="I177" s="2"/>
      <c r="J177" s="2">
        <v>46218</v>
      </c>
      <c r="K177" s="2" t="str">
        <f>IFERROR(VLOOKUP(B177,#REF!,4,0),"")</f>
        <v/>
      </c>
      <c r="L177" s="1" t="s">
        <v>20</v>
      </c>
      <c r="M177" s="1" t="s">
        <v>12</v>
      </c>
      <c r="O177" s="4"/>
      <c r="Q177" s="4"/>
    </row>
    <row r="178" spans="1:18" hidden="1" x14ac:dyDescent="0.3">
      <c r="A178" s="3">
        <f t="shared" si="5"/>
        <v>174</v>
      </c>
      <c r="B178" s="8" t="s">
        <v>1497</v>
      </c>
      <c r="C178" s="5" t="s">
        <v>1496</v>
      </c>
      <c r="D178" s="6">
        <v>659000424</v>
      </c>
      <c r="E178" s="5" t="s">
        <v>125</v>
      </c>
      <c r="F178" s="5" t="s">
        <v>9</v>
      </c>
      <c r="G178" s="5" t="s">
        <v>3</v>
      </c>
      <c r="H178" s="2">
        <v>46150</v>
      </c>
      <c r="I178" s="2">
        <v>46185</v>
      </c>
      <c r="J178" s="2">
        <v>46218</v>
      </c>
      <c r="K178" s="2" t="str">
        <f>IFERROR(VLOOKUP(B178,#REF!,4,0),"")</f>
        <v/>
      </c>
      <c r="L178" s="1" t="s">
        <v>124</v>
      </c>
      <c r="M178" s="1" t="s">
        <v>17</v>
      </c>
      <c r="O178" s="4" t="s">
        <v>0</v>
      </c>
      <c r="Q178" s="4" t="s">
        <v>0</v>
      </c>
      <c r="R178" s="1" t="s">
        <v>0</v>
      </c>
    </row>
    <row r="179" spans="1:18" hidden="1" x14ac:dyDescent="0.3">
      <c r="A179" s="3">
        <f t="shared" si="5"/>
        <v>175</v>
      </c>
      <c r="B179" s="8" t="s">
        <v>1495</v>
      </c>
      <c r="C179" s="5" t="s">
        <v>1494</v>
      </c>
      <c r="D179" s="6">
        <v>491412074</v>
      </c>
      <c r="E179" s="5" t="s">
        <v>192</v>
      </c>
      <c r="F179" s="5" t="s">
        <v>9</v>
      </c>
      <c r="G179" s="5" t="s">
        <v>3</v>
      </c>
      <c r="H179" s="2">
        <v>46160</v>
      </c>
      <c r="I179" s="2">
        <v>46176</v>
      </c>
      <c r="J179" s="2">
        <v>46231</v>
      </c>
      <c r="K179" s="2" t="str">
        <f>IFERROR(VLOOKUP(B179,#REF!,4,0),"")</f>
        <v/>
      </c>
      <c r="L179" s="1" t="s">
        <v>20</v>
      </c>
      <c r="M179" s="1" t="s">
        <v>12</v>
      </c>
      <c r="O179" s="4" t="s">
        <v>0</v>
      </c>
      <c r="Q179" s="4" t="s">
        <v>0</v>
      </c>
      <c r="R179" s="1" t="s">
        <v>0</v>
      </c>
    </row>
    <row r="180" spans="1:18" hidden="1" x14ac:dyDescent="0.3">
      <c r="A180" s="3">
        <f t="shared" ref="A180:A188" si="6">1+A179</f>
        <v>176</v>
      </c>
      <c r="B180" s="8" t="s">
        <v>1493</v>
      </c>
      <c r="C180" s="5" t="s">
        <v>1492</v>
      </c>
      <c r="D180" s="6">
        <v>429821139</v>
      </c>
      <c r="E180" s="5" t="s">
        <v>718</v>
      </c>
      <c r="F180" s="5" t="s">
        <v>4</v>
      </c>
      <c r="G180" s="5" t="s">
        <v>3</v>
      </c>
      <c r="H180" s="2">
        <v>46170</v>
      </c>
      <c r="I180" s="2">
        <v>46192</v>
      </c>
      <c r="J180" s="2">
        <v>46231</v>
      </c>
      <c r="K180" s="2" t="str">
        <f>IFERROR(VLOOKUP(B180,#REF!,4,0),"")</f>
        <v/>
      </c>
      <c r="L180" s="1" t="s">
        <v>2</v>
      </c>
      <c r="M180" s="1" t="s">
        <v>12</v>
      </c>
      <c r="O180" s="4" t="s">
        <v>0</v>
      </c>
      <c r="Q180" s="4" t="s">
        <v>0</v>
      </c>
      <c r="R180" s="1" t="s">
        <v>0</v>
      </c>
    </row>
    <row r="181" spans="1:18" hidden="1" x14ac:dyDescent="0.3">
      <c r="A181" s="3">
        <f t="shared" si="6"/>
        <v>177</v>
      </c>
      <c r="B181" s="8" t="s">
        <v>1491</v>
      </c>
      <c r="C181" s="5" t="s">
        <v>1490</v>
      </c>
      <c r="D181" s="6">
        <v>383759306</v>
      </c>
      <c r="E181" s="5" t="s">
        <v>508</v>
      </c>
      <c r="F181" s="5" t="s">
        <v>4</v>
      </c>
      <c r="G181" s="5" t="s">
        <v>3</v>
      </c>
      <c r="H181" s="2">
        <v>46170</v>
      </c>
      <c r="I181" s="2"/>
      <c r="J181" s="2">
        <v>46231</v>
      </c>
      <c r="K181" s="2" t="str">
        <f>IFERROR(VLOOKUP(B181,#REF!,4,0),"")</f>
        <v/>
      </c>
      <c r="M181" s="1" t="s">
        <v>12</v>
      </c>
      <c r="O181" s="4"/>
      <c r="Q181" s="4"/>
    </row>
    <row r="182" spans="1:18" hidden="1" x14ac:dyDescent="0.3">
      <c r="A182" s="3">
        <f t="shared" si="6"/>
        <v>178</v>
      </c>
      <c r="B182" s="8" t="s">
        <v>1489</v>
      </c>
      <c r="C182" s="5" t="s">
        <v>1488</v>
      </c>
      <c r="D182" s="6">
        <v>509265979</v>
      </c>
      <c r="E182" s="5" t="s">
        <v>986</v>
      </c>
      <c r="F182" s="5" t="s">
        <v>28</v>
      </c>
      <c r="G182" s="5" t="s">
        <v>3</v>
      </c>
      <c r="H182" s="2">
        <v>46172</v>
      </c>
      <c r="I182" s="2">
        <v>46198</v>
      </c>
      <c r="J182" s="2">
        <v>46231</v>
      </c>
      <c r="K182" s="2" t="str">
        <f>IFERROR(VLOOKUP(B182,#REF!,4,0),"")</f>
        <v/>
      </c>
      <c r="L182" s="1" t="s">
        <v>27</v>
      </c>
      <c r="M182" s="1" t="s">
        <v>12</v>
      </c>
      <c r="O182" s="4" t="s">
        <v>0</v>
      </c>
      <c r="Q182" s="4" t="s">
        <v>0</v>
      </c>
      <c r="R182" s="1" t="s">
        <v>0</v>
      </c>
    </row>
    <row r="183" spans="1:18" hidden="1" x14ac:dyDescent="0.3">
      <c r="A183" s="3">
        <f t="shared" si="6"/>
        <v>179</v>
      </c>
      <c r="B183" s="8" t="s">
        <v>1487</v>
      </c>
      <c r="C183" s="5" t="s">
        <v>1486</v>
      </c>
      <c r="D183" s="6">
        <v>446595854</v>
      </c>
      <c r="E183" s="5" t="s">
        <v>986</v>
      </c>
      <c r="F183" s="5" t="s">
        <v>28</v>
      </c>
      <c r="G183" s="5" t="s">
        <v>496</v>
      </c>
      <c r="H183" s="2">
        <v>46146</v>
      </c>
      <c r="I183" s="2"/>
      <c r="J183" s="2"/>
      <c r="K183" s="2" t="str">
        <f>IFERROR(VLOOKUP(B183,#REF!,4,0),"")</f>
        <v/>
      </c>
      <c r="L183" s="1" t="s">
        <v>27</v>
      </c>
      <c r="M183" s="1" t="s">
        <v>12</v>
      </c>
      <c r="O183" s="4"/>
      <c r="Q183" s="4"/>
    </row>
    <row r="184" spans="1:18" hidden="1" x14ac:dyDescent="0.3">
      <c r="A184" s="3">
        <f t="shared" si="6"/>
        <v>180</v>
      </c>
      <c r="B184" s="8" t="s">
        <v>1485</v>
      </c>
      <c r="C184" s="5" t="s">
        <v>1484</v>
      </c>
      <c r="D184" s="6">
        <v>384114418</v>
      </c>
      <c r="E184" s="5" t="s">
        <v>131</v>
      </c>
      <c r="F184" s="5" t="s">
        <v>9</v>
      </c>
      <c r="G184" s="5" t="s">
        <v>496</v>
      </c>
      <c r="H184" s="2">
        <v>46155</v>
      </c>
      <c r="I184" s="2"/>
      <c r="J184" s="2"/>
      <c r="K184" s="2" t="str">
        <f>IFERROR(VLOOKUP(B184,#REF!,4,0),"")</f>
        <v/>
      </c>
      <c r="L184" s="1" t="s">
        <v>124</v>
      </c>
      <c r="M184" s="1" t="s">
        <v>12</v>
      </c>
      <c r="O184" s="4"/>
      <c r="P184" s="1" t="s">
        <v>1</v>
      </c>
      <c r="Q184" s="4"/>
    </row>
    <row r="185" spans="1:18" hidden="1" x14ac:dyDescent="0.3">
      <c r="A185" s="3">
        <f t="shared" si="6"/>
        <v>181</v>
      </c>
      <c r="B185" s="8" t="s">
        <v>1483</v>
      </c>
      <c r="C185" s="5" t="s">
        <v>1482</v>
      </c>
      <c r="D185" s="6">
        <v>400293045</v>
      </c>
      <c r="E185" s="5" t="s">
        <v>131</v>
      </c>
      <c r="F185" s="5" t="s">
        <v>9</v>
      </c>
      <c r="G185" s="5" t="s">
        <v>496</v>
      </c>
      <c r="H185" s="2"/>
      <c r="I185" s="2">
        <v>46182</v>
      </c>
      <c r="J185" s="2"/>
      <c r="K185" s="2" t="str">
        <f>IFERROR(VLOOKUP(B185,#REF!,4,0),"")</f>
        <v/>
      </c>
      <c r="L185" s="1" t="s">
        <v>124</v>
      </c>
      <c r="M185" s="1" t="s">
        <v>12</v>
      </c>
      <c r="O185" s="4"/>
      <c r="P185" s="1" t="s">
        <v>1</v>
      </c>
      <c r="Q185" s="4"/>
    </row>
    <row r="186" spans="1:18" hidden="1" x14ac:dyDescent="0.3">
      <c r="A186" s="3">
        <f t="shared" si="6"/>
        <v>182</v>
      </c>
      <c r="B186" s="8" t="s">
        <v>1481</v>
      </c>
      <c r="C186" s="5" t="s">
        <v>1480</v>
      </c>
      <c r="D186" s="6">
        <v>425551756</v>
      </c>
      <c r="E186" s="5" t="s">
        <v>1479</v>
      </c>
      <c r="F186" s="5" t="s">
        <v>48</v>
      </c>
      <c r="G186" s="5" t="s">
        <v>3</v>
      </c>
      <c r="H186" s="2">
        <v>46172</v>
      </c>
      <c r="I186" s="2"/>
      <c r="J186" s="2">
        <v>46217</v>
      </c>
      <c r="K186" s="2" t="str">
        <f>IFERROR(VLOOKUP(B186,#REF!,4,0),"")</f>
        <v/>
      </c>
      <c r="L186" s="1" t="s">
        <v>44</v>
      </c>
      <c r="M186" s="1" t="s">
        <v>12</v>
      </c>
      <c r="O186" s="4"/>
      <c r="Q186" s="4"/>
    </row>
    <row r="187" spans="1:18" hidden="1" x14ac:dyDescent="0.3">
      <c r="A187" s="3">
        <f t="shared" si="6"/>
        <v>183</v>
      </c>
      <c r="B187" s="8" t="s">
        <v>1478</v>
      </c>
      <c r="C187" s="5" t="s">
        <v>1477</v>
      </c>
      <c r="D187" s="6">
        <v>392286968</v>
      </c>
      <c r="E187" s="5" t="s">
        <v>461</v>
      </c>
      <c r="F187" s="5" t="s">
        <v>28</v>
      </c>
      <c r="G187" s="5" t="s">
        <v>3</v>
      </c>
      <c r="H187" s="2"/>
      <c r="I187" s="2"/>
      <c r="J187" s="2">
        <v>46217</v>
      </c>
      <c r="K187" s="2" t="str">
        <f>IFERROR(VLOOKUP(B187,#REF!,4,0),"")</f>
        <v/>
      </c>
      <c r="L187" s="1" t="s">
        <v>27</v>
      </c>
      <c r="M187" s="1" t="s">
        <v>12</v>
      </c>
      <c r="O187" s="4"/>
      <c r="Q187" s="4"/>
    </row>
    <row r="188" spans="1:18" hidden="1" x14ac:dyDescent="0.3">
      <c r="A188" s="3">
        <f t="shared" si="6"/>
        <v>184</v>
      </c>
      <c r="B188" s="8" t="s">
        <v>1476</v>
      </c>
      <c r="C188" s="5" t="s">
        <v>1475</v>
      </c>
      <c r="D188" s="6">
        <v>444497744</v>
      </c>
      <c r="E188" s="5" t="s">
        <v>733</v>
      </c>
      <c r="F188" s="5" t="s">
        <v>4</v>
      </c>
      <c r="G188" s="5" t="s">
        <v>3</v>
      </c>
      <c r="H188" s="2"/>
      <c r="I188" s="2">
        <v>46182</v>
      </c>
      <c r="J188" s="2">
        <v>46231</v>
      </c>
      <c r="K188" s="2" t="str">
        <f>IFERROR(VLOOKUP(B188,#REF!,4,0),"")</f>
        <v/>
      </c>
      <c r="L188" s="1" t="s">
        <v>2</v>
      </c>
      <c r="M188" s="1" t="s">
        <v>17</v>
      </c>
      <c r="O188" s="4" t="s">
        <v>0</v>
      </c>
      <c r="Q188" s="4" t="s">
        <v>0</v>
      </c>
      <c r="R188" s="1" t="s">
        <v>0</v>
      </c>
    </row>
    <row r="189" spans="1:18" hidden="1" x14ac:dyDescent="0.3">
      <c r="A189" s="3"/>
      <c r="B189" s="8"/>
      <c r="C189" s="5"/>
      <c r="D189" s="6"/>
      <c r="E189" s="5"/>
      <c r="F189" s="5"/>
      <c r="G189" s="5"/>
      <c r="H189" s="2"/>
      <c r="I189" s="2"/>
      <c r="J189" s="2"/>
      <c r="O189" s="4"/>
      <c r="Q189" s="4"/>
    </row>
    <row r="190" spans="1:18" hidden="1" x14ac:dyDescent="0.3">
      <c r="A190" s="3">
        <f t="shared" ref="A190:A221" si="7">1+A189</f>
        <v>1</v>
      </c>
      <c r="B190" s="9" t="s">
        <v>1474</v>
      </c>
      <c r="C190" s="5" t="s">
        <v>1473</v>
      </c>
      <c r="D190" s="6">
        <v>416729948</v>
      </c>
      <c r="E190" s="5" t="s">
        <v>536</v>
      </c>
      <c r="F190" s="5" t="s">
        <v>4</v>
      </c>
      <c r="G190" s="5" t="s">
        <v>3</v>
      </c>
      <c r="H190" s="2"/>
      <c r="I190" s="2"/>
      <c r="J190" s="2">
        <v>46211</v>
      </c>
      <c r="K190" s="2" t="str">
        <f>IFERROR(VLOOKUP(B190,#REF!,4,0),"")</f>
        <v/>
      </c>
      <c r="M190" s="1" t="s">
        <v>17</v>
      </c>
      <c r="O190" s="4"/>
      <c r="Q190" s="4"/>
    </row>
    <row r="191" spans="1:18" hidden="1" x14ac:dyDescent="0.3">
      <c r="A191" s="3">
        <f t="shared" si="7"/>
        <v>2</v>
      </c>
      <c r="B191" s="8" t="s">
        <v>1472</v>
      </c>
      <c r="C191" s="5" t="s">
        <v>1471</v>
      </c>
      <c r="D191" s="6">
        <v>459423313</v>
      </c>
      <c r="E191" s="5" t="s">
        <v>5</v>
      </c>
      <c r="F191" s="5" t="s">
        <v>4</v>
      </c>
      <c r="G191" s="5" t="s">
        <v>3</v>
      </c>
      <c r="H191" s="2">
        <v>46158</v>
      </c>
      <c r="I191" s="2">
        <v>46184</v>
      </c>
      <c r="J191" s="2">
        <v>46213</v>
      </c>
      <c r="K191" s="2" t="str">
        <f>IFERROR(VLOOKUP(B191,#REF!,4,0),"")</f>
        <v/>
      </c>
      <c r="L191" s="1" t="s">
        <v>2</v>
      </c>
      <c r="M191" s="1" t="s">
        <v>12</v>
      </c>
      <c r="O191" s="4" t="s">
        <v>0</v>
      </c>
      <c r="P191" s="1" t="s">
        <v>1</v>
      </c>
      <c r="Q191" s="4" t="s">
        <v>0</v>
      </c>
      <c r="R191" s="1" t="s">
        <v>0</v>
      </c>
    </row>
    <row r="192" spans="1:18" hidden="1" x14ac:dyDescent="0.3">
      <c r="A192" s="3">
        <f t="shared" si="7"/>
        <v>3</v>
      </c>
      <c r="B192" s="8" t="s">
        <v>1470</v>
      </c>
      <c r="C192" s="5" t="s">
        <v>1469</v>
      </c>
      <c r="D192" s="6">
        <v>384892723</v>
      </c>
      <c r="E192" s="5" t="s">
        <v>1119</v>
      </c>
      <c r="F192" s="5" t="s">
        <v>4</v>
      </c>
      <c r="G192" s="5" t="s">
        <v>3</v>
      </c>
      <c r="H192" s="2"/>
      <c r="I192" s="2">
        <v>46202</v>
      </c>
      <c r="J192" s="2">
        <v>46218</v>
      </c>
      <c r="K192" s="2" t="str">
        <f>IFERROR(VLOOKUP(B192,#REF!,4,0),"")</f>
        <v/>
      </c>
      <c r="L192" s="1" t="s">
        <v>2</v>
      </c>
      <c r="M192" s="1" t="s">
        <v>17</v>
      </c>
      <c r="O192" s="4" t="s">
        <v>0</v>
      </c>
      <c r="Q192" s="4" t="s">
        <v>0</v>
      </c>
      <c r="R192" s="1" t="s">
        <v>0</v>
      </c>
    </row>
    <row r="193" spans="1:18" hidden="1" x14ac:dyDescent="0.3">
      <c r="A193" s="3">
        <f t="shared" si="7"/>
        <v>4</v>
      </c>
      <c r="B193" s="17" t="s">
        <v>1468</v>
      </c>
      <c r="C193" s="5" t="s">
        <v>1467</v>
      </c>
      <c r="D193" s="6">
        <v>335584962</v>
      </c>
      <c r="E193" s="5" t="s">
        <v>1466</v>
      </c>
      <c r="F193" s="5" t="s">
        <v>36</v>
      </c>
      <c r="G193" s="5" t="s">
        <v>3</v>
      </c>
      <c r="H193" s="2">
        <v>46160</v>
      </c>
      <c r="I193" s="2">
        <v>46184</v>
      </c>
      <c r="J193" s="2">
        <v>46220</v>
      </c>
      <c r="K193" s="2" t="str">
        <f>IFERROR(VLOOKUP(B193,#REF!,4,0),"")</f>
        <v/>
      </c>
      <c r="L193" s="1" t="s">
        <v>13</v>
      </c>
      <c r="M193" s="1" t="s">
        <v>12</v>
      </c>
      <c r="O193" s="4" t="s">
        <v>0</v>
      </c>
      <c r="Q193" s="4" t="s">
        <v>0</v>
      </c>
      <c r="R193" s="1" t="s">
        <v>0</v>
      </c>
    </row>
    <row r="194" spans="1:18" hidden="1" x14ac:dyDescent="0.3">
      <c r="A194" s="3">
        <f t="shared" si="7"/>
        <v>5</v>
      </c>
      <c r="B194" s="8" t="s">
        <v>1465</v>
      </c>
      <c r="C194" s="5" t="s">
        <v>1464</v>
      </c>
      <c r="D194" s="6">
        <v>365968322</v>
      </c>
      <c r="E194" s="5" t="s">
        <v>1119</v>
      </c>
      <c r="F194" s="5" t="s">
        <v>4</v>
      </c>
      <c r="G194" s="5" t="s">
        <v>3</v>
      </c>
      <c r="H194" s="2"/>
      <c r="I194" s="2">
        <v>46203</v>
      </c>
      <c r="J194" s="2">
        <v>46220</v>
      </c>
      <c r="K194" s="2" t="str">
        <f>IFERROR(VLOOKUP(B194,#REF!,4,0),"")</f>
        <v/>
      </c>
      <c r="L194" s="1" t="s">
        <v>2</v>
      </c>
      <c r="M194" s="1" t="s">
        <v>12</v>
      </c>
      <c r="O194" s="4" t="s">
        <v>0</v>
      </c>
      <c r="Q194" s="4" t="s">
        <v>0</v>
      </c>
      <c r="R194" s="1" t="s">
        <v>0</v>
      </c>
    </row>
    <row r="195" spans="1:18" hidden="1" x14ac:dyDescent="0.3">
      <c r="A195" s="3">
        <f t="shared" si="7"/>
        <v>6</v>
      </c>
      <c r="B195" s="8" t="s">
        <v>1463</v>
      </c>
      <c r="C195" s="5" t="s">
        <v>1462</v>
      </c>
      <c r="D195" s="6">
        <v>423894694</v>
      </c>
      <c r="E195" s="5" t="s">
        <v>1461</v>
      </c>
      <c r="F195" s="5" t="s">
        <v>4</v>
      </c>
      <c r="G195" s="5" t="s">
        <v>3</v>
      </c>
      <c r="H195" s="2"/>
      <c r="I195" s="2"/>
      <c r="J195" s="2">
        <v>46226</v>
      </c>
      <c r="K195" s="2" t="str">
        <f>IFERROR(VLOOKUP(B195,#REF!,4,0),"")</f>
        <v/>
      </c>
      <c r="L195" s="1" t="s">
        <v>77</v>
      </c>
      <c r="M195" s="1" t="s">
        <v>12</v>
      </c>
      <c r="O195" s="4"/>
      <c r="Q195" s="4"/>
    </row>
    <row r="196" spans="1:18" hidden="1" x14ac:dyDescent="0.3">
      <c r="A196" s="3">
        <f t="shared" si="7"/>
        <v>7</v>
      </c>
      <c r="B196" s="8" t="s">
        <v>1460</v>
      </c>
      <c r="C196" s="5" t="s">
        <v>1459</v>
      </c>
      <c r="D196" s="6">
        <v>603090033</v>
      </c>
      <c r="E196" s="5" t="s">
        <v>508</v>
      </c>
      <c r="F196" s="5" t="s">
        <v>4</v>
      </c>
      <c r="G196" s="5" t="s">
        <v>3</v>
      </c>
      <c r="H196" s="2">
        <v>46149</v>
      </c>
      <c r="I196" s="2">
        <v>46192</v>
      </c>
      <c r="J196" s="2">
        <v>46230</v>
      </c>
      <c r="K196" s="2" t="str">
        <f>IFERROR(VLOOKUP(B196,#REF!,4,0),"")</f>
        <v/>
      </c>
      <c r="L196" s="1" t="s">
        <v>20</v>
      </c>
      <c r="M196" s="1" t="s">
        <v>535</v>
      </c>
      <c r="O196" s="4" t="s">
        <v>0</v>
      </c>
      <c r="Q196" s="4" t="s">
        <v>0</v>
      </c>
      <c r="R196" s="1" t="s">
        <v>0</v>
      </c>
    </row>
    <row r="197" spans="1:18" hidden="1" x14ac:dyDescent="0.3">
      <c r="A197" s="3">
        <f t="shared" si="7"/>
        <v>8</v>
      </c>
      <c r="B197" s="8" t="s">
        <v>1458</v>
      </c>
      <c r="C197" s="5" t="s">
        <v>1457</v>
      </c>
      <c r="D197" s="6">
        <v>543829156</v>
      </c>
      <c r="E197" s="5" t="s">
        <v>1456</v>
      </c>
      <c r="F197" s="5" t="s">
        <v>4</v>
      </c>
      <c r="G197" s="5" t="s">
        <v>3</v>
      </c>
      <c r="H197" s="2">
        <v>46144</v>
      </c>
      <c r="I197" s="2">
        <v>46186</v>
      </c>
      <c r="J197" s="2">
        <v>46231</v>
      </c>
      <c r="K197" s="2" t="str">
        <f>IFERROR(VLOOKUP(B197,#REF!,4,0),"")</f>
        <v/>
      </c>
      <c r="L197" s="1" t="s">
        <v>20</v>
      </c>
      <c r="M197" s="1" t="s">
        <v>12</v>
      </c>
      <c r="O197" s="4" t="s">
        <v>0</v>
      </c>
      <c r="Q197" s="4" t="s">
        <v>0</v>
      </c>
      <c r="R197" s="1" t="s">
        <v>0</v>
      </c>
    </row>
    <row r="198" spans="1:18" hidden="1" x14ac:dyDescent="0.3">
      <c r="A198" s="3">
        <f t="shared" si="7"/>
        <v>9</v>
      </c>
      <c r="B198" s="8" t="s">
        <v>1455</v>
      </c>
      <c r="C198" s="5" t="s">
        <v>1454</v>
      </c>
      <c r="D198" s="6">
        <v>417863094</v>
      </c>
      <c r="E198" s="5" t="s">
        <v>854</v>
      </c>
      <c r="F198" s="5" t="s">
        <v>4</v>
      </c>
      <c r="G198" s="5" t="s">
        <v>3</v>
      </c>
      <c r="H198" s="2">
        <v>46167</v>
      </c>
      <c r="I198" s="2">
        <v>46192</v>
      </c>
      <c r="J198" s="2">
        <v>46233</v>
      </c>
      <c r="K198" s="2" t="str">
        <f>IFERROR(VLOOKUP(B198,#REF!,4,0),"")</f>
        <v/>
      </c>
      <c r="L198" s="1" t="s">
        <v>77</v>
      </c>
      <c r="M198" s="1" t="s">
        <v>12</v>
      </c>
      <c r="O198" s="4" t="s">
        <v>0</v>
      </c>
      <c r="Q198" s="4" t="s">
        <v>0</v>
      </c>
      <c r="R198" s="1" t="s">
        <v>0</v>
      </c>
    </row>
    <row r="199" spans="1:18" hidden="1" x14ac:dyDescent="0.3">
      <c r="A199" s="3">
        <f t="shared" si="7"/>
        <v>10</v>
      </c>
      <c r="B199" s="8" t="s">
        <v>1453</v>
      </c>
      <c r="C199" s="5" t="s">
        <v>1452</v>
      </c>
      <c r="D199" s="6">
        <v>405144580</v>
      </c>
      <c r="E199" s="5" t="s">
        <v>167</v>
      </c>
      <c r="F199" s="5" t="s">
        <v>9</v>
      </c>
      <c r="G199" s="5" t="s">
        <v>3</v>
      </c>
      <c r="H199" s="2">
        <v>46148</v>
      </c>
      <c r="I199" s="2">
        <v>46202</v>
      </c>
      <c r="J199" s="2"/>
      <c r="K199" s="2" t="str">
        <f>IFERROR(VLOOKUP(B199,#REF!,4,0),"")</f>
        <v/>
      </c>
      <c r="L199" s="1" t="s">
        <v>124</v>
      </c>
      <c r="M199" s="1" t="s">
        <v>12</v>
      </c>
      <c r="O199" s="4"/>
      <c r="Q199" s="4"/>
    </row>
    <row r="200" spans="1:18" hidden="1" x14ac:dyDescent="0.3">
      <c r="A200" s="3">
        <f t="shared" si="7"/>
        <v>11</v>
      </c>
      <c r="B200" s="17" t="s">
        <v>1451</v>
      </c>
      <c r="C200" s="5" t="s">
        <v>1450</v>
      </c>
      <c r="D200" s="6">
        <v>407384671</v>
      </c>
      <c r="E200" s="5" t="s">
        <v>186</v>
      </c>
      <c r="F200" s="5" t="s">
        <v>36</v>
      </c>
      <c r="G200" s="5" t="s">
        <v>3</v>
      </c>
      <c r="H200" s="2">
        <v>46155</v>
      </c>
      <c r="I200" s="2">
        <v>46182</v>
      </c>
      <c r="J200" s="2"/>
      <c r="K200" s="2" t="str">
        <f>IFERROR(VLOOKUP(B200,#REF!,4,0),"")</f>
        <v/>
      </c>
      <c r="L200" s="1" t="s">
        <v>13</v>
      </c>
      <c r="M200" s="1" t="s">
        <v>12</v>
      </c>
      <c r="O200" s="4" t="s">
        <v>0</v>
      </c>
      <c r="Q200" s="4" t="s">
        <v>0</v>
      </c>
      <c r="R200" s="1" t="s">
        <v>0</v>
      </c>
    </row>
    <row r="201" spans="1:18" hidden="1" x14ac:dyDescent="0.3">
      <c r="A201" s="3">
        <f t="shared" si="7"/>
        <v>12</v>
      </c>
      <c r="B201" s="8" t="s">
        <v>1449</v>
      </c>
      <c r="C201" s="5" t="s">
        <v>1448</v>
      </c>
      <c r="D201" s="6">
        <v>527939599</v>
      </c>
      <c r="E201" s="5" t="s">
        <v>167</v>
      </c>
      <c r="F201" s="5" t="s">
        <v>9</v>
      </c>
      <c r="G201" s="5" t="s">
        <v>3</v>
      </c>
      <c r="H201" s="2">
        <v>46161</v>
      </c>
      <c r="I201" s="2">
        <v>46197</v>
      </c>
      <c r="J201" s="2"/>
      <c r="K201" s="2" t="str">
        <f>IFERROR(VLOOKUP(B201,#REF!,4,0),"")</f>
        <v/>
      </c>
      <c r="L201" s="1" t="s">
        <v>124</v>
      </c>
      <c r="M201" s="1" t="s">
        <v>17</v>
      </c>
      <c r="O201" s="4"/>
      <c r="Q201" s="4"/>
    </row>
    <row r="202" spans="1:18" hidden="1" x14ac:dyDescent="0.3">
      <c r="A202" s="3">
        <f t="shared" si="7"/>
        <v>13</v>
      </c>
      <c r="B202" s="8" t="s">
        <v>1447</v>
      </c>
      <c r="C202" s="5" t="s">
        <v>1446</v>
      </c>
      <c r="D202" s="6">
        <v>528606446</v>
      </c>
      <c r="E202" s="5" t="s">
        <v>167</v>
      </c>
      <c r="F202" s="5" t="s">
        <v>9</v>
      </c>
      <c r="G202" s="5" t="s">
        <v>3</v>
      </c>
      <c r="H202" s="2"/>
      <c r="I202" s="2">
        <v>46175</v>
      </c>
      <c r="J202" s="2"/>
      <c r="K202" s="2" t="str">
        <f>IFERROR(VLOOKUP(B202,#REF!,4,0),"")</f>
        <v/>
      </c>
      <c r="L202" s="1" t="s">
        <v>124</v>
      </c>
      <c r="M202" s="1" t="s">
        <v>17</v>
      </c>
      <c r="O202" s="4"/>
      <c r="Q202" s="4"/>
    </row>
    <row r="203" spans="1:18" hidden="1" x14ac:dyDescent="0.3">
      <c r="A203" s="3">
        <f t="shared" si="7"/>
        <v>14</v>
      </c>
      <c r="B203" s="8" t="s">
        <v>1445</v>
      </c>
      <c r="C203" s="5" t="s">
        <v>1444</v>
      </c>
      <c r="D203" s="6">
        <v>377583227</v>
      </c>
      <c r="E203" s="5" t="s">
        <v>1443</v>
      </c>
      <c r="F203" s="5" t="s">
        <v>32</v>
      </c>
      <c r="G203" s="5" t="s">
        <v>496</v>
      </c>
      <c r="H203" s="2">
        <v>46160</v>
      </c>
      <c r="I203" s="2">
        <v>46182</v>
      </c>
      <c r="J203" s="2"/>
      <c r="K203" s="2" t="str">
        <f>IFERROR(VLOOKUP(B203,#REF!,4,0),"")</f>
        <v/>
      </c>
      <c r="L203" s="1" t="s">
        <v>27</v>
      </c>
      <c r="M203" s="1" t="s">
        <v>12</v>
      </c>
      <c r="O203" s="4"/>
      <c r="Q203" s="4"/>
    </row>
    <row r="204" spans="1:18" hidden="1" x14ac:dyDescent="0.3">
      <c r="A204" s="3">
        <f t="shared" si="7"/>
        <v>15</v>
      </c>
      <c r="B204" s="8" t="s">
        <v>1442</v>
      </c>
      <c r="C204" s="5" t="s">
        <v>1441</v>
      </c>
      <c r="D204" s="6">
        <v>391506333</v>
      </c>
      <c r="E204" s="5" t="s">
        <v>159</v>
      </c>
      <c r="F204" s="5" t="s">
        <v>32</v>
      </c>
      <c r="G204" s="5" t="s">
        <v>496</v>
      </c>
      <c r="H204" s="2">
        <v>46160</v>
      </c>
      <c r="I204" s="2"/>
      <c r="J204" s="2"/>
      <c r="K204" s="2" t="str">
        <f>IFERROR(VLOOKUP(B204,#REF!,4,0),"")</f>
        <v/>
      </c>
      <c r="L204" s="1" t="s">
        <v>27</v>
      </c>
      <c r="M204" s="1" t="s">
        <v>17</v>
      </c>
      <c r="O204" s="4"/>
      <c r="Q204" s="4"/>
    </row>
    <row r="205" spans="1:18" hidden="1" x14ac:dyDescent="0.3">
      <c r="A205" s="3">
        <f t="shared" si="7"/>
        <v>16</v>
      </c>
      <c r="B205" s="8" t="s">
        <v>1440</v>
      </c>
      <c r="C205" s="5" t="s">
        <v>1439</v>
      </c>
      <c r="D205" s="6">
        <v>417789134</v>
      </c>
      <c r="E205" s="5" t="s">
        <v>1438</v>
      </c>
      <c r="F205" s="5" t="s">
        <v>32</v>
      </c>
      <c r="G205" s="5" t="s">
        <v>496</v>
      </c>
      <c r="H205" s="2">
        <v>46161</v>
      </c>
      <c r="I205" s="2">
        <v>46181</v>
      </c>
      <c r="J205" s="2"/>
      <c r="K205" s="2" t="str">
        <f>IFERROR(VLOOKUP(B205,#REF!,4,0),"")</f>
        <v/>
      </c>
      <c r="L205" s="1" t="s">
        <v>27</v>
      </c>
      <c r="M205" s="1" t="s">
        <v>12</v>
      </c>
      <c r="O205" s="4"/>
      <c r="Q205" s="4"/>
    </row>
    <row r="206" spans="1:18" hidden="1" x14ac:dyDescent="0.3">
      <c r="A206" s="3">
        <f t="shared" si="7"/>
        <v>17</v>
      </c>
      <c r="B206" s="8" t="s">
        <v>1437</v>
      </c>
      <c r="C206" s="5" t="s">
        <v>1436</v>
      </c>
      <c r="D206" s="6">
        <v>372204514</v>
      </c>
      <c r="E206" s="5" t="s">
        <v>1270</v>
      </c>
      <c r="F206" s="5" t="s">
        <v>32</v>
      </c>
      <c r="G206" s="5" t="s">
        <v>496</v>
      </c>
      <c r="H206" s="2">
        <v>46161</v>
      </c>
      <c r="I206" s="2"/>
      <c r="J206" s="2"/>
      <c r="K206" s="2" t="str">
        <f>IFERROR(VLOOKUP(B206,#REF!,4,0),"")</f>
        <v/>
      </c>
      <c r="L206" s="1" t="s">
        <v>27</v>
      </c>
      <c r="M206" s="1" t="s">
        <v>12</v>
      </c>
      <c r="O206" s="4"/>
      <c r="Q206" s="4"/>
    </row>
    <row r="207" spans="1:18" hidden="1" x14ac:dyDescent="0.3">
      <c r="A207" s="3">
        <f t="shared" si="7"/>
        <v>18</v>
      </c>
      <c r="B207" s="8" t="s">
        <v>1435</v>
      </c>
      <c r="C207" s="5" t="s">
        <v>1434</v>
      </c>
      <c r="D207" s="6">
        <v>565357543</v>
      </c>
      <c r="E207" s="5" t="s">
        <v>147</v>
      </c>
      <c r="F207" s="5" t="s">
        <v>36</v>
      </c>
      <c r="G207" s="5" t="s">
        <v>496</v>
      </c>
      <c r="H207" s="2"/>
      <c r="I207" s="2">
        <v>46184</v>
      </c>
      <c r="J207" s="2"/>
      <c r="K207" s="2" t="str">
        <f>IFERROR(VLOOKUP(B207,#REF!,4,0),"")</f>
        <v/>
      </c>
      <c r="L207" s="1" t="s">
        <v>13</v>
      </c>
      <c r="M207" s="1" t="s">
        <v>12</v>
      </c>
      <c r="O207" s="4"/>
      <c r="Q207" s="4"/>
    </row>
    <row r="208" spans="1:18" hidden="1" x14ac:dyDescent="0.3">
      <c r="A208" s="3">
        <f t="shared" si="7"/>
        <v>19</v>
      </c>
      <c r="B208" s="8" t="s">
        <v>1433</v>
      </c>
      <c r="C208" s="5" t="s">
        <v>1432</v>
      </c>
      <c r="D208" s="6">
        <v>505172513</v>
      </c>
      <c r="E208" s="5" t="s">
        <v>1429</v>
      </c>
      <c r="F208" s="5" t="s">
        <v>48</v>
      </c>
      <c r="G208" s="5" t="s">
        <v>3</v>
      </c>
      <c r="H208" s="2">
        <v>46157</v>
      </c>
      <c r="I208" s="2">
        <v>46188</v>
      </c>
      <c r="J208" s="2"/>
      <c r="K208" s="2" t="str">
        <f>IFERROR(VLOOKUP(B208,#REF!,4,0),"")</f>
        <v/>
      </c>
      <c r="L208" s="1" t="s">
        <v>44</v>
      </c>
      <c r="M208" s="1" t="s">
        <v>12</v>
      </c>
      <c r="O208" s="4"/>
      <c r="Q208" s="4"/>
    </row>
    <row r="209" spans="1:18" hidden="1" x14ac:dyDescent="0.3">
      <c r="A209" s="3">
        <f t="shared" si="7"/>
        <v>20</v>
      </c>
      <c r="B209" s="10" t="s">
        <v>1431</v>
      </c>
      <c r="C209" s="5" t="s">
        <v>1430</v>
      </c>
      <c r="D209" s="6">
        <v>444703451</v>
      </c>
      <c r="E209" s="5" t="s">
        <v>1429</v>
      </c>
      <c r="F209" s="5" t="s">
        <v>48</v>
      </c>
      <c r="G209" s="5" t="s">
        <v>3</v>
      </c>
      <c r="H209" s="2">
        <v>46157</v>
      </c>
      <c r="I209" s="2">
        <v>46185</v>
      </c>
      <c r="J209" s="2"/>
      <c r="K209" s="2" t="str">
        <f>IFERROR(VLOOKUP(B209,#REF!,4,0),"")</f>
        <v/>
      </c>
      <c r="L209" s="1" t="s">
        <v>44</v>
      </c>
      <c r="M209" s="1" t="s">
        <v>17</v>
      </c>
      <c r="O209" s="4"/>
      <c r="Q209" s="4"/>
    </row>
    <row r="210" spans="1:18" hidden="1" x14ac:dyDescent="0.3">
      <c r="A210" s="3">
        <f t="shared" si="7"/>
        <v>21</v>
      </c>
      <c r="B210" s="8" t="s">
        <v>1428</v>
      </c>
      <c r="C210" s="5" t="s">
        <v>1427</v>
      </c>
      <c r="D210" s="6">
        <v>364043761</v>
      </c>
      <c r="E210" s="5" t="s">
        <v>125</v>
      </c>
      <c r="F210" s="5" t="s">
        <v>9</v>
      </c>
      <c r="G210" s="5" t="s">
        <v>3</v>
      </c>
      <c r="H210" s="2"/>
      <c r="I210" s="2"/>
      <c r="J210" s="2">
        <v>46204</v>
      </c>
      <c r="K210" s="2" t="str">
        <f>IFERROR(VLOOKUP(B210,#REF!,4,0),"")</f>
        <v/>
      </c>
      <c r="L210" s="1" t="s">
        <v>124</v>
      </c>
      <c r="M210" s="1" t="s">
        <v>12</v>
      </c>
      <c r="O210" s="4"/>
      <c r="Q210" s="4"/>
    </row>
    <row r="211" spans="1:18" hidden="1" x14ac:dyDescent="0.3">
      <c r="A211" s="3">
        <f t="shared" si="7"/>
        <v>22</v>
      </c>
      <c r="B211" s="8" t="s">
        <v>1426</v>
      </c>
      <c r="C211" s="5" t="s">
        <v>1425</v>
      </c>
      <c r="D211" s="6">
        <v>430336898</v>
      </c>
      <c r="E211" s="5" t="s">
        <v>14</v>
      </c>
      <c r="F211" s="5" t="s">
        <v>9</v>
      </c>
      <c r="G211" s="5" t="s">
        <v>3</v>
      </c>
      <c r="H211" s="2">
        <v>46171</v>
      </c>
      <c r="I211" s="2"/>
      <c r="J211" s="2">
        <v>46206</v>
      </c>
      <c r="K211" s="2" t="str">
        <f>IFERROR(VLOOKUP(B211,#REF!,4,0),"")</f>
        <v/>
      </c>
      <c r="L211" s="1" t="s">
        <v>13</v>
      </c>
      <c r="M211" s="1" t="s">
        <v>12</v>
      </c>
      <c r="O211" s="4"/>
      <c r="Q211" s="4"/>
    </row>
    <row r="212" spans="1:18" hidden="1" x14ac:dyDescent="0.3">
      <c r="A212" s="3">
        <f t="shared" si="7"/>
        <v>23</v>
      </c>
      <c r="B212" s="8" t="s">
        <v>1424</v>
      </c>
      <c r="C212" s="5" t="s">
        <v>1423</v>
      </c>
      <c r="D212" s="6">
        <v>385664776</v>
      </c>
      <c r="E212" s="5" t="s">
        <v>268</v>
      </c>
      <c r="F212" s="5" t="s">
        <v>4</v>
      </c>
      <c r="G212" s="5" t="s">
        <v>3</v>
      </c>
      <c r="H212" s="2"/>
      <c r="I212" s="2"/>
      <c r="J212" s="2">
        <v>46210</v>
      </c>
      <c r="K212" s="2" t="str">
        <f>IFERROR(VLOOKUP(B212,#REF!,4,0),"")</f>
        <v/>
      </c>
      <c r="L212" s="1" t="s">
        <v>20</v>
      </c>
      <c r="M212" s="1" t="s">
        <v>12</v>
      </c>
      <c r="O212" s="4"/>
      <c r="Q212" s="4"/>
    </row>
    <row r="213" spans="1:18" hidden="1" x14ac:dyDescent="0.3">
      <c r="A213" s="3">
        <f t="shared" si="7"/>
        <v>24</v>
      </c>
      <c r="B213" s="8" t="s">
        <v>1422</v>
      </c>
      <c r="C213" s="5" t="s">
        <v>1421</v>
      </c>
      <c r="D213" s="6">
        <v>395571884</v>
      </c>
      <c r="E213" s="5" t="s">
        <v>1420</v>
      </c>
      <c r="F213" s="5" t="s">
        <v>58</v>
      </c>
      <c r="G213" s="5" t="s">
        <v>3</v>
      </c>
      <c r="H213" s="2">
        <v>46168</v>
      </c>
      <c r="I213" s="2">
        <v>46195</v>
      </c>
      <c r="J213" s="2">
        <v>46211</v>
      </c>
      <c r="K213" s="2" t="str">
        <f>IFERROR(VLOOKUP(B213,#REF!,4,0),"")</f>
        <v/>
      </c>
      <c r="L213" s="1" t="s">
        <v>27</v>
      </c>
      <c r="M213" s="1" t="s">
        <v>12</v>
      </c>
      <c r="O213" s="4" t="s">
        <v>0</v>
      </c>
      <c r="Q213" s="4" t="s">
        <v>0</v>
      </c>
      <c r="R213" s="1" t="s">
        <v>0</v>
      </c>
    </row>
    <row r="214" spans="1:18" hidden="1" x14ac:dyDescent="0.3">
      <c r="A214" s="3">
        <f t="shared" si="7"/>
        <v>25</v>
      </c>
      <c r="B214" s="8" t="s">
        <v>1419</v>
      </c>
      <c r="C214" s="5" t="s">
        <v>1418</v>
      </c>
      <c r="D214" s="6">
        <v>395219819</v>
      </c>
      <c r="E214" s="5" t="s">
        <v>1178</v>
      </c>
      <c r="F214" s="5" t="s">
        <v>4</v>
      </c>
      <c r="G214" s="5" t="s">
        <v>3</v>
      </c>
      <c r="H214" s="2"/>
      <c r="I214" s="2"/>
      <c r="J214" s="2">
        <v>46211</v>
      </c>
      <c r="K214" s="2" t="str">
        <f>IFERROR(VLOOKUP(B214,#REF!,4,0),"")</f>
        <v/>
      </c>
      <c r="M214" s="1" t="s">
        <v>12</v>
      </c>
      <c r="O214" s="4"/>
      <c r="Q214" s="4"/>
    </row>
    <row r="215" spans="1:18" hidden="1" x14ac:dyDescent="0.3">
      <c r="A215" s="3">
        <f t="shared" si="7"/>
        <v>26</v>
      </c>
      <c r="B215" s="8" t="s">
        <v>1417</v>
      </c>
      <c r="C215" s="5" t="s">
        <v>1416</v>
      </c>
      <c r="D215" s="6">
        <v>385116185</v>
      </c>
      <c r="E215" s="5" t="s">
        <v>1415</v>
      </c>
      <c r="F215" s="5" t="s">
        <v>36</v>
      </c>
      <c r="G215" s="5" t="s">
        <v>3</v>
      </c>
      <c r="H215" s="2">
        <v>46147</v>
      </c>
      <c r="I215" s="2">
        <v>46195</v>
      </c>
      <c r="J215" s="2">
        <v>46212</v>
      </c>
      <c r="K215" s="2" t="str">
        <f>IFERROR(VLOOKUP(B215,#REF!,4,0),"")</f>
        <v/>
      </c>
      <c r="L215" s="1" t="s">
        <v>13</v>
      </c>
      <c r="M215" s="1" t="s">
        <v>12</v>
      </c>
      <c r="O215" s="4"/>
      <c r="Q215" s="4"/>
    </row>
    <row r="216" spans="1:18" hidden="1" x14ac:dyDescent="0.3">
      <c r="A216" s="3">
        <f t="shared" si="7"/>
        <v>27</v>
      </c>
      <c r="B216" s="8" t="s">
        <v>1414</v>
      </c>
      <c r="C216" s="5" t="s">
        <v>1413</v>
      </c>
      <c r="D216" s="6">
        <v>304175087</v>
      </c>
      <c r="E216" s="5" t="s">
        <v>131</v>
      </c>
      <c r="F216" s="5" t="s">
        <v>9</v>
      </c>
      <c r="G216" s="5" t="s">
        <v>3</v>
      </c>
      <c r="H216" s="2">
        <v>46153</v>
      </c>
      <c r="I216" s="2"/>
      <c r="J216" s="2">
        <v>46218</v>
      </c>
      <c r="K216" s="2" t="str">
        <f>IFERROR(VLOOKUP(B216,#REF!,4,0),"")</f>
        <v/>
      </c>
      <c r="L216" s="1" t="s">
        <v>124</v>
      </c>
      <c r="M216" s="1" t="s">
        <v>12</v>
      </c>
      <c r="O216" s="4"/>
      <c r="Q216" s="4"/>
    </row>
    <row r="217" spans="1:18" hidden="1" x14ac:dyDescent="0.3">
      <c r="A217" s="3">
        <f t="shared" si="7"/>
        <v>28</v>
      </c>
      <c r="B217" s="8" t="s">
        <v>1412</v>
      </c>
      <c r="C217" s="5" t="s">
        <v>1411</v>
      </c>
      <c r="D217" s="6">
        <v>395945284</v>
      </c>
      <c r="E217" s="5" t="s">
        <v>854</v>
      </c>
      <c r="F217" s="5" t="s">
        <v>4</v>
      </c>
      <c r="G217" s="5" t="s">
        <v>3</v>
      </c>
      <c r="H217" s="2"/>
      <c r="I217" s="2">
        <v>46184</v>
      </c>
      <c r="J217" s="2">
        <v>46228</v>
      </c>
      <c r="K217" s="2" t="str">
        <f>IFERROR(VLOOKUP(B217,#REF!,4,0),"")</f>
        <v/>
      </c>
      <c r="L217" s="1" t="s">
        <v>77</v>
      </c>
      <c r="M217" s="1" t="s">
        <v>12</v>
      </c>
      <c r="O217" s="4" t="s">
        <v>1410</v>
      </c>
      <c r="Q217" s="4" t="s">
        <v>0</v>
      </c>
      <c r="R217" s="1" t="s">
        <v>0</v>
      </c>
    </row>
    <row r="218" spans="1:18" hidden="1" x14ac:dyDescent="0.3">
      <c r="A218" s="3">
        <f t="shared" si="7"/>
        <v>29</v>
      </c>
      <c r="B218" s="8" t="s">
        <v>1409</v>
      </c>
      <c r="C218" s="5" t="s">
        <v>1408</v>
      </c>
      <c r="D218" s="6">
        <v>429702862</v>
      </c>
      <c r="E218" s="5" t="s">
        <v>1407</v>
      </c>
      <c r="F218" s="5" t="s">
        <v>48</v>
      </c>
      <c r="G218" s="5" t="s">
        <v>3</v>
      </c>
      <c r="H218" s="2">
        <v>46160</v>
      </c>
      <c r="I218" s="2">
        <v>46196</v>
      </c>
      <c r="J218" s="2">
        <v>46230</v>
      </c>
      <c r="K218" s="2" t="str">
        <f>IFERROR(VLOOKUP(B218,#REF!,4,0),"")</f>
        <v/>
      </c>
      <c r="L218" s="1" t="s">
        <v>44</v>
      </c>
      <c r="M218" s="1" t="s">
        <v>12</v>
      </c>
      <c r="O218" s="4"/>
      <c r="Q218" s="4"/>
    </row>
    <row r="219" spans="1:18" hidden="1" x14ac:dyDescent="0.3">
      <c r="A219" s="3">
        <f t="shared" si="7"/>
        <v>30</v>
      </c>
      <c r="B219" s="8" t="s">
        <v>1406</v>
      </c>
      <c r="C219" s="5" t="s">
        <v>1405</v>
      </c>
      <c r="D219" s="6">
        <v>452538917</v>
      </c>
      <c r="E219" s="5" t="s">
        <v>663</v>
      </c>
      <c r="F219" s="5" t="s">
        <v>9</v>
      </c>
      <c r="G219" s="5" t="s">
        <v>3</v>
      </c>
      <c r="H219" s="2">
        <v>46168</v>
      </c>
      <c r="I219" s="2">
        <v>46193</v>
      </c>
      <c r="J219" s="2">
        <v>46232</v>
      </c>
      <c r="K219" s="2" t="str">
        <f>IFERROR(VLOOKUP(B219,#REF!,4,0),"")</f>
        <v/>
      </c>
      <c r="L219" s="1" t="s">
        <v>20</v>
      </c>
      <c r="M219" s="1" t="s">
        <v>12</v>
      </c>
      <c r="O219" s="4" t="s">
        <v>0</v>
      </c>
      <c r="P219" s="1" t="s">
        <v>1</v>
      </c>
      <c r="Q219" s="4" t="s">
        <v>0</v>
      </c>
      <c r="R219" s="1" t="s">
        <v>0</v>
      </c>
    </row>
    <row r="220" spans="1:18" hidden="1" x14ac:dyDescent="0.3">
      <c r="A220" s="3">
        <f t="shared" si="7"/>
        <v>31</v>
      </c>
      <c r="B220" s="17" t="s">
        <v>1404</v>
      </c>
      <c r="C220" s="5" t="s">
        <v>1403</v>
      </c>
      <c r="D220" s="6">
        <v>421454578</v>
      </c>
      <c r="E220" s="5" t="s">
        <v>1009</v>
      </c>
      <c r="F220" s="5" t="s">
        <v>4</v>
      </c>
      <c r="G220" s="5" t="s">
        <v>3</v>
      </c>
      <c r="H220" s="2">
        <v>46155</v>
      </c>
      <c r="I220" s="2">
        <v>46200</v>
      </c>
      <c r="J220" s="2"/>
      <c r="K220" s="2" t="str">
        <f>IFERROR(VLOOKUP(B220,#REF!,4,0),"")</f>
        <v/>
      </c>
      <c r="L220" s="1" t="s">
        <v>2</v>
      </c>
      <c r="M220" s="1" t="s">
        <v>12</v>
      </c>
      <c r="O220" s="4" t="s">
        <v>0</v>
      </c>
      <c r="Q220" s="4" t="s">
        <v>0</v>
      </c>
      <c r="R220" s="1" t="s">
        <v>0</v>
      </c>
    </row>
    <row r="221" spans="1:18" hidden="1" x14ac:dyDescent="0.3">
      <c r="A221" s="3">
        <f t="shared" si="7"/>
        <v>32</v>
      </c>
      <c r="B221" s="8" t="s">
        <v>1402</v>
      </c>
      <c r="C221" s="5" t="s">
        <v>1401</v>
      </c>
      <c r="D221" s="6">
        <v>393060043</v>
      </c>
      <c r="E221" s="5" t="s">
        <v>150</v>
      </c>
      <c r="F221" s="5" t="s">
        <v>28</v>
      </c>
      <c r="G221" s="5" t="s">
        <v>3</v>
      </c>
      <c r="H221" s="2"/>
      <c r="I221" s="2">
        <v>46176</v>
      </c>
      <c r="J221" s="2"/>
      <c r="K221" s="2" t="str">
        <f>IFERROR(VLOOKUP(B221,#REF!,4,0),"")</f>
        <v/>
      </c>
      <c r="L221" s="1" t="s">
        <v>27</v>
      </c>
      <c r="M221" s="1" t="s">
        <v>17</v>
      </c>
      <c r="O221" s="4"/>
      <c r="Q221" s="4"/>
    </row>
    <row r="222" spans="1:18" hidden="1" x14ac:dyDescent="0.3">
      <c r="A222" s="3"/>
      <c r="B222" s="8"/>
      <c r="C222" s="5"/>
      <c r="D222" s="6"/>
      <c r="E222" s="5"/>
      <c r="F222" s="5"/>
      <c r="G222" s="5"/>
      <c r="H222" s="2"/>
      <c r="I222" s="2"/>
      <c r="J222" s="2"/>
      <c r="O222" s="4"/>
      <c r="Q222" s="4"/>
    </row>
    <row r="223" spans="1:18" x14ac:dyDescent="0.3">
      <c r="A223" s="3">
        <f t="shared" ref="A223:A235" si="8">1+A222</f>
        <v>1</v>
      </c>
      <c r="B223" s="8" t="s">
        <v>1400</v>
      </c>
      <c r="C223" s="5" t="s">
        <v>1399</v>
      </c>
      <c r="D223" s="6">
        <v>385779848</v>
      </c>
      <c r="E223" s="5" t="s">
        <v>1312</v>
      </c>
      <c r="F223" s="5" t="s">
        <v>28</v>
      </c>
      <c r="G223" s="5" t="s">
        <v>3</v>
      </c>
      <c r="H223" s="2">
        <v>46146</v>
      </c>
      <c r="I223" s="2"/>
      <c r="J223" s="2">
        <v>46204</v>
      </c>
      <c r="K223" s="2" t="str">
        <f>IFERROR(VLOOKUP(B223,#REF!,4,0),"")</f>
        <v/>
      </c>
      <c r="L223" s="1" t="s">
        <v>27</v>
      </c>
      <c r="M223" s="1" t="s">
        <v>12</v>
      </c>
      <c r="O223" s="4"/>
      <c r="Q223" s="4"/>
    </row>
    <row r="224" spans="1:18" x14ac:dyDescent="0.3">
      <c r="A224" s="3">
        <f t="shared" si="8"/>
        <v>2</v>
      </c>
      <c r="B224" s="8" t="s">
        <v>1398</v>
      </c>
      <c r="C224" s="5" t="s">
        <v>1397</v>
      </c>
      <c r="D224" s="6">
        <v>379980859</v>
      </c>
      <c r="E224" s="5" t="s">
        <v>986</v>
      </c>
      <c r="F224" s="5" t="s">
        <v>28</v>
      </c>
      <c r="G224" s="5" t="s">
        <v>3</v>
      </c>
      <c r="H224" s="2">
        <v>46168</v>
      </c>
      <c r="I224" s="2"/>
      <c r="J224" s="2">
        <v>46204</v>
      </c>
      <c r="K224" s="2" t="str">
        <f>IFERROR(VLOOKUP(B224,#REF!,4,0),"")</f>
        <v/>
      </c>
      <c r="L224" s="1" t="s">
        <v>27</v>
      </c>
      <c r="M224" s="1" t="s">
        <v>12</v>
      </c>
      <c r="O224" s="4"/>
      <c r="Q224" s="4"/>
    </row>
    <row r="225" spans="1:18" x14ac:dyDescent="0.3">
      <c r="A225" s="3">
        <f t="shared" si="8"/>
        <v>3</v>
      </c>
      <c r="B225" s="8" t="s">
        <v>1396</v>
      </c>
      <c r="C225" s="5" t="s">
        <v>1395</v>
      </c>
      <c r="D225" s="6">
        <v>454992534</v>
      </c>
      <c r="E225" s="5" t="s">
        <v>1119</v>
      </c>
      <c r="F225" s="5" t="s">
        <v>4</v>
      </c>
      <c r="G225" s="5" t="s">
        <v>3</v>
      </c>
      <c r="H225" s="2"/>
      <c r="I225" s="2"/>
      <c r="J225" s="2">
        <v>46204</v>
      </c>
      <c r="K225" s="2" t="str">
        <f>IFERROR(VLOOKUP(B225,#REF!,4,0),"")</f>
        <v/>
      </c>
      <c r="M225" s="1" t="s">
        <v>12</v>
      </c>
      <c r="O225" s="4"/>
      <c r="Q225" s="4"/>
    </row>
    <row r="226" spans="1:18" x14ac:dyDescent="0.3">
      <c r="A226" s="3">
        <f t="shared" si="8"/>
        <v>4</v>
      </c>
      <c r="B226" s="8" t="s">
        <v>1394</v>
      </c>
      <c r="C226" s="5" t="s">
        <v>1393</v>
      </c>
      <c r="D226" s="6">
        <v>425467449</v>
      </c>
      <c r="E226" s="5" t="s">
        <v>863</v>
      </c>
      <c r="F226" s="5" t="s">
        <v>48</v>
      </c>
      <c r="G226" s="5" t="s">
        <v>3</v>
      </c>
      <c r="H226" s="2"/>
      <c r="I226" s="2"/>
      <c r="J226" s="2">
        <v>46205</v>
      </c>
      <c r="K226" s="2" t="str">
        <f>IFERROR(VLOOKUP(B226,#REF!,4,0),"")</f>
        <v/>
      </c>
      <c r="L226" s="1" t="s">
        <v>44</v>
      </c>
      <c r="M226" s="1" t="s">
        <v>12</v>
      </c>
      <c r="O226" s="4"/>
      <c r="Q226" s="4"/>
    </row>
    <row r="227" spans="1:18" x14ac:dyDescent="0.3">
      <c r="A227" s="3">
        <f t="shared" si="8"/>
        <v>5</v>
      </c>
      <c r="B227" s="8" t="s">
        <v>1392</v>
      </c>
      <c r="C227" s="5" t="s">
        <v>1391</v>
      </c>
      <c r="D227" s="6">
        <v>380991173</v>
      </c>
      <c r="E227" s="5" t="s">
        <v>198</v>
      </c>
      <c r="F227" s="5" t="s">
        <v>9</v>
      </c>
      <c r="G227" s="5" t="s">
        <v>3</v>
      </c>
      <c r="H227" s="2"/>
      <c r="I227" s="2"/>
      <c r="J227" s="2">
        <v>46205</v>
      </c>
      <c r="K227" s="2" t="str">
        <f>IFERROR(VLOOKUP(B227,#REF!,4,0),"")</f>
        <v/>
      </c>
      <c r="L227" s="1" t="s">
        <v>20</v>
      </c>
      <c r="M227" s="1" t="s">
        <v>12</v>
      </c>
      <c r="O227" s="4"/>
      <c r="Q227" s="4"/>
    </row>
    <row r="228" spans="1:18" x14ac:dyDescent="0.3">
      <c r="A228" s="3">
        <f t="shared" si="8"/>
        <v>6</v>
      </c>
      <c r="B228" s="8" t="s">
        <v>1390</v>
      </c>
      <c r="C228" s="5" t="s">
        <v>1389</v>
      </c>
      <c r="D228" s="6">
        <v>597832289</v>
      </c>
      <c r="E228" s="5" t="s">
        <v>1388</v>
      </c>
      <c r="F228" s="5" t="s">
        <v>4</v>
      </c>
      <c r="G228" s="5" t="s">
        <v>3</v>
      </c>
      <c r="H228" s="2"/>
      <c r="I228" s="2"/>
      <c r="J228" s="2">
        <v>46205</v>
      </c>
      <c r="K228" s="2" t="str">
        <f>IFERROR(VLOOKUP(B228,#REF!,4,0),"")</f>
        <v/>
      </c>
      <c r="L228" s="1" t="s">
        <v>77</v>
      </c>
      <c r="M228" s="1" t="s">
        <v>17</v>
      </c>
      <c r="O228" s="4"/>
      <c r="Q228" s="4"/>
    </row>
    <row r="229" spans="1:18" x14ac:dyDescent="0.3">
      <c r="A229" s="3">
        <f t="shared" si="8"/>
        <v>7</v>
      </c>
      <c r="B229" s="8" t="s">
        <v>1387</v>
      </c>
      <c r="C229" s="5" t="s">
        <v>1386</v>
      </c>
      <c r="D229" s="6">
        <v>449120671</v>
      </c>
      <c r="E229" s="5" t="s">
        <v>1385</v>
      </c>
      <c r="F229" s="5" t="s">
        <v>9</v>
      </c>
      <c r="G229" s="5" t="s">
        <v>3</v>
      </c>
      <c r="H229" s="2"/>
      <c r="I229" s="2"/>
      <c r="J229" s="2">
        <v>46206</v>
      </c>
      <c r="K229" s="2" t="str">
        <f>IFERROR(VLOOKUP(B229,#REF!,4,0),"")</f>
        <v/>
      </c>
      <c r="L229" s="1" t="s">
        <v>20</v>
      </c>
      <c r="M229" s="1" t="s">
        <v>12</v>
      </c>
      <c r="O229" s="4" t="s">
        <v>0</v>
      </c>
      <c r="Q229" s="4" t="s">
        <v>0</v>
      </c>
      <c r="R229" s="1" t="s">
        <v>0</v>
      </c>
    </row>
    <row r="230" spans="1:18" x14ac:dyDescent="0.3">
      <c r="A230" s="3">
        <f t="shared" si="8"/>
        <v>8</v>
      </c>
      <c r="B230" s="8" t="s">
        <v>1384</v>
      </c>
      <c r="C230" s="5" t="s">
        <v>1383</v>
      </c>
      <c r="D230" s="6">
        <v>460418380</v>
      </c>
      <c r="E230" s="5" t="s">
        <v>1382</v>
      </c>
      <c r="F230" s="5" t="s">
        <v>32</v>
      </c>
      <c r="G230" s="5" t="s">
        <v>3</v>
      </c>
      <c r="H230" s="2">
        <v>46146</v>
      </c>
      <c r="I230" s="2"/>
      <c r="J230" s="2">
        <v>46206</v>
      </c>
      <c r="K230" s="2" t="str">
        <f>IFERROR(VLOOKUP(B230,#REF!,4,0),"")</f>
        <v/>
      </c>
      <c r="L230" s="1" t="s">
        <v>27</v>
      </c>
      <c r="M230" s="1" t="s">
        <v>12</v>
      </c>
      <c r="O230" s="4"/>
      <c r="Q230" s="4"/>
    </row>
    <row r="231" spans="1:18" x14ac:dyDescent="0.3">
      <c r="A231" s="3">
        <f t="shared" si="8"/>
        <v>9</v>
      </c>
      <c r="B231" s="8" t="s">
        <v>1381</v>
      </c>
      <c r="C231" s="5" t="s">
        <v>1380</v>
      </c>
      <c r="D231" s="6">
        <v>822519414</v>
      </c>
      <c r="E231" s="5" t="s">
        <v>544</v>
      </c>
      <c r="F231" s="5" t="s">
        <v>9</v>
      </c>
      <c r="G231" s="5" t="s">
        <v>3</v>
      </c>
      <c r="H231" s="2">
        <v>46146</v>
      </c>
      <c r="I231" s="2"/>
      <c r="J231" s="2">
        <v>46206</v>
      </c>
      <c r="K231" s="2" t="str">
        <f>IFERROR(VLOOKUP(B231,#REF!,4,0),"")</f>
        <v/>
      </c>
      <c r="L231" s="1" t="s">
        <v>124</v>
      </c>
      <c r="M231" s="1" t="s">
        <v>17</v>
      </c>
      <c r="O231" s="4"/>
      <c r="Q231" s="4"/>
    </row>
    <row r="232" spans="1:18" x14ac:dyDescent="0.3">
      <c r="A232" s="3">
        <f t="shared" si="8"/>
        <v>10</v>
      </c>
      <c r="B232" s="8" t="s">
        <v>1379</v>
      </c>
      <c r="C232" s="5" t="s">
        <v>1378</v>
      </c>
      <c r="D232" s="6">
        <v>568566925</v>
      </c>
      <c r="E232" s="5" t="s">
        <v>705</v>
      </c>
      <c r="F232" s="5" t="s">
        <v>9</v>
      </c>
      <c r="G232" s="5" t="s">
        <v>3</v>
      </c>
      <c r="H232" s="2"/>
      <c r="I232" s="2"/>
      <c r="J232" s="2">
        <v>46206</v>
      </c>
      <c r="K232" s="2" t="str">
        <f>IFERROR(VLOOKUP(B232,#REF!,4,0),"")</f>
        <v/>
      </c>
      <c r="L232" s="1" t="s">
        <v>124</v>
      </c>
      <c r="M232" s="1" t="s">
        <v>17</v>
      </c>
      <c r="O232" s="4"/>
      <c r="Q232" s="4"/>
    </row>
    <row r="233" spans="1:18" x14ac:dyDescent="0.3">
      <c r="A233" s="3">
        <f t="shared" si="8"/>
        <v>11</v>
      </c>
      <c r="B233" s="8" t="s">
        <v>1377</v>
      </c>
      <c r="C233" s="5" t="s">
        <v>1376</v>
      </c>
      <c r="D233" s="6">
        <v>569912020</v>
      </c>
      <c r="E233" s="5" t="s">
        <v>776</v>
      </c>
      <c r="F233" s="5" t="s">
        <v>4</v>
      </c>
      <c r="G233" s="5" t="s">
        <v>3</v>
      </c>
      <c r="H233" s="2"/>
      <c r="I233" s="2"/>
      <c r="J233" s="2">
        <v>46206</v>
      </c>
      <c r="K233" s="2" t="str">
        <f>IFERROR(VLOOKUP(B233,#REF!,4,0),"")</f>
        <v/>
      </c>
      <c r="M233" s="1" t="s">
        <v>17</v>
      </c>
      <c r="O233" s="4"/>
      <c r="Q233" s="4"/>
    </row>
    <row r="234" spans="1:18" x14ac:dyDescent="0.3">
      <c r="A234" s="3">
        <f t="shared" si="8"/>
        <v>12</v>
      </c>
      <c r="B234" s="8" t="s">
        <v>1375</v>
      </c>
      <c r="C234" s="5" t="s">
        <v>1374</v>
      </c>
      <c r="D234" s="6">
        <v>528446091</v>
      </c>
      <c r="E234" s="5" t="s">
        <v>1373</v>
      </c>
      <c r="F234" s="5" t="s">
        <v>28</v>
      </c>
      <c r="G234" s="5" t="s">
        <v>3</v>
      </c>
      <c r="H234" s="2"/>
      <c r="I234" s="2"/>
      <c r="J234" s="2">
        <v>46206</v>
      </c>
      <c r="K234" s="2" t="str">
        <f>IFERROR(VLOOKUP(B234,#REF!,4,0),"")</f>
        <v/>
      </c>
      <c r="L234" s="1" t="s">
        <v>27</v>
      </c>
      <c r="M234" s="1" t="s">
        <v>17</v>
      </c>
      <c r="O234" s="4"/>
      <c r="Q234" s="4"/>
    </row>
    <row r="235" spans="1:18" x14ac:dyDescent="0.3">
      <c r="A235" s="3">
        <f t="shared" si="8"/>
        <v>13</v>
      </c>
      <c r="B235" s="8" t="s">
        <v>1372</v>
      </c>
      <c r="C235" s="5" t="s">
        <v>1371</v>
      </c>
      <c r="D235" s="6">
        <v>538547163</v>
      </c>
      <c r="E235" s="5" t="s">
        <v>756</v>
      </c>
      <c r="F235" s="5" t="s">
        <v>4</v>
      </c>
      <c r="G235" s="5" t="s">
        <v>3</v>
      </c>
      <c r="H235" s="2"/>
      <c r="I235" s="2"/>
      <c r="J235" s="2">
        <v>46206</v>
      </c>
      <c r="K235" s="2" t="str">
        <f>IFERROR(VLOOKUP(B235,#REF!,4,0),"")</f>
        <v/>
      </c>
      <c r="M235" s="1" t="s">
        <v>17</v>
      </c>
      <c r="O235" s="4"/>
      <c r="Q235" s="4"/>
    </row>
    <row r="236" spans="1:18" x14ac:dyDescent="0.3">
      <c r="A236" s="3">
        <f>1+A234</f>
        <v>13</v>
      </c>
      <c r="B236" s="8" t="s">
        <v>1370</v>
      </c>
      <c r="C236" s="5" t="s">
        <v>1369</v>
      </c>
      <c r="D236" s="6">
        <v>603817986</v>
      </c>
      <c r="E236" s="5" t="s">
        <v>167</v>
      </c>
      <c r="F236" s="5" t="s">
        <v>9</v>
      </c>
      <c r="G236" s="5" t="s">
        <v>3</v>
      </c>
      <c r="H236" s="2"/>
      <c r="I236" s="2">
        <v>46186</v>
      </c>
      <c r="J236" s="2">
        <v>46207</v>
      </c>
      <c r="K236" s="2" t="str">
        <f>IFERROR(VLOOKUP(B236,#REF!,4,0),"")</f>
        <v/>
      </c>
      <c r="L236" s="1" t="s">
        <v>124</v>
      </c>
      <c r="M236" s="1" t="s">
        <v>17</v>
      </c>
      <c r="O236" s="4" t="s">
        <v>0</v>
      </c>
      <c r="Q236" s="4" t="s">
        <v>0</v>
      </c>
      <c r="R236" s="1" t="s">
        <v>0</v>
      </c>
    </row>
    <row r="237" spans="1:18" x14ac:dyDescent="0.3">
      <c r="A237" s="3">
        <f>1+A235</f>
        <v>14</v>
      </c>
      <c r="B237" s="8" t="s">
        <v>1368</v>
      </c>
      <c r="C237" s="5" t="s">
        <v>1367</v>
      </c>
      <c r="D237" s="6">
        <v>516525878</v>
      </c>
      <c r="E237" s="5" t="s">
        <v>1366</v>
      </c>
      <c r="F237" s="5" t="s">
        <v>36</v>
      </c>
      <c r="G237" s="5" t="s">
        <v>3</v>
      </c>
      <c r="H237" s="2">
        <v>46167</v>
      </c>
      <c r="I237" s="2"/>
      <c r="J237" s="2">
        <v>46207</v>
      </c>
      <c r="K237" s="2" t="str">
        <f>IFERROR(VLOOKUP(B237,#REF!,4,0),"")</f>
        <v/>
      </c>
      <c r="L237" s="1" t="s">
        <v>13</v>
      </c>
      <c r="M237" s="1" t="s">
        <v>12</v>
      </c>
      <c r="O237" s="4" t="s">
        <v>0</v>
      </c>
      <c r="Q237" s="4" t="s">
        <v>0</v>
      </c>
      <c r="R237" s="1" t="s">
        <v>0</v>
      </c>
    </row>
    <row r="238" spans="1:18" x14ac:dyDescent="0.3">
      <c r="A238" s="3">
        <f t="shared" ref="A238:A269" si="9">1+A237</f>
        <v>15</v>
      </c>
      <c r="B238" s="8" t="s">
        <v>1365</v>
      </c>
      <c r="C238" s="5" t="s">
        <v>1364</v>
      </c>
      <c r="D238" s="6">
        <v>558274600</v>
      </c>
      <c r="E238" s="5" t="s">
        <v>968</v>
      </c>
      <c r="F238" s="5" t="s">
        <v>4</v>
      </c>
      <c r="G238" s="5" t="s">
        <v>3</v>
      </c>
      <c r="H238" s="2"/>
      <c r="I238" s="2"/>
      <c r="J238" s="2">
        <v>46207</v>
      </c>
      <c r="K238" s="2" t="str">
        <f>IFERROR(VLOOKUP(B238,#REF!,4,0),"")</f>
        <v/>
      </c>
      <c r="M238" s="1" t="s">
        <v>12</v>
      </c>
      <c r="O238" s="4"/>
      <c r="Q238" s="4"/>
    </row>
    <row r="239" spans="1:18" x14ac:dyDescent="0.3">
      <c r="A239" s="3">
        <f t="shared" si="9"/>
        <v>16</v>
      </c>
      <c r="B239" s="8" t="s">
        <v>1363</v>
      </c>
      <c r="C239" s="5" t="s">
        <v>1362</v>
      </c>
      <c r="D239" s="6">
        <v>567084802</v>
      </c>
      <c r="E239" s="5" t="s">
        <v>820</v>
      </c>
      <c r="F239" s="5" t="s">
        <v>9</v>
      </c>
      <c r="G239" s="5" t="s">
        <v>3</v>
      </c>
      <c r="H239" s="2"/>
      <c r="I239" s="2"/>
      <c r="J239" s="2">
        <v>46207</v>
      </c>
      <c r="K239" s="2" t="str">
        <f>IFERROR(VLOOKUP(B239,#REF!,4,0),"")</f>
        <v/>
      </c>
      <c r="L239" s="1" t="s">
        <v>20</v>
      </c>
      <c r="M239" s="1" t="s">
        <v>12</v>
      </c>
      <c r="O239" s="4"/>
      <c r="Q239" s="4"/>
    </row>
    <row r="240" spans="1:18" x14ac:dyDescent="0.3">
      <c r="A240" s="3">
        <f t="shared" si="9"/>
        <v>17</v>
      </c>
      <c r="B240" s="8" t="s">
        <v>1361</v>
      </c>
      <c r="C240" s="5" t="s">
        <v>1360</v>
      </c>
      <c r="D240" s="6">
        <v>525936584</v>
      </c>
      <c r="E240" s="5" t="s">
        <v>440</v>
      </c>
      <c r="F240" s="5" t="s">
        <v>28</v>
      </c>
      <c r="G240" s="5" t="s">
        <v>3</v>
      </c>
      <c r="H240" s="2"/>
      <c r="I240" s="2">
        <v>46190</v>
      </c>
      <c r="J240" s="2">
        <v>46207</v>
      </c>
      <c r="K240" s="2" t="str">
        <f>IFERROR(VLOOKUP(B240,#REF!,4,0),"")</f>
        <v/>
      </c>
      <c r="L240" s="1" t="s">
        <v>27</v>
      </c>
      <c r="M240" s="1" t="s">
        <v>17</v>
      </c>
      <c r="O240" s="4"/>
      <c r="Q240" s="4"/>
    </row>
    <row r="241" spans="1:18" x14ac:dyDescent="0.3">
      <c r="A241" s="3">
        <f t="shared" si="9"/>
        <v>18</v>
      </c>
      <c r="B241" s="8" t="s">
        <v>1359</v>
      </c>
      <c r="C241" s="5" t="s">
        <v>1358</v>
      </c>
      <c r="D241" s="6">
        <v>529875966</v>
      </c>
      <c r="E241" s="5" t="s">
        <v>178</v>
      </c>
      <c r="F241" s="5" t="s">
        <v>28</v>
      </c>
      <c r="G241" s="5" t="s">
        <v>3</v>
      </c>
      <c r="H241" s="2"/>
      <c r="I241" s="2"/>
      <c r="J241" s="2">
        <v>46207</v>
      </c>
      <c r="K241" s="2" t="str">
        <f>IFERROR(VLOOKUP(B241,#REF!,4,0),"")</f>
        <v/>
      </c>
      <c r="L241" s="1" t="s">
        <v>27</v>
      </c>
      <c r="M241" s="1" t="s">
        <v>17</v>
      </c>
      <c r="O241" s="4"/>
      <c r="Q241" s="4"/>
    </row>
    <row r="242" spans="1:18" x14ac:dyDescent="0.3">
      <c r="A242" s="3">
        <f t="shared" si="9"/>
        <v>19</v>
      </c>
      <c r="B242" s="8" t="s">
        <v>1357</v>
      </c>
      <c r="C242" s="5" t="s">
        <v>1356</v>
      </c>
      <c r="D242" s="6">
        <v>385606475</v>
      </c>
      <c r="E242" s="5" t="s">
        <v>309</v>
      </c>
      <c r="F242" s="5" t="s">
        <v>4</v>
      </c>
      <c r="G242" s="5" t="s">
        <v>3</v>
      </c>
      <c r="H242" s="2"/>
      <c r="I242" s="2"/>
      <c r="J242" s="2">
        <v>46209</v>
      </c>
      <c r="K242" s="2" t="str">
        <f>IFERROR(VLOOKUP(B242,#REF!,4,0),"")</f>
        <v/>
      </c>
      <c r="M242" s="1" t="s">
        <v>12</v>
      </c>
      <c r="O242" s="4"/>
      <c r="Q242" s="4"/>
    </row>
    <row r="243" spans="1:18" x14ac:dyDescent="0.3">
      <c r="A243" s="3">
        <f t="shared" si="9"/>
        <v>20</v>
      </c>
      <c r="B243" s="8" t="s">
        <v>1355</v>
      </c>
      <c r="C243" s="5" t="s">
        <v>1354</v>
      </c>
      <c r="D243" s="6">
        <v>398928385</v>
      </c>
      <c r="E243" s="5" t="s">
        <v>1353</v>
      </c>
      <c r="F243" s="5" t="s">
        <v>48</v>
      </c>
      <c r="G243" s="5" t="s">
        <v>3</v>
      </c>
      <c r="H243" s="2">
        <v>46155</v>
      </c>
      <c r="I243" s="2">
        <v>46192</v>
      </c>
      <c r="J243" s="2">
        <v>46209</v>
      </c>
      <c r="K243" s="2" t="str">
        <f>IFERROR(VLOOKUP(B243,#REF!,4,0),"")</f>
        <v/>
      </c>
      <c r="L243" s="1" t="s">
        <v>44</v>
      </c>
      <c r="M243" s="1" t="s">
        <v>17</v>
      </c>
      <c r="O243" s="4"/>
      <c r="Q243" s="4"/>
    </row>
    <row r="244" spans="1:18" x14ac:dyDescent="0.3">
      <c r="A244" s="3">
        <f t="shared" si="9"/>
        <v>21</v>
      </c>
      <c r="B244" s="8" t="s">
        <v>1352</v>
      </c>
      <c r="C244" s="5" t="s">
        <v>1351</v>
      </c>
      <c r="D244" s="6">
        <v>449343850</v>
      </c>
      <c r="E244" s="5" t="s">
        <v>395</v>
      </c>
      <c r="F244" s="5" t="s">
        <v>48</v>
      </c>
      <c r="G244" s="5" t="s">
        <v>3</v>
      </c>
      <c r="H244" s="2"/>
      <c r="I244" s="2">
        <v>46176</v>
      </c>
      <c r="J244" s="2">
        <v>46209</v>
      </c>
      <c r="K244" s="2" t="str">
        <f>IFERROR(VLOOKUP(B244,#REF!,4,0),"")</f>
        <v/>
      </c>
      <c r="L244" s="1" t="s">
        <v>44</v>
      </c>
      <c r="M244" s="1" t="s">
        <v>12</v>
      </c>
      <c r="O244" s="4"/>
      <c r="Q244" s="4"/>
    </row>
    <row r="245" spans="1:18" x14ac:dyDescent="0.3">
      <c r="A245" s="3">
        <f t="shared" si="9"/>
        <v>22</v>
      </c>
      <c r="B245" s="8" t="s">
        <v>1350</v>
      </c>
      <c r="C245" s="5" t="s">
        <v>1349</v>
      </c>
      <c r="D245" s="6">
        <v>395146274</v>
      </c>
      <c r="E245" s="5" t="s">
        <v>131</v>
      </c>
      <c r="F245" s="5" t="s">
        <v>9</v>
      </c>
      <c r="G245" s="5" t="s">
        <v>3</v>
      </c>
      <c r="H245" s="2">
        <v>46147</v>
      </c>
      <c r="I245" s="2"/>
      <c r="J245" s="2">
        <v>46209</v>
      </c>
      <c r="K245" s="2" t="str">
        <f>IFERROR(VLOOKUP(B245,#REF!,4,0),"")</f>
        <v/>
      </c>
      <c r="L245" s="1" t="s">
        <v>124</v>
      </c>
      <c r="M245" s="1" t="s">
        <v>12</v>
      </c>
      <c r="O245" s="4"/>
      <c r="Q245" s="4"/>
    </row>
    <row r="246" spans="1:18" x14ac:dyDescent="0.3">
      <c r="A246" s="3">
        <f t="shared" si="9"/>
        <v>23</v>
      </c>
      <c r="B246" s="8" t="s">
        <v>1348</v>
      </c>
      <c r="C246" s="5" t="s">
        <v>1347</v>
      </c>
      <c r="D246" s="6">
        <v>383094118</v>
      </c>
      <c r="E246" s="5" t="s">
        <v>131</v>
      </c>
      <c r="F246" s="5" t="s">
        <v>9</v>
      </c>
      <c r="G246" s="5" t="s">
        <v>3</v>
      </c>
      <c r="H246" s="2"/>
      <c r="I246" s="2">
        <v>46190</v>
      </c>
      <c r="J246" s="2">
        <v>46209</v>
      </c>
      <c r="K246" s="2" t="str">
        <f>IFERROR(VLOOKUP(B246,#REF!,4,0),"")</f>
        <v/>
      </c>
      <c r="L246" s="1" t="s">
        <v>124</v>
      </c>
      <c r="M246" s="1" t="s">
        <v>12</v>
      </c>
      <c r="O246" s="4"/>
      <c r="Q246" s="4"/>
    </row>
    <row r="247" spans="1:18" x14ac:dyDescent="0.3">
      <c r="A247" s="3">
        <f t="shared" si="9"/>
        <v>24</v>
      </c>
      <c r="B247" s="8" t="s">
        <v>1346</v>
      </c>
      <c r="C247" s="5" t="s">
        <v>1345</v>
      </c>
      <c r="D247" s="6">
        <v>353759890</v>
      </c>
      <c r="E247" s="5" t="s">
        <v>131</v>
      </c>
      <c r="F247" s="5" t="s">
        <v>9</v>
      </c>
      <c r="G247" s="5" t="s">
        <v>3</v>
      </c>
      <c r="H247" s="2"/>
      <c r="I247" s="2"/>
      <c r="J247" s="2">
        <v>46209</v>
      </c>
      <c r="K247" s="2" t="str">
        <f>IFERROR(VLOOKUP(B247,#REF!,4,0),"")</f>
        <v/>
      </c>
      <c r="L247" s="1" t="s">
        <v>124</v>
      </c>
      <c r="M247" s="1" t="s">
        <v>12</v>
      </c>
      <c r="O247" s="4"/>
      <c r="Q247" s="4"/>
    </row>
    <row r="248" spans="1:18" x14ac:dyDescent="0.3">
      <c r="A248" s="3">
        <f t="shared" si="9"/>
        <v>25</v>
      </c>
      <c r="B248" s="8" t="s">
        <v>1344</v>
      </c>
      <c r="C248" s="5" t="s">
        <v>1343</v>
      </c>
      <c r="D248" s="6">
        <v>446521419</v>
      </c>
      <c r="E248" s="5" t="s">
        <v>125</v>
      </c>
      <c r="F248" s="5" t="s">
        <v>9</v>
      </c>
      <c r="G248" s="5" t="s">
        <v>3</v>
      </c>
      <c r="H248" s="2"/>
      <c r="I248" s="2"/>
      <c r="J248" s="2">
        <v>46209</v>
      </c>
      <c r="K248" s="2" t="str">
        <f>IFERROR(VLOOKUP(B248,#REF!,4,0),"")</f>
        <v/>
      </c>
      <c r="L248" s="1" t="s">
        <v>124</v>
      </c>
      <c r="M248" s="1" t="s">
        <v>12</v>
      </c>
      <c r="O248" s="4"/>
      <c r="Q248" s="4"/>
    </row>
    <row r="249" spans="1:18" x14ac:dyDescent="0.3">
      <c r="A249" s="3">
        <f t="shared" si="9"/>
        <v>26</v>
      </c>
      <c r="B249" s="8" t="s">
        <v>1342</v>
      </c>
      <c r="C249" s="5" t="s">
        <v>1341</v>
      </c>
      <c r="D249" s="6">
        <v>494644561</v>
      </c>
      <c r="E249" s="5" t="s">
        <v>1340</v>
      </c>
      <c r="F249" s="5" t="s">
        <v>28</v>
      </c>
      <c r="G249" s="5" t="s">
        <v>3</v>
      </c>
      <c r="H249" s="2">
        <v>46171</v>
      </c>
      <c r="I249" s="2"/>
      <c r="J249" s="2">
        <v>46209</v>
      </c>
      <c r="K249" s="2" t="str">
        <f>IFERROR(VLOOKUP(B249,#REF!,4,0),"")</f>
        <v/>
      </c>
      <c r="L249" s="1" t="s">
        <v>27</v>
      </c>
      <c r="M249" s="1" t="s">
        <v>17</v>
      </c>
      <c r="O249" s="4"/>
      <c r="Q249" s="4"/>
    </row>
    <row r="250" spans="1:18" x14ac:dyDescent="0.3">
      <c r="A250" s="3">
        <f t="shared" si="9"/>
        <v>27</v>
      </c>
      <c r="B250" s="8" t="s">
        <v>1339</v>
      </c>
      <c r="C250" s="5" t="s">
        <v>1338</v>
      </c>
      <c r="D250" s="6">
        <v>562993067</v>
      </c>
      <c r="E250" s="5" t="s">
        <v>694</v>
      </c>
      <c r="F250" s="5" t="s">
        <v>36</v>
      </c>
      <c r="G250" s="5" t="s">
        <v>3</v>
      </c>
      <c r="H250" s="2">
        <v>46158</v>
      </c>
      <c r="I250" s="2">
        <v>46186</v>
      </c>
      <c r="J250" s="2">
        <v>46209</v>
      </c>
      <c r="K250" s="2" t="str">
        <f>IFERROR(VLOOKUP(B250,#REF!,4,0),"")</f>
        <v/>
      </c>
      <c r="L250" s="1" t="s">
        <v>13</v>
      </c>
      <c r="M250" s="1" t="s">
        <v>12</v>
      </c>
      <c r="O250" s="4"/>
      <c r="Q250" s="4"/>
    </row>
    <row r="251" spans="1:18" x14ac:dyDescent="0.3">
      <c r="A251" s="3">
        <f t="shared" si="9"/>
        <v>28</v>
      </c>
      <c r="B251" s="8" t="s">
        <v>1337</v>
      </c>
      <c r="C251" s="5" t="s">
        <v>1336</v>
      </c>
      <c r="D251" s="6">
        <v>482362439</v>
      </c>
      <c r="E251" s="5" t="s">
        <v>1335</v>
      </c>
      <c r="F251" s="5" t="s">
        <v>36</v>
      </c>
      <c r="G251" s="5" t="s">
        <v>3</v>
      </c>
      <c r="H251" s="2"/>
      <c r="I251" s="2"/>
      <c r="J251" s="2">
        <v>46209</v>
      </c>
      <c r="K251" s="2" t="str">
        <f>IFERROR(VLOOKUP(B251,#REF!,4,0),"")</f>
        <v/>
      </c>
      <c r="L251" s="1" t="s">
        <v>13</v>
      </c>
      <c r="M251" s="1" t="s">
        <v>12</v>
      </c>
      <c r="O251" s="4"/>
      <c r="Q251" s="4"/>
    </row>
    <row r="252" spans="1:18" x14ac:dyDescent="0.3">
      <c r="A252" s="3">
        <f t="shared" si="9"/>
        <v>29</v>
      </c>
      <c r="B252" s="10" t="s">
        <v>1334</v>
      </c>
      <c r="C252" s="5" t="s">
        <v>1333</v>
      </c>
      <c r="D252" s="6">
        <v>527678304</v>
      </c>
      <c r="E252" s="5" t="s">
        <v>1187</v>
      </c>
      <c r="F252" s="5" t="s">
        <v>9</v>
      </c>
      <c r="G252" s="5" t="s">
        <v>3</v>
      </c>
      <c r="H252" s="2"/>
      <c r="I252" s="2"/>
      <c r="J252" s="2">
        <v>46209</v>
      </c>
      <c r="K252" s="2" t="str">
        <f>IFERROR(VLOOKUP(B252,#REF!,4,0),"")</f>
        <v/>
      </c>
      <c r="L252" s="1" t="s">
        <v>20</v>
      </c>
      <c r="M252" s="1" t="s">
        <v>17</v>
      </c>
      <c r="O252" s="4"/>
      <c r="Q252" s="4"/>
    </row>
    <row r="253" spans="1:18" x14ac:dyDescent="0.3">
      <c r="A253" s="3">
        <f t="shared" si="9"/>
        <v>30</v>
      </c>
      <c r="B253" s="11" t="s">
        <v>1332</v>
      </c>
      <c r="C253" s="5" t="s">
        <v>1331</v>
      </c>
      <c r="D253" s="6">
        <v>457374457</v>
      </c>
      <c r="E253" s="5" t="s">
        <v>837</v>
      </c>
      <c r="F253" s="5" t="s">
        <v>4</v>
      </c>
      <c r="G253" s="5" t="s">
        <v>3</v>
      </c>
      <c r="H253" s="2">
        <v>46151</v>
      </c>
      <c r="I253" s="2">
        <v>46185</v>
      </c>
      <c r="J253" s="2">
        <v>46210</v>
      </c>
      <c r="K253" s="2" t="str">
        <f>IFERROR(VLOOKUP(B253,#REF!,4,0),"")</f>
        <v/>
      </c>
      <c r="L253" s="1" t="s">
        <v>2</v>
      </c>
      <c r="M253" s="1" t="s">
        <v>12</v>
      </c>
      <c r="O253" s="4" t="s">
        <v>0</v>
      </c>
      <c r="P253" s="1" t="s">
        <v>1</v>
      </c>
      <c r="Q253" s="4" t="s">
        <v>0</v>
      </c>
      <c r="R253" s="1" t="s">
        <v>0</v>
      </c>
    </row>
    <row r="254" spans="1:18" x14ac:dyDescent="0.3">
      <c r="A254" s="3">
        <f t="shared" si="9"/>
        <v>31</v>
      </c>
      <c r="B254" s="8" t="s">
        <v>1330</v>
      </c>
      <c r="C254" s="5" t="s">
        <v>1329</v>
      </c>
      <c r="D254" s="6">
        <v>387219325</v>
      </c>
      <c r="E254" s="5" t="s">
        <v>373</v>
      </c>
      <c r="F254" s="5" t="s">
        <v>4</v>
      </c>
      <c r="G254" s="5" t="s">
        <v>3</v>
      </c>
      <c r="H254" s="2"/>
      <c r="I254" s="2"/>
      <c r="J254" s="2">
        <v>46210</v>
      </c>
      <c r="K254" s="2" t="str">
        <f>IFERROR(VLOOKUP(B254,#REF!,4,0),"")</f>
        <v/>
      </c>
      <c r="M254" s="1" t="s">
        <v>12</v>
      </c>
      <c r="O254" s="4"/>
      <c r="Q254" s="4"/>
    </row>
    <row r="255" spans="1:18" x14ac:dyDescent="0.3">
      <c r="A255" s="3">
        <f t="shared" si="9"/>
        <v>32</v>
      </c>
      <c r="B255" s="8" t="s">
        <v>1328</v>
      </c>
      <c r="C255" s="5" t="s">
        <v>1327</v>
      </c>
      <c r="D255" s="6">
        <v>342167641</v>
      </c>
      <c r="E255" s="5" t="s">
        <v>131</v>
      </c>
      <c r="F255" s="5" t="s">
        <v>9</v>
      </c>
      <c r="G255" s="5" t="s">
        <v>3</v>
      </c>
      <c r="H255" s="2"/>
      <c r="I255" s="2"/>
      <c r="J255" s="2">
        <v>46210</v>
      </c>
      <c r="K255" s="2" t="str">
        <f>IFERROR(VLOOKUP(B255,#REF!,4,0),"")</f>
        <v/>
      </c>
      <c r="L255" s="1" t="s">
        <v>124</v>
      </c>
      <c r="M255" s="1" t="s">
        <v>12</v>
      </c>
      <c r="O255" s="4"/>
      <c r="Q255" s="4"/>
    </row>
    <row r="256" spans="1:18" x14ac:dyDescent="0.3">
      <c r="A256" s="3">
        <f t="shared" si="9"/>
        <v>33</v>
      </c>
      <c r="B256" s="8" t="s">
        <v>1326</v>
      </c>
      <c r="C256" s="5" t="s">
        <v>1325</v>
      </c>
      <c r="D256" s="6">
        <v>440062293</v>
      </c>
      <c r="E256" s="5" t="s">
        <v>167</v>
      </c>
      <c r="F256" s="5" t="s">
        <v>9</v>
      </c>
      <c r="G256" s="5" t="s">
        <v>3</v>
      </c>
      <c r="H256" s="2"/>
      <c r="I256" s="2"/>
      <c r="J256" s="2">
        <v>46210</v>
      </c>
      <c r="K256" s="2" t="str">
        <f>IFERROR(VLOOKUP(B256,#REF!,4,0),"")</f>
        <v/>
      </c>
      <c r="L256" s="1" t="s">
        <v>124</v>
      </c>
      <c r="M256" s="1" t="s">
        <v>17</v>
      </c>
      <c r="O256" s="4"/>
      <c r="Q256" s="4"/>
    </row>
    <row r="257" spans="1:18" x14ac:dyDescent="0.3">
      <c r="A257" s="3">
        <f t="shared" si="9"/>
        <v>34</v>
      </c>
      <c r="B257" s="8" t="s">
        <v>1324</v>
      </c>
      <c r="C257" s="5" t="s">
        <v>1323</v>
      </c>
      <c r="D257" s="6">
        <v>544864972</v>
      </c>
      <c r="E257" s="5" t="s">
        <v>198</v>
      </c>
      <c r="F257" s="5" t="s">
        <v>9</v>
      </c>
      <c r="G257" s="5" t="s">
        <v>3</v>
      </c>
      <c r="H257" s="2">
        <v>46149</v>
      </c>
      <c r="I257" s="2">
        <v>46192</v>
      </c>
      <c r="J257" s="2">
        <v>46210</v>
      </c>
      <c r="K257" s="2" t="str">
        <f>IFERROR(VLOOKUP(B257,#REF!,4,0),"")</f>
        <v/>
      </c>
      <c r="L257" s="1" t="s">
        <v>20</v>
      </c>
      <c r="M257" s="1" t="s">
        <v>12</v>
      </c>
      <c r="O257" s="4" t="s">
        <v>0</v>
      </c>
      <c r="Q257" s="4" t="s">
        <v>0</v>
      </c>
      <c r="R257" s="1" t="s">
        <v>0</v>
      </c>
    </row>
    <row r="258" spans="1:18" x14ac:dyDescent="0.3">
      <c r="A258" s="3">
        <f t="shared" si="9"/>
        <v>35</v>
      </c>
      <c r="B258" s="8" t="s">
        <v>1322</v>
      </c>
      <c r="C258" s="5" t="s">
        <v>1321</v>
      </c>
      <c r="D258" s="6" t="e">
        <v>#N/A</v>
      </c>
      <c r="E258" s="5" t="s">
        <v>1320</v>
      </c>
      <c r="F258" s="5" t="s">
        <v>48</v>
      </c>
      <c r="G258" s="5" t="s">
        <v>3</v>
      </c>
      <c r="H258" s="2">
        <v>46162</v>
      </c>
      <c r="I258" s="2"/>
      <c r="J258" s="2">
        <v>46210</v>
      </c>
      <c r="K258" s="2" t="str">
        <f>IFERROR(VLOOKUP(B258,#REF!,4,0),"")</f>
        <v/>
      </c>
      <c r="L258" s="1" t="s">
        <v>44</v>
      </c>
      <c r="M258" s="1" t="s">
        <v>12</v>
      </c>
      <c r="O258" s="4" t="s">
        <v>1319</v>
      </c>
      <c r="Q258" s="4"/>
    </row>
    <row r="259" spans="1:18" x14ac:dyDescent="0.3">
      <c r="A259" s="3">
        <f t="shared" si="9"/>
        <v>36</v>
      </c>
      <c r="B259" s="8" t="s">
        <v>1318</v>
      </c>
      <c r="C259" s="5" t="s">
        <v>1317</v>
      </c>
      <c r="D259" s="6">
        <v>523721408</v>
      </c>
      <c r="E259" s="5" t="s">
        <v>568</v>
      </c>
      <c r="F259" s="5" t="s">
        <v>32</v>
      </c>
      <c r="G259" s="5" t="s">
        <v>3</v>
      </c>
      <c r="H259" s="2">
        <v>46170</v>
      </c>
      <c r="I259" s="2">
        <v>46198</v>
      </c>
      <c r="J259" s="2">
        <v>46210</v>
      </c>
      <c r="K259" s="2" t="str">
        <f>IFERROR(VLOOKUP(B259,#REF!,4,0),"")</f>
        <v/>
      </c>
      <c r="L259" s="1" t="s">
        <v>27</v>
      </c>
      <c r="M259" s="1" t="s">
        <v>12</v>
      </c>
      <c r="O259" s="4"/>
      <c r="Q259" s="4"/>
    </row>
    <row r="260" spans="1:18" x14ac:dyDescent="0.3">
      <c r="A260" s="3">
        <f t="shared" si="9"/>
        <v>37</v>
      </c>
      <c r="B260" s="8" t="s">
        <v>1316</v>
      </c>
      <c r="C260" s="5" t="s">
        <v>1315</v>
      </c>
      <c r="D260" s="6">
        <v>323873237</v>
      </c>
      <c r="E260" s="5" t="s">
        <v>1312</v>
      </c>
      <c r="F260" s="5" t="s">
        <v>28</v>
      </c>
      <c r="G260" s="5" t="s">
        <v>3</v>
      </c>
      <c r="H260" s="2"/>
      <c r="I260" s="2"/>
      <c r="J260" s="2">
        <v>46210</v>
      </c>
      <c r="K260" s="2" t="str">
        <f>IFERROR(VLOOKUP(B260,#REF!,4,0),"")</f>
        <v/>
      </c>
      <c r="L260" s="1" t="s">
        <v>27</v>
      </c>
      <c r="M260" s="1" t="s">
        <v>12</v>
      </c>
      <c r="O260" s="4"/>
      <c r="Q260" s="4"/>
    </row>
    <row r="261" spans="1:18" x14ac:dyDescent="0.3">
      <c r="A261" s="3">
        <f t="shared" si="9"/>
        <v>38</v>
      </c>
      <c r="B261" s="8" t="s">
        <v>1314</v>
      </c>
      <c r="C261" s="5" t="s">
        <v>1313</v>
      </c>
      <c r="D261" s="6">
        <v>395167921</v>
      </c>
      <c r="E261" s="5" t="s">
        <v>1312</v>
      </c>
      <c r="F261" s="5" t="s">
        <v>28</v>
      </c>
      <c r="G261" s="5" t="s">
        <v>3</v>
      </c>
      <c r="H261" s="2"/>
      <c r="I261" s="2"/>
      <c r="J261" s="2">
        <v>46210</v>
      </c>
      <c r="K261" s="2" t="str">
        <f>IFERROR(VLOOKUP(B261,#REF!,4,0),"")</f>
        <v/>
      </c>
      <c r="L261" s="1" t="s">
        <v>27</v>
      </c>
      <c r="M261" s="1" t="s">
        <v>12</v>
      </c>
      <c r="O261" s="4"/>
      <c r="Q261" s="4"/>
    </row>
    <row r="262" spans="1:18" x14ac:dyDescent="0.3">
      <c r="A262" s="3">
        <f t="shared" si="9"/>
        <v>39</v>
      </c>
      <c r="B262" s="8" t="s">
        <v>1311</v>
      </c>
      <c r="C262" s="5" t="s">
        <v>1310</v>
      </c>
      <c r="D262" s="6">
        <v>581230168</v>
      </c>
      <c r="E262" s="5" t="s">
        <v>333</v>
      </c>
      <c r="F262" s="5" t="s">
        <v>32</v>
      </c>
      <c r="G262" s="5" t="s">
        <v>3</v>
      </c>
      <c r="H262" s="2"/>
      <c r="I262" s="2"/>
      <c r="J262" s="2">
        <v>46210</v>
      </c>
      <c r="K262" s="2" t="str">
        <f>IFERROR(VLOOKUP(B262,#REF!,4,0),"")</f>
        <v/>
      </c>
      <c r="L262" s="1" t="s">
        <v>27</v>
      </c>
      <c r="M262" s="1" t="s">
        <v>12</v>
      </c>
      <c r="O262" s="4"/>
      <c r="Q262" s="4"/>
    </row>
    <row r="263" spans="1:18" x14ac:dyDescent="0.3">
      <c r="A263" s="3">
        <f t="shared" si="9"/>
        <v>40</v>
      </c>
      <c r="B263" s="8" t="s">
        <v>1309</v>
      </c>
      <c r="C263" s="5" t="s">
        <v>1308</v>
      </c>
      <c r="D263" s="6">
        <v>490771313</v>
      </c>
      <c r="E263" s="5" t="s">
        <v>756</v>
      </c>
      <c r="F263" s="5" t="s">
        <v>4</v>
      </c>
      <c r="G263" s="5" t="s">
        <v>3</v>
      </c>
      <c r="H263" s="2"/>
      <c r="I263" s="2"/>
      <c r="J263" s="2">
        <v>46210</v>
      </c>
      <c r="K263" s="2" t="str">
        <f>IFERROR(VLOOKUP(B263,#REF!,4,0),"")</f>
        <v/>
      </c>
      <c r="M263" s="1" t="s">
        <v>17</v>
      </c>
      <c r="O263" s="4"/>
      <c r="Q263" s="4"/>
    </row>
    <row r="264" spans="1:18" x14ac:dyDescent="0.3">
      <c r="A264" s="3">
        <f t="shared" si="9"/>
        <v>41</v>
      </c>
      <c r="B264" s="8" t="s">
        <v>1307</v>
      </c>
      <c r="C264" s="5" t="s">
        <v>1306</v>
      </c>
      <c r="D264" s="6">
        <v>517554324</v>
      </c>
      <c r="E264" s="5" t="s">
        <v>186</v>
      </c>
      <c r="F264" s="5" t="s">
        <v>36</v>
      </c>
      <c r="G264" s="5" t="s">
        <v>3</v>
      </c>
      <c r="H264" s="2">
        <v>46150</v>
      </c>
      <c r="I264" s="2">
        <v>46188</v>
      </c>
      <c r="J264" s="2">
        <v>46211</v>
      </c>
      <c r="K264" s="2" t="str">
        <f>IFERROR(VLOOKUP(B264,#REF!,4,0),"")</f>
        <v/>
      </c>
      <c r="L264" s="1" t="s">
        <v>13</v>
      </c>
      <c r="M264" s="1" t="s">
        <v>17</v>
      </c>
      <c r="O264" s="4"/>
      <c r="Q264" s="4"/>
    </row>
    <row r="265" spans="1:18" x14ac:dyDescent="0.3">
      <c r="A265" s="3">
        <f t="shared" si="9"/>
        <v>42</v>
      </c>
      <c r="B265" s="8" t="s">
        <v>1305</v>
      </c>
      <c r="C265" s="5" t="s">
        <v>1304</v>
      </c>
      <c r="D265" s="6">
        <v>428177218</v>
      </c>
      <c r="E265" s="5" t="s">
        <v>986</v>
      </c>
      <c r="F265" s="5" t="s">
        <v>28</v>
      </c>
      <c r="G265" s="5" t="s">
        <v>3</v>
      </c>
      <c r="H265" s="2"/>
      <c r="I265" s="2"/>
      <c r="J265" s="2">
        <v>46211</v>
      </c>
      <c r="K265" s="2" t="str">
        <f>IFERROR(VLOOKUP(B265,#REF!,4,0),"")</f>
        <v/>
      </c>
      <c r="L265" s="1" t="s">
        <v>27</v>
      </c>
      <c r="M265" s="1" t="s">
        <v>12</v>
      </c>
      <c r="O265" s="4"/>
      <c r="Q265" s="4"/>
    </row>
    <row r="266" spans="1:18" x14ac:dyDescent="0.3">
      <c r="A266" s="3">
        <f t="shared" si="9"/>
        <v>43</v>
      </c>
      <c r="B266" s="8" t="s">
        <v>1303</v>
      </c>
      <c r="C266" s="5" t="s">
        <v>1302</v>
      </c>
      <c r="D266" s="6">
        <v>408762601</v>
      </c>
      <c r="E266" s="5" t="s">
        <v>1301</v>
      </c>
      <c r="F266" s="5" t="s">
        <v>28</v>
      </c>
      <c r="G266" s="5" t="s">
        <v>3</v>
      </c>
      <c r="H266" s="2"/>
      <c r="I266" s="2"/>
      <c r="J266" s="2">
        <v>46211</v>
      </c>
      <c r="K266" s="2" t="str">
        <f>IFERROR(VLOOKUP(B266,#REF!,4,0),"")</f>
        <v/>
      </c>
      <c r="L266" s="1" t="s">
        <v>27</v>
      </c>
      <c r="M266" s="1" t="s">
        <v>12</v>
      </c>
      <c r="O266" s="4"/>
      <c r="Q266" s="4"/>
    </row>
    <row r="267" spans="1:18" x14ac:dyDescent="0.3">
      <c r="A267" s="3">
        <f t="shared" si="9"/>
        <v>44</v>
      </c>
      <c r="B267" s="8" t="s">
        <v>1300</v>
      </c>
      <c r="C267" s="5" t="s">
        <v>1299</v>
      </c>
      <c r="D267" s="6">
        <v>531608572</v>
      </c>
      <c r="E267" s="5" t="s">
        <v>260</v>
      </c>
      <c r="F267" s="5" t="s">
        <v>9</v>
      </c>
      <c r="G267" s="5" t="s">
        <v>3</v>
      </c>
      <c r="H267" s="2"/>
      <c r="I267" s="2"/>
      <c r="J267" s="2">
        <v>46211</v>
      </c>
      <c r="K267" s="2" t="str">
        <f>IFERROR(VLOOKUP(B267,#REF!,4,0),"")</f>
        <v/>
      </c>
      <c r="L267" s="1" t="s">
        <v>124</v>
      </c>
      <c r="M267" s="1" t="s">
        <v>17</v>
      </c>
      <c r="O267" s="4"/>
      <c r="Q267" s="4"/>
    </row>
    <row r="268" spans="1:18" x14ac:dyDescent="0.3">
      <c r="A268" s="3">
        <f t="shared" si="9"/>
        <v>45</v>
      </c>
      <c r="B268" s="8" t="s">
        <v>1298</v>
      </c>
      <c r="C268" s="5" t="s">
        <v>1297</v>
      </c>
      <c r="D268" s="6">
        <v>489155699</v>
      </c>
      <c r="E268" s="5" t="s">
        <v>536</v>
      </c>
      <c r="F268" s="5" t="s">
        <v>4</v>
      </c>
      <c r="G268" s="5" t="s">
        <v>3</v>
      </c>
      <c r="H268" s="2"/>
      <c r="I268" s="2"/>
      <c r="J268" s="2">
        <v>46211</v>
      </c>
      <c r="K268" s="2" t="str">
        <f>IFERROR(VLOOKUP(B268,#REF!,4,0),"")</f>
        <v/>
      </c>
      <c r="M268" s="1" t="s">
        <v>17</v>
      </c>
      <c r="O268" s="4"/>
      <c r="Q268" s="4"/>
    </row>
    <row r="269" spans="1:18" x14ac:dyDescent="0.3">
      <c r="A269" s="3">
        <f t="shared" si="9"/>
        <v>46</v>
      </c>
      <c r="B269" s="8" t="s">
        <v>1296</v>
      </c>
      <c r="C269" s="5" t="s">
        <v>1295</v>
      </c>
      <c r="D269" s="6">
        <v>175968956</v>
      </c>
      <c r="E269" s="5" t="s">
        <v>309</v>
      </c>
      <c r="F269" s="5" t="s">
        <v>4</v>
      </c>
      <c r="G269" s="5" t="s">
        <v>3</v>
      </c>
      <c r="H269" s="2"/>
      <c r="I269" s="2">
        <v>46175</v>
      </c>
      <c r="J269" s="2">
        <v>46211</v>
      </c>
      <c r="K269" s="2" t="str">
        <f>IFERROR(VLOOKUP(B269,#REF!,4,0),"")</f>
        <v/>
      </c>
      <c r="M269" s="1" t="s">
        <v>342</v>
      </c>
      <c r="O269" s="4"/>
      <c r="Q269" s="4"/>
    </row>
    <row r="270" spans="1:18" x14ac:dyDescent="0.3">
      <c r="A270" s="3">
        <f t="shared" ref="A270:A301" si="10">1+A269</f>
        <v>47</v>
      </c>
      <c r="B270" s="8" t="s">
        <v>1294</v>
      </c>
      <c r="C270" s="5" t="s">
        <v>1293</v>
      </c>
      <c r="D270" s="6">
        <v>369942270</v>
      </c>
      <c r="E270" s="5" t="s">
        <v>1292</v>
      </c>
      <c r="F270" s="5" t="s">
        <v>4</v>
      </c>
      <c r="G270" s="5" t="s">
        <v>3</v>
      </c>
      <c r="H270" s="2"/>
      <c r="I270" s="2"/>
      <c r="J270" s="2">
        <v>46211</v>
      </c>
      <c r="K270" s="2" t="str">
        <f>IFERROR(VLOOKUP(B270,#REF!,4,0),"")</f>
        <v/>
      </c>
      <c r="L270" s="1" t="s">
        <v>77</v>
      </c>
      <c r="M270" s="1" t="s">
        <v>12</v>
      </c>
      <c r="O270" s="4"/>
      <c r="Q270" s="4"/>
    </row>
    <row r="271" spans="1:18" x14ac:dyDescent="0.3">
      <c r="A271" s="3">
        <f t="shared" si="10"/>
        <v>48</v>
      </c>
      <c r="B271" s="8" t="s">
        <v>1291</v>
      </c>
      <c r="C271" s="5" t="s">
        <v>1290</v>
      </c>
      <c r="D271" s="6">
        <v>463622338</v>
      </c>
      <c r="E271" s="5" t="s">
        <v>256</v>
      </c>
      <c r="F271" s="5" t="s">
        <v>4</v>
      </c>
      <c r="G271" s="5" t="s">
        <v>3</v>
      </c>
      <c r="H271" s="2"/>
      <c r="I271" s="2"/>
      <c r="J271" s="2">
        <v>46211</v>
      </c>
      <c r="K271" s="2" t="str">
        <f>IFERROR(VLOOKUP(B271,#REF!,4,0),"")</f>
        <v/>
      </c>
      <c r="M271" s="1" t="s">
        <v>17</v>
      </c>
      <c r="O271" s="4"/>
      <c r="Q271" s="4"/>
    </row>
    <row r="272" spans="1:18" x14ac:dyDescent="0.3">
      <c r="A272" s="3">
        <f t="shared" si="10"/>
        <v>49</v>
      </c>
      <c r="B272" s="8" t="s">
        <v>1289</v>
      </c>
      <c r="C272" s="5" t="s">
        <v>1288</v>
      </c>
      <c r="D272" s="6">
        <v>413147216</v>
      </c>
      <c r="E272" s="5" t="s">
        <v>688</v>
      </c>
      <c r="F272" s="5" t="s">
        <v>28</v>
      </c>
      <c r="G272" s="5" t="s">
        <v>3</v>
      </c>
      <c r="H272" s="2"/>
      <c r="I272" s="2"/>
      <c r="J272" s="2">
        <v>46211</v>
      </c>
      <c r="K272" s="2" t="str">
        <f>IFERROR(VLOOKUP(B272,#REF!,4,0),"")</f>
        <v/>
      </c>
      <c r="L272" s="1" t="s">
        <v>27</v>
      </c>
      <c r="M272" s="1" t="s">
        <v>12</v>
      </c>
      <c r="O272" s="4"/>
      <c r="Q272" s="4"/>
    </row>
    <row r="273" spans="1:18" x14ac:dyDescent="0.3">
      <c r="A273" s="3">
        <f t="shared" si="10"/>
        <v>50</v>
      </c>
      <c r="B273" s="8" t="s">
        <v>1287</v>
      </c>
      <c r="C273" s="5" t="s">
        <v>1286</v>
      </c>
      <c r="D273" s="6">
        <v>399860323</v>
      </c>
      <c r="E273" s="5" t="s">
        <v>851</v>
      </c>
      <c r="F273" s="5" t="s">
        <v>4</v>
      </c>
      <c r="G273" s="5" t="s">
        <v>3</v>
      </c>
      <c r="H273" s="2">
        <v>46148</v>
      </c>
      <c r="I273" s="2">
        <v>46195</v>
      </c>
      <c r="J273" s="2">
        <v>46212</v>
      </c>
      <c r="K273" s="2" t="str">
        <f>IFERROR(VLOOKUP(B273,#REF!,4,0),"")</f>
        <v/>
      </c>
      <c r="L273" s="1" t="s">
        <v>77</v>
      </c>
      <c r="M273" s="1" t="s">
        <v>12</v>
      </c>
      <c r="O273" s="4" t="s">
        <v>0</v>
      </c>
      <c r="P273" s="1" t="s">
        <v>1285</v>
      </c>
      <c r="Q273" s="4" t="s">
        <v>0</v>
      </c>
      <c r="R273" s="1" t="s">
        <v>0</v>
      </c>
    </row>
    <row r="274" spans="1:18" x14ac:dyDescent="0.3">
      <c r="A274" s="3">
        <f t="shared" si="10"/>
        <v>51</v>
      </c>
      <c r="B274" s="8" t="s">
        <v>1284</v>
      </c>
      <c r="C274" s="5" t="s">
        <v>1283</v>
      </c>
      <c r="D274" s="6">
        <v>600470966</v>
      </c>
      <c r="E274" s="5" t="s">
        <v>1282</v>
      </c>
      <c r="F274" s="5" t="s">
        <v>9</v>
      </c>
      <c r="G274" s="5" t="s">
        <v>3</v>
      </c>
      <c r="H274" s="2">
        <v>46162</v>
      </c>
      <c r="I274" s="2"/>
      <c r="J274" s="2">
        <v>46212</v>
      </c>
      <c r="K274" s="2" t="str">
        <f>IFERROR(VLOOKUP(B274,#REF!,4,0),"")</f>
        <v/>
      </c>
      <c r="L274" s="1" t="s">
        <v>20</v>
      </c>
      <c r="M274" s="1" t="s">
        <v>17</v>
      </c>
      <c r="O274" s="4"/>
      <c r="Q274" s="4"/>
    </row>
    <row r="275" spans="1:18" x14ac:dyDescent="0.3">
      <c r="A275" s="3">
        <f t="shared" si="10"/>
        <v>52</v>
      </c>
      <c r="B275" s="8" t="s">
        <v>1281</v>
      </c>
      <c r="C275" s="5" t="s">
        <v>1280</v>
      </c>
      <c r="D275" s="6">
        <v>479778107</v>
      </c>
      <c r="E275" s="5" t="s">
        <v>1187</v>
      </c>
      <c r="F275" s="5" t="s">
        <v>9</v>
      </c>
      <c r="G275" s="5" t="s">
        <v>3</v>
      </c>
      <c r="H275" s="2"/>
      <c r="I275" s="2"/>
      <c r="J275" s="2">
        <v>46212</v>
      </c>
      <c r="K275" s="2" t="str">
        <f>IFERROR(VLOOKUP(B275,#REF!,4,0),"")</f>
        <v/>
      </c>
      <c r="L275" s="1" t="s">
        <v>20</v>
      </c>
      <c r="M275" s="1" t="s">
        <v>17</v>
      </c>
      <c r="O275" s="4"/>
      <c r="Q275" s="4"/>
    </row>
    <row r="276" spans="1:18" x14ac:dyDescent="0.3">
      <c r="A276" s="3">
        <f t="shared" si="10"/>
        <v>53</v>
      </c>
      <c r="B276" s="10" t="s">
        <v>1279</v>
      </c>
      <c r="C276" s="5" t="s">
        <v>1278</v>
      </c>
      <c r="D276" s="6">
        <v>465165080</v>
      </c>
      <c r="E276" s="5" t="s">
        <v>1277</v>
      </c>
      <c r="F276" s="5" t="s">
        <v>4</v>
      </c>
      <c r="G276" s="5" t="s">
        <v>3</v>
      </c>
      <c r="H276" s="2"/>
      <c r="I276" s="2"/>
      <c r="J276" s="2">
        <v>46212</v>
      </c>
      <c r="K276" s="2" t="str">
        <f>IFERROR(VLOOKUP(B276,#REF!,4,0),"")</f>
        <v/>
      </c>
      <c r="M276" s="1" t="s">
        <v>12</v>
      </c>
      <c r="O276" s="4"/>
      <c r="Q276" s="4"/>
    </row>
    <row r="277" spans="1:18" x14ac:dyDescent="0.3">
      <c r="A277" s="3">
        <f t="shared" si="10"/>
        <v>54</v>
      </c>
      <c r="B277" s="8" t="s">
        <v>1276</v>
      </c>
      <c r="C277" s="5" t="s">
        <v>1275</v>
      </c>
      <c r="D277" s="6">
        <v>404792031</v>
      </c>
      <c r="E277" s="5" t="s">
        <v>131</v>
      </c>
      <c r="F277" s="5" t="s">
        <v>9</v>
      </c>
      <c r="G277" s="5" t="s">
        <v>3</v>
      </c>
      <c r="H277" s="2"/>
      <c r="I277" s="2"/>
      <c r="J277" s="2">
        <v>46212</v>
      </c>
      <c r="K277" s="2" t="str">
        <f>IFERROR(VLOOKUP(B277,#REF!,4,0),"")</f>
        <v/>
      </c>
      <c r="L277" s="1" t="s">
        <v>124</v>
      </c>
      <c r="M277" s="1" t="s">
        <v>17</v>
      </c>
      <c r="O277" s="4"/>
      <c r="Q277" s="4"/>
    </row>
    <row r="278" spans="1:18" x14ac:dyDescent="0.3">
      <c r="A278" s="3">
        <f t="shared" si="10"/>
        <v>55</v>
      </c>
      <c r="B278" s="8" t="s">
        <v>1274</v>
      </c>
      <c r="C278" s="5" t="s">
        <v>1273</v>
      </c>
      <c r="D278" s="6">
        <v>513583645</v>
      </c>
      <c r="E278" s="5" t="s">
        <v>879</v>
      </c>
      <c r="F278" s="5" t="s">
        <v>4</v>
      </c>
      <c r="G278" s="5" t="s">
        <v>3</v>
      </c>
      <c r="H278" s="2"/>
      <c r="I278" s="2"/>
      <c r="J278" s="2">
        <v>46212</v>
      </c>
      <c r="K278" s="2" t="str">
        <f>IFERROR(VLOOKUP(B278,#REF!,4,0),"")</f>
        <v/>
      </c>
      <c r="L278" s="1" t="s">
        <v>77</v>
      </c>
      <c r="M278" s="1" t="s">
        <v>17</v>
      </c>
      <c r="O278" s="4"/>
      <c r="Q278" s="4"/>
    </row>
    <row r="279" spans="1:18" x14ac:dyDescent="0.3">
      <c r="A279" s="3">
        <f t="shared" si="10"/>
        <v>56</v>
      </c>
      <c r="B279" s="8" t="s">
        <v>1272</v>
      </c>
      <c r="C279" s="5" t="s">
        <v>1271</v>
      </c>
      <c r="D279" s="6">
        <v>442156372</v>
      </c>
      <c r="E279" s="5" t="s">
        <v>1270</v>
      </c>
      <c r="F279" s="5" t="s">
        <v>32</v>
      </c>
      <c r="G279" s="5" t="s">
        <v>3</v>
      </c>
      <c r="H279" s="2"/>
      <c r="I279" s="2"/>
      <c r="J279" s="2">
        <v>46212</v>
      </c>
      <c r="K279" s="2" t="str">
        <f>IFERROR(VLOOKUP(B279,#REF!,4,0),"")</f>
        <v/>
      </c>
      <c r="L279" s="1" t="s">
        <v>27</v>
      </c>
      <c r="M279" s="1" t="s">
        <v>12</v>
      </c>
      <c r="O279" s="4"/>
      <c r="Q279" s="4"/>
    </row>
    <row r="280" spans="1:18" x14ac:dyDescent="0.3">
      <c r="A280" s="3">
        <f t="shared" si="10"/>
        <v>57</v>
      </c>
      <c r="B280" s="8" t="s">
        <v>1269</v>
      </c>
      <c r="C280" s="5" t="s">
        <v>1268</v>
      </c>
      <c r="D280" s="6">
        <v>537755435</v>
      </c>
      <c r="E280" s="5" t="s">
        <v>575</v>
      </c>
      <c r="F280" s="5" t="s">
        <v>40</v>
      </c>
      <c r="G280" s="5" t="s">
        <v>3</v>
      </c>
      <c r="H280" s="2"/>
      <c r="I280" s="2"/>
      <c r="J280" s="2">
        <v>46212</v>
      </c>
      <c r="K280" s="2" t="str">
        <f>IFERROR(VLOOKUP(B280,#REF!,4,0),"")</f>
        <v/>
      </c>
      <c r="L280" s="1" t="s">
        <v>27</v>
      </c>
      <c r="M280" s="1" t="s">
        <v>17</v>
      </c>
      <c r="O280" s="4"/>
      <c r="Q280" s="4"/>
    </row>
    <row r="281" spans="1:18" x14ac:dyDescent="0.3">
      <c r="A281" s="3">
        <f t="shared" si="10"/>
        <v>58</v>
      </c>
      <c r="B281" s="8" t="s">
        <v>1267</v>
      </c>
      <c r="C281" s="5" t="s">
        <v>1266</v>
      </c>
      <c r="D281" s="6">
        <v>443292285</v>
      </c>
      <c r="E281" s="5" t="s">
        <v>673</v>
      </c>
      <c r="F281" s="5" t="s">
        <v>9</v>
      </c>
      <c r="G281" s="5" t="s">
        <v>3</v>
      </c>
      <c r="H281" s="2"/>
      <c r="I281" s="2"/>
      <c r="J281" s="2">
        <v>46212</v>
      </c>
      <c r="L281" s="1" t="s">
        <v>20</v>
      </c>
      <c r="M281" s="1" t="s">
        <v>12</v>
      </c>
      <c r="O281" s="4" t="s">
        <v>1265</v>
      </c>
      <c r="Q281" s="4"/>
    </row>
    <row r="282" spans="1:18" x14ac:dyDescent="0.3">
      <c r="A282" s="3">
        <f t="shared" si="10"/>
        <v>59</v>
      </c>
      <c r="B282" s="8" t="s">
        <v>1264</v>
      </c>
      <c r="C282" s="5" t="s">
        <v>1263</v>
      </c>
      <c r="D282" s="6">
        <v>595493212</v>
      </c>
      <c r="E282" s="5" t="s">
        <v>879</v>
      </c>
      <c r="F282" s="5" t="s">
        <v>4</v>
      </c>
      <c r="G282" s="5" t="s">
        <v>3</v>
      </c>
      <c r="H282" s="2">
        <v>46160</v>
      </c>
      <c r="I282" s="2">
        <v>46183</v>
      </c>
      <c r="J282" s="2">
        <v>46213</v>
      </c>
      <c r="K282" s="2" t="str">
        <f>IFERROR(VLOOKUP(B282,#REF!,4,0),"")</f>
        <v/>
      </c>
      <c r="L282" s="1" t="s">
        <v>2</v>
      </c>
      <c r="M282" s="1" t="s">
        <v>535</v>
      </c>
      <c r="O282" s="4" t="s">
        <v>0</v>
      </c>
      <c r="P282" s="1" t="s">
        <v>1262</v>
      </c>
      <c r="Q282" s="4" t="s">
        <v>0</v>
      </c>
      <c r="R282" s="1" t="s">
        <v>0</v>
      </c>
    </row>
    <row r="283" spans="1:18" x14ac:dyDescent="0.3">
      <c r="A283" s="3">
        <f t="shared" si="10"/>
        <v>60</v>
      </c>
      <c r="B283" s="8" t="s">
        <v>1261</v>
      </c>
      <c r="C283" s="5" t="s">
        <v>1260</v>
      </c>
      <c r="D283" s="6">
        <v>451009428</v>
      </c>
      <c r="E283" s="5" t="s">
        <v>186</v>
      </c>
      <c r="F283" s="5" t="s">
        <v>36</v>
      </c>
      <c r="G283" s="5" t="s">
        <v>3</v>
      </c>
      <c r="H283" s="2">
        <v>46153</v>
      </c>
      <c r="I283" s="2">
        <v>46177</v>
      </c>
      <c r="J283" s="2">
        <v>46213</v>
      </c>
      <c r="K283" s="2" t="str">
        <f>IFERROR(VLOOKUP(B283,#REF!,4,0),"")</f>
        <v/>
      </c>
      <c r="L283" s="1" t="s">
        <v>13</v>
      </c>
      <c r="M283" s="1" t="s">
        <v>17</v>
      </c>
      <c r="O283" s="4" t="s">
        <v>0</v>
      </c>
      <c r="Q283" s="4" t="s">
        <v>0</v>
      </c>
      <c r="R283" s="1" t="s">
        <v>0</v>
      </c>
    </row>
    <row r="284" spans="1:18" x14ac:dyDescent="0.3">
      <c r="A284" s="3">
        <f t="shared" si="10"/>
        <v>61</v>
      </c>
      <c r="B284" s="8" t="s">
        <v>1259</v>
      </c>
      <c r="C284" s="5" t="s">
        <v>1258</v>
      </c>
      <c r="D284" s="6">
        <v>424062243</v>
      </c>
      <c r="E284" s="5" t="s">
        <v>1257</v>
      </c>
      <c r="F284" s="5" t="s">
        <v>36</v>
      </c>
      <c r="G284" s="5" t="s">
        <v>3</v>
      </c>
      <c r="H284" s="2">
        <v>46157</v>
      </c>
      <c r="I284" s="2">
        <v>46188</v>
      </c>
      <c r="J284" s="2">
        <v>46213</v>
      </c>
      <c r="K284" s="2" t="str">
        <f>IFERROR(VLOOKUP(B284,#REF!,4,0),"")</f>
        <v/>
      </c>
      <c r="L284" s="1" t="s">
        <v>13</v>
      </c>
      <c r="M284" s="1" t="s">
        <v>12</v>
      </c>
      <c r="O284" s="4"/>
      <c r="Q284" s="4"/>
    </row>
    <row r="285" spans="1:18" x14ac:dyDescent="0.3">
      <c r="A285" s="3">
        <f t="shared" si="10"/>
        <v>62</v>
      </c>
      <c r="B285" s="8" t="s">
        <v>1256</v>
      </c>
      <c r="C285" s="5" t="s">
        <v>1255</v>
      </c>
      <c r="D285" s="6">
        <v>488869874</v>
      </c>
      <c r="E285" s="5" t="s">
        <v>1254</v>
      </c>
      <c r="F285" s="5" t="s">
        <v>9</v>
      </c>
      <c r="G285" s="5" t="s">
        <v>3</v>
      </c>
      <c r="H285" s="2">
        <v>46164</v>
      </c>
      <c r="I285" s="2"/>
      <c r="J285" s="2">
        <v>46213</v>
      </c>
      <c r="K285" s="2" t="str">
        <f>IFERROR(VLOOKUP(B285,#REF!,4,0),"")</f>
        <v/>
      </c>
      <c r="L285" s="1" t="s">
        <v>124</v>
      </c>
      <c r="M285" s="1" t="s">
        <v>12</v>
      </c>
      <c r="O285" s="4"/>
      <c r="Q285" s="4"/>
    </row>
    <row r="286" spans="1:18" x14ac:dyDescent="0.3">
      <c r="A286" s="3">
        <f t="shared" si="10"/>
        <v>63</v>
      </c>
      <c r="B286" s="8" t="s">
        <v>1253</v>
      </c>
      <c r="C286" s="5" t="s">
        <v>1252</v>
      </c>
      <c r="D286" s="6">
        <v>749301830</v>
      </c>
      <c r="E286" s="5" t="s">
        <v>1251</v>
      </c>
      <c r="F286" s="5" t="s">
        <v>36</v>
      </c>
      <c r="G286" s="5" t="s">
        <v>3</v>
      </c>
      <c r="H286" s="2"/>
      <c r="I286" s="2">
        <v>46176</v>
      </c>
      <c r="J286" s="2">
        <v>46213</v>
      </c>
      <c r="K286" s="2" t="str">
        <f>IFERROR(VLOOKUP(B286,#REF!,4,0),"")</f>
        <v/>
      </c>
      <c r="L286" s="1" t="s">
        <v>13</v>
      </c>
      <c r="M286" s="1" t="s">
        <v>17</v>
      </c>
      <c r="O286" s="4"/>
      <c r="Q286" s="4"/>
    </row>
    <row r="287" spans="1:18" x14ac:dyDescent="0.3">
      <c r="A287" s="3">
        <f t="shared" si="10"/>
        <v>64</v>
      </c>
      <c r="B287" s="8" t="s">
        <v>1250</v>
      </c>
      <c r="C287" s="5" t="s">
        <v>1249</v>
      </c>
      <c r="D287" s="6">
        <v>526906609</v>
      </c>
      <c r="E287" s="5" t="s">
        <v>137</v>
      </c>
      <c r="F287" s="5" t="s">
        <v>9</v>
      </c>
      <c r="G287" s="5" t="s">
        <v>3</v>
      </c>
      <c r="H287" s="2"/>
      <c r="I287" s="2"/>
      <c r="J287" s="2">
        <v>46213</v>
      </c>
      <c r="K287" s="2" t="str">
        <f>IFERROR(VLOOKUP(B287,#REF!,4,0),"")</f>
        <v/>
      </c>
      <c r="L287" s="1" t="s">
        <v>20</v>
      </c>
      <c r="M287" s="1" t="s">
        <v>17</v>
      </c>
      <c r="O287" s="4"/>
      <c r="Q287" s="4"/>
    </row>
    <row r="288" spans="1:18" x14ac:dyDescent="0.3">
      <c r="A288" s="3">
        <f t="shared" si="10"/>
        <v>65</v>
      </c>
      <c r="B288" s="8" t="s">
        <v>1248</v>
      </c>
      <c r="C288" s="5" t="s">
        <v>1247</v>
      </c>
      <c r="D288" s="6">
        <v>430118991</v>
      </c>
      <c r="E288" s="5" t="s">
        <v>1246</v>
      </c>
      <c r="F288" s="5" t="s">
        <v>48</v>
      </c>
      <c r="G288" s="5" t="s">
        <v>3</v>
      </c>
      <c r="H288" s="2"/>
      <c r="I288" s="2"/>
      <c r="J288" s="2">
        <v>46213</v>
      </c>
      <c r="K288" s="2" t="str">
        <f>IFERROR(VLOOKUP(B288,#REF!,4,0),"")</f>
        <v/>
      </c>
      <c r="L288" s="1" t="s">
        <v>44</v>
      </c>
      <c r="M288" s="1" t="s">
        <v>17</v>
      </c>
      <c r="O288" s="4"/>
      <c r="Q288" s="4"/>
    </row>
    <row r="289" spans="1:18" x14ac:dyDescent="0.3">
      <c r="A289" s="3">
        <f t="shared" si="10"/>
        <v>66</v>
      </c>
      <c r="B289" s="8" t="s">
        <v>1245</v>
      </c>
      <c r="C289" s="5" t="s">
        <v>1244</v>
      </c>
      <c r="D289" s="6">
        <v>511090196</v>
      </c>
      <c r="E289" s="5" t="s">
        <v>1243</v>
      </c>
      <c r="F289" s="5" t="s">
        <v>9</v>
      </c>
      <c r="G289" s="5" t="s">
        <v>3</v>
      </c>
      <c r="H289" s="2"/>
      <c r="I289" s="2"/>
      <c r="J289" s="2">
        <v>46213</v>
      </c>
      <c r="K289" s="2" t="str">
        <f>IFERROR(VLOOKUP(B289,#REF!,4,0),"")</f>
        <v/>
      </c>
      <c r="L289" s="1" t="s">
        <v>20</v>
      </c>
      <c r="M289" s="1" t="s">
        <v>12</v>
      </c>
      <c r="O289" s="4"/>
      <c r="Q289" s="4"/>
    </row>
    <row r="290" spans="1:18" x14ac:dyDescent="0.3">
      <c r="A290" s="3">
        <f t="shared" si="10"/>
        <v>67</v>
      </c>
      <c r="B290" s="8" t="s">
        <v>1242</v>
      </c>
      <c r="C290" s="5" t="s">
        <v>1241</v>
      </c>
      <c r="D290" s="6">
        <v>486994415</v>
      </c>
      <c r="E290" s="5" t="s">
        <v>183</v>
      </c>
      <c r="F290" s="5" t="s">
        <v>9</v>
      </c>
      <c r="G290" s="5" t="s">
        <v>3</v>
      </c>
      <c r="H290" s="2"/>
      <c r="I290" s="2">
        <v>46199</v>
      </c>
      <c r="J290" s="2">
        <v>46213</v>
      </c>
      <c r="K290" s="2" t="str">
        <f>IFERROR(VLOOKUP(B290,#REF!,4,0),"")</f>
        <v/>
      </c>
      <c r="L290" s="1" t="s">
        <v>20</v>
      </c>
      <c r="M290" s="1" t="s">
        <v>12</v>
      </c>
      <c r="O290" s="4"/>
      <c r="Q290" s="4"/>
    </row>
    <row r="291" spans="1:18" x14ac:dyDescent="0.3">
      <c r="A291" s="3">
        <f t="shared" si="10"/>
        <v>68</v>
      </c>
      <c r="B291" s="8" t="s">
        <v>1240</v>
      </c>
      <c r="C291" s="5" t="s">
        <v>1239</v>
      </c>
      <c r="D291" s="6">
        <v>376421066</v>
      </c>
      <c r="E291" s="5" t="s">
        <v>688</v>
      </c>
      <c r="F291" s="5" t="s">
        <v>28</v>
      </c>
      <c r="G291" s="5" t="s">
        <v>3</v>
      </c>
      <c r="H291" s="2"/>
      <c r="I291" s="2">
        <v>46175</v>
      </c>
      <c r="J291" s="2">
        <v>46213</v>
      </c>
      <c r="K291" s="2" t="str">
        <f>IFERROR(VLOOKUP(B291,#REF!,4,0),"")</f>
        <v/>
      </c>
      <c r="L291" s="1" t="s">
        <v>27</v>
      </c>
      <c r="M291" s="1" t="s">
        <v>12</v>
      </c>
      <c r="O291" s="4"/>
      <c r="Q291" s="4"/>
    </row>
    <row r="292" spans="1:18" x14ac:dyDescent="0.3">
      <c r="A292" s="3">
        <f t="shared" si="10"/>
        <v>69</v>
      </c>
      <c r="B292" s="8" t="s">
        <v>1238</v>
      </c>
      <c r="C292" s="5" t="s">
        <v>1237</v>
      </c>
      <c r="D292" s="6">
        <v>470442780</v>
      </c>
      <c r="E292" s="5" t="s">
        <v>1236</v>
      </c>
      <c r="F292" s="5" t="s">
        <v>28</v>
      </c>
      <c r="G292" s="5" t="s">
        <v>3</v>
      </c>
      <c r="H292" s="2"/>
      <c r="I292" s="2"/>
      <c r="J292" s="2">
        <v>46213</v>
      </c>
      <c r="K292" s="2" t="str">
        <f>IFERROR(VLOOKUP(B292,#REF!,4,0),"")</f>
        <v/>
      </c>
      <c r="L292" s="1" t="s">
        <v>27</v>
      </c>
      <c r="M292" s="1" t="s">
        <v>17</v>
      </c>
      <c r="O292" s="4"/>
      <c r="Q292" s="4"/>
    </row>
    <row r="293" spans="1:18" x14ac:dyDescent="0.3">
      <c r="A293" s="3">
        <f t="shared" si="10"/>
        <v>70</v>
      </c>
      <c r="B293" s="8" t="s">
        <v>1235</v>
      </c>
      <c r="C293" s="5" t="s">
        <v>1234</v>
      </c>
      <c r="D293" s="6">
        <v>548386522</v>
      </c>
      <c r="E293" s="5" t="s">
        <v>915</v>
      </c>
      <c r="F293" s="5" t="s">
        <v>4</v>
      </c>
      <c r="G293" s="5" t="s">
        <v>3</v>
      </c>
      <c r="H293" s="2">
        <v>46151</v>
      </c>
      <c r="I293" s="2">
        <v>46186</v>
      </c>
      <c r="J293" s="2">
        <v>46214</v>
      </c>
      <c r="K293" s="2" t="str">
        <f>IFERROR(VLOOKUP(B293,#REF!,4,0),"")</f>
        <v/>
      </c>
      <c r="L293" s="1" t="s">
        <v>2</v>
      </c>
      <c r="M293" s="1" t="s">
        <v>17</v>
      </c>
      <c r="O293" s="4" t="s">
        <v>0</v>
      </c>
      <c r="Q293" s="4" t="s">
        <v>0</v>
      </c>
      <c r="R293" s="1" t="s">
        <v>0</v>
      </c>
    </row>
    <row r="294" spans="1:18" x14ac:dyDescent="0.3">
      <c r="A294" s="3">
        <f t="shared" si="10"/>
        <v>71</v>
      </c>
      <c r="B294" s="8" t="s">
        <v>1233</v>
      </c>
      <c r="C294" s="5" t="s">
        <v>1232</v>
      </c>
      <c r="D294" s="6">
        <v>537762370</v>
      </c>
      <c r="E294" s="5" t="s">
        <v>1150</v>
      </c>
      <c r="F294" s="5" t="s">
        <v>36</v>
      </c>
      <c r="G294" s="5" t="s">
        <v>3</v>
      </c>
      <c r="H294" s="2">
        <v>46167</v>
      </c>
      <c r="I294" s="2"/>
      <c r="J294" s="2">
        <v>46214</v>
      </c>
      <c r="K294" s="2" t="str">
        <f>IFERROR(VLOOKUP(B294,#REF!,4,0),"")</f>
        <v/>
      </c>
      <c r="L294" s="1" t="s">
        <v>13</v>
      </c>
      <c r="M294" s="1" t="s">
        <v>17</v>
      </c>
      <c r="O294" s="4"/>
      <c r="Q294" s="4"/>
    </row>
    <row r="295" spans="1:18" x14ac:dyDescent="0.3">
      <c r="A295" s="3">
        <f t="shared" si="10"/>
        <v>72</v>
      </c>
      <c r="B295" s="8" t="s">
        <v>1231</v>
      </c>
      <c r="C295" s="5" t="s">
        <v>1230</v>
      </c>
      <c r="D295" s="6">
        <v>530132747</v>
      </c>
      <c r="E295" s="5" t="s">
        <v>663</v>
      </c>
      <c r="F295" s="5" t="s">
        <v>9</v>
      </c>
      <c r="G295" s="5" t="s">
        <v>3</v>
      </c>
      <c r="H295" s="2">
        <v>46165</v>
      </c>
      <c r="I295" s="2">
        <v>46196</v>
      </c>
      <c r="J295" s="2">
        <v>46214</v>
      </c>
      <c r="K295" s="2" t="str">
        <f>IFERROR(VLOOKUP(B295,#REF!,4,0),"")</f>
        <v/>
      </c>
      <c r="L295" s="1" t="s">
        <v>20</v>
      </c>
      <c r="M295" s="1" t="s">
        <v>17</v>
      </c>
      <c r="O295" s="4" t="s">
        <v>0</v>
      </c>
      <c r="Q295" s="4" t="s">
        <v>0</v>
      </c>
      <c r="R295" s="1" t="s">
        <v>0</v>
      </c>
    </row>
    <row r="296" spans="1:18" x14ac:dyDescent="0.3">
      <c r="A296" s="3">
        <f t="shared" si="10"/>
        <v>73</v>
      </c>
      <c r="B296" s="17" t="s">
        <v>1229</v>
      </c>
      <c r="C296" s="5" t="s">
        <v>1228</v>
      </c>
      <c r="D296" s="6">
        <v>427267697</v>
      </c>
      <c r="E296" s="5" t="s">
        <v>1119</v>
      </c>
      <c r="F296" s="5" t="s">
        <v>4</v>
      </c>
      <c r="G296" s="5" t="s">
        <v>3</v>
      </c>
      <c r="H296" s="2">
        <v>46154</v>
      </c>
      <c r="I296" s="2">
        <v>46190</v>
      </c>
      <c r="J296" s="2">
        <v>46214</v>
      </c>
      <c r="K296" s="2" t="str">
        <f>IFERROR(VLOOKUP(B296,#REF!,4,0),"")</f>
        <v/>
      </c>
      <c r="L296" s="1" t="s">
        <v>2</v>
      </c>
      <c r="M296" s="1" t="s">
        <v>12</v>
      </c>
      <c r="O296" s="4" t="s">
        <v>0</v>
      </c>
      <c r="Q296" s="4" t="s">
        <v>0</v>
      </c>
      <c r="R296" s="1" t="s">
        <v>0</v>
      </c>
    </row>
    <row r="297" spans="1:18" x14ac:dyDescent="0.3">
      <c r="A297" s="3">
        <f t="shared" si="10"/>
        <v>74</v>
      </c>
      <c r="B297" s="8" t="s">
        <v>1227</v>
      </c>
      <c r="C297" s="5" t="s">
        <v>1226</v>
      </c>
      <c r="D297" s="6">
        <v>663106536</v>
      </c>
      <c r="E297" s="5" t="s">
        <v>1225</v>
      </c>
      <c r="F297" s="5" t="s">
        <v>36</v>
      </c>
      <c r="G297" s="5" t="s">
        <v>3</v>
      </c>
      <c r="H297" s="2"/>
      <c r="I297" s="2"/>
      <c r="J297" s="2">
        <v>46214</v>
      </c>
      <c r="K297" s="2" t="str">
        <f>IFERROR(VLOOKUP(B297,#REF!,4,0),"")</f>
        <v/>
      </c>
      <c r="L297" s="1" t="s">
        <v>13</v>
      </c>
      <c r="M297" s="1" t="s">
        <v>12</v>
      </c>
      <c r="O297" s="4"/>
      <c r="Q297" s="4"/>
    </row>
    <row r="298" spans="1:18" x14ac:dyDescent="0.3">
      <c r="A298" s="3">
        <f t="shared" si="10"/>
        <v>75</v>
      </c>
      <c r="B298" s="8" t="s">
        <v>1224</v>
      </c>
      <c r="C298" s="5" t="s">
        <v>1223</v>
      </c>
      <c r="D298" s="6">
        <v>523054174</v>
      </c>
      <c r="E298" s="5" t="s">
        <v>1222</v>
      </c>
      <c r="F298" s="5" t="s">
        <v>48</v>
      </c>
      <c r="G298" s="5" t="s">
        <v>3</v>
      </c>
      <c r="H298" s="2">
        <v>46172</v>
      </c>
      <c r="I298" s="2"/>
      <c r="J298" s="2">
        <v>46214</v>
      </c>
      <c r="K298" s="2" t="str">
        <f>IFERROR(VLOOKUP(B298,#REF!,4,0),"")</f>
        <v/>
      </c>
      <c r="L298" s="1" t="s">
        <v>44</v>
      </c>
      <c r="M298" s="1" t="s">
        <v>12</v>
      </c>
      <c r="O298" s="4"/>
      <c r="Q298" s="4"/>
    </row>
    <row r="299" spans="1:18" x14ac:dyDescent="0.3">
      <c r="A299" s="3">
        <f t="shared" si="10"/>
        <v>76</v>
      </c>
      <c r="B299" s="8" t="s">
        <v>1221</v>
      </c>
      <c r="C299" s="5" t="s">
        <v>1220</v>
      </c>
      <c r="D299" s="6">
        <v>501540970</v>
      </c>
      <c r="E299" s="5" t="s">
        <v>1219</v>
      </c>
      <c r="F299" s="5" t="s">
        <v>28</v>
      </c>
      <c r="G299" s="5" t="s">
        <v>3</v>
      </c>
      <c r="H299" s="2"/>
      <c r="I299" s="2"/>
      <c r="J299" s="2">
        <v>46214</v>
      </c>
      <c r="K299" s="2" t="str">
        <f>IFERROR(VLOOKUP(B299,#REF!,4,0),"")</f>
        <v/>
      </c>
      <c r="L299" s="1" t="s">
        <v>27</v>
      </c>
      <c r="M299" s="1" t="s">
        <v>17</v>
      </c>
      <c r="O299" s="4"/>
      <c r="Q299" s="4"/>
    </row>
    <row r="300" spans="1:18" x14ac:dyDescent="0.3">
      <c r="A300" s="3">
        <f t="shared" si="10"/>
        <v>77</v>
      </c>
      <c r="B300" s="8" t="s">
        <v>1218</v>
      </c>
      <c r="C300" s="5" t="s">
        <v>1217</v>
      </c>
      <c r="D300" s="6">
        <v>406784392</v>
      </c>
      <c r="E300" s="5" t="s">
        <v>857</v>
      </c>
      <c r="F300" s="5" t="s">
        <v>28</v>
      </c>
      <c r="G300" s="5" t="s">
        <v>3</v>
      </c>
      <c r="H300" s="2"/>
      <c r="I300" s="2"/>
      <c r="J300" s="2">
        <v>46214</v>
      </c>
      <c r="K300" s="2" t="str">
        <f>IFERROR(VLOOKUP(B300,#REF!,4,0),"")</f>
        <v/>
      </c>
      <c r="L300" s="1" t="s">
        <v>27</v>
      </c>
      <c r="M300" s="1" t="s">
        <v>12</v>
      </c>
      <c r="O300" s="4"/>
      <c r="Q300" s="4"/>
    </row>
    <row r="301" spans="1:18" x14ac:dyDescent="0.3">
      <c r="A301" s="3">
        <f t="shared" si="10"/>
        <v>78</v>
      </c>
      <c r="B301" s="8" t="s">
        <v>1216</v>
      </c>
      <c r="C301" s="5" t="s">
        <v>1215</v>
      </c>
      <c r="D301" s="6">
        <v>639938230</v>
      </c>
      <c r="E301" s="5" t="s">
        <v>1214</v>
      </c>
      <c r="F301" s="5" t="s">
        <v>9</v>
      </c>
      <c r="G301" s="5" t="s">
        <v>3</v>
      </c>
      <c r="H301" s="2"/>
      <c r="I301" s="2"/>
      <c r="J301" s="2">
        <v>46214</v>
      </c>
      <c r="K301" s="2" t="str">
        <f>IFERROR(VLOOKUP(B301,#REF!,4,0),"")</f>
        <v/>
      </c>
      <c r="L301" s="1" t="s">
        <v>20</v>
      </c>
      <c r="M301" s="1" t="s">
        <v>17</v>
      </c>
      <c r="O301" s="4"/>
      <c r="Q301" s="4"/>
    </row>
    <row r="302" spans="1:18" x14ac:dyDescent="0.3">
      <c r="A302" s="3">
        <f t="shared" ref="A302:A319" si="11">1+A301</f>
        <v>79</v>
      </c>
      <c r="B302" s="8" t="s">
        <v>1213</v>
      </c>
      <c r="C302" s="5" t="s">
        <v>1212</v>
      </c>
      <c r="D302" s="6">
        <v>477722855</v>
      </c>
      <c r="E302" s="5" t="s">
        <v>1211</v>
      </c>
      <c r="F302" s="5" t="s">
        <v>48</v>
      </c>
      <c r="G302" s="5" t="s">
        <v>3</v>
      </c>
      <c r="H302" s="2">
        <v>46163</v>
      </c>
      <c r="I302" s="2"/>
      <c r="J302" s="2">
        <v>46216</v>
      </c>
      <c r="K302" s="2" t="str">
        <f>IFERROR(VLOOKUP(B302,#REF!,4,0),"")</f>
        <v/>
      </c>
      <c r="L302" s="1" t="s">
        <v>44</v>
      </c>
      <c r="M302" s="1" t="s">
        <v>12</v>
      </c>
      <c r="O302" s="4"/>
      <c r="Q302" s="4"/>
    </row>
    <row r="303" spans="1:18" x14ac:dyDescent="0.3">
      <c r="A303" s="3">
        <f t="shared" si="11"/>
        <v>80</v>
      </c>
      <c r="B303" s="8" t="s">
        <v>1210</v>
      </c>
      <c r="C303" s="5" t="s">
        <v>1209</v>
      </c>
      <c r="D303" s="6">
        <v>413662115</v>
      </c>
      <c r="E303" s="5" t="s">
        <v>1208</v>
      </c>
      <c r="F303" s="5" t="s">
        <v>48</v>
      </c>
      <c r="G303" s="5" t="s">
        <v>3</v>
      </c>
      <c r="H303" s="2">
        <v>46163</v>
      </c>
      <c r="I303" s="2"/>
      <c r="J303" s="2">
        <v>46216</v>
      </c>
      <c r="K303" s="2" t="str">
        <f>IFERROR(VLOOKUP(B303,#REF!,4,0),"")</f>
        <v/>
      </c>
      <c r="L303" s="1" t="s">
        <v>44</v>
      </c>
      <c r="M303" s="1" t="s">
        <v>12</v>
      </c>
      <c r="O303" s="4"/>
      <c r="Q303" s="4"/>
    </row>
    <row r="304" spans="1:18" x14ac:dyDescent="0.3">
      <c r="A304" s="3">
        <f t="shared" si="11"/>
        <v>81</v>
      </c>
      <c r="B304" s="8" t="s">
        <v>1207</v>
      </c>
      <c r="C304" s="5" t="s">
        <v>1206</v>
      </c>
      <c r="D304" s="6">
        <v>381570339</v>
      </c>
      <c r="E304" s="5" t="s">
        <v>156</v>
      </c>
      <c r="F304" s="5" t="s">
        <v>32</v>
      </c>
      <c r="G304" s="5" t="s">
        <v>3</v>
      </c>
      <c r="H304" s="2"/>
      <c r="I304" s="2">
        <v>46176</v>
      </c>
      <c r="J304" s="2">
        <v>46216</v>
      </c>
      <c r="K304" s="2" t="str">
        <f>IFERROR(VLOOKUP(B304,#REF!,4,0),"")</f>
        <v/>
      </c>
      <c r="L304" s="1" t="s">
        <v>27</v>
      </c>
      <c r="M304" s="1" t="s">
        <v>12</v>
      </c>
      <c r="O304" s="4"/>
      <c r="Q304" s="4"/>
    </row>
    <row r="305" spans="1:18" x14ac:dyDescent="0.3">
      <c r="A305" s="3">
        <f t="shared" si="11"/>
        <v>82</v>
      </c>
      <c r="B305" s="8" t="s">
        <v>1205</v>
      </c>
      <c r="C305" s="5" t="s">
        <v>1204</v>
      </c>
      <c r="D305" s="6">
        <v>395093900</v>
      </c>
      <c r="E305" s="5" t="s">
        <v>508</v>
      </c>
      <c r="F305" s="5" t="s">
        <v>4</v>
      </c>
      <c r="G305" s="5" t="s">
        <v>3</v>
      </c>
      <c r="H305" s="2">
        <v>46150</v>
      </c>
      <c r="I305" s="2"/>
      <c r="J305" s="2">
        <v>46216</v>
      </c>
      <c r="K305" s="2" t="str">
        <f>IFERROR(VLOOKUP(B305,#REF!,4,0),"")</f>
        <v/>
      </c>
      <c r="L305" s="1" t="s">
        <v>2</v>
      </c>
      <c r="M305" s="1" t="s">
        <v>12</v>
      </c>
      <c r="O305" s="4" t="s">
        <v>1203</v>
      </c>
      <c r="Q305" s="4"/>
    </row>
    <row r="306" spans="1:18" x14ac:dyDescent="0.3">
      <c r="A306" s="3">
        <f t="shared" si="11"/>
        <v>83</v>
      </c>
      <c r="B306" s="8" t="s">
        <v>1202</v>
      </c>
      <c r="C306" s="5" t="s">
        <v>1201</v>
      </c>
      <c r="D306" s="6">
        <v>500281856</v>
      </c>
      <c r="E306" s="5" t="s">
        <v>1200</v>
      </c>
      <c r="F306" s="5" t="s">
        <v>58</v>
      </c>
      <c r="G306" s="5" t="s">
        <v>3</v>
      </c>
      <c r="H306" s="2">
        <v>46148</v>
      </c>
      <c r="I306" s="2">
        <v>46199</v>
      </c>
      <c r="J306" s="2">
        <v>46216</v>
      </c>
      <c r="K306" s="2" t="str">
        <f>IFERROR(VLOOKUP(B306,#REF!,4,0),"")</f>
        <v/>
      </c>
      <c r="L306" s="1" t="s">
        <v>27</v>
      </c>
      <c r="M306" s="1" t="s">
        <v>12</v>
      </c>
      <c r="O306" s="4"/>
      <c r="Q306" s="4"/>
    </row>
    <row r="307" spans="1:18" x14ac:dyDescent="0.3">
      <c r="A307" s="3">
        <f t="shared" si="11"/>
        <v>84</v>
      </c>
      <c r="B307" s="8" t="s">
        <v>1199</v>
      </c>
      <c r="C307" s="5" t="s">
        <v>1198</v>
      </c>
      <c r="D307" s="6">
        <v>435503785</v>
      </c>
      <c r="E307" s="5" t="s">
        <v>597</v>
      </c>
      <c r="F307" s="5" t="s">
        <v>36</v>
      </c>
      <c r="G307" s="5" t="s">
        <v>3</v>
      </c>
      <c r="H307" s="2">
        <v>46149</v>
      </c>
      <c r="I307" s="2">
        <v>46203</v>
      </c>
      <c r="J307" s="2">
        <v>46216</v>
      </c>
      <c r="K307" s="2" t="str">
        <f>IFERROR(VLOOKUP(B307,#REF!,4,0),"")</f>
        <v/>
      </c>
      <c r="L307" s="1" t="s">
        <v>13</v>
      </c>
      <c r="M307" s="1" t="s">
        <v>12</v>
      </c>
      <c r="O307" s="4" t="s">
        <v>1197</v>
      </c>
      <c r="Q307" s="4"/>
    </row>
    <row r="308" spans="1:18" x14ac:dyDescent="0.3">
      <c r="A308" s="3">
        <f t="shared" si="11"/>
        <v>85</v>
      </c>
      <c r="B308" s="8" t="s">
        <v>1196</v>
      </c>
      <c r="C308" s="5" t="s">
        <v>1195</v>
      </c>
      <c r="D308" s="6">
        <v>394858579</v>
      </c>
      <c r="E308" s="5" t="s">
        <v>1194</v>
      </c>
      <c r="F308" s="5" t="s">
        <v>58</v>
      </c>
      <c r="G308" s="5" t="s">
        <v>3</v>
      </c>
      <c r="H308" s="2">
        <v>46150</v>
      </c>
      <c r="I308" s="2">
        <v>46199</v>
      </c>
      <c r="J308" s="2">
        <v>46216</v>
      </c>
      <c r="K308" s="2" t="str">
        <f>IFERROR(VLOOKUP(B308,#REF!,4,0),"")</f>
        <v/>
      </c>
      <c r="L308" s="1" t="s">
        <v>27</v>
      </c>
      <c r="M308" s="1" t="s">
        <v>12</v>
      </c>
      <c r="O308" s="4"/>
      <c r="Q308" s="4"/>
    </row>
    <row r="309" spans="1:18" x14ac:dyDescent="0.3">
      <c r="A309" s="3">
        <f t="shared" si="11"/>
        <v>86</v>
      </c>
      <c r="B309" s="8" t="s">
        <v>1193</v>
      </c>
      <c r="C309" s="5" t="s">
        <v>1192</v>
      </c>
      <c r="D309" s="6">
        <v>379749913</v>
      </c>
      <c r="E309" s="5" t="s">
        <v>260</v>
      </c>
      <c r="F309" s="5" t="s">
        <v>9</v>
      </c>
      <c r="G309" s="5" t="s">
        <v>3</v>
      </c>
      <c r="H309" s="2">
        <v>46154</v>
      </c>
      <c r="I309" s="2"/>
      <c r="J309" s="2">
        <v>46216</v>
      </c>
      <c r="K309" s="2" t="str">
        <f>IFERROR(VLOOKUP(B309,#REF!,4,0),"")</f>
        <v/>
      </c>
      <c r="L309" s="1" t="s">
        <v>124</v>
      </c>
      <c r="M309" s="1" t="s">
        <v>12</v>
      </c>
      <c r="O309" s="4"/>
      <c r="Q309" s="4"/>
    </row>
    <row r="310" spans="1:18" x14ac:dyDescent="0.3">
      <c r="A310" s="3">
        <f t="shared" si="11"/>
        <v>87</v>
      </c>
      <c r="B310" s="8" t="s">
        <v>1191</v>
      </c>
      <c r="C310" s="5" t="s">
        <v>1190</v>
      </c>
      <c r="D310" s="6">
        <v>430996871</v>
      </c>
      <c r="E310" s="5" t="s">
        <v>581</v>
      </c>
      <c r="F310" s="5" t="s">
        <v>32</v>
      </c>
      <c r="G310" s="5" t="s">
        <v>3</v>
      </c>
      <c r="H310" s="2">
        <v>46157</v>
      </c>
      <c r="I310" s="2"/>
      <c r="J310" s="2">
        <v>46216</v>
      </c>
      <c r="K310" s="2" t="str">
        <f>IFERROR(VLOOKUP(B310,#REF!,4,0),"")</f>
        <v/>
      </c>
      <c r="L310" s="1" t="s">
        <v>27</v>
      </c>
      <c r="M310" s="1" t="s">
        <v>17</v>
      </c>
      <c r="O310" s="4"/>
      <c r="Q310" s="4"/>
    </row>
    <row r="311" spans="1:18" x14ac:dyDescent="0.3">
      <c r="A311" s="3">
        <f t="shared" si="11"/>
        <v>88</v>
      </c>
      <c r="B311" s="8" t="s">
        <v>1189</v>
      </c>
      <c r="C311" s="5" t="s">
        <v>1188</v>
      </c>
      <c r="D311" s="6">
        <v>468585894</v>
      </c>
      <c r="E311" s="5" t="s">
        <v>1187</v>
      </c>
      <c r="F311" s="5" t="s">
        <v>9</v>
      </c>
      <c r="G311" s="5" t="s">
        <v>3</v>
      </c>
      <c r="H311" s="2">
        <v>46160</v>
      </c>
      <c r="I311" s="2"/>
      <c r="J311" s="2">
        <v>46216</v>
      </c>
      <c r="K311" s="2" t="str">
        <f>IFERROR(VLOOKUP(B311,#REF!,4,0),"")</f>
        <v/>
      </c>
      <c r="L311" s="1" t="s">
        <v>20</v>
      </c>
      <c r="M311" s="1" t="s">
        <v>12</v>
      </c>
      <c r="O311" s="4"/>
      <c r="Q311" s="4"/>
    </row>
    <row r="312" spans="1:18" x14ac:dyDescent="0.3">
      <c r="A312" s="3">
        <f t="shared" si="11"/>
        <v>89</v>
      </c>
      <c r="B312" s="8" t="s">
        <v>1186</v>
      </c>
      <c r="C312" s="5" t="s">
        <v>1185</v>
      </c>
      <c r="D312" s="6">
        <v>412950658</v>
      </c>
      <c r="E312" s="5" t="s">
        <v>164</v>
      </c>
      <c r="F312" s="5" t="s">
        <v>9</v>
      </c>
      <c r="G312" s="5" t="s">
        <v>3</v>
      </c>
      <c r="H312" s="2">
        <v>46168</v>
      </c>
      <c r="I312" s="2"/>
      <c r="J312" s="2">
        <v>46216</v>
      </c>
      <c r="K312" s="2" t="str">
        <f>IFERROR(VLOOKUP(B312,#REF!,4,0),"")</f>
        <v/>
      </c>
      <c r="L312" s="1" t="s">
        <v>20</v>
      </c>
      <c r="M312" s="1" t="s">
        <v>17</v>
      </c>
      <c r="O312" s="4"/>
      <c r="Q312" s="4"/>
    </row>
    <row r="313" spans="1:18" x14ac:dyDescent="0.3">
      <c r="A313" s="3">
        <f t="shared" si="11"/>
        <v>90</v>
      </c>
      <c r="B313" s="8" t="s">
        <v>1184</v>
      </c>
      <c r="C313" s="5" t="s">
        <v>1183</v>
      </c>
      <c r="D313" s="6">
        <v>447311372</v>
      </c>
      <c r="E313" s="5" t="s">
        <v>249</v>
      </c>
      <c r="F313" s="5" t="s">
        <v>9</v>
      </c>
      <c r="G313" s="5" t="s">
        <v>3</v>
      </c>
      <c r="H313" s="2">
        <v>46172</v>
      </c>
      <c r="I313" s="2"/>
      <c r="J313" s="2">
        <v>46216</v>
      </c>
      <c r="K313" s="2" t="str">
        <f>IFERROR(VLOOKUP(B313,#REF!,4,0),"")</f>
        <v/>
      </c>
      <c r="L313" s="1" t="s">
        <v>20</v>
      </c>
      <c r="M313" s="1" t="s">
        <v>12</v>
      </c>
      <c r="O313" s="4"/>
      <c r="Q313" s="4"/>
    </row>
    <row r="314" spans="1:18" x14ac:dyDescent="0.3">
      <c r="A314" s="3">
        <f t="shared" si="11"/>
        <v>91</v>
      </c>
      <c r="B314" s="8" t="s">
        <v>1182</v>
      </c>
      <c r="C314" s="5" t="s">
        <v>1181</v>
      </c>
      <c r="D314" s="6">
        <v>479297301</v>
      </c>
      <c r="E314" s="5" t="s">
        <v>805</v>
      </c>
      <c r="F314" s="5" t="s">
        <v>4</v>
      </c>
      <c r="G314" s="5" t="s">
        <v>3</v>
      </c>
      <c r="H314" s="2"/>
      <c r="I314" s="2"/>
      <c r="J314" s="2">
        <v>46216</v>
      </c>
      <c r="K314" s="2" t="str">
        <f>IFERROR(VLOOKUP(B314,#REF!,4,0),"")</f>
        <v/>
      </c>
      <c r="M314" s="1" t="s">
        <v>12</v>
      </c>
      <c r="O314" s="4"/>
      <c r="Q314" s="4"/>
    </row>
    <row r="315" spans="1:18" x14ac:dyDescent="0.3">
      <c r="A315" s="3">
        <f t="shared" si="11"/>
        <v>92</v>
      </c>
      <c r="B315" s="8" t="s">
        <v>1180</v>
      </c>
      <c r="C315" s="5" t="s">
        <v>1179</v>
      </c>
      <c r="D315" s="6">
        <v>490901254</v>
      </c>
      <c r="E315" s="5" t="s">
        <v>1178</v>
      </c>
      <c r="F315" s="5" t="s">
        <v>4</v>
      </c>
      <c r="G315" s="5" t="s">
        <v>3</v>
      </c>
      <c r="H315" s="2"/>
      <c r="I315" s="2"/>
      <c r="J315" s="2">
        <v>46216</v>
      </c>
      <c r="K315" s="2" t="str">
        <f>IFERROR(VLOOKUP(B315,#REF!,4,0),"")</f>
        <v/>
      </c>
      <c r="M315" s="1" t="s">
        <v>12</v>
      </c>
      <c r="O315" s="4"/>
      <c r="Q315" s="4"/>
    </row>
    <row r="316" spans="1:18" x14ac:dyDescent="0.3">
      <c r="A316" s="3">
        <f t="shared" si="11"/>
        <v>93</v>
      </c>
      <c r="B316" s="8" t="s">
        <v>1177</v>
      </c>
      <c r="C316" s="5" t="s">
        <v>1176</v>
      </c>
      <c r="D316" s="6">
        <v>418889167</v>
      </c>
      <c r="E316" s="5" t="s">
        <v>508</v>
      </c>
      <c r="F316" s="5" t="s">
        <v>4</v>
      </c>
      <c r="G316" s="5" t="s">
        <v>3</v>
      </c>
      <c r="H316" s="2"/>
      <c r="I316" s="2">
        <v>46175</v>
      </c>
      <c r="J316" s="2">
        <v>46216</v>
      </c>
      <c r="K316" s="2" t="str">
        <f>IFERROR(VLOOKUP(B316,#REF!,4,0),"")</f>
        <v/>
      </c>
      <c r="M316" s="1" t="s">
        <v>12</v>
      </c>
      <c r="O316" s="4" t="s">
        <v>1175</v>
      </c>
      <c r="Q316" s="4"/>
    </row>
    <row r="317" spans="1:18" x14ac:dyDescent="0.3">
      <c r="A317" s="3">
        <f t="shared" si="11"/>
        <v>94</v>
      </c>
      <c r="B317" s="8" t="s">
        <v>1174</v>
      </c>
      <c r="C317" s="5" t="s">
        <v>1173</v>
      </c>
      <c r="D317" s="6">
        <v>374917236</v>
      </c>
      <c r="E317" s="5" t="s">
        <v>322</v>
      </c>
      <c r="F317" s="5" t="s">
        <v>28</v>
      </c>
      <c r="G317" s="5" t="s">
        <v>3</v>
      </c>
      <c r="H317" s="2">
        <v>46163</v>
      </c>
      <c r="I317" s="2">
        <v>46184</v>
      </c>
      <c r="J317" s="2">
        <v>46217</v>
      </c>
      <c r="K317" s="2" t="str">
        <f>IFERROR(VLOOKUP(B317,#REF!,4,0),"")</f>
        <v/>
      </c>
      <c r="L317" s="1" t="s">
        <v>27</v>
      </c>
      <c r="M317" s="1" t="s">
        <v>12</v>
      </c>
      <c r="O317" s="4" t="s">
        <v>0</v>
      </c>
      <c r="Q317" s="4" t="s">
        <v>0</v>
      </c>
      <c r="R317" s="1" t="s">
        <v>0</v>
      </c>
    </row>
    <row r="318" spans="1:18" x14ac:dyDescent="0.3">
      <c r="A318" s="3">
        <f t="shared" si="11"/>
        <v>95</v>
      </c>
      <c r="B318" s="10" t="s">
        <v>1172</v>
      </c>
      <c r="C318" s="5" t="s">
        <v>1171</v>
      </c>
      <c r="D318" s="6">
        <v>364212772</v>
      </c>
      <c r="E318" s="5" t="s">
        <v>156</v>
      </c>
      <c r="F318" s="5" t="s">
        <v>28</v>
      </c>
      <c r="G318" s="5" t="s">
        <v>3</v>
      </c>
      <c r="H318" s="2">
        <v>46147</v>
      </c>
      <c r="I318" s="2"/>
      <c r="J318" s="2">
        <v>46217</v>
      </c>
      <c r="K318" s="2" t="str">
        <f>IFERROR(VLOOKUP(B318,#REF!,4,0),"")</f>
        <v/>
      </c>
      <c r="L318" s="1" t="s">
        <v>27</v>
      </c>
      <c r="M318" s="1" t="s">
        <v>12</v>
      </c>
      <c r="O318" s="4"/>
      <c r="Q318" s="4"/>
    </row>
    <row r="319" spans="1:18" x14ac:dyDescent="0.3">
      <c r="A319" s="3">
        <f t="shared" si="11"/>
        <v>96</v>
      </c>
      <c r="B319" s="8" t="s">
        <v>1170</v>
      </c>
      <c r="C319" s="5" t="s">
        <v>1169</v>
      </c>
      <c r="D319" s="6">
        <v>424762042</v>
      </c>
      <c r="E319" s="5" t="s">
        <v>953</v>
      </c>
      <c r="F319" s="5" t="s">
        <v>4</v>
      </c>
      <c r="G319" s="5" t="s">
        <v>3</v>
      </c>
      <c r="H319" s="2">
        <v>46157</v>
      </c>
      <c r="I319" s="2"/>
      <c r="J319" s="2">
        <v>46217</v>
      </c>
      <c r="K319" s="2" t="str">
        <f>IFERROR(VLOOKUP(B319,#REF!,4,0),"")</f>
        <v/>
      </c>
      <c r="M319" s="1" t="s">
        <v>12</v>
      </c>
      <c r="O319" s="4"/>
      <c r="P319" s="1" t="s">
        <v>1</v>
      </c>
      <c r="Q319" s="4"/>
    </row>
    <row r="320" spans="1:18" x14ac:dyDescent="0.3">
      <c r="A320" s="3">
        <f>1+A881</f>
        <v>1</v>
      </c>
      <c r="B320" s="8" t="s">
        <v>1168</v>
      </c>
      <c r="C320" s="5" t="s">
        <v>1167</v>
      </c>
      <c r="D320" s="6">
        <v>368348006</v>
      </c>
      <c r="E320" s="5" t="s">
        <v>14</v>
      </c>
      <c r="F320" s="5" t="s">
        <v>9</v>
      </c>
      <c r="G320" s="5" t="s">
        <v>3</v>
      </c>
      <c r="H320" s="2">
        <v>46171</v>
      </c>
      <c r="I320" s="2"/>
      <c r="J320" s="2">
        <v>46217</v>
      </c>
      <c r="K320" s="2" t="str">
        <f>IFERROR(VLOOKUP(B320,#REF!,4,0),"")</f>
        <v/>
      </c>
      <c r="L320" s="1" t="s">
        <v>13</v>
      </c>
      <c r="M320" s="1" t="s">
        <v>12</v>
      </c>
      <c r="O320" s="4" t="s">
        <v>1166</v>
      </c>
      <c r="Q320" s="4"/>
    </row>
    <row r="321" spans="1:18" x14ac:dyDescent="0.3">
      <c r="A321" s="3">
        <f t="shared" ref="A321:A352" si="12">1+A320</f>
        <v>2</v>
      </c>
      <c r="B321" s="8" t="s">
        <v>1165</v>
      </c>
      <c r="C321" s="5" t="s">
        <v>1164</v>
      </c>
      <c r="D321" s="6">
        <v>544242428</v>
      </c>
      <c r="E321" s="5" t="s">
        <v>997</v>
      </c>
      <c r="F321" s="5" t="s">
        <v>4</v>
      </c>
      <c r="G321" s="5" t="s">
        <v>3</v>
      </c>
      <c r="H321" s="2"/>
      <c r="I321" s="2"/>
      <c r="J321" s="2">
        <v>46217</v>
      </c>
      <c r="K321" s="2" t="str">
        <f>IFERROR(VLOOKUP(B321,#REF!,4,0),"")</f>
        <v/>
      </c>
      <c r="L321" s="1" t="s">
        <v>77</v>
      </c>
      <c r="M321" s="1" t="s">
        <v>17</v>
      </c>
      <c r="O321" s="4"/>
      <c r="Q321" s="4"/>
    </row>
    <row r="322" spans="1:18" x14ac:dyDescent="0.3">
      <c r="A322" s="3">
        <f t="shared" si="12"/>
        <v>3</v>
      </c>
      <c r="B322" s="23" t="s">
        <v>1163</v>
      </c>
      <c r="C322" s="5" t="s">
        <v>1162</v>
      </c>
      <c r="D322" s="6">
        <v>471403705</v>
      </c>
      <c r="E322" s="5" t="s">
        <v>854</v>
      </c>
      <c r="F322" s="5" t="s">
        <v>4</v>
      </c>
      <c r="G322" s="5" t="s">
        <v>3</v>
      </c>
      <c r="H322" s="2"/>
      <c r="I322" s="2"/>
      <c r="J322" s="2">
        <v>46217</v>
      </c>
      <c r="K322" s="2" t="str">
        <f>IFERROR(VLOOKUP(B322,#REF!,4,0),"")</f>
        <v/>
      </c>
      <c r="L322" s="1" t="s">
        <v>77</v>
      </c>
      <c r="M322" s="1" t="s">
        <v>17</v>
      </c>
      <c r="O322" s="4"/>
      <c r="Q322" s="4"/>
    </row>
    <row r="323" spans="1:18" x14ac:dyDescent="0.3">
      <c r="A323" s="3">
        <f t="shared" si="12"/>
        <v>4</v>
      </c>
      <c r="B323" s="8" t="s">
        <v>1161</v>
      </c>
      <c r="C323" s="5" t="s">
        <v>1160</v>
      </c>
      <c r="D323" s="6">
        <v>431753911</v>
      </c>
      <c r="E323" s="5" t="s">
        <v>1159</v>
      </c>
      <c r="F323" s="5" t="s">
        <v>36</v>
      </c>
      <c r="G323" s="5" t="s">
        <v>3</v>
      </c>
      <c r="H323" s="2"/>
      <c r="I323" s="2">
        <v>46177</v>
      </c>
      <c r="J323" s="2">
        <v>46217</v>
      </c>
      <c r="K323" s="2" t="str">
        <f>IFERROR(VLOOKUP(B323,#REF!,4,0),"")</f>
        <v/>
      </c>
      <c r="L323" s="1" t="s">
        <v>13</v>
      </c>
      <c r="M323" s="1" t="s">
        <v>17</v>
      </c>
      <c r="O323" s="4"/>
      <c r="Q323" s="4"/>
    </row>
    <row r="324" spans="1:18" x14ac:dyDescent="0.3">
      <c r="A324" s="3">
        <f t="shared" si="12"/>
        <v>5</v>
      </c>
      <c r="B324" s="8" t="s">
        <v>1158</v>
      </c>
      <c r="C324" s="5" t="s">
        <v>1157</v>
      </c>
      <c r="D324" s="6">
        <v>411955350</v>
      </c>
      <c r="E324" s="5" t="s">
        <v>986</v>
      </c>
      <c r="F324" s="5" t="s">
        <v>28</v>
      </c>
      <c r="G324" s="5" t="s">
        <v>3</v>
      </c>
      <c r="H324" s="2"/>
      <c r="I324" s="2">
        <v>46184</v>
      </c>
      <c r="J324" s="2">
        <v>46217</v>
      </c>
      <c r="K324" s="2" t="str">
        <f>IFERROR(VLOOKUP(B324,#REF!,4,0),"")</f>
        <v/>
      </c>
      <c r="L324" s="1" t="s">
        <v>27</v>
      </c>
      <c r="M324" s="1" t="s">
        <v>12</v>
      </c>
      <c r="O324" s="4"/>
      <c r="Q324" s="4"/>
    </row>
    <row r="325" spans="1:18" x14ac:dyDescent="0.3">
      <c r="A325" s="3">
        <f t="shared" si="12"/>
        <v>6</v>
      </c>
      <c r="B325" s="10" t="s">
        <v>1156</v>
      </c>
      <c r="C325" s="5" t="s">
        <v>1155</v>
      </c>
      <c r="D325" s="6">
        <v>523397567</v>
      </c>
      <c r="E325" s="5" t="s">
        <v>1145</v>
      </c>
      <c r="F325" s="5" t="s">
        <v>36</v>
      </c>
      <c r="G325" s="5" t="s">
        <v>3</v>
      </c>
      <c r="H325" s="2"/>
      <c r="I325" s="2">
        <v>46196</v>
      </c>
      <c r="J325" s="2">
        <v>46217</v>
      </c>
      <c r="K325" s="2" t="str">
        <f>IFERROR(VLOOKUP(B325,#REF!,4,0),"")</f>
        <v/>
      </c>
      <c r="L325" s="1" t="s">
        <v>13</v>
      </c>
      <c r="M325" s="1" t="s">
        <v>17</v>
      </c>
      <c r="O325" s="4"/>
      <c r="Q325" s="4"/>
    </row>
    <row r="326" spans="1:18" x14ac:dyDescent="0.3">
      <c r="A326" s="3">
        <f t="shared" si="12"/>
        <v>7</v>
      </c>
      <c r="B326" s="8" t="s">
        <v>1154</v>
      </c>
      <c r="C326" s="5" t="s">
        <v>1153</v>
      </c>
      <c r="D326" s="6">
        <v>426787565</v>
      </c>
      <c r="E326" s="5" t="s">
        <v>268</v>
      </c>
      <c r="F326" s="5" t="s">
        <v>4</v>
      </c>
      <c r="G326" s="5" t="s">
        <v>3</v>
      </c>
      <c r="H326" s="2"/>
      <c r="I326" s="2"/>
      <c r="J326" s="2">
        <v>46217</v>
      </c>
      <c r="K326" s="2" t="str">
        <f>IFERROR(VLOOKUP(B326,#REF!,4,0),"")</f>
        <v/>
      </c>
      <c r="M326" s="1" t="s">
        <v>12</v>
      </c>
      <c r="O326" s="4"/>
      <c r="Q326" s="4"/>
    </row>
    <row r="327" spans="1:18" x14ac:dyDescent="0.3">
      <c r="A327" s="3">
        <f t="shared" si="12"/>
        <v>8</v>
      </c>
      <c r="B327" s="8" t="s">
        <v>1152</v>
      </c>
      <c r="C327" s="5" t="s">
        <v>1151</v>
      </c>
      <c r="D327" s="6">
        <v>685469105</v>
      </c>
      <c r="E327" s="5" t="s">
        <v>1150</v>
      </c>
      <c r="F327" s="5" t="s">
        <v>36</v>
      </c>
      <c r="G327" s="5" t="s">
        <v>3</v>
      </c>
      <c r="H327" s="2">
        <v>46168</v>
      </c>
      <c r="I327" s="2">
        <v>46181</v>
      </c>
      <c r="J327" s="2">
        <v>46218</v>
      </c>
      <c r="K327" s="2" t="str">
        <f>IFERROR(VLOOKUP(B327,#REF!,4,0),"")</f>
        <v/>
      </c>
      <c r="L327" s="1" t="s">
        <v>13</v>
      </c>
      <c r="M327" s="1" t="s">
        <v>535</v>
      </c>
      <c r="O327" s="4"/>
      <c r="Q327" s="4"/>
    </row>
    <row r="328" spans="1:18" x14ac:dyDescent="0.3">
      <c r="A328" s="3">
        <f t="shared" si="12"/>
        <v>9</v>
      </c>
      <c r="B328" s="8" t="s">
        <v>1149</v>
      </c>
      <c r="C328" s="5" t="s">
        <v>1148</v>
      </c>
      <c r="D328" s="6">
        <v>392841801</v>
      </c>
      <c r="E328" s="5" t="s">
        <v>829</v>
      </c>
      <c r="F328" s="5" t="s">
        <v>4</v>
      </c>
      <c r="G328" s="5" t="s">
        <v>3</v>
      </c>
      <c r="H328" s="2">
        <v>46163</v>
      </c>
      <c r="I328" s="2">
        <v>46182</v>
      </c>
      <c r="J328" s="2">
        <v>46218</v>
      </c>
      <c r="K328" s="2" t="str">
        <f>IFERROR(VLOOKUP(B328,#REF!,4,0),"")</f>
        <v/>
      </c>
      <c r="L328" s="1" t="s">
        <v>2</v>
      </c>
      <c r="M328" s="1" t="s">
        <v>12</v>
      </c>
      <c r="O328" s="4" t="s">
        <v>0</v>
      </c>
      <c r="Q328" s="4" t="s">
        <v>0</v>
      </c>
      <c r="R328" s="1" t="s">
        <v>0</v>
      </c>
    </row>
    <row r="329" spans="1:18" x14ac:dyDescent="0.3">
      <c r="A329" s="3">
        <f t="shared" si="12"/>
        <v>10</v>
      </c>
      <c r="B329" s="8" t="s">
        <v>1147</v>
      </c>
      <c r="C329" s="5" t="s">
        <v>1146</v>
      </c>
      <c r="D329" s="6">
        <v>682602705</v>
      </c>
      <c r="E329" s="5" t="s">
        <v>1145</v>
      </c>
      <c r="F329" s="5" t="s">
        <v>36</v>
      </c>
      <c r="G329" s="5" t="s">
        <v>3</v>
      </c>
      <c r="H329" s="2">
        <v>46154</v>
      </c>
      <c r="I329" s="2">
        <v>46183</v>
      </c>
      <c r="J329" s="2">
        <v>46218</v>
      </c>
      <c r="K329" s="2" t="str">
        <f>IFERROR(VLOOKUP(B329,#REF!,4,0),"")</f>
        <v/>
      </c>
      <c r="L329" s="1" t="s">
        <v>13</v>
      </c>
      <c r="M329" s="1" t="s">
        <v>535</v>
      </c>
      <c r="O329" s="4"/>
      <c r="P329" s="1" t="s">
        <v>832</v>
      </c>
      <c r="Q329" s="4"/>
    </row>
    <row r="330" spans="1:18" x14ac:dyDescent="0.3">
      <c r="A330" s="3">
        <f t="shared" si="12"/>
        <v>11</v>
      </c>
      <c r="B330" s="8" t="s">
        <v>1144</v>
      </c>
      <c r="C330" s="5" t="s">
        <v>1143</v>
      </c>
      <c r="D330" s="6">
        <v>517066694</v>
      </c>
      <c r="E330" s="5" t="s">
        <v>1142</v>
      </c>
      <c r="F330" s="5" t="s">
        <v>40</v>
      </c>
      <c r="G330" s="5" t="s">
        <v>3</v>
      </c>
      <c r="H330" s="2">
        <v>46164</v>
      </c>
      <c r="I330" s="2"/>
      <c r="J330" s="2">
        <v>46218</v>
      </c>
      <c r="K330" s="2" t="str">
        <f>IFERROR(VLOOKUP(B330,#REF!,4,0),"")</f>
        <v/>
      </c>
      <c r="L330" s="1" t="s">
        <v>27</v>
      </c>
      <c r="M330" s="1" t="s">
        <v>12</v>
      </c>
      <c r="O330" s="4"/>
      <c r="Q330" s="4"/>
    </row>
    <row r="331" spans="1:18" x14ac:dyDescent="0.3">
      <c r="A331" s="3">
        <f t="shared" si="12"/>
        <v>12</v>
      </c>
      <c r="B331" s="8" t="s">
        <v>1141</v>
      </c>
      <c r="C331" s="5" t="s">
        <v>1140</v>
      </c>
      <c r="D331" s="6">
        <v>514323315</v>
      </c>
      <c r="E331" s="5" t="s">
        <v>1139</v>
      </c>
      <c r="F331" s="5" t="s">
        <v>48</v>
      </c>
      <c r="G331" s="5" t="s">
        <v>3</v>
      </c>
      <c r="H331" s="2">
        <v>46167</v>
      </c>
      <c r="I331" s="2"/>
      <c r="J331" s="2">
        <v>46218</v>
      </c>
      <c r="K331" s="2" t="str">
        <f>IFERROR(VLOOKUP(B331,#REF!,4,0),"")</f>
        <v/>
      </c>
      <c r="L331" s="1" t="s">
        <v>44</v>
      </c>
      <c r="M331" s="1" t="s">
        <v>17</v>
      </c>
      <c r="O331" s="4"/>
      <c r="Q331" s="4"/>
    </row>
    <row r="332" spans="1:18" x14ac:dyDescent="0.3">
      <c r="A332" s="3">
        <f t="shared" si="12"/>
        <v>13</v>
      </c>
      <c r="B332" s="8" t="s">
        <v>1138</v>
      </c>
      <c r="C332" s="5" t="s">
        <v>1137</v>
      </c>
      <c r="D332" s="6">
        <v>577750543</v>
      </c>
      <c r="E332" s="5" t="s">
        <v>523</v>
      </c>
      <c r="F332" s="5" t="s">
        <v>4</v>
      </c>
      <c r="G332" s="5" t="s">
        <v>3</v>
      </c>
      <c r="H332" s="2">
        <v>46171</v>
      </c>
      <c r="I332" s="2"/>
      <c r="J332" s="2">
        <v>46218</v>
      </c>
      <c r="K332" s="2" t="str">
        <f>IFERROR(VLOOKUP(B332,#REF!,4,0),"")</f>
        <v/>
      </c>
      <c r="L332" s="1" t="s">
        <v>2</v>
      </c>
      <c r="M332" s="1" t="s">
        <v>535</v>
      </c>
      <c r="O332" s="4"/>
      <c r="Q332" s="4"/>
    </row>
    <row r="333" spans="1:18" x14ac:dyDescent="0.3">
      <c r="A333" s="3">
        <f t="shared" si="12"/>
        <v>14</v>
      </c>
      <c r="B333" s="8" t="s">
        <v>1136</v>
      </c>
      <c r="C333" s="5" t="s">
        <v>1135</v>
      </c>
      <c r="D333" s="6">
        <v>511833486</v>
      </c>
      <c r="E333" s="5" t="s">
        <v>192</v>
      </c>
      <c r="F333" s="5" t="s">
        <v>9</v>
      </c>
      <c r="G333" s="5" t="s">
        <v>3</v>
      </c>
      <c r="H333" s="2"/>
      <c r="I333" s="2"/>
      <c r="J333" s="2">
        <v>46218</v>
      </c>
      <c r="K333" s="2" t="str">
        <f>IFERROR(VLOOKUP(B333,#REF!,4,0),"")</f>
        <v/>
      </c>
      <c r="L333" s="1" t="s">
        <v>20</v>
      </c>
      <c r="M333" s="1" t="s">
        <v>12</v>
      </c>
      <c r="O333" s="4" t="s">
        <v>1134</v>
      </c>
      <c r="Q333" s="4"/>
    </row>
    <row r="334" spans="1:18" x14ac:dyDescent="0.3">
      <c r="A334" s="3">
        <f t="shared" si="12"/>
        <v>15</v>
      </c>
      <c r="B334" s="8" t="s">
        <v>1133</v>
      </c>
      <c r="C334" s="5" t="s">
        <v>1132</v>
      </c>
      <c r="D334" s="6">
        <v>490731212</v>
      </c>
      <c r="E334" s="5" t="s">
        <v>909</v>
      </c>
      <c r="F334" s="5" t="s">
        <v>9</v>
      </c>
      <c r="G334" s="5" t="s">
        <v>3</v>
      </c>
      <c r="H334" s="2"/>
      <c r="I334" s="2"/>
      <c r="J334" s="2">
        <v>46218</v>
      </c>
      <c r="K334" s="2" t="str">
        <f>IFERROR(VLOOKUP(B334,#REF!,4,0),"")</f>
        <v/>
      </c>
      <c r="L334" s="1" t="s">
        <v>20</v>
      </c>
      <c r="M334" s="1" t="s">
        <v>12</v>
      </c>
      <c r="O334" s="4"/>
      <c r="Q334" s="4"/>
    </row>
    <row r="335" spans="1:18" x14ac:dyDescent="0.3">
      <c r="A335" s="3">
        <f t="shared" si="12"/>
        <v>16</v>
      </c>
      <c r="B335" s="8" t="s">
        <v>1131</v>
      </c>
      <c r="C335" s="5" t="s">
        <v>1130</v>
      </c>
      <c r="D335" s="6">
        <v>417279334</v>
      </c>
      <c r="E335" s="5" t="s">
        <v>1119</v>
      </c>
      <c r="F335" s="5" t="s">
        <v>4</v>
      </c>
      <c r="G335" s="5" t="s">
        <v>3</v>
      </c>
      <c r="H335" s="2"/>
      <c r="I335" s="2"/>
      <c r="J335" s="2">
        <v>46218</v>
      </c>
      <c r="K335" s="2" t="str">
        <f>IFERROR(VLOOKUP(B335,#REF!,4,0),"")</f>
        <v/>
      </c>
      <c r="M335" s="1" t="s">
        <v>12</v>
      </c>
      <c r="O335" s="4"/>
      <c r="Q335" s="4"/>
    </row>
    <row r="336" spans="1:18" x14ac:dyDescent="0.3">
      <c r="A336" s="3">
        <f t="shared" si="12"/>
        <v>17</v>
      </c>
      <c r="B336" s="8" t="s">
        <v>1129</v>
      </c>
      <c r="C336" s="5" t="s">
        <v>1128</v>
      </c>
      <c r="D336" s="6">
        <v>431367575</v>
      </c>
      <c r="E336" s="5" t="s">
        <v>316</v>
      </c>
      <c r="F336" s="5" t="s">
        <v>9</v>
      </c>
      <c r="G336" s="5" t="s">
        <v>3</v>
      </c>
      <c r="H336" s="2"/>
      <c r="I336" s="2"/>
      <c r="J336" s="2">
        <v>46218</v>
      </c>
      <c r="K336" s="2" t="str">
        <f>IFERROR(VLOOKUP(B336,#REF!,4,0),"")</f>
        <v/>
      </c>
      <c r="L336" s="1" t="s">
        <v>20</v>
      </c>
      <c r="M336" s="1" t="s">
        <v>12</v>
      </c>
      <c r="O336" s="4"/>
      <c r="Q336" s="4"/>
    </row>
    <row r="337" spans="1:18" x14ac:dyDescent="0.3">
      <c r="A337" s="3">
        <f t="shared" si="12"/>
        <v>18</v>
      </c>
      <c r="B337" s="8" t="s">
        <v>1127</v>
      </c>
      <c r="C337" s="5" t="s">
        <v>1126</v>
      </c>
      <c r="D337" s="6">
        <v>634802614</v>
      </c>
      <c r="E337" s="5" t="s">
        <v>968</v>
      </c>
      <c r="F337" s="5" t="s">
        <v>4</v>
      </c>
      <c r="G337" s="5" t="s">
        <v>3</v>
      </c>
      <c r="H337" s="2">
        <v>46162</v>
      </c>
      <c r="I337" s="2">
        <v>46195</v>
      </c>
      <c r="J337" s="2">
        <v>46219</v>
      </c>
      <c r="K337" s="2" t="str">
        <f>IFERROR(VLOOKUP(B337,#REF!,4,0),"")</f>
        <v/>
      </c>
      <c r="L337" s="1" t="s">
        <v>2</v>
      </c>
      <c r="M337" s="1" t="s">
        <v>535</v>
      </c>
      <c r="O337" s="4" t="s">
        <v>0</v>
      </c>
      <c r="Q337" s="4" t="s">
        <v>0</v>
      </c>
      <c r="R337" s="1" t="s">
        <v>0</v>
      </c>
    </row>
    <row r="338" spans="1:18" x14ac:dyDescent="0.3">
      <c r="A338" s="3">
        <f t="shared" si="12"/>
        <v>19</v>
      </c>
      <c r="B338" s="8" t="s">
        <v>1125</v>
      </c>
      <c r="C338" s="5" t="s">
        <v>1124</v>
      </c>
      <c r="D338" s="6">
        <v>679783860</v>
      </c>
      <c r="E338" s="5" t="s">
        <v>857</v>
      </c>
      <c r="F338" s="5" t="s">
        <v>28</v>
      </c>
      <c r="G338" s="5" t="s">
        <v>3</v>
      </c>
      <c r="H338" s="2">
        <v>46157</v>
      </c>
      <c r="I338" s="2">
        <v>46183</v>
      </c>
      <c r="J338" s="2">
        <v>46219</v>
      </c>
      <c r="K338" s="2" t="str">
        <f>IFERROR(VLOOKUP(B338,#REF!,4,0),"")</f>
        <v/>
      </c>
      <c r="L338" s="1" t="s">
        <v>27</v>
      </c>
      <c r="M338" s="1" t="s">
        <v>535</v>
      </c>
      <c r="O338" s="4" t="s">
        <v>0</v>
      </c>
      <c r="Q338" s="4" t="s">
        <v>0</v>
      </c>
      <c r="R338" s="1" t="s">
        <v>0</v>
      </c>
    </row>
    <row r="339" spans="1:18" x14ac:dyDescent="0.3">
      <c r="A339" s="3">
        <f t="shared" si="12"/>
        <v>20</v>
      </c>
      <c r="B339" s="8" t="s">
        <v>1123</v>
      </c>
      <c r="C339" s="5" t="s">
        <v>1122</v>
      </c>
      <c r="D339" s="6">
        <v>455921818</v>
      </c>
      <c r="E339" s="5" t="s">
        <v>379</v>
      </c>
      <c r="F339" s="5" t="s">
        <v>4</v>
      </c>
      <c r="G339" s="5" t="s">
        <v>3</v>
      </c>
      <c r="H339" s="2">
        <v>46170</v>
      </c>
      <c r="I339" s="2"/>
      <c r="J339" s="2">
        <v>46219</v>
      </c>
      <c r="K339" s="2" t="str">
        <f>IFERROR(VLOOKUP(B339,#REF!,4,0),"")</f>
        <v/>
      </c>
      <c r="M339" s="1" t="s">
        <v>17</v>
      </c>
      <c r="O339" s="4"/>
      <c r="Q339" s="4"/>
    </row>
    <row r="340" spans="1:18" x14ac:dyDescent="0.3">
      <c r="A340" s="3">
        <f t="shared" si="12"/>
        <v>21</v>
      </c>
      <c r="B340" s="8" t="s">
        <v>1121</v>
      </c>
      <c r="C340" s="5" t="s">
        <v>1120</v>
      </c>
      <c r="D340" s="6">
        <v>399838064</v>
      </c>
      <c r="E340" s="5" t="s">
        <v>1119</v>
      </c>
      <c r="F340" s="5" t="s">
        <v>4</v>
      </c>
      <c r="G340" s="5" t="s">
        <v>3</v>
      </c>
      <c r="H340" s="2"/>
      <c r="I340" s="2">
        <v>46177</v>
      </c>
      <c r="J340" s="2">
        <v>46219</v>
      </c>
      <c r="K340" s="2" t="str">
        <f>IFERROR(VLOOKUP(B340,#REF!,4,0),"")</f>
        <v/>
      </c>
      <c r="L340" s="1" t="s">
        <v>2</v>
      </c>
      <c r="M340" s="1" t="s">
        <v>17</v>
      </c>
      <c r="O340" s="4"/>
      <c r="Q340" s="4"/>
    </row>
    <row r="341" spans="1:18" x14ac:dyDescent="0.3">
      <c r="A341" s="3">
        <f t="shared" si="12"/>
        <v>22</v>
      </c>
      <c r="B341" s="8" t="s">
        <v>1118</v>
      </c>
      <c r="C341" s="5" t="s">
        <v>1117</v>
      </c>
      <c r="D341" s="6">
        <v>567467870</v>
      </c>
      <c r="E341" s="5" t="s">
        <v>854</v>
      </c>
      <c r="F341" s="5" t="s">
        <v>4</v>
      </c>
      <c r="G341" s="5" t="s">
        <v>3</v>
      </c>
      <c r="H341" s="2">
        <v>46155</v>
      </c>
      <c r="I341" s="2">
        <v>46192</v>
      </c>
      <c r="J341" s="2">
        <v>46219</v>
      </c>
      <c r="K341" s="2" t="str">
        <f>IFERROR(VLOOKUP(B341,#REF!,4,0),"")</f>
        <v/>
      </c>
      <c r="L341" s="1" t="s">
        <v>2</v>
      </c>
      <c r="M341" s="1" t="s">
        <v>535</v>
      </c>
      <c r="O341" s="4" t="s">
        <v>0</v>
      </c>
      <c r="Q341" s="4" t="s">
        <v>0</v>
      </c>
      <c r="R341" s="1" t="s">
        <v>0</v>
      </c>
    </row>
    <row r="342" spans="1:18" x14ac:dyDescent="0.3">
      <c r="A342" s="3">
        <f t="shared" si="12"/>
        <v>23</v>
      </c>
      <c r="B342" s="8" t="s">
        <v>1116</v>
      </c>
      <c r="C342" s="5" t="s">
        <v>1115</v>
      </c>
      <c r="D342" s="6">
        <v>498702053</v>
      </c>
      <c r="E342" s="5" t="s">
        <v>24</v>
      </c>
      <c r="F342" s="5" t="s">
        <v>9</v>
      </c>
      <c r="G342" s="5" t="s">
        <v>3</v>
      </c>
      <c r="H342" s="2"/>
      <c r="I342" s="2">
        <v>46177</v>
      </c>
      <c r="J342" s="2">
        <v>46219</v>
      </c>
      <c r="K342" s="2" t="str">
        <f>IFERROR(VLOOKUP(B342,#REF!,4,0),"")</f>
        <v/>
      </c>
      <c r="L342" s="1" t="s">
        <v>20</v>
      </c>
      <c r="M342" s="1" t="s">
        <v>12</v>
      </c>
      <c r="O342" s="4" t="s">
        <v>0</v>
      </c>
      <c r="Q342" s="4" t="s">
        <v>0</v>
      </c>
      <c r="R342" s="1" t="s">
        <v>0</v>
      </c>
    </row>
    <row r="343" spans="1:18" x14ac:dyDescent="0.3">
      <c r="A343" s="3">
        <f t="shared" si="12"/>
        <v>24</v>
      </c>
      <c r="B343" s="8" t="s">
        <v>1114</v>
      </c>
      <c r="C343" s="5" t="s">
        <v>1113</v>
      </c>
      <c r="D343" s="6">
        <v>514199026</v>
      </c>
      <c r="E343" s="5" t="s">
        <v>103</v>
      </c>
      <c r="F343" s="5" t="s">
        <v>28</v>
      </c>
      <c r="G343" s="5" t="s">
        <v>3</v>
      </c>
      <c r="H343" s="2">
        <v>46154</v>
      </c>
      <c r="I343" s="2">
        <v>46191</v>
      </c>
      <c r="J343" s="2">
        <v>46219</v>
      </c>
      <c r="K343" s="2" t="str">
        <f>IFERROR(VLOOKUP(B343,#REF!,4,0),"")</f>
        <v/>
      </c>
      <c r="L343" s="1" t="s">
        <v>27</v>
      </c>
      <c r="M343" s="1" t="s">
        <v>17</v>
      </c>
      <c r="O343" s="4" t="s">
        <v>0</v>
      </c>
      <c r="Q343" s="4" t="s">
        <v>0</v>
      </c>
      <c r="R343" s="1" t="s">
        <v>0</v>
      </c>
    </row>
    <row r="344" spans="1:18" x14ac:dyDescent="0.3">
      <c r="A344" s="3">
        <f t="shared" si="12"/>
        <v>25</v>
      </c>
      <c r="B344" s="8" t="s">
        <v>1112</v>
      </c>
      <c r="C344" s="5" t="s">
        <v>1111</v>
      </c>
      <c r="D344" s="6">
        <v>501378367</v>
      </c>
      <c r="E344" s="5" t="s">
        <v>137</v>
      </c>
      <c r="F344" s="5" t="s">
        <v>9</v>
      </c>
      <c r="G344" s="5" t="s">
        <v>3</v>
      </c>
      <c r="H344" s="2">
        <v>46149</v>
      </c>
      <c r="I344" s="2"/>
      <c r="J344" s="2">
        <v>46219</v>
      </c>
      <c r="K344" s="2" t="str">
        <f>IFERROR(VLOOKUP(B344,#REF!,4,0),"")</f>
        <v/>
      </c>
      <c r="L344" s="1" t="s">
        <v>20</v>
      </c>
      <c r="M344" s="1" t="s">
        <v>12</v>
      </c>
      <c r="O344" s="4"/>
      <c r="Q344" s="4"/>
    </row>
    <row r="345" spans="1:18" x14ac:dyDescent="0.3">
      <c r="A345" s="3">
        <f t="shared" si="12"/>
        <v>26</v>
      </c>
      <c r="B345" s="8" t="s">
        <v>1110</v>
      </c>
      <c r="C345" s="5" t="s">
        <v>1109</v>
      </c>
      <c r="D345" s="6">
        <v>441698533</v>
      </c>
      <c r="E345" s="5" t="s">
        <v>298</v>
      </c>
      <c r="F345" s="5" t="s">
        <v>9</v>
      </c>
      <c r="G345" s="5" t="s">
        <v>3</v>
      </c>
      <c r="H345" s="2"/>
      <c r="I345" s="2">
        <v>46181</v>
      </c>
      <c r="J345" s="2">
        <v>46219</v>
      </c>
      <c r="K345" s="2" t="str">
        <f>IFERROR(VLOOKUP(B345,#REF!,4,0),"")</f>
        <v/>
      </c>
      <c r="L345" s="1" t="s">
        <v>124</v>
      </c>
      <c r="M345" s="1" t="s">
        <v>12</v>
      </c>
      <c r="O345" s="4"/>
      <c r="Q345" s="4"/>
    </row>
    <row r="346" spans="1:18" x14ac:dyDescent="0.3">
      <c r="A346" s="3">
        <f t="shared" si="12"/>
        <v>27</v>
      </c>
      <c r="B346" s="8" t="s">
        <v>1108</v>
      </c>
      <c r="C346" s="5" t="s">
        <v>1107</v>
      </c>
      <c r="D346" s="6">
        <v>715825757</v>
      </c>
      <c r="E346" s="5" t="s">
        <v>192</v>
      </c>
      <c r="F346" s="5" t="s">
        <v>9</v>
      </c>
      <c r="G346" s="5" t="s">
        <v>3</v>
      </c>
      <c r="H346" s="2"/>
      <c r="I346" s="2"/>
      <c r="J346" s="2">
        <v>46219</v>
      </c>
      <c r="K346" s="2" t="str">
        <f>IFERROR(VLOOKUP(B346,#REF!,4,0),"")</f>
        <v/>
      </c>
      <c r="L346" s="1" t="s">
        <v>20</v>
      </c>
      <c r="M346" s="1" t="s">
        <v>535</v>
      </c>
      <c r="O346" s="4"/>
      <c r="Q346" s="4"/>
    </row>
    <row r="347" spans="1:18" x14ac:dyDescent="0.3">
      <c r="A347" s="3">
        <f t="shared" si="12"/>
        <v>28</v>
      </c>
      <c r="B347" s="8" t="s">
        <v>1106</v>
      </c>
      <c r="C347" s="5" t="s">
        <v>1105</v>
      </c>
      <c r="D347" s="6">
        <v>415976457</v>
      </c>
      <c r="E347" s="5" t="s">
        <v>137</v>
      </c>
      <c r="F347" s="5" t="s">
        <v>9</v>
      </c>
      <c r="G347" s="5" t="s">
        <v>3</v>
      </c>
      <c r="H347" s="2"/>
      <c r="I347" s="2"/>
      <c r="J347" s="2">
        <v>46219</v>
      </c>
      <c r="K347" s="2" t="str">
        <f>IFERROR(VLOOKUP(B347,#REF!,4,0),"")</f>
        <v/>
      </c>
      <c r="L347" s="1" t="s">
        <v>20</v>
      </c>
      <c r="M347" s="1" t="s">
        <v>17</v>
      </c>
      <c r="O347" s="4"/>
      <c r="Q347" s="4"/>
    </row>
    <row r="348" spans="1:18" x14ac:dyDescent="0.3">
      <c r="A348" s="3">
        <f t="shared" si="12"/>
        <v>29</v>
      </c>
      <c r="B348" s="8" t="s">
        <v>1104</v>
      </c>
      <c r="C348" s="5" t="s">
        <v>1103</v>
      </c>
      <c r="D348" s="6">
        <v>507605364</v>
      </c>
      <c r="E348" s="5" t="s">
        <v>1102</v>
      </c>
      <c r="F348" s="5" t="s">
        <v>48</v>
      </c>
      <c r="G348" s="5" t="s">
        <v>3</v>
      </c>
      <c r="H348" s="2"/>
      <c r="I348" s="2"/>
      <c r="J348" s="2">
        <v>46219</v>
      </c>
      <c r="K348" s="2" t="str">
        <f>IFERROR(VLOOKUP(B348,#REF!,4,0),"")</f>
        <v/>
      </c>
      <c r="L348" s="1" t="s">
        <v>44</v>
      </c>
      <c r="M348" s="1" t="s">
        <v>17</v>
      </c>
      <c r="O348" s="4"/>
      <c r="Q348" s="4"/>
    </row>
    <row r="349" spans="1:18" x14ac:dyDescent="0.3">
      <c r="A349" s="3">
        <f t="shared" si="12"/>
        <v>30</v>
      </c>
      <c r="B349" s="8" t="s">
        <v>1101</v>
      </c>
      <c r="C349" s="5" t="s">
        <v>1100</v>
      </c>
      <c r="D349" s="6">
        <v>369735292</v>
      </c>
      <c r="E349" s="5" t="s">
        <v>1099</v>
      </c>
      <c r="F349" s="5" t="s">
        <v>36</v>
      </c>
      <c r="G349" s="5" t="s">
        <v>3</v>
      </c>
      <c r="H349" s="2"/>
      <c r="I349" s="2">
        <v>46178</v>
      </c>
      <c r="J349" s="2">
        <v>46220</v>
      </c>
      <c r="K349" s="2" t="str">
        <f>IFERROR(VLOOKUP(B349,#REF!,4,0),"")</f>
        <v/>
      </c>
      <c r="L349" s="1" t="s">
        <v>13</v>
      </c>
      <c r="M349" s="1" t="s">
        <v>12</v>
      </c>
      <c r="O349" s="4"/>
      <c r="Q349" s="4"/>
    </row>
    <row r="350" spans="1:18" x14ac:dyDescent="0.3">
      <c r="A350" s="3">
        <f t="shared" si="12"/>
        <v>31</v>
      </c>
      <c r="B350" s="8" t="s">
        <v>1098</v>
      </c>
      <c r="C350" s="5" t="s">
        <v>1097</v>
      </c>
      <c r="D350" s="6">
        <v>487420853</v>
      </c>
      <c r="E350" s="5" t="s">
        <v>256</v>
      </c>
      <c r="F350" s="5" t="s">
        <v>4</v>
      </c>
      <c r="G350" s="5" t="s">
        <v>3</v>
      </c>
      <c r="H350" s="2">
        <v>46144</v>
      </c>
      <c r="I350" s="2"/>
      <c r="J350" s="2">
        <v>46220</v>
      </c>
      <c r="K350" s="2" t="str">
        <f>IFERROR(VLOOKUP(B350,#REF!,4,0),"")</f>
        <v/>
      </c>
      <c r="M350" s="1" t="s">
        <v>17</v>
      </c>
      <c r="O350" s="4"/>
      <c r="Q350" s="4"/>
    </row>
    <row r="351" spans="1:18" x14ac:dyDescent="0.3">
      <c r="A351" s="3">
        <f t="shared" si="12"/>
        <v>32</v>
      </c>
      <c r="B351" s="8" t="s">
        <v>1096</v>
      </c>
      <c r="C351" s="5" t="s">
        <v>1095</v>
      </c>
      <c r="D351" s="6">
        <v>482859681</v>
      </c>
      <c r="E351" s="5" t="s">
        <v>131</v>
      </c>
      <c r="F351" s="5" t="s">
        <v>9</v>
      </c>
      <c r="G351" s="5" t="s">
        <v>3</v>
      </c>
      <c r="H351" s="2">
        <v>46149</v>
      </c>
      <c r="I351" s="2"/>
      <c r="J351" s="2">
        <v>46220</v>
      </c>
      <c r="K351" s="2" t="str">
        <f>IFERROR(VLOOKUP(B351,#REF!,4,0),"")</f>
        <v/>
      </c>
      <c r="L351" s="1" t="s">
        <v>124</v>
      </c>
      <c r="M351" s="1" t="s">
        <v>17</v>
      </c>
      <c r="O351" s="4"/>
      <c r="Q351" s="4"/>
    </row>
    <row r="352" spans="1:18" x14ac:dyDescent="0.3">
      <c r="A352" s="3">
        <f t="shared" si="12"/>
        <v>33</v>
      </c>
      <c r="B352" s="8" t="s">
        <v>1094</v>
      </c>
      <c r="C352" s="5" t="s">
        <v>1093</v>
      </c>
      <c r="D352" s="6">
        <v>386829175</v>
      </c>
      <c r="E352" s="5" t="s">
        <v>186</v>
      </c>
      <c r="F352" s="5" t="s">
        <v>36</v>
      </c>
      <c r="G352" s="5" t="s">
        <v>3</v>
      </c>
      <c r="H352" s="2">
        <v>46153</v>
      </c>
      <c r="I352" s="2">
        <v>46177</v>
      </c>
      <c r="J352" s="2">
        <v>46220</v>
      </c>
      <c r="K352" s="2" t="str">
        <f>IFERROR(VLOOKUP(B352,#REF!,4,0),"")</f>
        <v/>
      </c>
      <c r="L352" s="1" t="s">
        <v>13</v>
      </c>
      <c r="M352" s="1" t="s">
        <v>12</v>
      </c>
      <c r="O352" s="4"/>
      <c r="Q352" s="4"/>
    </row>
    <row r="353" spans="1:18" x14ac:dyDescent="0.3">
      <c r="A353" s="3">
        <f t="shared" ref="A353:A384" si="13">1+A352</f>
        <v>34</v>
      </c>
      <c r="B353" s="8" t="s">
        <v>1092</v>
      </c>
      <c r="C353" s="5" t="s">
        <v>1091</v>
      </c>
      <c r="D353" s="6">
        <v>424585373</v>
      </c>
      <c r="E353" s="5" t="s">
        <v>1090</v>
      </c>
      <c r="F353" s="5" t="s">
        <v>32</v>
      </c>
      <c r="G353" s="5" t="s">
        <v>3</v>
      </c>
      <c r="H353" s="2">
        <v>46157</v>
      </c>
      <c r="I353" s="2">
        <v>46195</v>
      </c>
      <c r="J353" s="2">
        <v>46220</v>
      </c>
      <c r="K353" s="2" t="str">
        <f>IFERROR(VLOOKUP(B353,#REF!,4,0),"")</f>
        <v/>
      </c>
      <c r="L353" s="1" t="s">
        <v>27</v>
      </c>
      <c r="M353" s="1" t="s">
        <v>12</v>
      </c>
      <c r="O353" s="4"/>
      <c r="Q353" s="4"/>
    </row>
    <row r="354" spans="1:18" x14ac:dyDescent="0.3">
      <c r="A354" s="3">
        <f t="shared" si="13"/>
        <v>35</v>
      </c>
      <c r="B354" s="8" t="s">
        <v>1089</v>
      </c>
      <c r="C354" s="5" t="s">
        <v>1088</v>
      </c>
      <c r="D354" s="6">
        <v>391782556</v>
      </c>
      <c r="E354" s="5" t="s">
        <v>1087</v>
      </c>
      <c r="F354" s="5" t="s">
        <v>48</v>
      </c>
      <c r="G354" s="5" t="s">
        <v>3</v>
      </c>
      <c r="H354" s="2">
        <v>46163</v>
      </c>
      <c r="I354" s="2">
        <v>46198</v>
      </c>
      <c r="J354" s="2">
        <v>46220</v>
      </c>
      <c r="K354" s="2" t="str">
        <f>IFERROR(VLOOKUP(B354,#REF!,4,0),"")</f>
        <v/>
      </c>
      <c r="L354" s="1" t="s">
        <v>44</v>
      </c>
      <c r="M354" s="1" t="s">
        <v>12</v>
      </c>
      <c r="O354" s="4"/>
      <c r="Q354" s="4"/>
    </row>
    <row r="355" spans="1:18" x14ac:dyDescent="0.3">
      <c r="A355" s="3">
        <f t="shared" si="13"/>
        <v>36</v>
      </c>
      <c r="B355" s="8" t="s">
        <v>1086</v>
      </c>
      <c r="C355" s="5" t="s">
        <v>1085</v>
      </c>
      <c r="D355" s="6">
        <v>398104804</v>
      </c>
      <c r="E355" s="5" t="s">
        <v>1084</v>
      </c>
      <c r="F355" s="5" t="s">
        <v>48</v>
      </c>
      <c r="G355" s="5" t="s">
        <v>3</v>
      </c>
      <c r="H355" s="2">
        <v>46163</v>
      </c>
      <c r="I355" s="2">
        <v>46198</v>
      </c>
      <c r="J355" s="2">
        <v>46220</v>
      </c>
      <c r="K355" s="2" t="str">
        <f>IFERROR(VLOOKUP(B355,#REF!,4,0),"")</f>
        <v/>
      </c>
      <c r="L355" s="1" t="s">
        <v>44</v>
      </c>
      <c r="M355" s="1" t="s">
        <v>12</v>
      </c>
      <c r="O355" s="4"/>
      <c r="Q355" s="4"/>
    </row>
    <row r="356" spans="1:18" x14ac:dyDescent="0.3">
      <c r="A356" s="3">
        <f t="shared" si="13"/>
        <v>37</v>
      </c>
      <c r="B356" s="8" t="s">
        <v>1083</v>
      </c>
      <c r="C356" s="5" t="s">
        <v>1082</v>
      </c>
      <c r="D356" s="6">
        <v>505817081</v>
      </c>
      <c r="E356" s="5" t="s">
        <v>24</v>
      </c>
      <c r="F356" s="5" t="s">
        <v>9</v>
      </c>
      <c r="G356" s="5" t="s">
        <v>3</v>
      </c>
      <c r="H356" s="2">
        <v>46165</v>
      </c>
      <c r="I356" s="2"/>
      <c r="J356" s="2">
        <v>46220</v>
      </c>
      <c r="K356" s="2" t="str">
        <f>IFERROR(VLOOKUP(B356,#REF!,4,0),"")</f>
        <v/>
      </c>
      <c r="L356" s="1" t="s">
        <v>20</v>
      </c>
      <c r="M356" s="1" t="s">
        <v>17</v>
      </c>
      <c r="O356" s="4"/>
      <c r="Q356" s="4"/>
    </row>
    <row r="357" spans="1:18" x14ac:dyDescent="0.3">
      <c r="A357" s="3">
        <f t="shared" si="13"/>
        <v>38</v>
      </c>
      <c r="B357" s="8" t="s">
        <v>1081</v>
      </c>
      <c r="C357" s="5" t="s">
        <v>1080</v>
      </c>
      <c r="D357" s="6">
        <v>382978441</v>
      </c>
      <c r="E357" s="5" t="s">
        <v>178</v>
      </c>
      <c r="F357" s="5" t="s">
        <v>28</v>
      </c>
      <c r="G357" s="5" t="s">
        <v>3</v>
      </c>
      <c r="H357" s="2">
        <v>46170</v>
      </c>
      <c r="I357" s="2"/>
      <c r="J357" s="2">
        <v>46220</v>
      </c>
      <c r="K357" s="2" t="str">
        <f>IFERROR(VLOOKUP(B357,#REF!,4,0),"")</f>
        <v/>
      </c>
      <c r="L357" s="1" t="s">
        <v>27</v>
      </c>
      <c r="M357" s="1" t="s">
        <v>12</v>
      </c>
      <c r="O357" s="4"/>
      <c r="Q357" s="4"/>
    </row>
    <row r="358" spans="1:18" x14ac:dyDescent="0.3">
      <c r="A358" s="3">
        <f t="shared" si="13"/>
        <v>39</v>
      </c>
      <c r="B358" s="8" t="s">
        <v>1079</v>
      </c>
      <c r="C358" s="5" t="s">
        <v>1078</v>
      </c>
      <c r="D358" s="6">
        <v>527848567</v>
      </c>
      <c r="E358" s="5" t="s">
        <v>1077</v>
      </c>
      <c r="F358" s="5" t="s">
        <v>32</v>
      </c>
      <c r="G358" s="5" t="s">
        <v>3</v>
      </c>
      <c r="H358" s="2">
        <v>46170</v>
      </c>
      <c r="I358" s="2"/>
      <c r="J358" s="2">
        <v>46220</v>
      </c>
      <c r="K358" s="2" t="str">
        <f>IFERROR(VLOOKUP(B358,#REF!,4,0),"")</f>
        <v/>
      </c>
      <c r="L358" s="1" t="s">
        <v>27</v>
      </c>
      <c r="M358" s="1" t="s">
        <v>12</v>
      </c>
      <c r="O358" s="4"/>
      <c r="Q358" s="4"/>
    </row>
    <row r="359" spans="1:18" x14ac:dyDescent="0.3">
      <c r="A359" s="3">
        <f t="shared" si="13"/>
        <v>40</v>
      </c>
      <c r="B359" s="8" t="s">
        <v>1076</v>
      </c>
      <c r="C359" s="5" t="s">
        <v>1075</v>
      </c>
      <c r="D359" s="6">
        <v>750666607</v>
      </c>
      <c r="E359" s="5" t="s">
        <v>673</v>
      </c>
      <c r="F359" s="5" t="s">
        <v>9</v>
      </c>
      <c r="G359" s="5" t="s">
        <v>3</v>
      </c>
      <c r="H359" s="2"/>
      <c r="I359" s="2"/>
      <c r="J359" s="2">
        <v>46220</v>
      </c>
      <c r="K359" s="2" t="str">
        <f>IFERROR(VLOOKUP(B359,#REF!,4,0),"")</f>
        <v/>
      </c>
      <c r="L359" s="1" t="s">
        <v>20</v>
      </c>
      <c r="M359" s="1" t="s">
        <v>17</v>
      </c>
      <c r="O359" s="4"/>
      <c r="Q359" s="4"/>
    </row>
    <row r="360" spans="1:18" x14ac:dyDescent="0.3">
      <c r="A360" s="3">
        <f t="shared" si="13"/>
        <v>41</v>
      </c>
      <c r="B360" s="9" t="s">
        <v>1074</v>
      </c>
      <c r="C360" s="5" t="s">
        <v>1073</v>
      </c>
      <c r="D360" s="6">
        <v>458866777</v>
      </c>
      <c r="E360" s="5" t="s">
        <v>150</v>
      </c>
      <c r="F360" s="5" t="s">
        <v>28</v>
      </c>
      <c r="G360" s="5" t="s">
        <v>3</v>
      </c>
      <c r="H360" s="2"/>
      <c r="I360" s="2"/>
      <c r="J360" s="2">
        <v>46220</v>
      </c>
      <c r="K360" s="2" t="str">
        <f>IFERROR(VLOOKUP(B360,#REF!,4,0),"")</f>
        <v/>
      </c>
      <c r="L360" s="1" t="s">
        <v>27</v>
      </c>
      <c r="M360" s="1" t="s">
        <v>17</v>
      </c>
      <c r="O360" s="4"/>
      <c r="Q360" s="4"/>
    </row>
    <row r="361" spans="1:18" x14ac:dyDescent="0.3">
      <c r="A361" s="3">
        <f t="shared" si="13"/>
        <v>42</v>
      </c>
      <c r="B361" s="8" t="s">
        <v>1072</v>
      </c>
      <c r="C361" s="5" t="s">
        <v>1071</v>
      </c>
      <c r="D361" s="6">
        <v>234697333</v>
      </c>
      <c r="E361" s="5" t="s">
        <v>805</v>
      </c>
      <c r="F361" s="5" t="s">
        <v>4</v>
      </c>
      <c r="G361" s="5" t="s">
        <v>3</v>
      </c>
      <c r="H361" s="2"/>
      <c r="I361" s="2">
        <v>46178</v>
      </c>
      <c r="J361" s="2">
        <v>46220</v>
      </c>
      <c r="K361" s="2" t="str">
        <f>IFERROR(VLOOKUP(B361,#REF!,4,0),"")</f>
        <v/>
      </c>
      <c r="M361" s="1" t="s">
        <v>12</v>
      </c>
      <c r="O361" s="4"/>
      <c r="Q361" s="4"/>
    </row>
    <row r="362" spans="1:18" x14ac:dyDescent="0.3">
      <c r="A362" s="3">
        <f t="shared" si="13"/>
        <v>43</v>
      </c>
      <c r="B362" s="8" t="s">
        <v>1070</v>
      </c>
      <c r="C362" s="5" t="s">
        <v>1069</v>
      </c>
      <c r="D362" s="6">
        <v>354968195</v>
      </c>
      <c r="E362" s="5" t="s">
        <v>256</v>
      </c>
      <c r="F362" s="5" t="s">
        <v>4</v>
      </c>
      <c r="G362" s="5" t="s">
        <v>3</v>
      </c>
      <c r="H362" s="2"/>
      <c r="I362" s="2"/>
      <c r="J362" s="2">
        <v>46220</v>
      </c>
      <c r="K362" s="2" t="str">
        <f>IFERROR(VLOOKUP(B362,#REF!,4,0),"")</f>
        <v/>
      </c>
      <c r="M362" s="1" t="s">
        <v>12</v>
      </c>
      <c r="O362" s="4"/>
      <c r="Q362" s="4"/>
    </row>
    <row r="363" spans="1:18" x14ac:dyDescent="0.3">
      <c r="A363" s="3">
        <f t="shared" si="13"/>
        <v>44</v>
      </c>
      <c r="B363" s="8" t="s">
        <v>1068</v>
      </c>
      <c r="C363" s="5" t="s">
        <v>1067</v>
      </c>
      <c r="D363" s="6">
        <v>482579378</v>
      </c>
      <c r="E363" s="5" t="s">
        <v>805</v>
      </c>
      <c r="F363" s="5" t="s">
        <v>4</v>
      </c>
      <c r="G363" s="5" t="s">
        <v>3</v>
      </c>
      <c r="H363" s="2"/>
      <c r="I363" s="2"/>
      <c r="J363" s="2">
        <v>46220</v>
      </c>
      <c r="K363" s="2" t="str">
        <f>IFERROR(VLOOKUP(B363,#REF!,4,0),"")</f>
        <v/>
      </c>
      <c r="L363" s="1" t="s">
        <v>20</v>
      </c>
      <c r="M363" s="1" t="s">
        <v>12</v>
      </c>
      <c r="O363" s="4"/>
      <c r="Q363" s="4"/>
    </row>
    <row r="364" spans="1:18" x14ac:dyDescent="0.3">
      <c r="A364" s="3">
        <f t="shared" si="13"/>
        <v>45</v>
      </c>
      <c r="B364" s="8" t="s">
        <v>1066</v>
      </c>
      <c r="C364" s="5" t="s">
        <v>1065</v>
      </c>
      <c r="D364" s="6">
        <v>541082655</v>
      </c>
      <c r="E364" s="5" t="s">
        <v>909</v>
      </c>
      <c r="F364" s="5" t="s">
        <v>9</v>
      </c>
      <c r="G364" s="5" t="s">
        <v>3</v>
      </c>
      <c r="H364" s="2">
        <v>46151</v>
      </c>
      <c r="I364" s="2">
        <v>46186</v>
      </c>
      <c r="J364" s="2">
        <v>46221</v>
      </c>
      <c r="K364" s="2" t="str">
        <f>IFERROR(VLOOKUP(B364,#REF!,4,0),"")</f>
        <v/>
      </c>
      <c r="L364" s="1" t="s">
        <v>20</v>
      </c>
      <c r="M364" s="1" t="s">
        <v>17</v>
      </c>
      <c r="O364" s="4" t="s">
        <v>0</v>
      </c>
      <c r="Q364" s="4" t="s">
        <v>0</v>
      </c>
      <c r="R364" s="1" t="s">
        <v>0</v>
      </c>
    </row>
    <row r="365" spans="1:18" x14ac:dyDescent="0.3">
      <c r="A365" s="3">
        <f t="shared" si="13"/>
        <v>46</v>
      </c>
      <c r="B365" s="11" t="s">
        <v>1064</v>
      </c>
      <c r="C365" s="5" t="s">
        <v>1063</v>
      </c>
      <c r="D365" s="6">
        <v>491099828</v>
      </c>
      <c r="E365" s="5" t="s">
        <v>78</v>
      </c>
      <c r="F365" s="5" t="s">
        <v>4</v>
      </c>
      <c r="G365" s="5" t="s">
        <v>3</v>
      </c>
      <c r="H365" s="2"/>
      <c r="I365" s="2">
        <v>46176</v>
      </c>
      <c r="J365" s="2">
        <v>46221</v>
      </c>
      <c r="K365" s="2" t="str">
        <f>IFERROR(VLOOKUP(B365,#REF!,4,0),"")</f>
        <v/>
      </c>
      <c r="M365" s="1" t="s">
        <v>17</v>
      </c>
      <c r="O365" s="4"/>
      <c r="Q365" s="4"/>
    </row>
    <row r="366" spans="1:18" x14ac:dyDescent="0.3">
      <c r="A366" s="3">
        <f t="shared" si="13"/>
        <v>47</v>
      </c>
      <c r="B366" s="22" t="s">
        <v>1062</v>
      </c>
      <c r="C366" s="5" t="s">
        <v>1061</v>
      </c>
      <c r="D366" s="6">
        <v>542623747</v>
      </c>
      <c r="E366" s="5" t="s">
        <v>256</v>
      </c>
      <c r="F366" s="5" t="s">
        <v>4</v>
      </c>
      <c r="G366" s="5" t="s">
        <v>3</v>
      </c>
      <c r="H366" s="2"/>
      <c r="I366" s="2">
        <v>46186</v>
      </c>
      <c r="J366" s="2">
        <v>46221</v>
      </c>
      <c r="K366" s="2" t="str">
        <f>IFERROR(VLOOKUP(B366,#REF!,4,0),"")</f>
        <v/>
      </c>
      <c r="M366" s="1" t="s">
        <v>12</v>
      </c>
      <c r="O366" s="4" t="s">
        <v>0</v>
      </c>
      <c r="Q366" s="4" t="s">
        <v>0</v>
      </c>
      <c r="R366" s="1" t="s">
        <v>0</v>
      </c>
    </row>
    <row r="367" spans="1:18" x14ac:dyDescent="0.3">
      <c r="A367" s="3">
        <f t="shared" si="13"/>
        <v>48</v>
      </c>
      <c r="B367" s="8" t="s">
        <v>1060</v>
      </c>
      <c r="C367" s="5" t="s">
        <v>1059</v>
      </c>
      <c r="D367" s="6">
        <v>368244694</v>
      </c>
      <c r="E367" s="5" t="s">
        <v>466</v>
      </c>
      <c r="F367" s="5" t="s">
        <v>4</v>
      </c>
      <c r="G367" s="5" t="s">
        <v>3</v>
      </c>
      <c r="H367" s="2"/>
      <c r="I367" s="2"/>
      <c r="J367" s="2">
        <v>46221</v>
      </c>
      <c r="K367" s="2" t="str">
        <f>IFERROR(VLOOKUP(B367,#REF!,4,0),"")</f>
        <v/>
      </c>
      <c r="L367" s="1" t="s">
        <v>77</v>
      </c>
      <c r="M367" s="1" t="s">
        <v>12</v>
      </c>
      <c r="O367" s="4"/>
      <c r="Q367" s="4"/>
    </row>
    <row r="368" spans="1:18" x14ac:dyDescent="0.3">
      <c r="A368" s="3">
        <f t="shared" si="13"/>
        <v>49</v>
      </c>
      <c r="B368" s="8" t="s">
        <v>1058</v>
      </c>
      <c r="C368" s="5" t="s">
        <v>1057</v>
      </c>
      <c r="D368" s="6">
        <v>497030410</v>
      </c>
      <c r="E368" s="5" t="s">
        <v>860</v>
      </c>
      <c r="F368" s="5" t="s">
        <v>9</v>
      </c>
      <c r="G368" s="5" t="s">
        <v>3</v>
      </c>
      <c r="H368" s="2">
        <v>46144</v>
      </c>
      <c r="I368" s="2"/>
      <c r="J368" s="2">
        <v>46221</v>
      </c>
      <c r="K368" s="2" t="str">
        <f>IFERROR(VLOOKUP(B368,#REF!,4,0),"")</f>
        <v/>
      </c>
      <c r="L368" s="1" t="s">
        <v>124</v>
      </c>
      <c r="M368" s="1" t="s">
        <v>17</v>
      </c>
      <c r="O368" s="4"/>
      <c r="Q368" s="4"/>
    </row>
    <row r="369" spans="1:18" x14ac:dyDescent="0.3">
      <c r="A369" s="3">
        <f t="shared" si="13"/>
        <v>50</v>
      </c>
      <c r="B369" s="8" t="s">
        <v>1056</v>
      </c>
      <c r="C369" s="5" t="s">
        <v>1055</v>
      </c>
      <c r="D369" s="6">
        <v>430313389</v>
      </c>
      <c r="E369" s="5" t="s">
        <v>1054</v>
      </c>
      <c r="F369" s="5" t="s">
        <v>9</v>
      </c>
      <c r="G369" s="5" t="s">
        <v>3</v>
      </c>
      <c r="H369" s="2">
        <v>46149</v>
      </c>
      <c r="I369" s="2"/>
      <c r="J369" s="2">
        <v>46221</v>
      </c>
      <c r="K369" s="2" t="str">
        <f>IFERROR(VLOOKUP(B369,#REF!,4,0),"")</f>
        <v/>
      </c>
      <c r="L369" s="1" t="s">
        <v>20</v>
      </c>
      <c r="M369" s="1" t="s">
        <v>12</v>
      </c>
      <c r="O369" s="4"/>
      <c r="Q369" s="4"/>
    </row>
    <row r="370" spans="1:18" x14ac:dyDescent="0.3">
      <c r="A370" s="3">
        <f t="shared" si="13"/>
        <v>51</v>
      </c>
      <c r="B370" s="8" t="s">
        <v>1053</v>
      </c>
      <c r="C370" s="5" t="s">
        <v>1052</v>
      </c>
      <c r="D370" s="6">
        <v>566545417</v>
      </c>
      <c r="E370" s="5" t="s">
        <v>115</v>
      </c>
      <c r="F370" s="5" t="s">
        <v>4</v>
      </c>
      <c r="G370" s="5" t="s">
        <v>3</v>
      </c>
      <c r="H370" s="2">
        <v>46154</v>
      </c>
      <c r="I370" s="2"/>
      <c r="J370" s="2">
        <v>46221</v>
      </c>
      <c r="K370" s="2" t="str">
        <f>IFERROR(VLOOKUP(B370,#REF!,4,0),"")</f>
        <v/>
      </c>
      <c r="L370" s="1" t="s">
        <v>77</v>
      </c>
      <c r="M370" s="1" t="s">
        <v>17</v>
      </c>
      <c r="O370" s="4"/>
      <c r="Q370" s="4"/>
    </row>
    <row r="371" spans="1:18" x14ac:dyDescent="0.3">
      <c r="A371" s="3">
        <f t="shared" si="13"/>
        <v>52</v>
      </c>
      <c r="B371" s="8" t="s">
        <v>1051</v>
      </c>
      <c r="C371" s="5" t="s">
        <v>1050</v>
      </c>
      <c r="D371" s="6">
        <v>419329054</v>
      </c>
      <c r="E371" s="5" t="s">
        <v>192</v>
      </c>
      <c r="F371" s="5" t="s">
        <v>9</v>
      </c>
      <c r="G371" s="5" t="s">
        <v>3</v>
      </c>
      <c r="H371" s="2">
        <v>46160</v>
      </c>
      <c r="I371" s="2"/>
      <c r="J371" s="2">
        <v>46221</v>
      </c>
      <c r="K371" s="2" t="str">
        <f>IFERROR(VLOOKUP(B371,#REF!,4,0),"")</f>
        <v/>
      </c>
      <c r="L371" s="1" t="s">
        <v>20</v>
      </c>
      <c r="M371" s="1" t="s">
        <v>12</v>
      </c>
      <c r="O371" s="4"/>
      <c r="Q371" s="4"/>
    </row>
    <row r="372" spans="1:18" x14ac:dyDescent="0.3">
      <c r="A372" s="3">
        <f t="shared" si="13"/>
        <v>53</v>
      </c>
      <c r="B372" s="8" t="s">
        <v>1049</v>
      </c>
      <c r="C372" s="5" t="s">
        <v>1048</v>
      </c>
      <c r="D372" s="6">
        <v>502936909</v>
      </c>
      <c r="E372" s="5" t="s">
        <v>857</v>
      </c>
      <c r="F372" s="5" t="s">
        <v>28</v>
      </c>
      <c r="G372" s="5" t="s">
        <v>3</v>
      </c>
      <c r="H372" s="2">
        <v>46171</v>
      </c>
      <c r="I372" s="2"/>
      <c r="J372" s="2">
        <v>46221</v>
      </c>
      <c r="K372" s="2" t="str">
        <f>IFERROR(VLOOKUP(B372,#REF!,4,0),"")</f>
        <v/>
      </c>
      <c r="L372" s="1" t="s">
        <v>27</v>
      </c>
      <c r="M372" s="1" t="s">
        <v>17</v>
      </c>
      <c r="O372" s="4"/>
      <c r="Q372" s="4"/>
    </row>
    <row r="373" spans="1:18" x14ac:dyDescent="0.3">
      <c r="A373" s="3">
        <f t="shared" si="13"/>
        <v>54</v>
      </c>
      <c r="B373" s="8" t="s">
        <v>1047</v>
      </c>
      <c r="C373" s="5" t="s">
        <v>1046</v>
      </c>
      <c r="D373" s="6">
        <v>501891475</v>
      </c>
      <c r="E373" s="5" t="s">
        <v>691</v>
      </c>
      <c r="F373" s="5" t="s">
        <v>4</v>
      </c>
      <c r="G373" s="5" t="s">
        <v>3</v>
      </c>
      <c r="H373" s="2">
        <v>46172</v>
      </c>
      <c r="I373" s="2">
        <v>46202</v>
      </c>
      <c r="J373" s="2">
        <v>46221</v>
      </c>
      <c r="K373" s="2" t="str">
        <f>IFERROR(VLOOKUP(B373,#REF!,4,0),"")</f>
        <v/>
      </c>
      <c r="M373" s="1" t="s">
        <v>17</v>
      </c>
      <c r="O373" s="4"/>
      <c r="Q373" s="4"/>
    </row>
    <row r="374" spans="1:18" x14ac:dyDescent="0.3">
      <c r="A374" s="3">
        <f t="shared" si="13"/>
        <v>55</v>
      </c>
      <c r="B374" s="8" t="s">
        <v>1045</v>
      </c>
      <c r="C374" s="5" t="s">
        <v>1044</v>
      </c>
      <c r="D374" s="6">
        <v>575906228</v>
      </c>
      <c r="E374" s="5" t="s">
        <v>854</v>
      </c>
      <c r="F374" s="5" t="s">
        <v>4</v>
      </c>
      <c r="G374" s="5" t="s">
        <v>3</v>
      </c>
      <c r="H374" s="2"/>
      <c r="I374" s="2">
        <v>46176</v>
      </c>
      <c r="J374" s="2">
        <v>46221</v>
      </c>
      <c r="K374" s="2" t="str">
        <f>IFERROR(VLOOKUP(B374,#REF!,4,0),"")</f>
        <v/>
      </c>
      <c r="L374" s="1" t="s">
        <v>77</v>
      </c>
      <c r="M374" s="1" t="s">
        <v>17</v>
      </c>
      <c r="O374" s="4"/>
      <c r="Q374" s="4"/>
    </row>
    <row r="375" spans="1:18" x14ac:dyDescent="0.3">
      <c r="A375" s="3">
        <f t="shared" si="13"/>
        <v>56</v>
      </c>
      <c r="B375" s="8" t="s">
        <v>1043</v>
      </c>
      <c r="C375" s="5" t="s">
        <v>1042</v>
      </c>
      <c r="D375" s="6">
        <v>487017908</v>
      </c>
      <c r="E375" s="5" t="s">
        <v>192</v>
      </c>
      <c r="F375" s="5" t="s">
        <v>9</v>
      </c>
      <c r="G375" s="5" t="s">
        <v>3</v>
      </c>
      <c r="H375" s="2"/>
      <c r="I375" s="2"/>
      <c r="J375" s="2">
        <v>46221</v>
      </c>
      <c r="K375" s="2" t="str">
        <f>IFERROR(VLOOKUP(B375,#REF!,4,0),"")</f>
        <v/>
      </c>
      <c r="L375" s="1" t="s">
        <v>20</v>
      </c>
      <c r="M375" s="1" t="s">
        <v>17</v>
      </c>
      <c r="O375" s="4"/>
      <c r="Q375" s="4"/>
    </row>
    <row r="376" spans="1:18" x14ac:dyDescent="0.3">
      <c r="A376" s="3">
        <f t="shared" si="13"/>
        <v>57</v>
      </c>
      <c r="B376" s="8" t="s">
        <v>1041</v>
      </c>
      <c r="C376" s="5" t="s">
        <v>1040</v>
      </c>
      <c r="D376" s="6">
        <v>499058516</v>
      </c>
      <c r="E376" s="5" t="s">
        <v>1039</v>
      </c>
      <c r="F376" s="5" t="s">
        <v>36</v>
      </c>
      <c r="G376" s="5" t="s">
        <v>3</v>
      </c>
      <c r="H376" s="2"/>
      <c r="I376" s="2">
        <v>46185</v>
      </c>
      <c r="J376" s="2">
        <v>46221</v>
      </c>
      <c r="K376" s="2" t="str">
        <f>IFERROR(VLOOKUP(B376,#REF!,4,0),"")</f>
        <v/>
      </c>
      <c r="L376" s="1" t="s">
        <v>13</v>
      </c>
      <c r="M376" s="1" t="s">
        <v>12</v>
      </c>
      <c r="O376" s="4"/>
      <c r="Q376" s="4"/>
    </row>
    <row r="377" spans="1:18" x14ac:dyDescent="0.3">
      <c r="A377" s="3">
        <f t="shared" si="13"/>
        <v>58</v>
      </c>
      <c r="B377" s="8" t="s">
        <v>1038</v>
      </c>
      <c r="C377" s="5" t="s">
        <v>1037</v>
      </c>
      <c r="D377" s="6">
        <v>432841725</v>
      </c>
      <c r="E377" s="5" t="s">
        <v>78</v>
      </c>
      <c r="F377" s="5" t="s">
        <v>4</v>
      </c>
      <c r="G377" s="5" t="s">
        <v>3</v>
      </c>
      <c r="H377" s="2">
        <v>46168</v>
      </c>
      <c r="I377" s="2">
        <v>46190</v>
      </c>
      <c r="J377" s="2">
        <v>46223</v>
      </c>
      <c r="K377" s="2" t="str">
        <f>IFERROR(VLOOKUP(B377,#REF!,4,0),"")</f>
        <v/>
      </c>
      <c r="L377" s="1" t="s">
        <v>2</v>
      </c>
      <c r="M377" s="1" t="s">
        <v>12</v>
      </c>
      <c r="O377" s="4" t="s">
        <v>0</v>
      </c>
      <c r="Q377" s="4" t="s">
        <v>0</v>
      </c>
      <c r="R377" s="1" t="s">
        <v>0</v>
      </c>
    </row>
    <row r="378" spans="1:18" x14ac:dyDescent="0.3">
      <c r="A378" s="3">
        <f t="shared" si="13"/>
        <v>59</v>
      </c>
      <c r="B378" s="8" t="s">
        <v>1036</v>
      </c>
      <c r="C378" s="5" t="s">
        <v>1035</v>
      </c>
      <c r="D378" s="6">
        <v>579595432</v>
      </c>
      <c r="E378" s="5" t="s">
        <v>814</v>
      </c>
      <c r="F378" s="5" t="s">
        <v>28</v>
      </c>
      <c r="G378" s="5" t="s">
        <v>3</v>
      </c>
      <c r="H378" s="2">
        <v>46150</v>
      </c>
      <c r="I378" s="2">
        <v>46196</v>
      </c>
      <c r="J378" s="2">
        <v>46223</v>
      </c>
      <c r="K378" s="2" t="str">
        <f>IFERROR(VLOOKUP(B378,#REF!,4,0),"")</f>
        <v/>
      </c>
      <c r="L378" s="1" t="s">
        <v>27</v>
      </c>
      <c r="M378" s="1" t="s">
        <v>17</v>
      </c>
      <c r="O378" s="4" t="s">
        <v>0</v>
      </c>
      <c r="Q378" s="4" t="s">
        <v>0</v>
      </c>
      <c r="R378" s="1" t="s">
        <v>0</v>
      </c>
    </row>
    <row r="379" spans="1:18" x14ac:dyDescent="0.3">
      <c r="A379" s="3">
        <f t="shared" si="13"/>
        <v>60</v>
      </c>
      <c r="B379" s="8" t="s">
        <v>1034</v>
      </c>
      <c r="C379" s="5" t="s">
        <v>1033</v>
      </c>
      <c r="D379" s="6">
        <v>410512211</v>
      </c>
      <c r="E379" s="5" t="s">
        <v>968</v>
      </c>
      <c r="F379" s="5" t="s">
        <v>4</v>
      </c>
      <c r="G379" s="5" t="s">
        <v>3</v>
      </c>
      <c r="H379" s="2">
        <v>46162</v>
      </c>
      <c r="I379" s="2">
        <v>46188</v>
      </c>
      <c r="J379" s="2">
        <v>46223</v>
      </c>
      <c r="K379" s="2" t="str">
        <f>IFERROR(VLOOKUP(B379,#REF!,4,0),"")</f>
        <v/>
      </c>
      <c r="L379" s="1" t="s">
        <v>77</v>
      </c>
      <c r="M379" s="1" t="s">
        <v>12</v>
      </c>
      <c r="O379" s="4" t="s">
        <v>0</v>
      </c>
      <c r="Q379" s="4" t="s">
        <v>0</v>
      </c>
      <c r="R379" s="1" t="s">
        <v>0</v>
      </c>
    </row>
    <row r="380" spans="1:18" x14ac:dyDescent="0.3">
      <c r="A380" s="3">
        <f t="shared" si="13"/>
        <v>61</v>
      </c>
      <c r="B380" s="8" t="s">
        <v>1032</v>
      </c>
      <c r="C380" s="5" t="s">
        <v>1031</v>
      </c>
      <c r="D380" s="6">
        <v>524906689</v>
      </c>
      <c r="E380" s="5" t="s">
        <v>586</v>
      </c>
      <c r="F380" s="5" t="s">
        <v>36</v>
      </c>
      <c r="G380" s="5" t="s">
        <v>3</v>
      </c>
      <c r="H380" s="2">
        <v>46147</v>
      </c>
      <c r="I380" s="2"/>
      <c r="J380" s="2">
        <v>46223</v>
      </c>
      <c r="K380" s="2" t="str">
        <f>IFERROR(VLOOKUP(B380,#REF!,4,0),"")</f>
        <v/>
      </c>
      <c r="L380" s="1" t="s">
        <v>13</v>
      </c>
      <c r="M380" s="1" t="s">
        <v>12</v>
      </c>
      <c r="O380" s="4"/>
      <c r="P380" s="1" t="s">
        <v>1</v>
      </c>
      <c r="Q380" s="4"/>
    </row>
    <row r="381" spans="1:18" x14ac:dyDescent="0.3">
      <c r="A381" s="3">
        <f t="shared" si="13"/>
        <v>62</v>
      </c>
      <c r="B381" s="8" t="s">
        <v>1030</v>
      </c>
      <c r="C381" s="5" t="s">
        <v>1029</v>
      </c>
      <c r="D381" s="6">
        <v>425219293</v>
      </c>
      <c r="E381" s="5" t="s">
        <v>1028</v>
      </c>
      <c r="F381" s="5" t="s">
        <v>28</v>
      </c>
      <c r="G381" s="5" t="s">
        <v>3</v>
      </c>
      <c r="H381" s="2">
        <v>46153</v>
      </c>
      <c r="I381" s="2">
        <v>46188</v>
      </c>
      <c r="J381" s="2">
        <v>46223</v>
      </c>
      <c r="K381" s="2" t="str">
        <f>IFERROR(VLOOKUP(B381,#REF!,4,0),"")</f>
        <v/>
      </c>
      <c r="L381" s="1" t="s">
        <v>27</v>
      </c>
      <c r="M381" s="1" t="s">
        <v>12</v>
      </c>
      <c r="O381" s="4"/>
      <c r="Q381" s="4"/>
    </row>
    <row r="382" spans="1:18" x14ac:dyDescent="0.3">
      <c r="A382" s="3">
        <f t="shared" si="13"/>
        <v>63</v>
      </c>
      <c r="B382" s="8" t="s">
        <v>1027</v>
      </c>
      <c r="C382" s="5" t="s">
        <v>1026</v>
      </c>
      <c r="D382" s="6">
        <v>593222899</v>
      </c>
      <c r="E382" s="5" t="s">
        <v>1025</v>
      </c>
      <c r="F382" s="5" t="s">
        <v>28</v>
      </c>
      <c r="G382" s="5" t="s">
        <v>3</v>
      </c>
      <c r="H382" s="2"/>
      <c r="I382" s="2"/>
      <c r="J382" s="2">
        <v>46223</v>
      </c>
      <c r="K382" s="2" t="str">
        <f>IFERROR(VLOOKUP(B382,#REF!,4,0),"")</f>
        <v/>
      </c>
      <c r="L382" s="1" t="s">
        <v>27</v>
      </c>
      <c r="M382" s="1" t="s">
        <v>12</v>
      </c>
      <c r="O382" s="4"/>
      <c r="Q382" s="4"/>
    </row>
    <row r="383" spans="1:18" x14ac:dyDescent="0.3">
      <c r="A383" s="3">
        <f t="shared" si="13"/>
        <v>64</v>
      </c>
      <c r="B383" s="8" t="s">
        <v>1024</v>
      </c>
      <c r="C383" s="5" t="s">
        <v>1023</v>
      </c>
      <c r="D383" s="6">
        <v>477275598</v>
      </c>
      <c r="E383" s="5" t="s">
        <v>586</v>
      </c>
      <c r="F383" s="5" t="s">
        <v>36</v>
      </c>
      <c r="G383" s="5" t="s">
        <v>3</v>
      </c>
      <c r="H383" s="2"/>
      <c r="I383" s="2">
        <v>46182</v>
      </c>
      <c r="J383" s="2">
        <v>46223</v>
      </c>
      <c r="K383" s="2" t="str">
        <f>IFERROR(VLOOKUP(B383,#REF!,4,0),"")</f>
        <v/>
      </c>
      <c r="L383" s="1" t="s">
        <v>13</v>
      </c>
      <c r="M383" s="1" t="s">
        <v>17</v>
      </c>
      <c r="O383" s="4"/>
      <c r="Q383" s="4"/>
    </row>
    <row r="384" spans="1:18" x14ac:dyDescent="0.3">
      <c r="A384" s="3">
        <f t="shared" si="13"/>
        <v>65</v>
      </c>
      <c r="B384" s="8" t="s">
        <v>1022</v>
      </c>
      <c r="C384" s="5" t="s">
        <v>1021</v>
      </c>
      <c r="D384" s="6">
        <v>418032320</v>
      </c>
      <c r="E384" s="5" t="s">
        <v>192</v>
      </c>
      <c r="F384" s="5" t="s">
        <v>9</v>
      </c>
      <c r="G384" s="5" t="s">
        <v>3</v>
      </c>
      <c r="H384" s="2"/>
      <c r="I384" s="2"/>
      <c r="J384" s="2">
        <v>46223</v>
      </c>
      <c r="K384" s="2" t="str">
        <f>IFERROR(VLOOKUP(B384,#REF!,4,0),"")</f>
        <v/>
      </c>
      <c r="L384" s="1" t="s">
        <v>20</v>
      </c>
      <c r="M384" s="1" t="s">
        <v>12</v>
      </c>
      <c r="O384" s="4"/>
      <c r="Q384" s="4"/>
    </row>
    <row r="385" spans="1:18" x14ac:dyDescent="0.3">
      <c r="A385" s="3">
        <f t="shared" ref="A385:A416" si="14">1+A384</f>
        <v>66</v>
      </c>
      <c r="B385" s="8" t="s">
        <v>1020</v>
      </c>
      <c r="C385" s="5" t="s">
        <v>1019</v>
      </c>
      <c r="D385" s="6">
        <v>459665016</v>
      </c>
      <c r="E385" s="5" t="s">
        <v>466</v>
      </c>
      <c r="F385" s="5" t="s">
        <v>4</v>
      </c>
      <c r="G385" s="5" t="s">
        <v>3</v>
      </c>
      <c r="H385" s="2"/>
      <c r="I385" s="2">
        <v>46175</v>
      </c>
      <c r="J385" s="2">
        <v>46223</v>
      </c>
      <c r="K385" s="2" t="str">
        <f>IFERROR(VLOOKUP(B385,#REF!,4,0),"")</f>
        <v/>
      </c>
      <c r="L385" s="1" t="s">
        <v>77</v>
      </c>
      <c r="M385" s="1" t="s">
        <v>12</v>
      </c>
      <c r="O385" s="4"/>
      <c r="Q385" s="4"/>
    </row>
    <row r="386" spans="1:18" x14ac:dyDescent="0.3">
      <c r="A386" s="3">
        <f t="shared" si="14"/>
        <v>67</v>
      </c>
      <c r="B386" s="8" t="s">
        <v>1018</v>
      </c>
      <c r="C386" s="5" t="s">
        <v>1017</v>
      </c>
      <c r="D386" s="6">
        <v>273137805</v>
      </c>
      <c r="E386" s="5" t="s">
        <v>131</v>
      </c>
      <c r="F386" s="5" t="s">
        <v>9</v>
      </c>
      <c r="G386" s="5" t="s">
        <v>3</v>
      </c>
      <c r="H386" s="2"/>
      <c r="I386" s="2"/>
      <c r="J386" s="2">
        <v>46223</v>
      </c>
      <c r="K386" s="2" t="str">
        <f>IFERROR(VLOOKUP(B386,#REF!,4,0),"")</f>
        <v/>
      </c>
      <c r="L386" s="1" t="s">
        <v>124</v>
      </c>
      <c r="M386" s="1" t="s">
        <v>134</v>
      </c>
      <c r="O386" s="4"/>
      <c r="Q386" s="4"/>
    </row>
    <row r="387" spans="1:18" x14ac:dyDescent="0.3">
      <c r="A387" s="3">
        <f t="shared" si="14"/>
        <v>68</v>
      </c>
      <c r="B387" s="8" t="s">
        <v>1016</v>
      </c>
      <c r="C387" s="5" t="s">
        <v>1015</v>
      </c>
      <c r="D387" s="6">
        <v>362846266</v>
      </c>
      <c r="E387" s="5" t="s">
        <v>756</v>
      </c>
      <c r="F387" s="5" t="s">
        <v>4</v>
      </c>
      <c r="G387" s="5" t="s">
        <v>3</v>
      </c>
      <c r="H387" s="2"/>
      <c r="I387" s="2">
        <v>46202</v>
      </c>
      <c r="J387" s="2">
        <v>46223</v>
      </c>
      <c r="K387" s="2" t="str">
        <f>IFERROR(VLOOKUP(B387,#REF!,4,0),"")</f>
        <v/>
      </c>
      <c r="M387" s="1" t="s">
        <v>12</v>
      </c>
      <c r="O387" s="4" t="s">
        <v>1014</v>
      </c>
      <c r="Q387" s="4"/>
    </row>
    <row r="388" spans="1:18" x14ac:dyDescent="0.3">
      <c r="A388" s="3">
        <f t="shared" si="14"/>
        <v>69</v>
      </c>
      <c r="B388" s="8" t="s">
        <v>1013</v>
      </c>
      <c r="C388" s="5" t="s">
        <v>1012</v>
      </c>
      <c r="D388" s="6">
        <v>433974164</v>
      </c>
      <c r="E388" s="5" t="s">
        <v>373</v>
      </c>
      <c r="F388" s="5" t="s">
        <v>4</v>
      </c>
      <c r="G388" s="5" t="s">
        <v>3</v>
      </c>
      <c r="H388" s="2"/>
      <c r="I388" s="2">
        <v>46202</v>
      </c>
      <c r="J388" s="2">
        <v>46223</v>
      </c>
      <c r="K388" s="2" t="str">
        <f>IFERROR(VLOOKUP(B388,#REF!,4,0),"")</f>
        <v/>
      </c>
      <c r="M388" s="1" t="s">
        <v>12</v>
      </c>
      <c r="O388" s="4"/>
      <c r="Q388" s="4"/>
    </row>
    <row r="389" spans="1:18" x14ac:dyDescent="0.3">
      <c r="A389" s="3">
        <f t="shared" si="14"/>
        <v>70</v>
      </c>
      <c r="B389" s="8" t="s">
        <v>1011</v>
      </c>
      <c r="C389" s="5" t="s">
        <v>1010</v>
      </c>
      <c r="D389" s="6">
        <v>495498449</v>
      </c>
      <c r="E389" s="5" t="s">
        <v>1009</v>
      </c>
      <c r="F389" s="5" t="s">
        <v>4</v>
      </c>
      <c r="G389" s="5" t="s">
        <v>3</v>
      </c>
      <c r="H389" s="2"/>
      <c r="I389" s="2">
        <v>46176</v>
      </c>
      <c r="J389" s="2">
        <v>46223</v>
      </c>
      <c r="K389" s="2" t="str">
        <f>IFERROR(VLOOKUP(B389,#REF!,4,0),"")</f>
        <v/>
      </c>
      <c r="L389" s="1" t="s">
        <v>77</v>
      </c>
      <c r="M389" s="1" t="s">
        <v>17</v>
      </c>
      <c r="O389" s="4"/>
      <c r="Q389" s="4"/>
    </row>
    <row r="390" spans="1:18" x14ac:dyDescent="0.3">
      <c r="A390" s="3">
        <f t="shared" si="14"/>
        <v>71</v>
      </c>
      <c r="B390" s="8" t="s">
        <v>1008</v>
      </c>
      <c r="C390" s="5" t="s">
        <v>1007</v>
      </c>
      <c r="D390" s="6">
        <v>782002424</v>
      </c>
      <c r="E390" s="5" t="s">
        <v>1006</v>
      </c>
      <c r="F390" s="5" t="s">
        <v>28</v>
      </c>
      <c r="G390" s="5" t="s">
        <v>3</v>
      </c>
      <c r="H390" s="2"/>
      <c r="I390" s="2"/>
      <c r="J390" s="2">
        <v>46223</v>
      </c>
      <c r="K390" s="2" t="str">
        <f>IFERROR(VLOOKUP(B390,#REF!,4,0),"")</f>
        <v/>
      </c>
      <c r="L390" s="1" t="s">
        <v>27</v>
      </c>
      <c r="M390" s="1" t="s">
        <v>17</v>
      </c>
      <c r="O390" s="4"/>
      <c r="Q390" s="4"/>
    </row>
    <row r="391" spans="1:18" x14ac:dyDescent="0.3">
      <c r="A391" s="3">
        <f t="shared" si="14"/>
        <v>72</v>
      </c>
      <c r="B391" s="8" t="s">
        <v>1005</v>
      </c>
      <c r="C391" s="5" t="s">
        <v>1004</v>
      </c>
      <c r="D391" s="6">
        <v>442861787</v>
      </c>
      <c r="E391" s="5" t="s">
        <v>131</v>
      </c>
      <c r="F391" s="5" t="s">
        <v>9</v>
      </c>
      <c r="G391" s="5" t="s">
        <v>3</v>
      </c>
      <c r="H391" s="2"/>
      <c r="I391" s="2"/>
      <c r="J391" s="2">
        <v>46223</v>
      </c>
      <c r="K391" s="2" t="str">
        <f>IFERROR(VLOOKUP(B391,#REF!,4,0),"")</f>
        <v/>
      </c>
      <c r="L391" s="1" t="s">
        <v>124</v>
      </c>
      <c r="M391" s="1" t="s">
        <v>12</v>
      </c>
      <c r="O391" s="4"/>
      <c r="Q391" s="4"/>
    </row>
    <row r="392" spans="1:18" x14ac:dyDescent="0.3">
      <c r="A392" s="3">
        <f t="shared" si="14"/>
        <v>73</v>
      </c>
      <c r="B392" s="8" t="s">
        <v>1003</v>
      </c>
      <c r="C392" s="5" t="s">
        <v>1002</v>
      </c>
      <c r="D392" s="6">
        <v>410769025</v>
      </c>
      <c r="E392" s="5" t="s">
        <v>711</v>
      </c>
      <c r="F392" s="5" t="s">
        <v>48</v>
      </c>
      <c r="G392" s="5" t="s">
        <v>3</v>
      </c>
      <c r="H392" s="2"/>
      <c r="I392" s="2">
        <v>46178</v>
      </c>
      <c r="J392" s="2">
        <v>46223</v>
      </c>
      <c r="K392" s="2" t="str">
        <f>IFERROR(VLOOKUP(B392,#REF!,4,0),"")</f>
        <v/>
      </c>
      <c r="L392" s="1" t="s">
        <v>44</v>
      </c>
      <c r="M392" s="1" t="s">
        <v>12</v>
      </c>
      <c r="O392" s="4"/>
      <c r="Q392" s="4"/>
    </row>
    <row r="393" spans="1:18" x14ac:dyDescent="0.3">
      <c r="A393" s="3">
        <f t="shared" si="14"/>
        <v>74</v>
      </c>
      <c r="B393" s="8" t="s">
        <v>1001</v>
      </c>
      <c r="C393" s="5" t="s">
        <v>1000</v>
      </c>
      <c r="D393" s="6">
        <v>373097171</v>
      </c>
      <c r="E393" s="5" t="s">
        <v>178</v>
      </c>
      <c r="F393" s="5" t="s">
        <v>28</v>
      </c>
      <c r="G393" s="5" t="s">
        <v>3</v>
      </c>
      <c r="H393" s="2"/>
      <c r="I393" s="2">
        <v>46178</v>
      </c>
      <c r="J393" s="2">
        <v>46223</v>
      </c>
      <c r="K393" s="2" t="str">
        <f>IFERROR(VLOOKUP(B393,#REF!,4,0),"")</f>
        <v/>
      </c>
      <c r="L393" s="1" t="s">
        <v>27</v>
      </c>
      <c r="M393" s="1" t="s">
        <v>12</v>
      </c>
      <c r="O393" s="4"/>
      <c r="Q393" s="4"/>
    </row>
    <row r="394" spans="1:18" x14ac:dyDescent="0.3">
      <c r="A394" s="3">
        <f t="shared" si="14"/>
        <v>75</v>
      </c>
      <c r="B394" s="8" t="s">
        <v>999</v>
      </c>
      <c r="C394" s="5" t="s">
        <v>998</v>
      </c>
      <c r="D394" s="6">
        <v>594241729</v>
      </c>
      <c r="E394" s="5" t="s">
        <v>997</v>
      </c>
      <c r="F394" s="5" t="s">
        <v>4</v>
      </c>
      <c r="G394" s="5" t="s">
        <v>3</v>
      </c>
      <c r="H394" s="2">
        <v>46160</v>
      </c>
      <c r="I394" s="2">
        <v>46177</v>
      </c>
      <c r="J394" s="2">
        <v>46224</v>
      </c>
      <c r="K394" s="2" t="str">
        <f>IFERROR(VLOOKUP(B394,#REF!,4,0),"")</f>
        <v/>
      </c>
      <c r="L394" s="1" t="s">
        <v>2</v>
      </c>
      <c r="M394" s="1" t="s">
        <v>535</v>
      </c>
      <c r="O394" s="4" t="s">
        <v>0</v>
      </c>
      <c r="Q394" s="4" t="s">
        <v>0</v>
      </c>
      <c r="R394" s="1" t="s">
        <v>0</v>
      </c>
    </row>
    <row r="395" spans="1:18" x14ac:dyDescent="0.3">
      <c r="A395" s="3">
        <f t="shared" si="14"/>
        <v>76</v>
      </c>
      <c r="B395" s="8" t="s">
        <v>996</v>
      </c>
      <c r="C395" s="5" t="s">
        <v>995</v>
      </c>
      <c r="D395" s="6">
        <v>640409094</v>
      </c>
      <c r="E395" s="5" t="s">
        <v>805</v>
      </c>
      <c r="F395" s="5" t="s">
        <v>4</v>
      </c>
      <c r="G395" s="5" t="s">
        <v>3</v>
      </c>
      <c r="H395" s="2">
        <v>46149</v>
      </c>
      <c r="I395" s="2">
        <v>46191</v>
      </c>
      <c r="J395" s="2">
        <v>46224</v>
      </c>
      <c r="K395" s="2" t="str">
        <f>IFERROR(VLOOKUP(B395,#REF!,4,0),"")</f>
        <v/>
      </c>
      <c r="M395" s="1" t="s">
        <v>17</v>
      </c>
      <c r="O395" s="4"/>
      <c r="Q395" s="4"/>
    </row>
    <row r="396" spans="1:18" x14ac:dyDescent="0.3">
      <c r="A396" s="3">
        <f t="shared" si="14"/>
        <v>77</v>
      </c>
      <c r="B396" s="8" t="s">
        <v>994</v>
      </c>
      <c r="C396" s="5" t="s">
        <v>993</v>
      </c>
      <c r="D396" s="6">
        <v>542900177</v>
      </c>
      <c r="E396" s="5" t="s">
        <v>186</v>
      </c>
      <c r="F396" s="5" t="s">
        <v>36</v>
      </c>
      <c r="G396" s="5" t="s">
        <v>3</v>
      </c>
      <c r="H396" s="2">
        <v>46153</v>
      </c>
      <c r="I396" s="2"/>
      <c r="J396" s="2">
        <v>46224</v>
      </c>
      <c r="K396" s="2" t="str">
        <f>IFERROR(VLOOKUP(B396,#REF!,4,0),"")</f>
        <v/>
      </c>
      <c r="L396" s="1" t="s">
        <v>13</v>
      </c>
      <c r="M396" s="1" t="s">
        <v>17</v>
      </c>
      <c r="O396" s="4"/>
      <c r="Q396" s="4"/>
    </row>
    <row r="397" spans="1:18" x14ac:dyDescent="0.3">
      <c r="A397" s="3">
        <f t="shared" si="14"/>
        <v>78</v>
      </c>
      <c r="B397" s="8" t="s">
        <v>992</v>
      </c>
      <c r="C397" s="5" t="s">
        <v>991</v>
      </c>
      <c r="D397" s="6">
        <v>389098855</v>
      </c>
      <c r="E397" s="5" t="s">
        <v>581</v>
      </c>
      <c r="F397" s="5" t="s">
        <v>32</v>
      </c>
      <c r="G397" s="5" t="s">
        <v>3</v>
      </c>
      <c r="H397" s="2">
        <v>46157</v>
      </c>
      <c r="I397" s="2"/>
      <c r="J397" s="2">
        <v>46224</v>
      </c>
      <c r="K397" s="2" t="str">
        <f>IFERROR(VLOOKUP(B397,#REF!,4,0),"")</f>
        <v/>
      </c>
      <c r="L397" s="1" t="s">
        <v>27</v>
      </c>
      <c r="M397" s="1" t="s">
        <v>17</v>
      </c>
      <c r="O397" s="4"/>
      <c r="Q397" s="4"/>
    </row>
    <row r="398" spans="1:18" x14ac:dyDescent="0.3">
      <c r="A398" s="3">
        <f t="shared" si="14"/>
        <v>79</v>
      </c>
      <c r="B398" s="8" t="s">
        <v>990</v>
      </c>
      <c r="C398" s="5" t="s">
        <v>989</v>
      </c>
      <c r="D398" s="6">
        <v>505896161</v>
      </c>
      <c r="E398" s="5" t="s">
        <v>568</v>
      </c>
      <c r="F398" s="5" t="s">
        <v>32</v>
      </c>
      <c r="G398" s="5" t="s">
        <v>3</v>
      </c>
      <c r="H398" s="2">
        <v>46172</v>
      </c>
      <c r="I398" s="2">
        <v>46195</v>
      </c>
      <c r="J398" s="2">
        <v>46224</v>
      </c>
      <c r="K398" s="2" t="str">
        <f>IFERROR(VLOOKUP(B398,#REF!,4,0),"")</f>
        <v/>
      </c>
      <c r="L398" s="1" t="s">
        <v>27</v>
      </c>
      <c r="M398" s="1" t="s">
        <v>12</v>
      </c>
      <c r="O398" s="4"/>
      <c r="Q398" s="4"/>
    </row>
    <row r="399" spans="1:18" x14ac:dyDescent="0.3">
      <c r="A399" s="3">
        <f t="shared" si="14"/>
        <v>80</v>
      </c>
      <c r="B399" s="8" t="s">
        <v>988</v>
      </c>
      <c r="C399" s="5" t="s">
        <v>987</v>
      </c>
      <c r="D399" s="6">
        <v>551002972</v>
      </c>
      <c r="E399" s="5" t="s">
        <v>986</v>
      </c>
      <c r="F399" s="5" t="s">
        <v>28</v>
      </c>
      <c r="G399" s="5" t="s">
        <v>3</v>
      </c>
      <c r="H399" s="2"/>
      <c r="I399" s="2"/>
      <c r="J399" s="2">
        <v>46224</v>
      </c>
      <c r="K399" s="2" t="str">
        <f>IFERROR(VLOOKUP(B399,#REF!,4,0),"")</f>
        <v/>
      </c>
      <c r="L399" s="1" t="s">
        <v>27</v>
      </c>
      <c r="M399" s="1" t="s">
        <v>17</v>
      </c>
      <c r="O399" s="4"/>
      <c r="Q399" s="4"/>
    </row>
    <row r="400" spans="1:18" x14ac:dyDescent="0.3">
      <c r="A400" s="3">
        <f t="shared" si="14"/>
        <v>81</v>
      </c>
      <c r="B400" s="8" t="s">
        <v>985</v>
      </c>
      <c r="C400" s="5" t="s">
        <v>984</v>
      </c>
      <c r="D400" s="6">
        <v>391419645</v>
      </c>
      <c r="E400" s="5" t="s">
        <v>814</v>
      </c>
      <c r="F400" s="5" t="s">
        <v>28</v>
      </c>
      <c r="G400" s="5" t="s">
        <v>3</v>
      </c>
      <c r="H400" s="2"/>
      <c r="I400" s="2">
        <v>46198</v>
      </c>
      <c r="J400" s="2">
        <v>46224</v>
      </c>
      <c r="K400" s="2" t="str">
        <f>IFERROR(VLOOKUP(B400,#REF!,4,0),"")</f>
        <v/>
      </c>
      <c r="L400" s="1" t="s">
        <v>27</v>
      </c>
      <c r="M400" s="1" t="s">
        <v>12</v>
      </c>
      <c r="O400" s="4"/>
      <c r="Q400" s="4"/>
    </row>
    <row r="401" spans="1:18" x14ac:dyDescent="0.3">
      <c r="A401" s="3">
        <f t="shared" si="14"/>
        <v>82</v>
      </c>
      <c r="B401" s="8" t="s">
        <v>983</v>
      </c>
      <c r="C401" s="5" t="s">
        <v>982</v>
      </c>
      <c r="D401" s="6">
        <v>456009153</v>
      </c>
      <c r="E401" s="5" t="s">
        <v>97</v>
      </c>
      <c r="F401" s="5" t="s">
        <v>48</v>
      </c>
      <c r="G401" s="5" t="s">
        <v>3</v>
      </c>
      <c r="H401" s="2"/>
      <c r="I401" s="2">
        <v>46175</v>
      </c>
      <c r="J401" s="2">
        <v>46224</v>
      </c>
      <c r="K401" s="2" t="str">
        <f>IFERROR(VLOOKUP(B401,#REF!,4,0),"")</f>
        <v/>
      </c>
      <c r="L401" s="1" t="s">
        <v>44</v>
      </c>
      <c r="M401" s="1" t="s">
        <v>12</v>
      </c>
      <c r="O401" s="4"/>
      <c r="Q401" s="4"/>
    </row>
    <row r="402" spans="1:18" x14ac:dyDescent="0.3">
      <c r="A402" s="3">
        <f t="shared" si="14"/>
        <v>83</v>
      </c>
      <c r="B402" s="8" t="s">
        <v>981</v>
      </c>
      <c r="C402" s="5" t="s">
        <v>980</v>
      </c>
      <c r="D402" s="6">
        <v>560468956</v>
      </c>
      <c r="E402" s="5" t="s">
        <v>979</v>
      </c>
      <c r="F402" s="5" t="s">
        <v>9</v>
      </c>
      <c r="G402" s="5" t="s">
        <v>3</v>
      </c>
      <c r="H402" s="2">
        <v>46150</v>
      </c>
      <c r="I402" s="2">
        <v>46185</v>
      </c>
      <c r="J402" s="2">
        <v>46225</v>
      </c>
      <c r="K402" s="2" t="str">
        <f>IFERROR(VLOOKUP(B402,#REF!,4,0),"")</f>
        <v/>
      </c>
      <c r="L402" s="1" t="s">
        <v>20</v>
      </c>
      <c r="M402" s="1" t="s">
        <v>17</v>
      </c>
      <c r="O402" s="4" t="s">
        <v>0</v>
      </c>
      <c r="P402" s="1" t="s">
        <v>507</v>
      </c>
      <c r="Q402" s="4" t="s">
        <v>0</v>
      </c>
      <c r="R402" s="1" t="s">
        <v>0</v>
      </c>
    </row>
    <row r="403" spans="1:18" x14ac:dyDescent="0.3">
      <c r="A403" s="3">
        <f t="shared" si="14"/>
        <v>84</v>
      </c>
      <c r="B403" s="8" t="s">
        <v>978</v>
      </c>
      <c r="C403" s="5" t="s">
        <v>977</v>
      </c>
      <c r="D403" s="6">
        <v>766226364</v>
      </c>
      <c r="E403" s="5" t="s">
        <v>131</v>
      </c>
      <c r="F403" s="5" t="s">
        <v>9</v>
      </c>
      <c r="G403" s="5" t="s">
        <v>3</v>
      </c>
      <c r="H403" s="2">
        <v>46153</v>
      </c>
      <c r="I403" s="2">
        <v>46195</v>
      </c>
      <c r="J403" s="2">
        <v>46225</v>
      </c>
      <c r="K403" s="2" t="str">
        <f>IFERROR(VLOOKUP(B403,#REF!,4,0),"")</f>
        <v/>
      </c>
      <c r="L403" s="1" t="s">
        <v>124</v>
      </c>
      <c r="M403" s="1" t="s">
        <v>535</v>
      </c>
      <c r="O403" s="4" t="s">
        <v>0</v>
      </c>
      <c r="Q403" s="4" t="s">
        <v>0</v>
      </c>
      <c r="R403" s="1" t="s">
        <v>0</v>
      </c>
    </row>
    <row r="404" spans="1:18" x14ac:dyDescent="0.3">
      <c r="A404" s="3">
        <f t="shared" si="14"/>
        <v>85</v>
      </c>
      <c r="B404" s="17" t="s">
        <v>976</v>
      </c>
      <c r="C404" s="5" t="s">
        <v>975</v>
      </c>
      <c r="D404" s="6">
        <v>387001034</v>
      </c>
      <c r="E404" s="5" t="s">
        <v>974</v>
      </c>
      <c r="F404" s="5" t="s">
        <v>28</v>
      </c>
      <c r="G404" s="5" t="s">
        <v>3</v>
      </c>
      <c r="H404" s="2"/>
      <c r="I404" s="2">
        <v>46190</v>
      </c>
      <c r="J404" s="2">
        <v>46225</v>
      </c>
      <c r="K404" s="2" t="str">
        <f>IFERROR(VLOOKUP(B404,#REF!,4,0),"")</f>
        <v/>
      </c>
      <c r="L404" s="1" t="s">
        <v>27</v>
      </c>
      <c r="M404" s="1" t="s">
        <v>12</v>
      </c>
      <c r="O404" s="4" t="s">
        <v>973</v>
      </c>
      <c r="Q404" s="4"/>
    </row>
    <row r="405" spans="1:18" x14ac:dyDescent="0.3">
      <c r="A405" s="3">
        <f t="shared" si="14"/>
        <v>86</v>
      </c>
      <c r="B405" s="8" t="s">
        <v>972</v>
      </c>
      <c r="C405" s="5" t="s">
        <v>971</v>
      </c>
      <c r="D405" s="6">
        <v>434566754</v>
      </c>
      <c r="E405" s="5" t="s">
        <v>379</v>
      </c>
      <c r="F405" s="5" t="s">
        <v>4</v>
      </c>
      <c r="G405" s="5" t="s">
        <v>3</v>
      </c>
      <c r="H405" s="2"/>
      <c r="I405" s="2">
        <v>46181</v>
      </c>
      <c r="J405" s="2">
        <v>46225</v>
      </c>
      <c r="K405" s="2" t="str">
        <f>IFERROR(VLOOKUP(B405,#REF!,4,0),"")</f>
        <v/>
      </c>
      <c r="L405" s="1" t="s">
        <v>2</v>
      </c>
      <c r="M405" s="1" t="s">
        <v>12</v>
      </c>
      <c r="O405" s="4" t="s">
        <v>0</v>
      </c>
      <c r="Q405" s="4" t="s">
        <v>0</v>
      </c>
      <c r="R405" s="1" t="s">
        <v>0</v>
      </c>
    </row>
    <row r="406" spans="1:18" x14ac:dyDescent="0.3">
      <c r="A406" s="3">
        <f t="shared" si="14"/>
        <v>87</v>
      </c>
      <c r="B406" s="8" t="s">
        <v>970</v>
      </c>
      <c r="C406" s="5" t="s">
        <v>969</v>
      </c>
      <c r="D406" s="6">
        <v>627065658</v>
      </c>
      <c r="E406" s="5" t="s">
        <v>968</v>
      </c>
      <c r="F406" s="5" t="s">
        <v>4</v>
      </c>
      <c r="G406" s="5" t="s">
        <v>3</v>
      </c>
      <c r="H406" s="2">
        <v>46162</v>
      </c>
      <c r="I406" s="2">
        <v>46181</v>
      </c>
      <c r="J406" s="2">
        <v>46225</v>
      </c>
      <c r="K406" s="2" t="str">
        <f>IFERROR(VLOOKUP(B406,#REF!,4,0),"")</f>
        <v/>
      </c>
      <c r="L406" s="1" t="s">
        <v>2</v>
      </c>
      <c r="M406" s="1" t="s">
        <v>535</v>
      </c>
      <c r="O406" s="4" t="s">
        <v>0</v>
      </c>
      <c r="Q406" s="4" t="s">
        <v>0</v>
      </c>
      <c r="R406" s="1" t="s">
        <v>0</v>
      </c>
    </row>
    <row r="407" spans="1:18" x14ac:dyDescent="0.3">
      <c r="A407" s="3">
        <f t="shared" si="14"/>
        <v>88</v>
      </c>
      <c r="B407" s="8" t="s">
        <v>967</v>
      </c>
      <c r="C407" s="5" t="s">
        <v>966</v>
      </c>
      <c r="D407" s="6">
        <v>532443478</v>
      </c>
      <c r="E407" s="5" t="s">
        <v>246</v>
      </c>
      <c r="F407" s="5" t="s">
        <v>9</v>
      </c>
      <c r="G407" s="5" t="s">
        <v>3</v>
      </c>
      <c r="H407" s="2">
        <v>46164</v>
      </c>
      <c r="I407" s="2">
        <v>46188</v>
      </c>
      <c r="J407" s="2">
        <v>46225</v>
      </c>
      <c r="K407" s="2" t="str">
        <f>IFERROR(VLOOKUP(B407,#REF!,4,0),"")</f>
        <v/>
      </c>
      <c r="L407" s="1" t="s">
        <v>20</v>
      </c>
      <c r="M407" s="1" t="s">
        <v>12</v>
      </c>
      <c r="O407" s="4"/>
      <c r="P407" s="1" t="s">
        <v>965</v>
      </c>
      <c r="Q407" s="4"/>
    </row>
    <row r="408" spans="1:18" x14ac:dyDescent="0.3">
      <c r="A408" s="3">
        <f t="shared" si="14"/>
        <v>89</v>
      </c>
      <c r="B408" s="8" t="s">
        <v>964</v>
      </c>
      <c r="C408" s="5" t="s">
        <v>963</v>
      </c>
      <c r="D408" s="6">
        <v>438569217</v>
      </c>
      <c r="E408" s="5" t="s">
        <v>423</v>
      </c>
      <c r="F408" s="5" t="s">
        <v>48</v>
      </c>
      <c r="G408" s="5" t="s">
        <v>3</v>
      </c>
      <c r="H408" s="2">
        <v>46155</v>
      </c>
      <c r="I408" s="2">
        <v>46198</v>
      </c>
      <c r="J408" s="2">
        <v>46225</v>
      </c>
      <c r="K408" s="2" t="str">
        <f>IFERROR(VLOOKUP(B408,#REF!,4,0),"")</f>
        <v/>
      </c>
      <c r="L408" s="1" t="s">
        <v>44</v>
      </c>
      <c r="M408" s="1" t="s">
        <v>17</v>
      </c>
      <c r="O408" s="4"/>
      <c r="Q408" s="4"/>
    </row>
    <row r="409" spans="1:18" x14ac:dyDescent="0.3">
      <c r="A409" s="3">
        <f t="shared" si="14"/>
        <v>90</v>
      </c>
      <c r="B409" s="8" t="s">
        <v>962</v>
      </c>
      <c r="C409" s="5" t="s">
        <v>961</v>
      </c>
      <c r="D409" s="6">
        <v>382694943</v>
      </c>
      <c r="E409" s="5" t="s">
        <v>395</v>
      </c>
      <c r="F409" s="5" t="s">
        <v>48</v>
      </c>
      <c r="G409" s="5" t="s">
        <v>3</v>
      </c>
      <c r="H409" s="2">
        <v>46161</v>
      </c>
      <c r="I409" s="2">
        <v>46195</v>
      </c>
      <c r="J409" s="2">
        <v>46225</v>
      </c>
      <c r="K409" s="2" t="str">
        <f>IFERROR(VLOOKUP(B409,#REF!,4,0),"")</f>
        <v/>
      </c>
      <c r="L409" s="1" t="s">
        <v>44</v>
      </c>
      <c r="M409" s="1" t="s">
        <v>12</v>
      </c>
      <c r="O409" s="4"/>
      <c r="Q409" s="4"/>
    </row>
    <row r="410" spans="1:18" x14ac:dyDescent="0.3">
      <c r="A410" s="3">
        <f t="shared" si="14"/>
        <v>91</v>
      </c>
      <c r="B410" s="8" t="s">
        <v>960</v>
      </c>
      <c r="C410" s="5" t="s">
        <v>959</v>
      </c>
      <c r="D410" s="6">
        <v>755430672</v>
      </c>
      <c r="E410" s="5" t="s">
        <v>958</v>
      </c>
      <c r="F410" s="5" t="s">
        <v>90</v>
      </c>
      <c r="G410" s="5" t="s">
        <v>3</v>
      </c>
      <c r="H410" s="2">
        <v>46163</v>
      </c>
      <c r="I410" s="2">
        <v>46197</v>
      </c>
      <c r="J410" s="2">
        <v>46225</v>
      </c>
      <c r="K410" s="2" t="str">
        <f>IFERROR(VLOOKUP(B410,#REF!,4,0),"")</f>
        <v/>
      </c>
      <c r="L410" s="1" t="s">
        <v>13</v>
      </c>
      <c r="M410" s="1" t="s">
        <v>535</v>
      </c>
      <c r="O410" s="4"/>
      <c r="Q410" s="4"/>
    </row>
    <row r="411" spans="1:18" x14ac:dyDescent="0.3">
      <c r="A411" s="3">
        <f t="shared" si="14"/>
        <v>92</v>
      </c>
      <c r="B411" s="8" t="s">
        <v>957</v>
      </c>
      <c r="C411" s="5" t="s">
        <v>956</v>
      </c>
      <c r="D411" s="6">
        <v>555428936</v>
      </c>
      <c r="E411" s="5" t="s">
        <v>175</v>
      </c>
      <c r="F411" s="5" t="s">
        <v>90</v>
      </c>
      <c r="G411" s="5" t="s">
        <v>3</v>
      </c>
      <c r="H411" s="2">
        <v>46165</v>
      </c>
      <c r="I411" s="2"/>
      <c r="J411" s="2">
        <v>46225</v>
      </c>
      <c r="K411" s="2" t="str">
        <f>IFERROR(VLOOKUP(B411,#REF!,4,0),"")</f>
        <v/>
      </c>
      <c r="L411" s="1" t="s">
        <v>13</v>
      </c>
      <c r="M411" s="1" t="s">
        <v>12</v>
      </c>
      <c r="O411" s="4"/>
      <c r="Q411" s="4"/>
    </row>
    <row r="412" spans="1:18" x14ac:dyDescent="0.3">
      <c r="A412" s="3">
        <f t="shared" si="14"/>
        <v>93</v>
      </c>
      <c r="B412" s="8" t="s">
        <v>955</v>
      </c>
      <c r="C412" s="5" t="s">
        <v>954</v>
      </c>
      <c r="D412" s="6">
        <v>567553506</v>
      </c>
      <c r="E412" s="5" t="s">
        <v>953</v>
      </c>
      <c r="F412" s="5" t="s">
        <v>4</v>
      </c>
      <c r="G412" s="5" t="s">
        <v>3</v>
      </c>
      <c r="H412" s="2">
        <v>46172</v>
      </c>
      <c r="I412" s="2"/>
      <c r="J412" s="2">
        <v>46225</v>
      </c>
      <c r="K412" s="2" t="str">
        <f>IFERROR(VLOOKUP(B412,#REF!,4,0),"")</f>
        <v/>
      </c>
      <c r="L412" s="1" t="s">
        <v>20</v>
      </c>
      <c r="M412" s="1" t="s">
        <v>17</v>
      </c>
      <c r="O412" s="4"/>
      <c r="Q412" s="4"/>
    </row>
    <row r="413" spans="1:18" x14ac:dyDescent="0.3">
      <c r="A413" s="3">
        <f t="shared" si="14"/>
        <v>94</v>
      </c>
      <c r="B413" s="8" t="s">
        <v>952</v>
      </c>
      <c r="C413" s="5" t="s">
        <v>951</v>
      </c>
      <c r="D413" s="6">
        <v>548559958</v>
      </c>
      <c r="E413" s="5" t="s">
        <v>282</v>
      </c>
      <c r="F413" s="5" t="s">
        <v>28</v>
      </c>
      <c r="G413" s="5" t="s">
        <v>3</v>
      </c>
      <c r="H413" s="2"/>
      <c r="I413" s="2"/>
      <c r="J413" s="2">
        <v>46225</v>
      </c>
      <c r="K413" s="2" t="str">
        <f>IFERROR(VLOOKUP(B413,#REF!,4,0),"")</f>
        <v/>
      </c>
      <c r="L413" s="1" t="s">
        <v>27</v>
      </c>
      <c r="M413" s="1" t="s">
        <v>535</v>
      </c>
      <c r="O413" s="4"/>
      <c r="Q413" s="4"/>
    </row>
    <row r="414" spans="1:18" x14ac:dyDescent="0.3">
      <c r="A414" s="3">
        <f t="shared" si="14"/>
        <v>95</v>
      </c>
      <c r="B414" s="8" t="s">
        <v>950</v>
      </c>
      <c r="C414" s="5" t="s">
        <v>949</v>
      </c>
      <c r="D414" s="6">
        <v>354546000</v>
      </c>
      <c r="E414" s="5" t="s">
        <v>379</v>
      </c>
      <c r="F414" s="5" t="s">
        <v>4</v>
      </c>
      <c r="G414" s="5" t="s">
        <v>3</v>
      </c>
      <c r="H414" s="2"/>
      <c r="I414" s="2">
        <v>46181</v>
      </c>
      <c r="J414" s="2">
        <v>46225</v>
      </c>
      <c r="K414" s="2" t="str">
        <f>IFERROR(VLOOKUP(B414,#REF!,4,0),"")</f>
        <v/>
      </c>
      <c r="L414" s="1" t="s">
        <v>2</v>
      </c>
      <c r="M414" s="1" t="s">
        <v>12</v>
      </c>
      <c r="O414" s="4"/>
      <c r="Q414" s="4"/>
    </row>
    <row r="415" spans="1:18" x14ac:dyDescent="0.3">
      <c r="A415" s="3">
        <f t="shared" si="14"/>
        <v>96</v>
      </c>
      <c r="B415" s="8" t="s">
        <v>948</v>
      </c>
      <c r="C415" s="5" t="s">
        <v>947</v>
      </c>
      <c r="D415" s="6">
        <v>498438794</v>
      </c>
      <c r="E415" s="5" t="s">
        <v>837</v>
      </c>
      <c r="F415" s="5" t="s">
        <v>4</v>
      </c>
      <c r="G415" s="5" t="s">
        <v>3</v>
      </c>
      <c r="H415" s="2"/>
      <c r="I415" s="2">
        <v>46175</v>
      </c>
      <c r="J415" s="21">
        <v>46226</v>
      </c>
      <c r="K415" s="2" t="str">
        <f>IFERROR(VLOOKUP(B415,#REF!,4,0),"")</f>
        <v/>
      </c>
      <c r="M415" s="1" t="s">
        <v>17</v>
      </c>
      <c r="O415" s="4" t="s">
        <v>0</v>
      </c>
      <c r="Q415" s="4" t="s">
        <v>0</v>
      </c>
      <c r="R415" s="1" t="s">
        <v>0</v>
      </c>
    </row>
    <row r="416" spans="1:18" x14ac:dyDescent="0.3">
      <c r="A416" s="3">
        <f t="shared" si="14"/>
        <v>97</v>
      </c>
      <c r="B416" s="8" t="s">
        <v>946</v>
      </c>
      <c r="C416" s="5" t="s">
        <v>945</v>
      </c>
      <c r="D416" s="6">
        <v>502086184</v>
      </c>
      <c r="E416" s="5" t="s">
        <v>733</v>
      </c>
      <c r="F416" s="5" t="s">
        <v>4</v>
      </c>
      <c r="G416" s="5" t="s">
        <v>3</v>
      </c>
      <c r="H416" s="2">
        <v>46158</v>
      </c>
      <c r="I416" s="2">
        <v>46193</v>
      </c>
      <c r="J416" s="21">
        <v>46226</v>
      </c>
      <c r="K416" s="2" t="str">
        <f>IFERROR(VLOOKUP(B416,#REF!,4,0),"")</f>
        <v/>
      </c>
      <c r="M416" s="1" t="s">
        <v>12</v>
      </c>
      <c r="O416" s="4" t="s">
        <v>0</v>
      </c>
      <c r="Q416" s="4" t="s">
        <v>0</v>
      </c>
      <c r="R416" s="1" t="s">
        <v>0</v>
      </c>
    </row>
    <row r="417" spans="1:18" x14ac:dyDescent="0.3">
      <c r="A417" s="3">
        <f t="shared" ref="A417:A448" si="15">1+A416</f>
        <v>98</v>
      </c>
      <c r="B417" s="8" t="s">
        <v>944</v>
      </c>
      <c r="C417" s="5" t="s">
        <v>943</v>
      </c>
      <c r="D417" s="6">
        <v>393747026</v>
      </c>
      <c r="E417" s="5" t="s">
        <v>756</v>
      </c>
      <c r="F417" s="5" t="s">
        <v>4</v>
      </c>
      <c r="G417" s="5" t="s">
        <v>3</v>
      </c>
      <c r="H417" s="2">
        <v>46172</v>
      </c>
      <c r="I417" s="2">
        <v>46191</v>
      </c>
      <c r="J417" s="21">
        <v>46226</v>
      </c>
      <c r="K417" s="2" t="str">
        <f>IFERROR(VLOOKUP(B417,#REF!,4,0),"")</f>
        <v/>
      </c>
      <c r="M417" s="1" t="s">
        <v>12</v>
      </c>
      <c r="O417" s="4" t="s">
        <v>0</v>
      </c>
      <c r="P417" s="1" t="s">
        <v>507</v>
      </c>
      <c r="Q417" s="4" t="s">
        <v>0</v>
      </c>
      <c r="R417" s="1" t="s">
        <v>0</v>
      </c>
    </row>
    <row r="418" spans="1:18" x14ac:dyDescent="0.3">
      <c r="A418" s="3">
        <f t="shared" si="15"/>
        <v>99</v>
      </c>
      <c r="B418" s="8" t="s">
        <v>942</v>
      </c>
      <c r="C418" s="5" t="s">
        <v>941</v>
      </c>
      <c r="D418" s="6">
        <v>428925357</v>
      </c>
      <c r="E418" s="5" t="s">
        <v>5</v>
      </c>
      <c r="F418" s="5" t="s">
        <v>4</v>
      </c>
      <c r="G418" s="5" t="s">
        <v>3</v>
      </c>
      <c r="H418" s="2"/>
      <c r="I418" s="2">
        <v>46175</v>
      </c>
      <c r="J418" s="21">
        <v>46226</v>
      </c>
      <c r="K418" s="2" t="str">
        <f>IFERROR(VLOOKUP(B418,#REF!,4,0),"")</f>
        <v/>
      </c>
      <c r="M418" s="1" t="s">
        <v>12</v>
      </c>
      <c r="O418" s="4" t="s">
        <v>0</v>
      </c>
      <c r="Q418" s="4" t="s">
        <v>0</v>
      </c>
      <c r="R418" s="1" t="s">
        <v>0</v>
      </c>
    </row>
    <row r="419" spans="1:18" x14ac:dyDescent="0.3">
      <c r="A419" s="3">
        <f t="shared" si="15"/>
        <v>100</v>
      </c>
      <c r="B419" s="8" t="s">
        <v>940</v>
      </c>
      <c r="C419" s="5" t="s">
        <v>939</v>
      </c>
      <c r="D419" s="6">
        <v>569379179</v>
      </c>
      <c r="E419" s="5" t="s">
        <v>938</v>
      </c>
      <c r="F419" s="5" t="s">
        <v>48</v>
      </c>
      <c r="G419" s="5" t="s">
        <v>3</v>
      </c>
      <c r="H419" s="2">
        <v>46158</v>
      </c>
      <c r="I419" s="2">
        <v>46197</v>
      </c>
      <c r="J419" s="2">
        <v>46226</v>
      </c>
      <c r="K419" s="2" t="str">
        <f>IFERROR(VLOOKUP(B419,#REF!,4,0),"")</f>
        <v/>
      </c>
      <c r="L419" s="1" t="s">
        <v>44</v>
      </c>
      <c r="M419" s="1" t="s">
        <v>17</v>
      </c>
      <c r="O419" s="4"/>
      <c r="P419" s="1" t="s">
        <v>832</v>
      </c>
      <c r="Q419" s="4"/>
    </row>
    <row r="420" spans="1:18" x14ac:dyDescent="0.3">
      <c r="A420" s="3">
        <f t="shared" si="15"/>
        <v>101</v>
      </c>
      <c r="B420" s="8" t="s">
        <v>937</v>
      </c>
      <c r="C420" s="5" t="s">
        <v>936</v>
      </c>
      <c r="D420" s="6">
        <v>433757860</v>
      </c>
      <c r="E420" s="5" t="s">
        <v>935</v>
      </c>
      <c r="F420" s="5" t="s">
        <v>48</v>
      </c>
      <c r="G420" s="5" t="s">
        <v>3</v>
      </c>
      <c r="H420" s="2">
        <v>46161</v>
      </c>
      <c r="I420" s="2">
        <v>46195</v>
      </c>
      <c r="J420" s="2">
        <v>46226</v>
      </c>
      <c r="K420" s="2" t="str">
        <f>IFERROR(VLOOKUP(B420,#REF!,4,0),"")</f>
        <v/>
      </c>
      <c r="L420" s="1" t="s">
        <v>44</v>
      </c>
      <c r="M420" s="1" t="s">
        <v>17</v>
      </c>
      <c r="O420" s="4"/>
      <c r="Q420" s="4"/>
    </row>
    <row r="421" spans="1:18" x14ac:dyDescent="0.3">
      <c r="A421" s="3">
        <f t="shared" si="15"/>
        <v>102</v>
      </c>
      <c r="B421" s="8" t="s">
        <v>934</v>
      </c>
      <c r="C421" s="5" t="s">
        <v>933</v>
      </c>
      <c r="D421" s="6">
        <v>370143448</v>
      </c>
      <c r="E421" s="5" t="s">
        <v>932</v>
      </c>
      <c r="F421" s="5" t="s">
        <v>90</v>
      </c>
      <c r="G421" s="5" t="s">
        <v>3</v>
      </c>
      <c r="H421" s="2">
        <v>46162</v>
      </c>
      <c r="I421" s="2">
        <v>46198</v>
      </c>
      <c r="J421" s="2">
        <v>46226</v>
      </c>
      <c r="K421" s="2" t="str">
        <f>IFERROR(VLOOKUP(B421,#REF!,4,0),"")</f>
        <v/>
      </c>
      <c r="L421" s="1" t="s">
        <v>13</v>
      </c>
      <c r="M421" s="1" t="s">
        <v>12</v>
      </c>
      <c r="O421" s="4"/>
      <c r="Q421" s="4"/>
    </row>
    <row r="422" spans="1:18" x14ac:dyDescent="0.3">
      <c r="A422" s="3">
        <f t="shared" si="15"/>
        <v>103</v>
      </c>
      <c r="B422" s="8" t="s">
        <v>931</v>
      </c>
      <c r="C422" s="5" t="s">
        <v>930</v>
      </c>
      <c r="D422" s="6">
        <v>452002796</v>
      </c>
      <c r="E422" s="5" t="s">
        <v>929</v>
      </c>
      <c r="F422" s="5" t="s">
        <v>90</v>
      </c>
      <c r="G422" s="5" t="s">
        <v>3</v>
      </c>
      <c r="H422" s="2">
        <v>46164</v>
      </c>
      <c r="I422" s="2">
        <v>46200</v>
      </c>
      <c r="J422" s="2">
        <v>46226</v>
      </c>
      <c r="K422" s="2" t="str">
        <f>IFERROR(VLOOKUP(B422,#REF!,4,0),"")</f>
        <v/>
      </c>
      <c r="L422" s="1" t="s">
        <v>13</v>
      </c>
      <c r="M422" s="1" t="s">
        <v>17</v>
      </c>
      <c r="O422" s="4"/>
      <c r="Q422" s="4"/>
    </row>
    <row r="423" spans="1:18" x14ac:dyDescent="0.3">
      <c r="A423" s="3">
        <f t="shared" si="15"/>
        <v>104</v>
      </c>
      <c r="B423" s="8" t="s">
        <v>928</v>
      </c>
      <c r="C423" s="5" t="s">
        <v>927</v>
      </c>
      <c r="D423" s="6">
        <v>490677146</v>
      </c>
      <c r="E423" s="5" t="s">
        <v>926</v>
      </c>
      <c r="F423" s="5" t="s">
        <v>90</v>
      </c>
      <c r="G423" s="5" t="s">
        <v>3</v>
      </c>
      <c r="H423" s="2">
        <v>46171</v>
      </c>
      <c r="I423" s="2">
        <v>46200</v>
      </c>
      <c r="J423" s="2">
        <v>46226</v>
      </c>
      <c r="K423" s="2" t="str">
        <f>IFERROR(VLOOKUP(B423,#REF!,4,0),"")</f>
        <v/>
      </c>
      <c r="L423" s="1" t="s">
        <v>13</v>
      </c>
      <c r="M423" s="1" t="s">
        <v>12</v>
      </c>
      <c r="O423" s="4"/>
      <c r="Q423" s="4"/>
    </row>
    <row r="424" spans="1:18" x14ac:dyDescent="0.3">
      <c r="A424" s="3">
        <f t="shared" si="15"/>
        <v>105</v>
      </c>
      <c r="B424" s="8" t="s">
        <v>925</v>
      </c>
      <c r="C424" s="5" t="s">
        <v>924</v>
      </c>
      <c r="D424" s="6">
        <v>478803965</v>
      </c>
      <c r="E424" s="5" t="s">
        <v>436</v>
      </c>
      <c r="F424" s="5" t="s">
        <v>28</v>
      </c>
      <c r="G424" s="5" t="s">
        <v>3</v>
      </c>
      <c r="H424" s="2"/>
      <c r="I424" s="2">
        <v>46191</v>
      </c>
      <c r="J424" s="2">
        <v>46226</v>
      </c>
      <c r="K424" s="2" t="str">
        <f>IFERROR(VLOOKUP(B424,#REF!,4,0),"")</f>
        <v/>
      </c>
      <c r="L424" s="1" t="s">
        <v>27</v>
      </c>
      <c r="M424" s="1" t="s">
        <v>12</v>
      </c>
      <c r="O424" s="4"/>
      <c r="Q424" s="4"/>
    </row>
    <row r="425" spans="1:18" x14ac:dyDescent="0.3">
      <c r="A425" s="3">
        <f t="shared" si="15"/>
        <v>106</v>
      </c>
      <c r="B425" s="8" t="s">
        <v>923</v>
      </c>
      <c r="C425" s="5" t="s">
        <v>922</v>
      </c>
      <c r="D425" s="6">
        <v>444662391</v>
      </c>
      <c r="E425" s="5" t="s">
        <v>921</v>
      </c>
      <c r="F425" s="5" t="s">
        <v>28</v>
      </c>
      <c r="G425" s="5" t="s">
        <v>3</v>
      </c>
      <c r="H425" s="2"/>
      <c r="I425" s="2">
        <v>46199</v>
      </c>
      <c r="J425" s="2">
        <v>46226</v>
      </c>
      <c r="K425" s="2" t="str">
        <f>IFERROR(VLOOKUP(B425,#REF!,4,0),"")</f>
        <v/>
      </c>
      <c r="L425" s="1" t="s">
        <v>27</v>
      </c>
      <c r="M425" s="1" t="s">
        <v>12</v>
      </c>
      <c r="O425" s="4"/>
      <c r="Q425" s="4"/>
    </row>
    <row r="426" spans="1:18" x14ac:dyDescent="0.3">
      <c r="A426" s="3">
        <f t="shared" si="15"/>
        <v>107</v>
      </c>
      <c r="B426" s="8" t="s">
        <v>920</v>
      </c>
      <c r="C426" s="5" t="s">
        <v>919</v>
      </c>
      <c r="D426" s="6">
        <v>452224356</v>
      </c>
      <c r="E426" s="5" t="s">
        <v>918</v>
      </c>
      <c r="F426" s="5" t="s">
        <v>90</v>
      </c>
      <c r="G426" s="5" t="s">
        <v>3</v>
      </c>
      <c r="H426" s="2"/>
      <c r="I426" s="2"/>
      <c r="J426" s="2">
        <v>46226</v>
      </c>
      <c r="K426" s="2" t="str">
        <f>IFERROR(VLOOKUP(B426,#REF!,4,0),"")</f>
        <v/>
      </c>
      <c r="L426" s="1" t="s">
        <v>13</v>
      </c>
      <c r="M426" s="1" t="s">
        <v>12</v>
      </c>
      <c r="O426" s="4"/>
      <c r="Q426" s="4"/>
    </row>
    <row r="427" spans="1:18" x14ac:dyDescent="0.3">
      <c r="A427" s="3">
        <f t="shared" si="15"/>
        <v>108</v>
      </c>
      <c r="B427" s="8" t="s">
        <v>917</v>
      </c>
      <c r="C427" s="5" t="s">
        <v>916</v>
      </c>
      <c r="D427" s="6">
        <v>429589873</v>
      </c>
      <c r="E427" s="5" t="s">
        <v>915</v>
      </c>
      <c r="F427" s="5" t="s">
        <v>4</v>
      </c>
      <c r="G427" s="5" t="s">
        <v>3</v>
      </c>
      <c r="H427" s="2">
        <v>46167</v>
      </c>
      <c r="I427" s="2">
        <v>46193</v>
      </c>
      <c r="J427" s="2">
        <v>46227</v>
      </c>
      <c r="K427" s="2" t="str">
        <f>IFERROR(VLOOKUP(B427,#REF!,4,0),"")</f>
        <v/>
      </c>
      <c r="L427" s="1" t="s">
        <v>77</v>
      </c>
      <c r="M427" s="1" t="s">
        <v>17</v>
      </c>
      <c r="O427" s="4" t="s">
        <v>0</v>
      </c>
      <c r="Q427" s="4" t="s">
        <v>0</v>
      </c>
      <c r="R427" s="1" t="s">
        <v>0</v>
      </c>
    </row>
    <row r="428" spans="1:18" x14ac:dyDescent="0.3">
      <c r="A428" s="3">
        <f t="shared" si="15"/>
        <v>109</v>
      </c>
      <c r="B428" s="8" t="s">
        <v>914</v>
      </c>
      <c r="C428" s="5" t="s">
        <v>913</v>
      </c>
      <c r="D428" s="6">
        <v>307835274</v>
      </c>
      <c r="E428" s="5" t="s">
        <v>912</v>
      </c>
      <c r="F428" s="5" t="s">
        <v>4</v>
      </c>
      <c r="G428" s="5" t="s">
        <v>3</v>
      </c>
      <c r="H428" s="2">
        <v>46167</v>
      </c>
      <c r="I428" s="2">
        <v>46193</v>
      </c>
      <c r="J428" s="2">
        <v>46227</v>
      </c>
      <c r="K428" s="2" t="str">
        <f>IFERROR(VLOOKUP(B428,#REF!,4,0),"")</f>
        <v/>
      </c>
      <c r="L428" s="1" t="s">
        <v>77</v>
      </c>
      <c r="M428" s="1" t="s">
        <v>12</v>
      </c>
      <c r="O428" s="4" t="s">
        <v>0</v>
      </c>
      <c r="Q428" s="4" t="s">
        <v>0</v>
      </c>
      <c r="R428" s="1" t="s">
        <v>0</v>
      </c>
    </row>
    <row r="429" spans="1:18" x14ac:dyDescent="0.3">
      <c r="A429" s="3">
        <f t="shared" si="15"/>
        <v>110</v>
      </c>
      <c r="B429" s="8" t="s">
        <v>911</v>
      </c>
      <c r="C429" s="5" t="s">
        <v>910</v>
      </c>
      <c r="D429" s="6">
        <v>397322548</v>
      </c>
      <c r="E429" s="5" t="s">
        <v>909</v>
      </c>
      <c r="F429" s="5" t="s">
        <v>9</v>
      </c>
      <c r="G429" s="5" t="s">
        <v>3</v>
      </c>
      <c r="H429" s="2"/>
      <c r="I429" s="2"/>
      <c r="J429" s="2">
        <v>46227</v>
      </c>
      <c r="K429" s="2" t="str">
        <f>IFERROR(VLOOKUP(B429,#REF!,4,0),"")</f>
        <v/>
      </c>
      <c r="L429" s="1" t="s">
        <v>20</v>
      </c>
      <c r="M429" s="1" t="s">
        <v>12</v>
      </c>
      <c r="O429" s="4"/>
      <c r="Q429" s="4"/>
    </row>
    <row r="430" spans="1:18" x14ac:dyDescent="0.3">
      <c r="A430" s="3">
        <f t="shared" si="15"/>
        <v>111</v>
      </c>
      <c r="B430" s="8" t="s">
        <v>908</v>
      </c>
      <c r="C430" s="5" t="s">
        <v>907</v>
      </c>
      <c r="D430" s="6">
        <v>352280012</v>
      </c>
      <c r="E430" s="5" t="s">
        <v>207</v>
      </c>
      <c r="F430" s="5" t="s">
        <v>28</v>
      </c>
      <c r="G430" s="5" t="s">
        <v>3</v>
      </c>
      <c r="H430" s="2"/>
      <c r="I430" s="2">
        <v>46178</v>
      </c>
      <c r="J430" s="2">
        <v>46227</v>
      </c>
      <c r="K430" s="2" t="str">
        <f>IFERROR(VLOOKUP(B430,#REF!,4,0),"")</f>
        <v/>
      </c>
      <c r="L430" s="1" t="s">
        <v>27</v>
      </c>
      <c r="M430" s="1" t="s">
        <v>12</v>
      </c>
      <c r="O430" s="4"/>
      <c r="Q430" s="4"/>
    </row>
    <row r="431" spans="1:18" x14ac:dyDescent="0.3">
      <c r="A431" s="3">
        <f t="shared" si="15"/>
        <v>112</v>
      </c>
      <c r="B431" s="8" t="s">
        <v>906</v>
      </c>
      <c r="C431" s="5" t="s">
        <v>905</v>
      </c>
      <c r="D431" s="6">
        <v>351740569</v>
      </c>
      <c r="E431" s="5" t="s">
        <v>78</v>
      </c>
      <c r="F431" s="5" t="s">
        <v>4</v>
      </c>
      <c r="G431" s="5" t="s">
        <v>3</v>
      </c>
      <c r="H431" s="2">
        <v>46161</v>
      </c>
      <c r="I431" s="2">
        <v>46191</v>
      </c>
      <c r="J431" s="2">
        <v>46227</v>
      </c>
      <c r="K431" s="2" t="str">
        <f>IFERROR(VLOOKUP(B431,#REF!,4,0),"")</f>
        <v/>
      </c>
      <c r="M431" s="1" t="s">
        <v>12</v>
      </c>
      <c r="O431" s="4" t="s">
        <v>0</v>
      </c>
      <c r="Q431" s="4" t="s">
        <v>0</v>
      </c>
      <c r="R431" s="1" t="s">
        <v>0</v>
      </c>
    </row>
    <row r="432" spans="1:18" x14ac:dyDescent="0.3">
      <c r="A432" s="3">
        <f t="shared" si="15"/>
        <v>113</v>
      </c>
      <c r="B432" s="8" t="s">
        <v>904</v>
      </c>
      <c r="C432" s="5" t="s">
        <v>903</v>
      </c>
      <c r="D432" s="6">
        <v>455812386</v>
      </c>
      <c r="E432" s="5" t="s">
        <v>902</v>
      </c>
      <c r="F432" s="5" t="s">
        <v>32</v>
      </c>
      <c r="G432" s="5" t="s">
        <v>3</v>
      </c>
      <c r="H432" s="2">
        <v>46157</v>
      </c>
      <c r="I432" s="2">
        <v>46181</v>
      </c>
      <c r="J432" s="2">
        <v>46227</v>
      </c>
      <c r="K432" s="2" t="str">
        <f>IFERROR(VLOOKUP(B432,#REF!,4,0),"")</f>
        <v/>
      </c>
      <c r="L432" s="1" t="s">
        <v>27</v>
      </c>
      <c r="M432" s="1" t="s">
        <v>17</v>
      </c>
      <c r="O432" s="4" t="s">
        <v>0</v>
      </c>
      <c r="Q432" s="4" t="s">
        <v>0</v>
      </c>
      <c r="R432" s="1" t="s">
        <v>0</v>
      </c>
    </row>
    <row r="433" spans="1:18" x14ac:dyDescent="0.3">
      <c r="A433" s="3">
        <f t="shared" si="15"/>
        <v>114</v>
      </c>
      <c r="B433" s="8" t="s">
        <v>901</v>
      </c>
      <c r="C433" s="5" t="s">
        <v>900</v>
      </c>
      <c r="D433" s="6">
        <v>546150638</v>
      </c>
      <c r="E433" s="5" t="s">
        <v>860</v>
      </c>
      <c r="F433" s="5" t="s">
        <v>9</v>
      </c>
      <c r="G433" s="5" t="s">
        <v>3</v>
      </c>
      <c r="H433" s="2"/>
      <c r="I433" s="2"/>
      <c r="J433" s="2">
        <v>46227</v>
      </c>
      <c r="K433" s="2" t="str">
        <f>IFERROR(VLOOKUP(B433,#REF!,4,0),"")</f>
        <v/>
      </c>
      <c r="L433" s="1" t="s">
        <v>124</v>
      </c>
      <c r="M433" s="1" t="s">
        <v>17</v>
      </c>
      <c r="O433" s="4" t="s">
        <v>0</v>
      </c>
      <c r="Q433" s="4" t="s">
        <v>0</v>
      </c>
      <c r="R433" s="1" t="s">
        <v>0</v>
      </c>
    </row>
    <row r="434" spans="1:18" x14ac:dyDescent="0.3">
      <c r="A434" s="3">
        <f t="shared" si="15"/>
        <v>115</v>
      </c>
      <c r="B434" s="8" t="s">
        <v>899</v>
      </c>
      <c r="C434" s="5" t="s">
        <v>898</v>
      </c>
      <c r="D434" s="6">
        <v>526766129</v>
      </c>
      <c r="E434" s="5" t="s">
        <v>897</v>
      </c>
      <c r="F434" s="5" t="s">
        <v>58</v>
      </c>
      <c r="G434" s="5" t="s">
        <v>3</v>
      </c>
      <c r="H434" s="2">
        <v>46150</v>
      </c>
      <c r="I434" s="2"/>
      <c r="J434" s="2">
        <v>46227</v>
      </c>
      <c r="K434" s="2" t="str">
        <f>IFERROR(VLOOKUP(B434,#REF!,4,0),"")</f>
        <v/>
      </c>
      <c r="L434" s="1" t="s">
        <v>27</v>
      </c>
      <c r="M434" s="1" t="s">
        <v>12</v>
      </c>
      <c r="O434" s="4"/>
      <c r="Q434" s="4"/>
    </row>
    <row r="435" spans="1:18" x14ac:dyDescent="0.3">
      <c r="A435" s="3">
        <f t="shared" si="15"/>
        <v>116</v>
      </c>
      <c r="B435" s="8" t="s">
        <v>896</v>
      </c>
      <c r="C435" s="5" t="s">
        <v>895</v>
      </c>
      <c r="D435" s="6">
        <v>380776765</v>
      </c>
      <c r="E435" s="5" t="s">
        <v>894</v>
      </c>
      <c r="F435" s="5" t="s">
        <v>90</v>
      </c>
      <c r="G435" s="5" t="s">
        <v>3</v>
      </c>
      <c r="H435" s="2">
        <v>46151</v>
      </c>
      <c r="I435" s="2">
        <v>46197</v>
      </c>
      <c r="J435" s="2">
        <v>46227</v>
      </c>
      <c r="K435" s="2" t="str">
        <f>IFERROR(VLOOKUP(B435,#REF!,4,0),"")</f>
        <v/>
      </c>
      <c r="L435" s="1" t="s">
        <v>13</v>
      </c>
      <c r="M435" s="1" t="s">
        <v>12</v>
      </c>
      <c r="O435" s="4"/>
      <c r="Q435" s="4"/>
    </row>
    <row r="436" spans="1:18" x14ac:dyDescent="0.3">
      <c r="A436" s="3">
        <f t="shared" si="15"/>
        <v>117</v>
      </c>
      <c r="B436" s="8" t="s">
        <v>893</v>
      </c>
      <c r="C436" s="5" t="s">
        <v>892</v>
      </c>
      <c r="D436" s="6">
        <v>356886907</v>
      </c>
      <c r="E436" s="5" t="s">
        <v>891</v>
      </c>
      <c r="F436" s="5" t="s">
        <v>48</v>
      </c>
      <c r="G436" s="5" t="s">
        <v>3</v>
      </c>
      <c r="H436" s="2">
        <v>46153</v>
      </c>
      <c r="I436" s="2">
        <v>46199</v>
      </c>
      <c r="J436" s="2">
        <v>46227</v>
      </c>
      <c r="K436" s="2" t="str">
        <f>IFERROR(VLOOKUP(B436,#REF!,4,0),"")</f>
        <v/>
      </c>
      <c r="L436" s="1" t="s">
        <v>44</v>
      </c>
      <c r="M436" s="1" t="s">
        <v>12</v>
      </c>
      <c r="O436" s="4"/>
      <c r="Q436" s="4"/>
    </row>
    <row r="437" spans="1:18" x14ac:dyDescent="0.3">
      <c r="A437" s="3">
        <f t="shared" si="15"/>
        <v>118</v>
      </c>
      <c r="B437" s="8" t="s">
        <v>890</v>
      </c>
      <c r="C437" s="5" t="s">
        <v>889</v>
      </c>
      <c r="D437" s="6">
        <v>426091008</v>
      </c>
      <c r="E437" s="5" t="s">
        <v>888</v>
      </c>
      <c r="F437" s="5" t="s">
        <v>48</v>
      </c>
      <c r="G437" s="5" t="s">
        <v>3</v>
      </c>
      <c r="H437" s="2">
        <v>46154</v>
      </c>
      <c r="I437" s="2">
        <v>46199</v>
      </c>
      <c r="J437" s="2">
        <v>46227</v>
      </c>
      <c r="K437" s="2" t="str">
        <f>IFERROR(VLOOKUP(B437,#REF!,4,0),"")</f>
        <v/>
      </c>
      <c r="L437" s="1" t="s">
        <v>44</v>
      </c>
      <c r="M437" s="1" t="s">
        <v>12</v>
      </c>
      <c r="O437" s="4" t="s">
        <v>887</v>
      </c>
      <c r="Q437" s="4"/>
    </row>
    <row r="438" spans="1:18" x14ac:dyDescent="0.3">
      <c r="A438" s="3">
        <f t="shared" si="15"/>
        <v>119</v>
      </c>
      <c r="B438" s="8" t="s">
        <v>886</v>
      </c>
      <c r="C438" s="5" t="s">
        <v>885</v>
      </c>
      <c r="D438" s="6">
        <v>461714754</v>
      </c>
      <c r="E438" s="5" t="s">
        <v>884</v>
      </c>
      <c r="F438" s="5" t="s">
        <v>90</v>
      </c>
      <c r="G438" s="5" t="s">
        <v>3</v>
      </c>
      <c r="H438" s="2">
        <v>46162</v>
      </c>
      <c r="I438" s="2">
        <v>46199</v>
      </c>
      <c r="J438" s="2">
        <v>46227</v>
      </c>
      <c r="K438" s="2" t="str">
        <f>IFERROR(VLOOKUP(B438,#REF!,4,0),"")</f>
        <v/>
      </c>
      <c r="L438" s="1" t="s">
        <v>13</v>
      </c>
      <c r="M438" s="1" t="s">
        <v>12</v>
      </c>
      <c r="O438" s="4"/>
      <c r="Q438" s="4"/>
    </row>
    <row r="439" spans="1:18" x14ac:dyDescent="0.3">
      <c r="A439" s="3">
        <f t="shared" si="15"/>
        <v>120</v>
      </c>
      <c r="B439" s="8" t="s">
        <v>883</v>
      </c>
      <c r="C439" s="5" t="s">
        <v>882</v>
      </c>
      <c r="D439" s="6">
        <v>427973904</v>
      </c>
      <c r="E439" s="5" t="s">
        <v>237</v>
      </c>
      <c r="F439" s="5" t="s">
        <v>90</v>
      </c>
      <c r="G439" s="5" t="s">
        <v>3</v>
      </c>
      <c r="H439" s="2">
        <v>46162</v>
      </c>
      <c r="I439" s="2">
        <v>46199</v>
      </c>
      <c r="J439" s="2">
        <v>46227</v>
      </c>
      <c r="K439" s="2" t="str">
        <f>IFERROR(VLOOKUP(B439,#REF!,4,0),"")</f>
        <v/>
      </c>
      <c r="L439" s="1" t="s">
        <v>13</v>
      </c>
      <c r="M439" s="1" t="s">
        <v>12</v>
      </c>
      <c r="O439" s="4"/>
      <c r="Q439" s="4"/>
    </row>
    <row r="440" spans="1:18" x14ac:dyDescent="0.3">
      <c r="A440" s="3">
        <f t="shared" si="15"/>
        <v>121</v>
      </c>
      <c r="B440" s="8" t="s">
        <v>881</v>
      </c>
      <c r="C440" s="5" t="s">
        <v>880</v>
      </c>
      <c r="D440" s="6">
        <v>541110896</v>
      </c>
      <c r="E440" s="5" t="s">
        <v>879</v>
      </c>
      <c r="F440" s="5" t="s">
        <v>4</v>
      </c>
      <c r="G440" s="5" t="s">
        <v>3</v>
      </c>
      <c r="H440" s="2"/>
      <c r="I440" s="2"/>
      <c r="J440" s="2">
        <v>46227</v>
      </c>
      <c r="K440" s="2" t="str">
        <f>IFERROR(VLOOKUP(B440,#REF!,4,0),"")</f>
        <v/>
      </c>
      <c r="L440" s="1" t="s">
        <v>77</v>
      </c>
      <c r="M440" s="1" t="s">
        <v>17</v>
      </c>
      <c r="O440" s="4"/>
      <c r="Q440" s="4"/>
    </row>
    <row r="441" spans="1:18" x14ac:dyDescent="0.3">
      <c r="A441" s="3">
        <f t="shared" si="15"/>
        <v>122</v>
      </c>
      <c r="B441" s="8" t="s">
        <v>878</v>
      </c>
      <c r="C441" s="5" t="s">
        <v>877</v>
      </c>
      <c r="D441" s="6">
        <v>485399922</v>
      </c>
      <c r="E441" s="5" t="s">
        <v>876</v>
      </c>
      <c r="F441" s="5" t="s">
        <v>90</v>
      </c>
      <c r="G441" s="5" t="s">
        <v>3</v>
      </c>
      <c r="H441" s="2"/>
      <c r="I441" s="2">
        <v>46198</v>
      </c>
      <c r="J441" s="2">
        <v>46227</v>
      </c>
      <c r="K441" s="2" t="str">
        <f>IFERROR(VLOOKUP(B441,#REF!,4,0),"")</f>
        <v/>
      </c>
      <c r="L441" s="1" t="s">
        <v>13</v>
      </c>
      <c r="M441" s="1" t="s">
        <v>12</v>
      </c>
      <c r="O441" s="4"/>
      <c r="Q441" s="4"/>
    </row>
    <row r="442" spans="1:18" x14ac:dyDescent="0.3">
      <c r="A442" s="3">
        <f t="shared" si="15"/>
        <v>123</v>
      </c>
      <c r="B442" s="8" t="s">
        <v>875</v>
      </c>
      <c r="C442" s="5" t="s">
        <v>874</v>
      </c>
      <c r="D442" s="6">
        <v>611371707</v>
      </c>
      <c r="E442" s="5" t="s">
        <v>873</v>
      </c>
      <c r="F442" s="5" t="s">
        <v>9</v>
      </c>
      <c r="G442" s="5" t="s">
        <v>3</v>
      </c>
      <c r="H442" s="2"/>
      <c r="I442" s="2"/>
      <c r="J442" s="2">
        <v>46227</v>
      </c>
      <c r="K442" s="2" t="str">
        <f>IFERROR(VLOOKUP(B442,#REF!,4,0),"")</f>
        <v/>
      </c>
      <c r="L442" s="1" t="s">
        <v>20</v>
      </c>
      <c r="M442" s="1" t="s">
        <v>12</v>
      </c>
      <c r="O442" s="4"/>
      <c r="Q442" s="4"/>
    </row>
    <row r="443" spans="1:18" x14ac:dyDescent="0.3">
      <c r="A443" s="3">
        <f t="shared" si="15"/>
        <v>124</v>
      </c>
      <c r="B443" s="8" t="s">
        <v>872</v>
      </c>
      <c r="C443" s="5" t="s">
        <v>871</v>
      </c>
      <c r="D443" s="6">
        <v>535283214</v>
      </c>
      <c r="E443" s="5" t="s">
        <v>870</v>
      </c>
      <c r="F443" s="5" t="s">
        <v>9</v>
      </c>
      <c r="G443" s="5" t="s">
        <v>3</v>
      </c>
      <c r="H443" s="2">
        <v>46144</v>
      </c>
      <c r="I443" s="2"/>
      <c r="J443" s="2">
        <v>46228</v>
      </c>
      <c r="K443" s="2" t="str">
        <f>IFERROR(VLOOKUP(B443,#REF!,4,0),"")</f>
        <v/>
      </c>
      <c r="L443" s="1" t="s">
        <v>20</v>
      </c>
      <c r="M443" s="1" t="s">
        <v>17</v>
      </c>
      <c r="O443" s="4"/>
      <c r="Q443" s="4"/>
    </row>
    <row r="444" spans="1:18" x14ac:dyDescent="0.3">
      <c r="A444" s="3">
        <f t="shared" si="15"/>
        <v>125</v>
      </c>
      <c r="B444" s="8" t="s">
        <v>869</v>
      </c>
      <c r="C444" s="5" t="s">
        <v>868</v>
      </c>
      <c r="D444" s="6">
        <v>557887253</v>
      </c>
      <c r="E444" s="5" t="s">
        <v>210</v>
      </c>
      <c r="F444" s="5" t="s">
        <v>9</v>
      </c>
      <c r="G444" s="5" t="s">
        <v>3</v>
      </c>
      <c r="H444" s="2">
        <v>46163</v>
      </c>
      <c r="I444" s="2"/>
      <c r="J444" s="2">
        <v>46228</v>
      </c>
      <c r="K444" s="2" t="str">
        <f>IFERROR(VLOOKUP(B444,#REF!,4,0),"")</f>
        <v/>
      </c>
      <c r="L444" s="1" t="s">
        <v>124</v>
      </c>
      <c r="M444" s="1" t="s">
        <v>535</v>
      </c>
      <c r="O444" s="4"/>
      <c r="Q444" s="4"/>
    </row>
    <row r="445" spans="1:18" x14ac:dyDescent="0.3">
      <c r="A445" s="3">
        <f t="shared" si="15"/>
        <v>126</v>
      </c>
      <c r="B445" s="8" t="s">
        <v>867</v>
      </c>
      <c r="C445" s="5" t="s">
        <v>866</v>
      </c>
      <c r="D445" s="6">
        <v>479710828</v>
      </c>
      <c r="E445" s="5" t="s">
        <v>503</v>
      </c>
      <c r="F445" s="5" t="s">
        <v>90</v>
      </c>
      <c r="G445" s="5" t="s">
        <v>3</v>
      </c>
      <c r="H445" s="2">
        <v>46163</v>
      </c>
      <c r="I445" s="2">
        <v>46197</v>
      </c>
      <c r="J445" s="2">
        <v>46228</v>
      </c>
      <c r="K445" s="2" t="str">
        <f>IFERROR(VLOOKUP(B445,#REF!,4,0),"")</f>
        <v/>
      </c>
      <c r="L445" s="1" t="s">
        <v>13</v>
      </c>
      <c r="M445" s="1" t="s">
        <v>12</v>
      </c>
      <c r="O445" s="4"/>
      <c r="Q445" s="4"/>
    </row>
    <row r="446" spans="1:18" x14ac:dyDescent="0.3">
      <c r="A446" s="3">
        <f t="shared" si="15"/>
        <v>127</v>
      </c>
      <c r="B446" s="8" t="s">
        <v>865</v>
      </c>
      <c r="C446" s="5" t="s">
        <v>864</v>
      </c>
      <c r="D446" s="6">
        <v>505531609</v>
      </c>
      <c r="E446" s="5" t="s">
        <v>863</v>
      </c>
      <c r="F446" s="5" t="s">
        <v>48</v>
      </c>
      <c r="G446" s="5" t="s">
        <v>3</v>
      </c>
      <c r="H446" s="2">
        <v>46165</v>
      </c>
      <c r="I446" s="2">
        <v>46179</v>
      </c>
      <c r="J446" s="2">
        <v>46228</v>
      </c>
      <c r="K446" s="2" t="str">
        <f>IFERROR(VLOOKUP(B446,#REF!,4,0),"")</f>
        <v/>
      </c>
      <c r="L446" s="1" t="s">
        <v>44</v>
      </c>
      <c r="M446" s="1" t="s">
        <v>17</v>
      </c>
      <c r="O446" s="4"/>
      <c r="Q446" s="4"/>
    </row>
    <row r="447" spans="1:18" x14ac:dyDescent="0.3">
      <c r="A447" s="3">
        <f t="shared" si="15"/>
        <v>128</v>
      </c>
      <c r="B447" s="8" t="s">
        <v>862</v>
      </c>
      <c r="C447" s="5" t="s">
        <v>861</v>
      </c>
      <c r="D447" s="6">
        <v>523270433</v>
      </c>
      <c r="E447" s="5" t="s">
        <v>860</v>
      </c>
      <c r="F447" s="5" t="s">
        <v>9</v>
      </c>
      <c r="G447" s="5" t="s">
        <v>3</v>
      </c>
      <c r="H447" s="2"/>
      <c r="I447" s="2"/>
      <c r="J447" s="2">
        <v>46228</v>
      </c>
      <c r="K447" s="2" t="str">
        <f>IFERROR(VLOOKUP(B447,#REF!,4,0),"")</f>
        <v/>
      </c>
      <c r="L447" s="1" t="s">
        <v>124</v>
      </c>
      <c r="M447" s="1" t="s">
        <v>17</v>
      </c>
      <c r="O447" s="4"/>
      <c r="Q447" s="4"/>
    </row>
    <row r="448" spans="1:18" x14ac:dyDescent="0.3">
      <c r="A448" s="3">
        <f t="shared" si="15"/>
        <v>129</v>
      </c>
      <c r="B448" s="8" t="s">
        <v>859</v>
      </c>
      <c r="C448" s="5" t="s">
        <v>858</v>
      </c>
      <c r="D448" s="6">
        <v>380509653</v>
      </c>
      <c r="E448" s="5" t="s">
        <v>857</v>
      </c>
      <c r="F448" s="5" t="s">
        <v>28</v>
      </c>
      <c r="G448" s="5" t="s">
        <v>3</v>
      </c>
      <c r="H448" s="2"/>
      <c r="I448" s="2">
        <v>46191</v>
      </c>
      <c r="J448" s="2">
        <v>46228</v>
      </c>
      <c r="K448" s="2" t="str">
        <f>IFERROR(VLOOKUP(B448,#REF!,4,0),"")</f>
        <v/>
      </c>
      <c r="L448" s="1" t="s">
        <v>27</v>
      </c>
      <c r="M448" s="1" t="s">
        <v>12</v>
      </c>
      <c r="O448" s="4"/>
      <c r="Q448" s="4"/>
    </row>
    <row r="449" spans="1:18" x14ac:dyDescent="0.3">
      <c r="A449" s="3">
        <f t="shared" ref="A449:A480" si="16">1+A448</f>
        <v>130</v>
      </c>
      <c r="B449" s="8" t="s">
        <v>856</v>
      </c>
      <c r="C449" s="5" t="s">
        <v>855</v>
      </c>
      <c r="D449" s="6">
        <v>455714530</v>
      </c>
      <c r="E449" s="5" t="s">
        <v>854</v>
      </c>
      <c r="F449" s="5" t="s">
        <v>4</v>
      </c>
      <c r="G449" s="5" t="s">
        <v>3</v>
      </c>
      <c r="H449" s="2"/>
      <c r="I449" s="2"/>
      <c r="J449" s="2">
        <v>46228</v>
      </c>
      <c r="K449" s="2" t="str">
        <f>IFERROR(VLOOKUP(B449,#REF!,4,0),"")</f>
        <v/>
      </c>
      <c r="L449" s="1" t="s">
        <v>77</v>
      </c>
      <c r="M449" s="1" t="s">
        <v>17</v>
      </c>
      <c r="O449" s="4"/>
      <c r="Q449" s="4"/>
    </row>
    <row r="450" spans="1:18" x14ac:dyDescent="0.3">
      <c r="A450" s="3">
        <f t="shared" si="16"/>
        <v>131</v>
      </c>
      <c r="B450" s="8" t="s">
        <v>853</v>
      </c>
      <c r="C450" s="5" t="s">
        <v>852</v>
      </c>
      <c r="D450" s="6">
        <v>501348739</v>
      </c>
      <c r="E450" s="5" t="s">
        <v>851</v>
      </c>
      <c r="F450" s="5" t="s">
        <v>4</v>
      </c>
      <c r="G450" s="5" t="s">
        <v>3</v>
      </c>
      <c r="H450" s="2"/>
      <c r="I450" s="2"/>
      <c r="J450" s="2">
        <v>46228</v>
      </c>
      <c r="K450" s="2" t="str">
        <f>IFERROR(VLOOKUP(B450,#REF!,4,0),"")</f>
        <v/>
      </c>
      <c r="L450" s="1" t="s">
        <v>77</v>
      </c>
      <c r="M450" s="1" t="s">
        <v>17</v>
      </c>
      <c r="O450" s="4"/>
      <c r="Q450" s="4"/>
    </row>
    <row r="451" spans="1:18" x14ac:dyDescent="0.3">
      <c r="A451" s="3">
        <f t="shared" si="16"/>
        <v>132</v>
      </c>
      <c r="B451" s="8" t="s">
        <v>850</v>
      </c>
      <c r="C451" s="5" t="s">
        <v>849</v>
      </c>
      <c r="D451" s="6">
        <v>422844989</v>
      </c>
      <c r="E451" s="5" t="s">
        <v>413</v>
      </c>
      <c r="F451" s="5" t="s">
        <v>28</v>
      </c>
      <c r="G451" s="5" t="s">
        <v>3</v>
      </c>
      <c r="H451" s="2"/>
      <c r="I451" s="2">
        <v>46183</v>
      </c>
      <c r="J451" s="2">
        <v>46228</v>
      </c>
      <c r="K451" s="2" t="str">
        <f>IFERROR(VLOOKUP(B451,#REF!,4,0),"")</f>
        <v/>
      </c>
      <c r="L451" s="1" t="s">
        <v>27</v>
      </c>
      <c r="M451" s="1" t="s">
        <v>12</v>
      </c>
      <c r="O451" s="4"/>
      <c r="Q451" s="4"/>
    </row>
    <row r="452" spans="1:18" x14ac:dyDescent="0.3">
      <c r="A452" s="3">
        <f t="shared" si="16"/>
        <v>133</v>
      </c>
      <c r="B452" s="8" t="s">
        <v>848</v>
      </c>
      <c r="C452" s="5" t="s">
        <v>847</v>
      </c>
      <c r="D452" s="6">
        <v>513043454</v>
      </c>
      <c r="E452" s="5" t="s">
        <v>846</v>
      </c>
      <c r="F452" s="5" t="s">
        <v>90</v>
      </c>
      <c r="G452" s="5" t="s">
        <v>3</v>
      </c>
      <c r="H452" s="2"/>
      <c r="I452" s="2"/>
      <c r="J452" s="2">
        <v>46228</v>
      </c>
      <c r="K452" s="2" t="str">
        <f>IFERROR(VLOOKUP(B452,#REF!,4,0),"")</f>
        <v/>
      </c>
      <c r="L452" s="1" t="s">
        <v>13</v>
      </c>
      <c r="M452" s="1" t="s">
        <v>12</v>
      </c>
      <c r="O452" s="4"/>
      <c r="Q452" s="4"/>
    </row>
    <row r="453" spans="1:18" x14ac:dyDescent="0.3">
      <c r="A453" s="3">
        <f t="shared" si="16"/>
        <v>134</v>
      </c>
      <c r="B453" s="8" t="s">
        <v>845</v>
      </c>
      <c r="C453" s="5" t="s">
        <v>844</v>
      </c>
      <c r="D453" s="6">
        <v>550407361</v>
      </c>
      <c r="E453" s="5" t="s">
        <v>843</v>
      </c>
      <c r="F453" s="5" t="s">
        <v>9</v>
      </c>
      <c r="G453" s="5" t="s">
        <v>3</v>
      </c>
      <c r="H453" s="2"/>
      <c r="I453" s="2"/>
      <c r="J453" s="2">
        <v>46228</v>
      </c>
      <c r="K453" s="2" t="str">
        <f>IFERROR(VLOOKUP(B453,#REF!,4,0),"")</f>
        <v/>
      </c>
      <c r="L453" s="1" t="s">
        <v>20</v>
      </c>
      <c r="M453" s="1" t="s">
        <v>17</v>
      </c>
      <c r="O453" s="4"/>
      <c r="Q453" s="4"/>
    </row>
    <row r="454" spans="1:18" x14ac:dyDescent="0.3">
      <c r="A454" s="3">
        <f t="shared" si="16"/>
        <v>135</v>
      </c>
      <c r="B454" s="8" t="s">
        <v>842</v>
      </c>
      <c r="C454" s="5" t="s">
        <v>841</v>
      </c>
      <c r="D454" s="6">
        <v>494825568</v>
      </c>
      <c r="E454" s="5" t="s">
        <v>840</v>
      </c>
      <c r="F454" s="5" t="s">
        <v>28</v>
      </c>
      <c r="G454" s="5" t="s">
        <v>3</v>
      </c>
      <c r="H454" s="2">
        <v>46167</v>
      </c>
      <c r="I454" s="2">
        <v>46191</v>
      </c>
      <c r="J454" s="2">
        <v>46230</v>
      </c>
      <c r="K454" s="2" t="str">
        <f>IFERROR(VLOOKUP(B454,#REF!,4,0),"")</f>
        <v/>
      </c>
      <c r="L454" s="1" t="s">
        <v>27</v>
      </c>
      <c r="M454" s="1" t="s">
        <v>17</v>
      </c>
      <c r="O454" s="4" t="s">
        <v>0</v>
      </c>
      <c r="Q454" s="4" t="s">
        <v>0</v>
      </c>
      <c r="R454" s="1" t="s">
        <v>0</v>
      </c>
    </row>
    <row r="455" spans="1:18" x14ac:dyDescent="0.3">
      <c r="A455" s="3">
        <f t="shared" si="16"/>
        <v>136</v>
      </c>
      <c r="B455" s="8" t="s">
        <v>839</v>
      </c>
      <c r="C455" s="5" t="s">
        <v>838</v>
      </c>
      <c r="D455" s="6">
        <v>360812099</v>
      </c>
      <c r="E455" s="5" t="s">
        <v>837</v>
      </c>
      <c r="F455" s="5" t="s">
        <v>4</v>
      </c>
      <c r="G455" s="5" t="s">
        <v>3</v>
      </c>
      <c r="H455" s="2">
        <v>46154</v>
      </c>
      <c r="I455" s="2"/>
      <c r="J455" s="2">
        <v>46230</v>
      </c>
      <c r="K455" s="2" t="str">
        <f>IFERROR(VLOOKUP(B455,#REF!,4,0),"")</f>
        <v/>
      </c>
      <c r="M455" s="1" t="s">
        <v>12</v>
      </c>
      <c r="O455" s="4"/>
      <c r="Q455" s="4"/>
    </row>
    <row r="456" spans="1:18" x14ac:dyDescent="0.3">
      <c r="A456" s="3">
        <f t="shared" si="16"/>
        <v>137</v>
      </c>
      <c r="B456" s="8" t="s">
        <v>836</v>
      </c>
      <c r="C456" s="5" t="s">
        <v>835</v>
      </c>
      <c r="D456" s="6">
        <v>296490835</v>
      </c>
      <c r="E456" s="5" t="s">
        <v>186</v>
      </c>
      <c r="F456" s="5" t="s">
        <v>36</v>
      </c>
      <c r="G456" s="5" t="s">
        <v>3</v>
      </c>
      <c r="H456" s="2">
        <v>46150</v>
      </c>
      <c r="I456" s="2">
        <v>46203</v>
      </c>
      <c r="J456" s="2">
        <v>46230</v>
      </c>
      <c r="K456" s="2" t="str">
        <f>IFERROR(VLOOKUP(B456,#REF!,4,0),"")</f>
        <v/>
      </c>
      <c r="L456" s="1" t="s">
        <v>13</v>
      </c>
      <c r="M456" s="1" t="s">
        <v>12</v>
      </c>
      <c r="O456" s="4"/>
      <c r="Q456" s="4"/>
    </row>
    <row r="457" spans="1:18" x14ac:dyDescent="0.3">
      <c r="A457" s="3">
        <f t="shared" si="16"/>
        <v>138</v>
      </c>
      <c r="B457" s="8" t="s">
        <v>834</v>
      </c>
      <c r="C457" s="5" t="s">
        <v>833</v>
      </c>
      <c r="D457" s="6">
        <v>484258001</v>
      </c>
      <c r="E457" s="5" t="s">
        <v>756</v>
      </c>
      <c r="F457" s="5" t="s">
        <v>4</v>
      </c>
      <c r="G457" s="5" t="s">
        <v>3</v>
      </c>
      <c r="H457" s="2">
        <v>46165</v>
      </c>
      <c r="I457" s="2">
        <v>46199</v>
      </c>
      <c r="J457" s="2">
        <v>46230</v>
      </c>
      <c r="K457" s="2" t="str">
        <f>IFERROR(VLOOKUP(B457,#REF!,4,0),"")</f>
        <v/>
      </c>
      <c r="L457" s="1" t="s">
        <v>2</v>
      </c>
      <c r="M457" s="1" t="s">
        <v>17</v>
      </c>
      <c r="O457" s="4" t="s">
        <v>0</v>
      </c>
      <c r="P457" s="1" t="s">
        <v>832</v>
      </c>
      <c r="Q457" s="4" t="s">
        <v>0</v>
      </c>
      <c r="R457" s="1" t="s">
        <v>0</v>
      </c>
    </row>
    <row r="458" spans="1:18" x14ac:dyDescent="0.3">
      <c r="A458" s="3">
        <f t="shared" si="16"/>
        <v>139</v>
      </c>
      <c r="B458" s="8" t="s">
        <v>831</v>
      </c>
      <c r="C458" s="5" t="s">
        <v>830</v>
      </c>
      <c r="D458" s="6">
        <v>429761811</v>
      </c>
      <c r="E458" s="5" t="s">
        <v>829</v>
      </c>
      <c r="F458" s="5" t="s">
        <v>4</v>
      </c>
      <c r="G458" s="5" t="s">
        <v>3</v>
      </c>
      <c r="H458" s="2">
        <v>46171</v>
      </c>
      <c r="I458" s="2">
        <v>46185</v>
      </c>
      <c r="J458" s="2">
        <v>46230</v>
      </c>
      <c r="K458" s="2" t="str">
        <f>IFERROR(VLOOKUP(B458,#REF!,4,0),"")</f>
        <v/>
      </c>
      <c r="L458" s="1" t="s">
        <v>2</v>
      </c>
      <c r="M458" s="1" t="s">
        <v>12</v>
      </c>
      <c r="O458" s="4" t="s">
        <v>0</v>
      </c>
      <c r="Q458" s="4" t="s">
        <v>0</v>
      </c>
      <c r="R458" s="1" t="s">
        <v>0</v>
      </c>
    </row>
    <row r="459" spans="1:18" x14ac:dyDescent="0.3">
      <c r="A459" s="3">
        <f t="shared" si="16"/>
        <v>140</v>
      </c>
      <c r="B459" s="8" t="s">
        <v>828</v>
      </c>
      <c r="C459" s="5" t="s">
        <v>827</v>
      </c>
      <c r="D459" s="6">
        <v>491407090</v>
      </c>
      <c r="E459" s="5" t="s">
        <v>826</v>
      </c>
      <c r="F459" s="5" t="s">
        <v>48</v>
      </c>
      <c r="G459" s="5" t="s">
        <v>3</v>
      </c>
      <c r="H459" s="2">
        <v>46150</v>
      </c>
      <c r="I459" s="2">
        <v>46196</v>
      </c>
      <c r="J459" s="2">
        <v>46230</v>
      </c>
      <c r="K459" s="2" t="str">
        <f>IFERROR(VLOOKUP(B459,#REF!,4,0),"")</f>
        <v/>
      </c>
      <c r="L459" s="1" t="s">
        <v>44</v>
      </c>
      <c r="M459" s="1" t="s">
        <v>12</v>
      </c>
      <c r="O459" s="4"/>
      <c r="Q459" s="4"/>
    </row>
    <row r="460" spans="1:18" x14ac:dyDescent="0.3">
      <c r="A460" s="3">
        <f t="shared" si="16"/>
        <v>141</v>
      </c>
      <c r="B460" s="8" t="s">
        <v>825</v>
      </c>
      <c r="C460" s="5" t="s">
        <v>824</v>
      </c>
      <c r="D460" s="6">
        <v>540354263</v>
      </c>
      <c r="E460" s="5" t="s">
        <v>823</v>
      </c>
      <c r="F460" s="5" t="s">
        <v>28</v>
      </c>
      <c r="G460" s="5" t="s">
        <v>3</v>
      </c>
      <c r="H460" s="2"/>
      <c r="I460" s="2"/>
      <c r="J460" s="2">
        <v>46230</v>
      </c>
      <c r="K460" s="2" t="str">
        <f>IFERROR(VLOOKUP(B460,#REF!,4,0),"")</f>
        <v/>
      </c>
      <c r="L460" s="1" t="s">
        <v>27</v>
      </c>
      <c r="M460" s="1" t="s">
        <v>535</v>
      </c>
      <c r="O460" s="4"/>
      <c r="Q460" s="4"/>
    </row>
    <row r="461" spans="1:18" x14ac:dyDescent="0.3">
      <c r="A461" s="3">
        <f t="shared" si="16"/>
        <v>142</v>
      </c>
      <c r="B461" s="8" t="s">
        <v>822</v>
      </c>
      <c r="C461" s="5" t="s">
        <v>821</v>
      </c>
      <c r="D461" s="6">
        <v>692751298</v>
      </c>
      <c r="E461" s="5" t="s">
        <v>820</v>
      </c>
      <c r="F461" s="5" t="s">
        <v>9</v>
      </c>
      <c r="G461" s="5" t="s">
        <v>3</v>
      </c>
      <c r="H461" s="2"/>
      <c r="I461" s="2"/>
      <c r="J461" s="2">
        <v>46230</v>
      </c>
      <c r="K461" s="2" t="str">
        <f>IFERROR(VLOOKUP(B461,#REF!,4,0),"")</f>
        <v/>
      </c>
      <c r="L461" s="1" t="s">
        <v>20</v>
      </c>
      <c r="M461" s="1" t="s">
        <v>17</v>
      </c>
      <c r="O461" s="4"/>
      <c r="Q461" s="4"/>
    </row>
    <row r="462" spans="1:18" x14ac:dyDescent="0.3">
      <c r="A462" s="3">
        <f t="shared" si="16"/>
        <v>143</v>
      </c>
      <c r="B462" s="8" t="s">
        <v>819</v>
      </c>
      <c r="C462" s="5" t="s">
        <v>818</v>
      </c>
      <c r="D462" s="6">
        <v>546575286</v>
      </c>
      <c r="E462" s="5" t="s">
        <v>817</v>
      </c>
      <c r="F462" s="5" t="s">
        <v>28</v>
      </c>
      <c r="G462" s="5" t="s">
        <v>3</v>
      </c>
      <c r="H462" s="2"/>
      <c r="I462" s="2"/>
      <c r="J462" s="2">
        <v>46230</v>
      </c>
      <c r="K462" s="2" t="str">
        <f>IFERROR(VLOOKUP(B462,#REF!,4,0),"")</f>
        <v/>
      </c>
      <c r="L462" s="1" t="s">
        <v>27</v>
      </c>
      <c r="M462" s="1" t="s">
        <v>12</v>
      </c>
      <c r="O462" s="4"/>
      <c r="Q462" s="4"/>
    </row>
    <row r="463" spans="1:18" x14ac:dyDescent="0.3">
      <c r="A463" s="3">
        <f t="shared" si="16"/>
        <v>144</v>
      </c>
      <c r="B463" s="8" t="s">
        <v>816</v>
      </c>
      <c r="C463" s="5" t="s">
        <v>815</v>
      </c>
      <c r="D463" s="6">
        <v>374497362</v>
      </c>
      <c r="E463" s="5" t="s">
        <v>814</v>
      </c>
      <c r="F463" s="5" t="s">
        <v>28</v>
      </c>
      <c r="G463" s="5" t="s">
        <v>3</v>
      </c>
      <c r="H463" s="2"/>
      <c r="I463" s="2">
        <v>46199</v>
      </c>
      <c r="J463" s="2">
        <v>46230</v>
      </c>
      <c r="K463" s="2" t="str">
        <f>IFERROR(VLOOKUP(B463,#REF!,4,0),"")</f>
        <v/>
      </c>
      <c r="L463" s="1" t="s">
        <v>27</v>
      </c>
      <c r="M463" s="1" t="s">
        <v>12</v>
      </c>
      <c r="O463" s="4"/>
      <c r="Q463" s="4"/>
    </row>
    <row r="464" spans="1:18" x14ac:dyDescent="0.3">
      <c r="A464" s="3">
        <f t="shared" si="16"/>
        <v>145</v>
      </c>
      <c r="B464" s="8" t="s">
        <v>813</v>
      </c>
      <c r="C464" s="5" t="s">
        <v>812</v>
      </c>
      <c r="D464" s="6">
        <v>531902507</v>
      </c>
      <c r="E464" s="5" t="s">
        <v>210</v>
      </c>
      <c r="F464" s="5" t="s">
        <v>9</v>
      </c>
      <c r="G464" s="5" t="s">
        <v>3</v>
      </c>
      <c r="H464" s="2"/>
      <c r="I464" s="2"/>
      <c r="J464" s="2">
        <v>46230</v>
      </c>
      <c r="K464" s="2" t="str">
        <f>IFERROR(VLOOKUP(B464,#REF!,4,0),"")</f>
        <v/>
      </c>
      <c r="L464" s="1" t="s">
        <v>124</v>
      </c>
      <c r="M464" s="1" t="s">
        <v>17</v>
      </c>
      <c r="O464" s="4"/>
      <c r="Q464" s="4"/>
    </row>
    <row r="465" spans="1:18" x14ac:dyDescent="0.3">
      <c r="A465" s="3">
        <f t="shared" si="16"/>
        <v>146</v>
      </c>
      <c r="B465" s="8" t="s">
        <v>811</v>
      </c>
      <c r="C465" s="5" t="s">
        <v>810</v>
      </c>
      <c r="D465" s="6">
        <v>544877412</v>
      </c>
      <c r="E465" s="5" t="s">
        <v>192</v>
      </c>
      <c r="F465" s="5" t="s">
        <v>9</v>
      </c>
      <c r="G465" s="5" t="s">
        <v>3</v>
      </c>
      <c r="H465" s="2">
        <v>46158</v>
      </c>
      <c r="I465" s="2">
        <v>46185</v>
      </c>
      <c r="J465" s="2">
        <v>46231</v>
      </c>
      <c r="K465" s="2" t="str">
        <f>IFERROR(VLOOKUP(B465,#REF!,4,0),"")</f>
        <v/>
      </c>
      <c r="L465" s="1" t="s">
        <v>20</v>
      </c>
      <c r="M465" s="1" t="s">
        <v>12</v>
      </c>
      <c r="O465" s="4" t="s">
        <v>0</v>
      </c>
      <c r="Q465" s="4" t="s">
        <v>0</v>
      </c>
      <c r="R465" s="1" t="s">
        <v>0</v>
      </c>
    </row>
    <row r="466" spans="1:18" x14ac:dyDescent="0.3">
      <c r="A466" s="3">
        <f t="shared" si="16"/>
        <v>147</v>
      </c>
      <c r="B466" s="8" t="s">
        <v>809</v>
      </c>
      <c r="C466" s="5" t="s">
        <v>808</v>
      </c>
      <c r="D466" s="6">
        <v>509891386</v>
      </c>
      <c r="E466" s="5" t="s">
        <v>776</v>
      </c>
      <c r="F466" s="5" t="s">
        <v>4</v>
      </c>
      <c r="G466" s="5" t="s">
        <v>3</v>
      </c>
      <c r="H466" s="2">
        <v>46170</v>
      </c>
      <c r="I466" s="2">
        <v>46196</v>
      </c>
      <c r="J466" s="2">
        <v>46231</v>
      </c>
      <c r="K466" s="2" t="str">
        <f>IFERROR(VLOOKUP(B466,#REF!,4,0),"")</f>
        <v/>
      </c>
      <c r="L466" s="1" t="s">
        <v>2</v>
      </c>
      <c r="M466" s="1" t="s">
        <v>12</v>
      </c>
      <c r="O466" s="4" t="s">
        <v>0</v>
      </c>
      <c r="Q466" s="4" t="s">
        <v>0</v>
      </c>
      <c r="R466" s="1" t="s">
        <v>0</v>
      </c>
    </row>
    <row r="467" spans="1:18" x14ac:dyDescent="0.3">
      <c r="A467" s="3">
        <f t="shared" si="16"/>
        <v>148</v>
      </c>
      <c r="B467" s="17" t="s">
        <v>807</v>
      </c>
      <c r="C467" s="5" t="s">
        <v>806</v>
      </c>
      <c r="D467" s="6">
        <v>351386383</v>
      </c>
      <c r="E467" s="5" t="s">
        <v>805</v>
      </c>
      <c r="F467" s="5" t="s">
        <v>4</v>
      </c>
      <c r="G467" s="5" t="s">
        <v>3</v>
      </c>
      <c r="H467" s="2">
        <v>46171</v>
      </c>
      <c r="I467" s="2">
        <v>46198</v>
      </c>
      <c r="J467" s="2">
        <v>46231</v>
      </c>
      <c r="K467" s="2" t="str">
        <f>IFERROR(VLOOKUP(B467,#REF!,4,0),"")</f>
        <v/>
      </c>
      <c r="L467" s="1" t="s">
        <v>2</v>
      </c>
      <c r="M467" s="1" t="s">
        <v>12</v>
      </c>
      <c r="O467" s="4" t="s">
        <v>0</v>
      </c>
      <c r="Q467" s="4" t="s">
        <v>0</v>
      </c>
      <c r="R467" s="1" t="s">
        <v>0</v>
      </c>
    </row>
    <row r="468" spans="1:18" x14ac:dyDescent="0.3">
      <c r="A468" s="3">
        <f t="shared" si="16"/>
        <v>149</v>
      </c>
      <c r="B468" s="8" t="s">
        <v>804</v>
      </c>
      <c r="C468" s="5" t="s">
        <v>803</v>
      </c>
      <c r="D468" s="6">
        <v>617848736</v>
      </c>
      <c r="E468" s="5" t="s">
        <v>167</v>
      </c>
      <c r="F468" s="5" t="s">
        <v>9</v>
      </c>
      <c r="G468" s="5" t="s">
        <v>3</v>
      </c>
      <c r="H468" s="2">
        <v>46157</v>
      </c>
      <c r="I468" s="2">
        <v>46176</v>
      </c>
      <c r="J468" s="2">
        <v>46231</v>
      </c>
      <c r="K468" s="2" t="str">
        <f>IFERROR(VLOOKUP(B468,#REF!,4,0),"")</f>
        <v/>
      </c>
      <c r="L468" s="1" t="s">
        <v>124</v>
      </c>
      <c r="M468" s="1" t="s">
        <v>17</v>
      </c>
      <c r="O468" s="4" t="s">
        <v>0</v>
      </c>
      <c r="Q468" s="4" t="s">
        <v>0</v>
      </c>
      <c r="R468" s="1" t="s">
        <v>0</v>
      </c>
    </row>
    <row r="469" spans="1:18" x14ac:dyDescent="0.3">
      <c r="A469" s="3">
        <f t="shared" si="16"/>
        <v>150</v>
      </c>
      <c r="B469" s="8" t="s">
        <v>802</v>
      </c>
      <c r="C469" s="5" t="s">
        <v>801</v>
      </c>
      <c r="D469" s="6">
        <v>405889642</v>
      </c>
      <c r="E469" s="5" t="s">
        <v>164</v>
      </c>
      <c r="F469" s="5" t="s">
        <v>9</v>
      </c>
      <c r="G469" s="5" t="s">
        <v>3</v>
      </c>
      <c r="H469" s="2">
        <v>46155</v>
      </c>
      <c r="I469" s="2"/>
      <c r="J469" s="2">
        <v>46231</v>
      </c>
      <c r="K469" s="2" t="str">
        <f>IFERROR(VLOOKUP(B469,#REF!,4,0),"")</f>
        <v/>
      </c>
      <c r="L469" s="1" t="s">
        <v>20</v>
      </c>
      <c r="M469" s="1" t="s">
        <v>342</v>
      </c>
      <c r="O469" s="4"/>
      <c r="Q469" s="4"/>
    </row>
    <row r="470" spans="1:18" x14ac:dyDescent="0.3">
      <c r="A470" s="3">
        <f t="shared" si="16"/>
        <v>151</v>
      </c>
      <c r="B470" s="8" t="s">
        <v>800</v>
      </c>
      <c r="C470" s="5" t="s">
        <v>799</v>
      </c>
      <c r="D470" s="6">
        <v>601939684</v>
      </c>
      <c r="E470" s="5" t="s">
        <v>798</v>
      </c>
      <c r="F470" s="5" t="s">
        <v>32</v>
      </c>
      <c r="G470" s="5" t="s">
        <v>3</v>
      </c>
      <c r="H470" s="2">
        <v>46167</v>
      </c>
      <c r="I470" s="2"/>
      <c r="J470" s="2">
        <v>46231</v>
      </c>
      <c r="K470" s="2" t="str">
        <f>IFERROR(VLOOKUP(B470,#REF!,4,0),"")</f>
        <v/>
      </c>
      <c r="L470" s="1" t="s">
        <v>27</v>
      </c>
      <c r="M470" s="1" t="s">
        <v>12</v>
      </c>
      <c r="O470" s="4"/>
      <c r="Q470" s="4"/>
    </row>
    <row r="471" spans="1:18" x14ac:dyDescent="0.3">
      <c r="A471" s="3">
        <f t="shared" si="16"/>
        <v>152</v>
      </c>
      <c r="B471" s="8" t="s">
        <v>797</v>
      </c>
      <c r="C471" s="5" t="s">
        <v>796</v>
      </c>
      <c r="D471" s="6">
        <v>409724341</v>
      </c>
      <c r="E471" s="5" t="s">
        <v>795</v>
      </c>
      <c r="F471" s="5" t="s">
        <v>4</v>
      </c>
      <c r="G471" s="5" t="s">
        <v>3</v>
      </c>
      <c r="H471" s="2"/>
      <c r="I471" s="2">
        <v>46178</v>
      </c>
      <c r="J471" s="2">
        <v>46231</v>
      </c>
      <c r="K471" s="2" t="str">
        <f>IFERROR(VLOOKUP(B471,#REF!,4,0),"")</f>
        <v/>
      </c>
      <c r="M471" s="1" t="s">
        <v>12</v>
      </c>
      <c r="O471" s="4"/>
      <c r="Q471" s="4"/>
    </row>
    <row r="472" spans="1:18" x14ac:dyDescent="0.3">
      <c r="A472" s="3">
        <f t="shared" si="16"/>
        <v>153</v>
      </c>
      <c r="B472" s="8" t="s">
        <v>794</v>
      </c>
      <c r="C472" s="5" t="s">
        <v>793</v>
      </c>
      <c r="D472" s="6">
        <v>470874858</v>
      </c>
      <c r="E472" s="5" t="s">
        <v>164</v>
      </c>
      <c r="F472" s="5" t="s">
        <v>9</v>
      </c>
      <c r="G472" s="5" t="s">
        <v>3</v>
      </c>
      <c r="H472" s="2"/>
      <c r="I472" s="2">
        <v>46181</v>
      </c>
      <c r="J472" s="2">
        <v>46231</v>
      </c>
      <c r="K472" s="2" t="str">
        <f>IFERROR(VLOOKUP(B472,#REF!,4,0),"")</f>
        <v/>
      </c>
      <c r="L472" s="1" t="s">
        <v>20</v>
      </c>
      <c r="M472" s="1" t="s">
        <v>12</v>
      </c>
      <c r="O472" s="4"/>
      <c r="Q472" s="4"/>
    </row>
    <row r="473" spans="1:18" x14ac:dyDescent="0.3">
      <c r="A473" s="3">
        <f t="shared" si="16"/>
        <v>154</v>
      </c>
      <c r="B473" s="8" t="s">
        <v>792</v>
      </c>
      <c r="C473" s="5" t="s">
        <v>791</v>
      </c>
      <c r="D473" s="6">
        <v>487693143</v>
      </c>
      <c r="E473" s="5" t="s">
        <v>192</v>
      </c>
      <c r="F473" s="5" t="s">
        <v>9</v>
      </c>
      <c r="G473" s="5" t="s">
        <v>3</v>
      </c>
      <c r="H473" s="2"/>
      <c r="I473" s="2">
        <v>46195</v>
      </c>
      <c r="J473" s="2">
        <v>46231</v>
      </c>
      <c r="K473" s="2" t="str">
        <f>IFERROR(VLOOKUP(B473,#REF!,4,0),"")</f>
        <v/>
      </c>
      <c r="L473" s="1" t="s">
        <v>20</v>
      </c>
      <c r="M473" s="1" t="s">
        <v>12</v>
      </c>
      <c r="O473" s="4"/>
      <c r="Q473" s="4"/>
    </row>
    <row r="474" spans="1:18" x14ac:dyDescent="0.3">
      <c r="A474" s="3">
        <f t="shared" si="16"/>
        <v>155</v>
      </c>
      <c r="B474" s="8" t="s">
        <v>790</v>
      </c>
      <c r="C474" s="5" t="s">
        <v>789</v>
      </c>
      <c r="D474" s="6">
        <v>361585173</v>
      </c>
      <c r="E474" s="5" t="s">
        <v>788</v>
      </c>
      <c r="F474" s="5" t="s">
        <v>28</v>
      </c>
      <c r="G474" s="5" t="s">
        <v>3</v>
      </c>
      <c r="H474" s="2"/>
      <c r="I474" s="2">
        <v>46198</v>
      </c>
      <c r="J474" s="2">
        <v>46231</v>
      </c>
      <c r="K474" s="2" t="str">
        <f>IFERROR(VLOOKUP(B474,#REF!,4,0),"")</f>
        <v/>
      </c>
      <c r="L474" s="1" t="s">
        <v>27</v>
      </c>
      <c r="M474" s="1" t="s">
        <v>12</v>
      </c>
      <c r="O474" s="4"/>
      <c r="Q474" s="4"/>
    </row>
    <row r="475" spans="1:18" x14ac:dyDescent="0.3">
      <c r="A475" s="3">
        <f t="shared" si="16"/>
        <v>156</v>
      </c>
      <c r="B475" s="8" t="s">
        <v>787</v>
      </c>
      <c r="C475" s="5" t="s">
        <v>786</v>
      </c>
      <c r="D475" s="6">
        <v>458549351</v>
      </c>
      <c r="E475" s="5" t="s">
        <v>663</v>
      </c>
      <c r="F475" s="5" t="s">
        <v>9</v>
      </c>
      <c r="G475" s="5" t="s">
        <v>3</v>
      </c>
      <c r="H475" s="2">
        <v>46150</v>
      </c>
      <c r="I475" s="2">
        <v>46193</v>
      </c>
      <c r="J475" s="2">
        <v>46232</v>
      </c>
      <c r="K475" s="2" t="str">
        <f>IFERROR(VLOOKUP(B475,#REF!,4,0),"")</f>
        <v/>
      </c>
      <c r="L475" s="1" t="s">
        <v>20</v>
      </c>
      <c r="M475" s="1" t="s">
        <v>17</v>
      </c>
      <c r="O475" s="4" t="s">
        <v>0</v>
      </c>
      <c r="Q475" s="4" t="s">
        <v>0</v>
      </c>
      <c r="R475" s="1" t="s">
        <v>0</v>
      </c>
    </row>
    <row r="476" spans="1:18" x14ac:dyDescent="0.3">
      <c r="A476" s="3">
        <f t="shared" si="16"/>
        <v>157</v>
      </c>
      <c r="B476" s="8" t="s">
        <v>785</v>
      </c>
      <c r="C476" s="5" t="s">
        <v>784</v>
      </c>
      <c r="D476" s="6">
        <v>486453164</v>
      </c>
      <c r="E476" s="5" t="s">
        <v>309</v>
      </c>
      <c r="F476" s="5" t="s">
        <v>4</v>
      </c>
      <c r="G476" s="5" t="s">
        <v>3</v>
      </c>
      <c r="H476" s="2">
        <v>46170</v>
      </c>
      <c r="I476" s="2">
        <v>46198</v>
      </c>
      <c r="J476" s="2">
        <v>46232</v>
      </c>
      <c r="K476" s="2" t="str">
        <f>IFERROR(VLOOKUP(B476,#REF!,4,0),"")</f>
        <v/>
      </c>
      <c r="L476" s="1" t="s">
        <v>2</v>
      </c>
      <c r="M476" s="1" t="s">
        <v>12</v>
      </c>
      <c r="O476" s="4" t="s">
        <v>0</v>
      </c>
      <c r="Q476" s="4" t="s">
        <v>0</v>
      </c>
      <c r="R476" s="1" t="s">
        <v>0</v>
      </c>
    </row>
    <row r="477" spans="1:18" x14ac:dyDescent="0.3">
      <c r="A477" s="3">
        <f t="shared" si="16"/>
        <v>158</v>
      </c>
      <c r="B477" s="8" t="s">
        <v>783</v>
      </c>
      <c r="C477" s="5" t="s">
        <v>782</v>
      </c>
      <c r="D477" s="6">
        <v>649318676</v>
      </c>
      <c r="E477" s="5" t="s">
        <v>691</v>
      </c>
      <c r="F477" s="5" t="s">
        <v>4</v>
      </c>
      <c r="G477" s="5" t="s">
        <v>3</v>
      </c>
      <c r="H477" s="2">
        <v>46150</v>
      </c>
      <c r="I477" s="2">
        <v>46196</v>
      </c>
      <c r="J477" s="2">
        <v>46232</v>
      </c>
      <c r="K477" s="2" t="str">
        <f>IFERROR(VLOOKUP(B477,#REF!,4,0),"")</f>
        <v/>
      </c>
      <c r="L477" s="1" t="s">
        <v>2</v>
      </c>
      <c r="M477" s="1" t="s">
        <v>535</v>
      </c>
      <c r="O477" s="4" t="s">
        <v>0</v>
      </c>
      <c r="Q477" s="4" t="s">
        <v>0</v>
      </c>
      <c r="R477" s="1" t="s">
        <v>0</v>
      </c>
    </row>
    <row r="478" spans="1:18" x14ac:dyDescent="0.3">
      <c r="A478" s="3">
        <f t="shared" si="16"/>
        <v>159</v>
      </c>
      <c r="B478" s="17" t="s">
        <v>781</v>
      </c>
      <c r="C478" s="5" t="s">
        <v>780</v>
      </c>
      <c r="D478" s="6">
        <v>734643967</v>
      </c>
      <c r="E478" s="5" t="s">
        <v>779</v>
      </c>
      <c r="F478" s="5" t="s">
        <v>9</v>
      </c>
      <c r="G478" s="5" t="s">
        <v>3</v>
      </c>
      <c r="H478" s="2">
        <v>46163</v>
      </c>
      <c r="I478" s="2">
        <v>46197</v>
      </c>
      <c r="J478" s="2">
        <v>46232</v>
      </c>
      <c r="K478" s="2" t="str">
        <f>IFERROR(VLOOKUP(B478,#REF!,4,0),"")</f>
        <v/>
      </c>
      <c r="L478" s="1" t="s">
        <v>20</v>
      </c>
      <c r="M478" s="1" t="s">
        <v>535</v>
      </c>
      <c r="O478" s="4" t="s">
        <v>0</v>
      </c>
      <c r="Q478" s="4" t="s">
        <v>0</v>
      </c>
      <c r="R478" s="1" t="s">
        <v>0</v>
      </c>
    </row>
    <row r="479" spans="1:18" x14ac:dyDescent="0.3">
      <c r="A479" s="3">
        <f t="shared" si="16"/>
        <v>160</v>
      </c>
      <c r="B479" s="8" t="s">
        <v>778</v>
      </c>
      <c r="C479" s="5" t="s">
        <v>777</v>
      </c>
      <c r="D479" s="6">
        <v>647064777</v>
      </c>
      <c r="E479" s="5" t="s">
        <v>776</v>
      </c>
      <c r="F479" s="5" t="s">
        <v>4</v>
      </c>
      <c r="G479" s="5" t="s">
        <v>3</v>
      </c>
      <c r="H479" s="2">
        <v>46163</v>
      </c>
      <c r="I479" s="2">
        <v>46195</v>
      </c>
      <c r="J479" s="2">
        <v>46232</v>
      </c>
      <c r="K479" s="2" t="str">
        <f>IFERROR(VLOOKUP(B479,#REF!,4,0),"")</f>
        <v/>
      </c>
      <c r="L479" s="1" t="s">
        <v>20</v>
      </c>
      <c r="M479" s="1" t="s">
        <v>535</v>
      </c>
      <c r="O479" s="4"/>
      <c r="Q479" s="4"/>
    </row>
    <row r="480" spans="1:18" x14ac:dyDescent="0.3">
      <c r="A480" s="3">
        <f t="shared" si="16"/>
        <v>161</v>
      </c>
      <c r="B480" s="8" t="s">
        <v>775</v>
      </c>
      <c r="C480" s="5" t="s">
        <v>774</v>
      </c>
      <c r="D480" s="6">
        <v>386720000</v>
      </c>
      <c r="E480" s="5" t="s">
        <v>322</v>
      </c>
      <c r="F480" s="5" t="s">
        <v>28</v>
      </c>
      <c r="G480" s="5" t="s">
        <v>3</v>
      </c>
      <c r="H480" s="2">
        <v>46147</v>
      </c>
      <c r="I480" s="2">
        <v>46199</v>
      </c>
      <c r="J480" s="2">
        <v>46232</v>
      </c>
      <c r="K480" s="2" t="str">
        <f>IFERROR(VLOOKUP(B480,#REF!,4,0),"")</f>
        <v/>
      </c>
      <c r="L480" s="1" t="s">
        <v>27</v>
      </c>
      <c r="M480" s="1" t="s">
        <v>12</v>
      </c>
      <c r="O480" s="4"/>
      <c r="Q480" s="4"/>
    </row>
    <row r="481" spans="1:18" x14ac:dyDescent="0.3">
      <c r="A481" s="3">
        <f t="shared" ref="A481:A512" si="17">1+A480</f>
        <v>162</v>
      </c>
      <c r="B481" s="8" t="s">
        <v>773</v>
      </c>
      <c r="C481" s="5" t="s">
        <v>772</v>
      </c>
      <c r="D481" s="6">
        <v>713974003</v>
      </c>
      <c r="E481" s="5" t="s">
        <v>24</v>
      </c>
      <c r="F481" s="5" t="s">
        <v>9</v>
      </c>
      <c r="G481" s="5" t="s">
        <v>3</v>
      </c>
      <c r="H481" s="2">
        <v>46148</v>
      </c>
      <c r="I481" s="2"/>
      <c r="J481" s="2">
        <v>46232</v>
      </c>
      <c r="K481" s="2" t="str">
        <f>IFERROR(VLOOKUP(B481,#REF!,4,0),"")</f>
        <v/>
      </c>
      <c r="L481" s="1" t="s">
        <v>20</v>
      </c>
      <c r="M481" s="1" t="s">
        <v>535</v>
      </c>
      <c r="O481" s="4"/>
      <c r="Q481" s="4"/>
    </row>
    <row r="482" spans="1:18" x14ac:dyDescent="0.3">
      <c r="A482" s="3">
        <f t="shared" si="17"/>
        <v>163</v>
      </c>
      <c r="B482" s="8" t="s">
        <v>771</v>
      </c>
      <c r="C482" s="5" t="s">
        <v>770</v>
      </c>
      <c r="D482" s="6">
        <v>545068315</v>
      </c>
      <c r="E482" s="5" t="s">
        <v>207</v>
      </c>
      <c r="F482" s="5" t="s">
        <v>28</v>
      </c>
      <c r="G482" s="5" t="s">
        <v>3</v>
      </c>
      <c r="H482" s="2">
        <v>46163</v>
      </c>
      <c r="I482" s="2"/>
      <c r="J482" s="2">
        <v>46232</v>
      </c>
      <c r="K482" s="2" t="str">
        <f>IFERROR(VLOOKUP(B482,#REF!,4,0),"")</f>
        <v/>
      </c>
      <c r="L482" s="1" t="s">
        <v>27</v>
      </c>
      <c r="M482" s="1" t="s">
        <v>17</v>
      </c>
      <c r="O482" s="4"/>
      <c r="Q482" s="4"/>
    </row>
    <row r="483" spans="1:18" x14ac:dyDescent="0.3">
      <c r="A483" s="3">
        <f t="shared" si="17"/>
        <v>164</v>
      </c>
      <c r="B483" s="8" t="s">
        <v>769</v>
      </c>
      <c r="C483" s="5" t="s">
        <v>768</v>
      </c>
      <c r="D483" s="6">
        <v>424354292</v>
      </c>
      <c r="E483" s="5" t="s">
        <v>178</v>
      </c>
      <c r="F483" s="5" t="s">
        <v>28</v>
      </c>
      <c r="G483" s="5" t="s">
        <v>3</v>
      </c>
      <c r="H483" s="2">
        <v>46168</v>
      </c>
      <c r="I483" s="2"/>
      <c r="J483" s="2">
        <v>46232</v>
      </c>
      <c r="K483" s="2" t="str">
        <f>IFERROR(VLOOKUP(B483,#REF!,4,0),"")</f>
        <v/>
      </c>
      <c r="L483" s="1" t="s">
        <v>27</v>
      </c>
      <c r="M483" s="1" t="s">
        <v>17</v>
      </c>
      <c r="O483" s="4"/>
      <c r="Q483" s="4"/>
    </row>
    <row r="484" spans="1:18" x14ac:dyDescent="0.3">
      <c r="A484" s="3">
        <f t="shared" si="17"/>
        <v>165</v>
      </c>
      <c r="B484" s="8" t="s">
        <v>767</v>
      </c>
      <c r="C484" s="5" t="s">
        <v>766</v>
      </c>
      <c r="D484" s="6">
        <v>728359735</v>
      </c>
      <c r="E484" s="5" t="s">
        <v>592</v>
      </c>
      <c r="F484" s="5" t="s">
        <v>48</v>
      </c>
      <c r="G484" s="5" t="s">
        <v>3</v>
      </c>
      <c r="H484" s="2">
        <v>46171</v>
      </c>
      <c r="I484" s="2"/>
      <c r="J484" s="2">
        <v>46232</v>
      </c>
      <c r="K484" s="2" t="str">
        <f>IFERROR(VLOOKUP(B484,#REF!,4,0),"")</f>
        <v/>
      </c>
      <c r="L484" s="1" t="s">
        <v>44</v>
      </c>
      <c r="M484" s="1" t="s">
        <v>535</v>
      </c>
      <c r="O484" s="4"/>
      <c r="Q484" s="4"/>
    </row>
    <row r="485" spans="1:18" x14ac:dyDescent="0.3">
      <c r="A485" s="3">
        <f t="shared" si="17"/>
        <v>166</v>
      </c>
      <c r="B485" s="8" t="s">
        <v>765</v>
      </c>
      <c r="C485" s="5" t="s">
        <v>764</v>
      </c>
      <c r="D485" s="6">
        <v>429074113</v>
      </c>
      <c r="E485" s="5" t="s">
        <v>763</v>
      </c>
      <c r="F485" s="5" t="s">
        <v>28</v>
      </c>
      <c r="G485" s="5" t="s">
        <v>3</v>
      </c>
      <c r="H485" s="2"/>
      <c r="I485" s="2">
        <v>46188</v>
      </c>
      <c r="J485" s="2">
        <v>46232</v>
      </c>
      <c r="K485" s="2" t="str">
        <f>IFERROR(VLOOKUP(B485,#REF!,4,0),"")</f>
        <v/>
      </c>
      <c r="L485" s="1" t="s">
        <v>27</v>
      </c>
      <c r="M485" s="1" t="s">
        <v>12</v>
      </c>
      <c r="O485" s="4"/>
      <c r="Q485" s="4"/>
    </row>
    <row r="486" spans="1:18" x14ac:dyDescent="0.3">
      <c r="A486" s="3">
        <f t="shared" si="17"/>
        <v>167</v>
      </c>
      <c r="B486" s="8" t="s">
        <v>762</v>
      </c>
      <c r="C486" s="5" t="s">
        <v>761</v>
      </c>
      <c r="D486" s="6">
        <v>383728282</v>
      </c>
      <c r="E486" s="5" t="s">
        <v>153</v>
      </c>
      <c r="F486" s="5" t="s">
        <v>9</v>
      </c>
      <c r="G486" s="5" t="s">
        <v>3</v>
      </c>
      <c r="H486" s="2"/>
      <c r="I486" s="2">
        <v>46176</v>
      </c>
      <c r="J486" s="2">
        <v>46232</v>
      </c>
      <c r="K486" s="2" t="str">
        <f>IFERROR(VLOOKUP(B486,#REF!,4,0),"")</f>
        <v/>
      </c>
      <c r="L486" s="1" t="s">
        <v>124</v>
      </c>
      <c r="M486" s="1" t="s">
        <v>12</v>
      </c>
      <c r="O486" s="4"/>
      <c r="Q486" s="4"/>
    </row>
    <row r="487" spans="1:18" x14ac:dyDescent="0.3">
      <c r="A487" s="3">
        <f t="shared" si="17"/>
        <v>168</v>
      </c>
      <c r="B487" s="8" t="s">
        <v>760</v>
      </c>
      <c r="C487" s="5" t="s">
        <v>759</v>
      </c>
      <c r="D487" s="6">
        <v>405704539</v>
      </c>
      <c r="E487" s="5" t="s">
        <v>131</v>
      </c>
      <c r="F487" s="5" t="s">
        <v>9</v>
      </c>
      <c r="G487" s="5" t="s">
        <v>3</v>
      </c>
      <c r="H487" s="2">
        <v>46157</v>
      </c>
      <c r="I487" s="2"/>
      <c r="J487" s="2">
        <v>46233</v>
      </c>
      <c r="K487" s="2" t="str">
        <f>IFERROR(VLOOKUP(B487,#REF!,4,0),"")</f>
        <v/>
      </c>
      <c r="L487" s="1" t="s">
        <v>124</v>
      </c>
      <c r="M487" s="1" t="s">
        <v>17</v>
      </c>
      <c r="O487" s="4"/>
      <c r="Q487" s="4"/>
    </row>
    <row r="488" spans="1:18" x14ac:dyDescent="0.3">
      <c r="A488" s="3">
        <f t="shared" si="17"/>
        <v>169</v>
      </c>
      <c r="B488" s="10" t="s">
        <v>758</v>
      </c>
      <c r="C488" s="5" t="s">
        <v>757</v>
      </c>
      <c r="D488" s="6">
        <v>385540773</v>
      </c>
      <c r="E488" s="5" t="s">
        <v>756</v>
      </c>
      <c r="F488" s="5" t="s">
        <v>4</v>
      </c>
      <c r="G488" s="5" t="s">
        <v>3</v>
      </c>
      <c r="H488" s="2">
        <v>46170</v>
      </c>
      <c r="I488" s="2">
        <v>46203</v>
      </c>
      <c r="J488" s="2">
        <v>46233</v>
      </c>
      <c r="K488" s="2" t="str">
        <f>IFERROR(VLOOKUP(B488,#REF!,4,0),"")</f>
        <v/>
      </c>
      <c r="M488" s="1" t="s">
        <v>17</v>
      </c>
      <c r="O488" s="4" t="s">
        <v>0</v>
      </c>
      <c r="Q488" s="4" t="s">
        <v>0</v>
      </c>
      <c r="R488" s="1" t="s">
        <v>0</v>
      </c>
    </row>
    <row r="489" spans="1:18" x14ac:dyDescent="0.3">
      <c r="A489" s="3">
        <f t="shared" si="17"/>
        <v>170</v>
      </c>
      <c r="B489" s="8" t="s">
        <v>755</v>
      </c>
      <c r="C489" s="5" t="s">
        <v>754</v>
      </c>
      <c r="D489" s="6">
        <v>397750142</v>
      </c>
      <c r="E489" s="5" t="s">
        <v>641</v>
      </c>
      <c r="F489" s="5" t="s">
        <v>40</v>
      </c>
      <c r="G489" s="5" t="s">
        <v>3</v>
      </c>
      <c r="H489" s="2">
        <v>46161</v>
      </c>
      <c r="I489" s="2">
        <v>46182</v>
      </c>
      <c r="J489" s="2">
        <v>46233</v>
      </c>
      <c r="K489" s="2" t="str">
        <f>IFERROR(VLOOKUP(B489,#REF!,4,0),"")</f>
        <v/>
      </c>
      <c r="L489" s="1" t="s">
        <v>27</v>
      </c>
      <c r="M489" s="1" t="s">
        <v>12</v>
      </c>
      <c r="O489" s="4"/>
      <c r="Q489" s="4"/>
    </row>
    <row r="490" spans="1:18" x14ac:dyDescent="0.3">
      <c r="A490" s="3">
        <f t="shared" si="17"/>
        <v>171</v>
      </c>
      <c r="B490" s="8" t="s">
        <v>753</v>
      </c>
      <c r="C490" s="5" t="s">
        <v>751</v>
      </c>
      <c r="D490" s="6">
        <v>395367607</v>
      </c>
      <c r="E490" s="5" t="s">
        <v>115</v>
      </c>
      <c r="F490" s="5" t="s">
        <v>4</v>
      </c>
      <c r="G490" s="5" t="s">
        <v>3</v>
      </c>
      <c r="H490" s="2"/>
      <c r="I490" s="2">
        <v>46188</v>
      </c>
      <c r="J490" s="2">
        <v>46233</v>
      </c>
      <c r="K490" s="2" t="str">
        <f>IFERROR(VLOOKUP(B490,#REF!,4,0),"")</f>
        <v/>
      </c>
      <c r="L490" s="1" t="s">
        <v>20</v>
      </c>
      <c r="M490" s="1" t="s">
        <v>12</v>
      </c>
      <c r="O490" s="4" t="s">
        <v>0</v>
      </c>
      <c r="Q490" s="4" t="s">
        <v>0</v>
      </c>
      <c r="R490" s="1" t="s">
        <v>0</v>
      </c>
    </row>
    <row r="491" spans="1:18" x14ac:dyDescent="0.3">
      <c r="A491" s="3">
        <f t="shared" si="17"/>
        <v>172</v>
      </c>
      <c r="B491" s="17" t="s">
        <v>752</v>
      </c>
      <c r="C491" s="5" t="s">
        <v>751</v>
      </c>
      <c r="D491" s="6">
        <v>567681937</v>
      </c>
      <c r="E491" s="5" t="s">
        <v>198</v>
      </c>
      <c r="F491" s="5" t="s">
        <v>9</v>
      </c>
      <c r="G491" s="5" t="s">
        <v>3</v>
      </c>
      <c r="H491" s="2">
        <v>46172</v>
      </c>
      <c r="I491" s="2"/>
      <c r="J491" s="2">
        <v>46233</v>
      </c>
      <c r="K491" s="2" t="str">
        <f>IFERROR(VLOOKUP(B491,#REF!,4,0),"")</f>
        <v/>
      </c>
      <c r="L491" s="1" t="s">
        <v>20</v>
      </c>
      <c r="M491" s="1" t="s">
        <v>12</v>
      </c>
      <c r="O491" s="4" t="s">
        <v>0</v>
      </c>
      <c r="Q491" s="4" t="s">
        <v>0</v>
      </c>
      <c r="R491" s="1" t="s">
        <v>0</v>
      </c>
    </row>
    <row r="492" spans="1:18" x14ac:dyDescent="0.3">
      <c r="A492" s="3">
        <f t="shared" si="17"/>
        <v>173</v>
      </c>
      <c r="B492" s="8" t="s">
        <v>750</v>
      </c>
      <c r="C492" s="5" t="s">
        <v>749</v>
      </c>
      <c r="D492" s="6">
        <v>472509631</v>
      </c>
      <c r="E492" s="5" t="s">
        <v>748</v>
      </c>
      <c r="F492" s="5" t="s">
        <v>48</v>
      </c>
      <c r="G492" s="5" t="s">
        <v>3</v>
      </c>
      <c r="H492" s="2">
        <v>46146</v>
      </c>
      <c r="I492" s="2">
        <v>46196</v>
      </c>
      <c r="J492" s="2">
        <v>46233</v>
      </c>
      <c r="K492" s="2" t="str">
        <f>IFERROR(VLOOKUP(B492,#REF!,4,0),"")</f>
        <v/>
      </c>
      <c r="L492" s="1" t="s">
        <v>44</v>
      </c>
      <c r="M492" s="1" t="s">
        <v>12</v>
      </c>
      <c r="O492" s="4"/>
      <c r="Q492" s="4"/>
    </row>
    <row r="493" spans="1:18" x14ac:dyDescent="0.3">
      <c r="A493" s="3">
        <f t="shared" si="17"/>
        <v>174</v>
      </c>
      <c r="B493" s="8" t="s">
        <v>747</v>
      </c>
      <c r="C493" s="5" t="s">
        <v>746</v>
      </c>
      <c r="D493" s="6">
        <v>454208668</v>
      </c>
      <c r="E493" s="5" t="s">
        <v>745</v>
      </c>
      <c r="F493" s="5" t="s">
        <v>36</v>
      </c>
      <c r="G493" s="5" t="s">
        <v>3</v>
      </c>
      <c r="H493" s="2">
        <v>46148</v>
      </c>
      <c r="I493" s="2"/>
      <c r="J493" s="2">
        <v>46233</v>
      </c>
      <c r="K493" s="2" t="str">
        <f>IFERROR(VLOOKUP(B493,#REF!,4,0),"")</f>
        <v/>
      </c>
      <c r="L493" s="1" t="s">
        <v>13</v>
      </c>
      <c r="M493" s="1" t="s">
        <v>12</v>
      </c>
      <c r="O493" s="4"/>
      <c r="Q493" s="4"/>
    </row>
    <row r="494" spans="1:18" x14ac:dyDescent="0.3">
      <c r="A494" s="3">
        <f t="shared" si="17"/>
        <v>175</v>
      </c>
      <c r="B494" s="8" t="s">
        <v>744</v>
      </c>
      <c r="C494" s="5" t="s">
        <v>743</v>
      </c>
      <c r="D494" s="6">
        <v>473760796</v>
      </c>
      <c r="E494" s="5" t="s">
        <v>742</v>
      </c>
      <c r="F494" s="5" t="s">
        <v>48</v>
      </c>
      <c r="G494" s="5" t="s">
        <v>3</v>
      </c>
      <c r="H494" s="2">
        <v>46148</v>
      </c>
      <c r="I494" s="2"/>
      <c r="J494" s="2">
        <v>46233</v>
      </c>
      <c r="K494" s="2" t="str">
        <f>IFERROR(VLOOKUP(B494,#REF!,4,0),"")</f>
        <v/>
      </c>
      <c r="L494" s="1" t="s">
        <v>44</v>
      </c>
      <c r="M494" s="1" t="s">
        <v>12</v>
      </c>
      <c r="O494" s="4"/>
      <c r="Q494" s="4"/>
    </row>
    <row r="495" spans="1:18" x14ac:dyDescent="0.3">
      <c r="A495" s="3">
        <f t="shared" si="17"/>
        <v>176</v>
      </c>
      <c r="B495" s="8" t="s">
        <v>741</v>
      </c>
      <c r="C495" s="5" t="s">
        <v>740</v>
      </c>
      <c r="D495" s="6">
        <v>378475712</v>
      </c>
      <c r="E495" s="5" t="s">
        <v>691</v>
      </c>
      <c r="F495" s="5" t="s">
        <v>4</v>
      </c>
      <c r="G495" s="5" t="s">
        <v>3</v>
      </c>
      <c r="H495" s="2">
        <v>46148</v>
      </c>
      <c r="I495" s="2"/>
      <c r="J495" s="2">
        <v>46233</v>
      </c>
      <c r="K495" s="2" t="str">
        <f>IFERROR(VLOOKUP(B495,#REF!,4,0),"")</f>
        <v/>
      </c>
      <c r="M495" s="1" t="s">
        <v>12</v>
      </c>
      <c r="O495" s="4"/>
      <c r="Q495" s="4"/>
    </row>
    <row r="496" spans="1:18" x14ac:dyDescent="0.3">
      <c r="A496" s="3">
        <f t="shared" si="17"/>
        <v>177</v>
      </c>
      <c r="B496" s="8" t="s">
        <v>739</v>
      </c>
      <c r="C496" s="5" t="s">
        <v>738</v>
      </c>
      <c r="D496" s="6">
        <v>351143570</v>
      </c>
      <c r="E496" s="5" t="s">
        <v>140</v>
      </c>
      <c r="F496" s="5" t="s">
        <v>9</v>
      </c>
      <c r="G496" s="5" t="s">
        <v>3</v>
      </c>
      <c r="H496" s="2">
        <v>46161</v>
      </c>
      <c r="I496" s="2">
        <v>46202</v>
      </c>
      <c r="J496" s="2">
        <v>46233</v>
      </c>
      <c r="K496" s="2" t="str">
        <f>IFERROR(VLOOKUP(B496,#REF!,4,0),"")</f>
        <v/>
      </c>
      <c r="L496" s="1" t="s">
        <v>20</v>
      </c>
      <c r="M496" s="1" t="s">
        <v>12</v>
      </c>
      <c r="O496" s="4"/>
      <c r="Q496" s="4"/>
    </row>
    <row r="497" spans="1:17" x14ac:dyDescent="0.3">
      <c r="A497" s="3">
        <f t="shared" si="17"/>
        <v>178</v>
      </c>
      <c r="B497" s="8" t="s">
        <v>737</v>
      </c>
      <c r="C497" s="5" t="s">
        <v>736</v>
      </c>
      <c r="D497" s="6">
        <v>529800995</v>
      </c>
      <c r="E497" s="5" t="s">
        <v>178</v>
      </c>
      <c r="F497" s="5" t="s">
        <v>28</v>
      </c>
      <c r="G497" s="5" t="s">
        <v>3</v>
      </c>
      <c r="H497" s="2">
        <v>46163</v>
      </c>
      <c r="I497" s="2"/>
      <c r="J497" s="2">
        <v>46233</v>
      </c>
      <c r="K497" s="2" t="str">
        <f>IFERROR(VLOOKUP(B497,#REF!,4,0),"")</f>
        <v/>
      </c>
      <c r="L497" s="1" t="s">
        <v>27</v>
      </c>
      <c r="M497" s="1" t="s">
        <v>17</v>
      </c>
      <c r="O497" s="4"/>
      <c r="Q497" s="4"/>
    </row>
    <row r="498" spans="1:17" x14ac:dyDescent="0.3">
      <c r="A498" s="3">
        <f t="shared" si="17"/>
        <v>179</v>
      </c>
      <c r="B498" s="10" t="s">
        <v>735</v>
      </c>
      <c r="C498" s="5" t="s">
        <v>734</v>
      </c>
      <c r="D498" s="6">
        <v>477716744</v>
      </c>
      <c r="E498" s="5" t="s">
        <v>733</v>
      </c>
      <c r="F498" s="5" t="s">
        <v>4</v>
      </c>
      <c r="G498" s="5" t="s">
        <v>3</v>
      </c>
      <c r="H498" s="2">
        <v>46170</v>
      </c>
      <c r="I498" s="2"/>
      <c r="J498" s="2">
        <v>46233</v>
      </c>
      <c r="K498" s="2" t="str">
        <f>IFERROR(VLOOKUP(B498,#REF!,4,0),"")</f>
        <v/>
      </c>
      <c r="M498" s="1" t="s">
        <v>17</v>
      </c>
      <c r="O498" s="4"/>
      <c r="Q498" s="4"/>
    </row>
    <row r="499" spans="1:17" x14ac:dyDescent="0.3">
      <c r="A499" s="3">
        <f t="shared" si="17"/>
        <v>180</v>
      </c>
      <c r="B499" s="8" t="s">
        <v>732</v>
      </c>
      <c r="C499" s="5" t="s">
        <v>731</v>
      </c>
      <c r="D499" s="6">
        <v>519956116</v>
      </c>
      <c r="E499" s="5" t="s">
        <v>691</v>
      </c>
      <c r="F499" s="5" t="s">
        <v>4</v>
      </c>
      <c r="G499" s="5" t="s">
        <v>3</v>
      </c>
      <c r="H499" s="2">
        <v>46171</v>
      </c>
      <c r="I499" s="2"/>
      <c r="J499" s="2">
        <v>46233</v>
      </c>
      <c r="K499" s="2" t="str">
        <f>IFERROR(VLOOKUP(B499,#REF!,4,0),"")</f>
        <v/>
      </c>
      <c r="M499" s="1" t="s">
        <v>12</v>
      </c>
      <c r="O499" s="4"/>
      <c r="Q499" s="4"/>
    </row>
    <row r="500" spans="1:17" x14ac:dyDescent="0.3">
      <c r="A500" s="3">
        <f t="shared" si="17"/>
        <v>181</v>
      </c>
      <c r="B500" s="8" t="s">
        <v>730</v>
      </c>
      <c r="C500" s="5" t="s">
        <v>729</v>
      </c>
      <c r="D500" s="6">
        <v>536413629</v>
      </c>
      <c r="E500" s="5" t="s">
        <v>728</v>
      </c>
      <c r="F500" s="5" t="s">
        <v>40</v>
      </c>
      <c r="G500" s="5" t="s">
        <v>3</v>
      </c>
      <c r="H500" s="2">
        <v>46171</v>
      </c>
      <c r="I500" s="2">
        <v>46192</v>
      </c>
      <c r="J500" s="2">
        <v>46233</v>
      </c>
      <c r="K500" s="2" t="str">
        <f>IFERROR(VLOOKUP(B500,#REF!,4,0),"")</f>
        <v/>
      </c>
      <c r="L500" s="1" t="s">
        <v>27</v>
      </c>
      <c r="M500" s="1" t="s">
        <v>17</v>
      </c>
      <c r="O500" s="4"/>
      <c r="Q500" s="4"/>
    </row>
    <row r="501" spans="1:17" x14ac:dyDescent="0.3">
      <c r="A501" s="3">
        <f t="shared" si="17"/>
        <v>182</v>
      </c>
      <c r="B501" s="8" t="s">
        <v>727</v>
      </c>
      <c r="C501" s="5" t="s">
        <v>726</v>
      </c>
      <c r="D501" s="6">
        <v>538582601</v>
      </c>
      <c r="E501" s="5" t="s">
        <v>725</v>
      </c>
      <c r="F501" s="5" t="s">
        <v>4</v>
      </c>
      <c r="G501" s="5" t="s">
        <v>3</v>
      </c>
      <c r="H501" s="2"/>
      <c r="I501" s="2">
        <v>46183</v>
      </c>
      <c r="J501" s="2">
        <v>46233</v>
      </c>
      <c r="K501" s="2" t="str">
        <f>IFERROR(VLOOKUP(B501,#REF!,4,0),"")</f>
        <v/>
      </c>
      <c r="M501" s="1" t="s">
        <v>17</v>
      </c>
      <c r="O501" s="4"/>
      <c r="Q501" s="4"/>
    </row>
    <row r="502" spans="1:17" x14ac:dyDescent="0.3">
      <c r="A502" s="3">
        <f t="shared" si="17"/>
        <v>183</v>
      </c>
      <c r="B502" s="8" t="s">
        <v>724</v>
      </c>
      <c r="C502" s="5" t="s">
        <v>723</v>
      </c>
      <c r="D502" s="6">
        <v>455466097</v>
      </c>
      <c r="E502" s="5" t="s">
        <v>691</v>
      </c>
      <c r="F502" s="5" t="s">
        <v>4</v>
      </c>
      <c r="G502" s="5" t="s">
        <v>3</v>
      </c>
      <c r="H502" s="2"/>
      <c r="I502" s="2">
        <v>46178</v>
      </c>
      <c r="J502" s="2">
        <v>46233</v>
      </c>
      <c r="K502" s="2" t="str">
        <f>IFERROR(VLOOKUP(B502,#REF!,4,0),"")</f>
        <v/>
      </c>
      <c r="M502" s="1" t="s">
        <v>12</v>
      </c>
      <c r="O502" s="4"/>
      <c r="Q502" s="4"/>
    </row>
    <row r="503" spans="1:17" x14ac:dyDescent="0.3">
      <c r="A503" s="3">
        <f t="shared" si="17"/>
        <v>184</v>
      </c>
      <c r="B503" s="8" t="s">
        <v>722</v>
      </c>
      <c r="C503" s="5" t="s">
        <v>721</v>
      </c>
      <c r="D503" s="6">
        <v>452289260</v>
      </c>
      <c r="E503" s="5" t="s">
        <v>256</v>
      </c>
      <c r="F503" s="5" t="s">
        <v>4</v>
      </c>
      <c r="G503" s="5" t="s">
        <v>3</v>
      </c>
      <c r="H503" s="2">
        <v>46144</v>
      </c>
      <c r="I503" s="2"/>
      <c r="J503" s="2">
        <v>46234</v>
      </c>
      <c r="K503" s="2" t="str">
        <f>IFERROR(VLOOKUP(B503,#REF!,4,0),"")</f>
        <v/>
      </c>
      <c r="M503" s="1" t="s">
        <v>12</v>
      </c>
      <c r="O503" s="4"/>
      <c r="Q503" s="4"/>
    </row>
    <row r="504" spans="1:17" x14ac:dyDescent="0.3">
      <c r="A504" s="3">
        <f t="shared" si="17"/>
        <v>185</v>
      </c>
      <c r="B504" s="8" t="s">
        <v>720</v>
      </c>
      <c r="C504" s="5" t="s">
        <v>719</v>
      </c>
      <c r="D504" s="6">
        <v>519835865</v>
      </c>
      <c r="E504" s="5" t="s">
        <v>718</v>
      </c>
      <c r="F504" s="5" t="s">
        <v>4</v>
      </c>
      <c r="G504" s="5" t="s">
        <v>3</v>
      </c>
      <c r="H504" s="2">
        <v>46147</v>
      </c>
      <c r="I504" s="2"/>
      <c r="J504" s="2">
        <v>46234</v>
      </c>
      <c r="K504" s="2" t="str">
        <f>IFERROR(VLOOKUP(B504,#REF!,4,0),"")</f>
        <v/>
      </c>
      <c r="M504" s="1" t="s">
        <v>12</v>
      </c>
      <c r="O504" s="4"/>
      <c r="Q504" s="4"/>
    </row>
    <row r="505" spans="1:17" x14ac:dyDescent="0.3">
      <c r="A505" s="3">
        <f t="shared" si="17"/>
        <v>186</v>
      </c>
      <c r="B505" s="8" t="s">
        <v>717</v>
      </c>
      <c r="C505" s="5" t="s">
        <v>716</v>
      </c>
      <c r="D505" s="6">
        <v>730740165</v>
      </c>
      <c r="E505" s="5" t="s">
        <v>167</v>
      </c>
      <c r="F505" s="5" t="s">
        <v>9</v>
      </c>
      <c r="G505" s="5" t="s">
        <v>3</v>
      </c>
      <c r="H505" s="2">
        <v>46148</v>
      </c>
      <c r="I505" s="2"/>
      <c r="J505" s="2">
        <v>46234</v>
      </c>
      <c r="K505" s="2" t="str">
        <f>IFERROR(VLOOKUP(B505,#REF!,4,0),"")</f>
        <v/>
      </c>
      <c r="L505" s="1" t="s">
        <v>124</v>
      </c>
      <c r="M505" s="1" t="s">
        <v>535</v>
      </c>
      <c r="O505" s="19" t="s">
        <v>539</v>
      </c>
      <c r="Q505" s="4"/>
    </row>
    <row r="506" spans="1:17" x14ac:dyDescent="0.3">
      <c r="A506" s="3">
        <f t="shared" si="17"/>
        <v>187</v>
      </c>
      <c r="B506" s="8" t="s">
        <v>715</v>
      </c>
      <c r="C506" s="5" t="s">
        <v>714</v>
      </c>
      <c r="D506" s="6">
        <v>397370366</v>
      </c>
      <c r="E506" s="5" t="s">
        <v>691</v>
      </c>
      <c r="F506" s="5" t="s">
        <v>4</v>
      </c>
      <c r="G506" s="5" t="s">
        <v>3</v>
      </c>
      <c r="H506" s="2">
        <v>46150</v>
      </c>
      <c r="I506" s="2">
        <v>46199</v>
      </c>
      <c r="J506" s="2">
        <v>46234</v>
      </c>
      <c r="K506" s="2" t="str">
        <f>IFERROR(VLOOKUP(B506,#REF!,4,0),"")</f>
        <v/>
      </c>
      <c r="M506" s="1" t="s">
        <v>12</v>
      </c>
      <c r="O506" s="4"/>
      <c r="Q506" s="4"/>
    </row>
    <row r="507" spans="1:17" x14ac:dyDescent="0.3">
      <c r="A507" s="3">
        <f t="shared" si="17"/>
        <v>188</v>
      </c>
      <c r="B507" s="8" t="s">
        <v>713</v>
      </c>
      <c r="C507" s="5" t="s">
        <v>712</v>
      </c>
      <c r="D507" s="6">
        <v>497396561</v>
      </c>
      <c r="E507" s="5" t="s">
        <v>711</v>
      </c>
      <c r="F507" s="5" t="s">
        <v>48</v>
      </c>
      <c r="G507" s="5" t="s">
        <v>3</v>
      </c>
      <c r="H507" s="2">
        <v>46151</v>
      </c>
      <c r="I507" s="2">
        <v>46178</v>
      </c>
      <c r="J507" s="2">
        <v>46234</v>
      </c>
      <c r="K507" s="2" t="str">
        <f>IFERROR(VLOOKUP(B507,#REF!,4,0),"")</f>
        <v/>
      </c>
      <c r="L507" s="1" t="s">
        <v>44</v>
      </c>
      <c r="M507" s="1" t="s">
        <v>12</v>
      </c>
      <c r="O507" s="4"/>
      <c r="Q507" s="4"/>
    </row>
    <row r="508" spans="1:17" x14ac:dyDescent="0.3">
      <c r="A508" s="3">
        <f t="shared" si="17"/>
        <v>189</v>
      </c>
      <c r="B508" s="8" t="s">
        <v>710</v>
      </c>
      <c r="C508" s="5" t="s">
        <v>709</v>
      </c>
      <c r="D508" s="6">
        <v>556502719</v>
      </c>
      <c r="E508" s="5" t="s">
        <v>708</v>
      </c>
      <c r="F508" s="5" t="s">
        <v>9</v>
      </c>
      <c r="G508" s="5" t="s">
        <v>3</v>
      </c>
      <c r="H508" s="2">
        <v>46153</v>
      </c>
      <c r="I508" s="2"/>
      <c r="J508" s="2">
        <v>46234</v>
      </c>
      <c r="K508" s="2" t="str">
        <f>IFERROR(VLOOKUP(B508,#REF!,4,0),"")</f>
        <v/>
      </c>
      <c r="L508" s="1" t="s">
        <v>13</v>
      </c>
      <c r="M508" s="1" t="s">
        <v>17</v>
      </c>
      <c r="O508" s="4"/>
      <c r="Q508" s="4"/>
    </row>
    <row r="509" spans="1:17" x14ac:dyDescent="0.3">
      <c r="A509" s="3">
        <f t="shared" si="17"/>
        <v>190</v>
      </c>
      <c r="B509" s="8" t="s">
        <v>707</v>
      </c>
      <c r="C509" s="5" t="s">
        <v>706</v>
      </c>
      <c r="D509" s="6">
        <v>629671619</v>
      </c>
      <c r="E509" s="5" t="s">
        <v>705</v>
      </c>
      <c r="F509" s="5" t="s">
        <v>9</v>
      </c>
      <c r="G509" s="5" t="s">
        <v>3</v>
      </c>
      <c r="H509" s="2">
        <v>46154</v>
      </c>
      <c r="I509" s="2"/>
      <c r="J509" s="2">
        <v>46234</v>
      </c>
      <c r="K509" s="2" t="str">
        <f>IFERROR(VLOOKUP(B509,#REF!,4,0),"")</f>
        <v/>
      </c>
      <c r="L509" s="1" t="s">
        <v>124</v>
      </c>
      <c r="M509" s="1" t="s">
        <v>535</v>
      </c>
      <c r="O509" s="4"/>
      <c r="Q509" s="4"/>
    </row>
    <row r="510" spans="1:17" x14ac:dyDescent="0.3">
      <c r="A510" s="3">
        <f t="shared" si="17"/>
        <v>191</v>
      </c>
      <c r="B510" s="8" t="s">
        <v>704</v>
      </c>
      <c r="C510" s="5" t="s">
        <v>703</v>
      </c>
      <c r="D510" s="6">
        <v>420682857</v>
      </c>
      <c r="E510" s="5" t="s">
        <v>5</v>
      </c>
      <c r="F510" s="5" t="s">
        <v>4</v>
      </c>
      <c r="G510" s="5" t="s">
        <v>3</v>
      </c>
      <c r="H510" s="2">
        <v>46154</v>
      </c>
      <c r="I510" s="2"/>
      <c r="J510" s="2">
        <v>46234</v>
      </c>
      <c r="K510" s="2" t="str">
        <f>IFERROR(VLOOKUP(B510,#REF!,4,0),"")</f>
        <v/>
      </c>
      <c r="M510" s="1" t="s">
        <v>17</v>
      </c>
      <c r="O510" s="4"/>
      <c r="Q510" s="4"/>
    </row>
    <row r="511" spans="1:17" x14ac:dyDescent="0.3">
      <c r="A511" s="3">
        <f t="shared" si="17"/>
        <v>192</v>
      </c>
      <c r="B511" s="8" t="s">
        <v>702</v>
      </c>
      <c r="C511" s="5" t="s">
        <v>701</v>
      </c>
      <c r="D511" s="6">
        <v>680871552</v>
      </c>
      <c r="E511" s="5" t="s">
        <v>700</v>
      </c>
      <c r="F511" s="5" t="s">
        <v>36</v>
      </c>
      <c r="G511" s="5" t="s">
        <v>3</v>
      </c>
      <c r="H511" s="2">
        <v>46170</v>
      </c>
      <c r="I511" s="2"/>
      <c r="J511" s="2">
        <v>46234</v>
      </c>
      <c r="K511" s="2" t="str">
        <f>IFERROR(VLOOKUP(B511,#REF!,4,0),"")</f>
        <v/>
      </c>
      <c r="L511" s="1" t="s">
        <v>13</v>
      </c>
      <c r="M511" s="1" t="s">
        <v>12</v>
      </c>
      <c r="O511" s="4"/>
      <c r="Q511" s="4"/>
    </row>
    <row r="512" spans="1:17" x14ac:dyDescent="0.3">
      <c r="A512" s="3">
        <f t="shared" si="17"/>
        <v>193</v>
      </c>
      <c r="B512" s="8" t="s">
        <v>699</v>
      </c>
      <c r="C512" s="5" t="s">
        <v>698</v>
      </c>
      <c r="D512" s="6">
        <v>157946931</v>
      </c>
      <c r="E512" s="5" t="s">
        <v>260</v>
      </c>
      <c r="F512" s="5" t="s">
        <v>9</v>
      </c>
      <c r="G512" s="5" t="s">
        <v>3</v>
      </c>
      <c r="H512" s="2">
        <v>46171</v>
      </c>
      <c r="I512" s="2">
        <v>46184</v>
      </c>
      <c r="J512" s="2">
        <v>46234</v>
      </c>
      <c r="K512" s="2" t="str">
        <f>IFERROR(VLOOKUP(B512,#REF!,4,0),"")</f>
        <v/>
      </c>
      <c r="L512" s="1" t="s">
        <v>124</v>
      </c>
      <c r="M512" s="1" t="s">
        <v>342</v>
      </c>
      <c r="O512" s="4" t="s">
        <v>697</v>
      </c>
      <c r="Q512" s="4"/>
    </row>
    <row r="513" spans="1:18" x14ac:dyDescent="0.3">
      <c r="A513" s="3">
        <f t="shared" ref="A513:A520" si="18">1+A512</f>
        <v>194</v>
      </c>
      <c r="B513" s="8" t="s">
        <v>696</v>
      </c>
      <c r="C513" s="5" t="s">
        <v>695</v>
      </c>
      <c r="D513" s="6">
        <v>504427725</v>
      </c>
      <c r="E513" s="5" t="s">
        <v>694</v>
      </c>
      <c r="F513" s="5" t="s">
        <v>36</v>
      </c>
      <c r="G513" s="5" t="s">
        <v>3</v>
      </c>
      <c r="H513" s="2"/>
      <c r="I513" s="2">
        <v>46179</v>
      </c>
      <c r="J513" s="2">
        <v>46234</v>
      </c>
      <c r="K513" s="2" t="str">
        <f>IFERROR(VLOOKUP(B513,#REF!,4,0),"")</f>
        <v/>
      </c>
      <c r="L513" s="1" t="s">
        <v>13</v>
      </c>
      <c r="M513" s="1" t="s">
        <v>12</v>
      </c>
      <c r="O513" s="4"/>
      <c r="Q513" s="4"/>
    </row>
    <row r="514" spans="1:18" x14ac:dyDescent="0.3">
      <c r="A514" s="3">
        <f t="shared" si="18"/>
        <v>195</v>
      </c>
      <c r="B514" s="8" t="s">
        <v>693</v>
      </c>
      <c r="C514" s="5" t="s">
        <v>692</v>
      </c>
      <c r="D514" s="6">
        <v>469865122</v>
      </c>
      <c r="E514" s="5" t="s">
        <v>691</v>
      </c>
      <c r="F514" s="5" t="s">
        <v>4</v>
      </c>
      <c r="G514" s="5" t="s">
        <v>3</v>
      </c>
      <c r="H514" s="2"/>
      <c r="I514" s="2">
        <v>46178</v>
      </c>
      <c r="J514" s="2">
        <v>46234</v>
      </c>
      <c r="K514" s="2" t="str">
        <f>IFERROR(VLOOKUP(B514,#REF!,4,0),"")</f>
        <v/>
      </c>
      <c r="M514" s="1" t="s">
        <v>12</v>
      </c>
      <c r="O514" s="4"/>
      <c r="Q514" s="4"/>
    </row>
    <row r="515" spans="1:18" x14ac:dyDescent="0.3">
      <c r="A515" s="3">
        <f t="shared" si="18"/>
        <v>196</v>
      </c>
      <c r="B515" s="8" t="s">
        <v>690</v>
      </c>
      <c r="C515" s="5" t="s">
        <v>689</v>
      </c>
      <c r="D515" s="6">
        <v>470219978</v>
      </c>
      <c r="E515" s="5" t="s">
        <v>688</v>
      </c>
      <c r="F515" s="5" t="s">
        <v>28</v>
      </c>
      <c r="G515" s="5" t="s">
        <v>3</v>
      </c>
      <c r="H515" s="2"/>
      <c r="I515" s="2">
        <v>46188</v>
      </c>
      <c r="J515" s="2">
        <v>46234</v>
      </c>
      <c r="K515" s="2" t="str">
        <f>IFERROR(VLOOKUP(B515,#REF!,4,0),"")</f>
        <v/>
      </c>
      <c r="L515" s="1" t="s">
        <v>27</v>
      </c>
      <c r="M515" s="1" t="s">
        <v>17</v>
      </c>
      <c r="O515" s="4"/>
      <c r="Q515" s="4"/>
    </row>
    <row r="516" spans="1:18" x14ac:dyDescent="0.3">
      <c r="A516" s="3">
        <f t="shared" si="18"/>
        <v>197</v>
      </c>
      <c r="B516" s="8" t="s">
        <v>687</v>
      </c>
      <c r="C516" s="5" t="s">
        <v>686</v>
      </c>
      <c r="D516" s="6">
        <v>625751607</v>
      </c>
      <c r="E516" s="5" t="s">
        <v>103</v>
      </c>
      <c r="F516" s="5" t="s">
        <v>28</v>
      </c>
      <c r="G516" s="5" t="s">
        <v>3</v>
      </c>
      <c r="H516" s="2"/>
      <c r="I516" s="2">
        <v>46198</v>
      </c>
      <c r="J516" s="2">
        <v>46234</v>
      </c>
      <c r="K516" s="2" t="str">
        <f>IFERROR(VLOOKUP(B516,#REF!,4,0),"")</f>
        <v/>
      </c>
      <c r="L516" s="1" t="s">
        <v>27</v>
      </c>
      <c r="M516" s="1" t="s">
        <v>17</v>
      </c>
      <c r="O516" s="4"/>
      <c r="Q516" s="4"/>
    </row>
    <row r="517" spans="1:18" x14ac:dyDescent="0.3">
      <c r="A517" s="3">
        <f t="shared" si="18"/>
        <v>198</v>
      </c>
      <c r="B517" s="8" t="s">
        <v>685</v>
      </c>
      <c r="C517" s="5" t="s">
        <v>684</v>
      </c>
      <c r="D517" s="6">
        <v>518499753</v>
      </c>
      <c r="E517" s="5" t="s">
        <v>131</v>
      </c>
      <c r="F517" s="5" t="s">
        <v>9</v>
      </c>
      <c r="G517" s="5" t="s">
        <v>496</v>
      </c>
      <c r="H517" s="2">
        <v>46153</v>
      </c>
      <c r="I517" s="2"/>
      <c r="J517" s="2"/>
      <c r="K517" s="2" t="str">
        <f>IFERROR(VLOOKUP(B517,#REF!,4,0),"")</f>
        <v/>
      </c>
      <c r="L517" s="1" t="s">
        <v>124</v>
      </c>
      <c r="M517" s="1" t="s">
        <v>17</v>
      </c>
      <c r="O517" s="4"/>
      <c r="Q517" s="4"/>
    </row>
    <row r="518" spans="1:18" x14ac:dyDescent="0.3">
      <c r="A518" s="3">
        <f t="shared" si="18"/>
        <v>199</v>
      </c>
      <c r="B518" s="8" t="s">
        <v>683</v>
      </c>
      <c r="C518" s="5" t="s">
        <v>682</v>
      </c>
      <c r="D518" s="6">
        <v>486453164</v>
      </c>
      <c r="E518" s="5" t="s">
        <v>65</v>
      </c>
      <c r="F518" s="5" t="s">
        <v>4</v>
      </c>
      <c r="G518" s="5" t="s">
        <v>496</v>
      </c>
      <c r="H518" s="2">
        <v>46151</v>
      </c>
      <c r="I518" s="2"/>
      <c r="J518" s="2"/>
      <c r="K518" s="2" t="str">
        <f>IFERROR(VLOOKUP(B518,#REF!,4,0),"")</f>
        <v/>
      </c>
      <c r="L518" s="1" t="s">
        <v>2</v>
      </c>
      <c r="M518" s="1" t="s">
        <v>17</v>
      </c>
      <c r="O518" s="4"/>
      <c r="Q518" s="4"/>
    </row>
    <row r="519" spans="1:18" x14ac:dyDescent="0.3">
      <c r="A519" s="3">
        <f t="shared" si="18"/>
        <v>200</v>
      </c>
      <c r="B519" s="7" t="s">
        <v>681</v>
      </c>
      <c r="C519" s="5" t="s">
        <v>680</v>
      </c>
      <c r="D519" s="6">
        <v>625744949</v>
      </c>
      <c r="E519" s="5" t="s">
        <v>679</v>
      </c>
      <c r="F519" s="5" t="s">
        <v>58</v>
      </c>
      <c r="G519" s="5" t="s">
        <v>496</v>
      </c>
      <c r="H519" s="2">
        <v>46148</v>
      </c>
      <c r="I519" s="2"/>
      <c r="J519" s="2"/>
      <c r="K519" s="2" t="str">
        <f>IFERROR(VLOOKUP(B519,#REF!,4,0),"")</f>
        <v/>
      </c>
      <c r="L519" s="1" t="s">
        <v>27</v>
      </c>
      <c r="M519" s="1" t="s">
        <v>17</v>
      </c>
      <c r="O519" s="4"/>
      <c r="Q519" s="4"/>
    </row>
    <row r="520" spans="1:18" x14ac:dyDescent="0.3">
      <c r="A520" s="3">
        <f t="shared" si="18"/>
        <v>201</v>
      </c>
      <c r="B520" s="20" t="s">
        <v>678</v>
      </c>
      <c r="C520" s="5" t="s">
        <v>677</v>
      </c>
      <c r="D520" s="6">
        <v>446353618</v>
      </c>
      <c r="E520" s="5" t="s">
        <v>676</v>
      </c>
      <c r="F520" s="5" t="s">
        <v>28</v>
      </c>
      <c r="G520" s="5" t="s">
        <v>496</v>
      </c>
      <c r="H520" s="2">
        <v>46154</v>
      </c>
      <c r="I520" s="2"/>
      <c r="J520" s="2"/>
      <c r="K520" s="2" t="str">
        <f>IFERROR(VLOOKUP(B520,#REF!,4,0),"")</f>
        <v/>
      </c>
      <c r="L520" s="1" t="s">
        <v>27</v>
      </c>
      <c r="M520" s="1" t="s">
        <v>12</v>
      </c>
      <c r="O520" s="4"/>
      <c r="Q520" s="4"/>
    </row>
    <row r="521" spans="1:18" x14ac:dyDescent="0.3">
      <c r="A521" s="3"/>
      <c r="B521" s="8" t="s">
        <v>675</v>
      </c>
      <c r="C521" s="5" t="s">
        <v>674</v>
      </c>
      <c r="D521" s="6">
        <v>474986608</v>
      </c>
      <c r="E521" s="5" t="s">
        <v>673</v>
      </c>
      <c r="F521" s="5" t="s">
        <v>9</v>
      </c>
      <c r="G521" s="5" t="s">
        <v>496</v>
      </c>
      <c r="H521" s="2">
        <v>46151</v>
      </c>
      <c r="I521" s="2"/>
      <c r="J521" s="2"/>
      <c r="K521" s="2" t="str">
        <f>IFERROR(VLOOKUP(B521,#REF!,4,0),"")</f>
        <v/>
      </c>
      <c r="L521" s="1" t="s">
        <v>20</v>
      </c>
      <c r="M521" s="1" t="s">
        <v>17</v>
      </c>
      <c r="O521" s="4"/>
      <c r="Q521" s="4"/>
    </row>
    <row r="522" spans="1:18" x14ac:dyDescent="0.3">
      <c r="A522" s="3">
        <f t="shared" ref="A522:A553" si="19">1+A521</f>
        <v>1</v>
      </c>
      <c r="B522" s="8" t="s">
        <v>672</v>
      </c>
      <c r="C522" s="5" t="s">
        <v>671</v>
      </c>
      <c r="D522" s="6">
        <v>572096262</v>
      </c>
      <c r="E522" s="5" t="s">
        <v>231</v>
      </c>
      <c r="F522" s="5" t="s">
        <v>48</v>
      </c>
      <c r="G522" s="5" t="s">
        <v>3</v>
      </c>
      <c r="H522" s="2">
        <v>46149</v>
      </c>
      <c r="I522" s="2">
        <v>46197</v>
      </c>
      <c r="J522" s="2"/>
      <c r="K522" s="2" t="str">
        <f>IFERROR(VLOOKUP(B522,#REF!,4,0),"")</f>
        <v/>
      </c>
      <c r="L522" s="1" t="s">
        <v>44</v>
      </c>
      <c r="M522" s="1" t="s">
        <v>535</v>
      </c>
      <c r="O522" s="4"/>
      <c r="Q522" s="4"/>
    </row>
    <row r="523" spans="1:18" x14ac:dyDescent="0.3">
      <c r="A523" s="3">
        <f t="shared" si="19"/>
        <v>2</v>
      </c>
      <c r="B523" s="8" t="s">
        <v>670</v>
      </c>
      <c r="C523" s="5" t="s">
        <v>669</v>
      </c>
      <c r="D523" s="6">
        <v>446307024</v>
      </c>
      <c r="E523" s="5" t="s">
        <v>668</v>
      </c>
      <c r="F523" s="5" t="s">
        <v>32</v>
      </c>
      <c r="G523" s="5" t="s">
        <v>3</v>
      </c>
      <c r="H523" s="2">
        <v>46167</v>
      </c>
      <c r="I523" s="2"/>
      <c r="J523" s="2"/>
      <c r="K523" s="2" t="str">
        <f>IFERROR(VLOOKUP(B523,#REF!,4,0),"")</f>
        <v/>
      </c>
      <c r="L523" s="1" t="s">
        <v>27</v>
      </c>
      <c r="M523" s="1" t="s">
        <v>12</v>
      </c>
      <c r="O523" s="4"/>
      <c r="Q523" s="4"/>
    </row>
    <row r="524" spans="1:18" x14ac:dyDescent="0.3">
      <c r="A524" s="3">
        <f t="shared" si="19"/>
        <v>3</v>
      </c>
      <c r="B524" s="8" t="s">
        <v>667</v>
      </c>
      <c r="C524" s="5" t="s">
        <v>666</v>
      </c>
      <c r="D524" s="6">
        <v>568247823</v>
      </c>
      <c r="E524" s="5" t="s">
        <v>568</v>
      </c>
      <c r="F524" s="5" t="s">
        <v>32</v>
      </c>
      <c r="G524" s="5" t="s">
        <v>496</v>
      </c>
      <c r="H524" s="2">
        <v>46151</v>
      </c>
      <c r="I524" s="2">
        <v>46179</v>
      </c>
      <c r="J524" s="2"/>
      <c r="K524" s="2" t="str">
        <f>IFERROR(VLOOKUP(B524,#REF!,4,0),"")</f>
        <v/>
      </c>
      <c r="L524" s="1" t="s">
        <v>27</v>
      </c>
      <c r="M524" s="1" t="s">
        <v>17</v>
      </c>
      <c r="O524" s="4"/>
      <c r="Q524" s="4"/>
    </row>
    <row r="525" spans="1:18" x14ac:dyDescent="0.3">
      <c r="A525" s="3">
        <f t="shared" si="19"/>
        <v>4</v>
      </c>
      <c r="B525" s="8" t="s">
        <v>665</v>
      </c>
      <c r="C525" s="5" t="s">
        <v>664</v>
      </c>
      <c r="D525" s="6">
        <v>497082442</v>
      </c>
      <c r="E525" s="5" t="s">
        <v>663</v>
      </c>
      <c r="F525" s="5" t="s">
        <v>9</v>
      </c>
      <c r="G525" s="5" t="s">
        <v>3</v>
      </c>
      <c r="H525" s="2"/>
      <c r="I525" s="2">
        <v>46185</v>
      </c>
      <c r="J525" s="2"/>
      <c r="K525" s="2" t="str">
        <f>IFERROR(VLOOKUP(B525,#REF!,4,0),"")</f>
        <v/>
      </c>
      <c r="L525" s="1" t="s">
        <v>20</v>
      </c>
      <c r="M525" s="1" t="s">
        <v>12</v>
      </c>
      <c r="O525" s="4"/>
      <c r="Q525" s="4"/>
    </row>
    <row r="526" spans="1:18" x14ac:dyDescent="0.3">
      <c r="A526" s="3">
        <f t="shared" si="19"/>
        <v>5</v>
      </c>
      <c r="B526" s="8" t="s">
        <v>662</v>
      </c>
      <c r="C526" s="5" t="s">
        <v>661</v>
      </c>
      <c r="D526" s="6">
        <v>411031869</v>
      </c>
      <c r="E526" s="5" t="s">
        <v>660</v>
      </c>
      <c r="F526" s="5" t="s">
        <v>40</v>
      </c>
      <c r="G526" s="5" t="s">
        <v>3</v>
      </c>
      <c r="H526" s="2">
        <v>46149</v>
      </c>
      <c r="I526" s="2">
        <v>46192</v>
      </c>
      <c r="J526" s="2"/>
      <c r="K526" s="2" t="str">
        <f>IFERROR(VLOOKUP(B526,#REF!,4,0),"")</f>
        <v/>
      </c>
      <c r="L526" s="1" t="s">
        <v>27</v>
      </c>
      <c r="M526" s="1" t="s">
        <v>12</v>
      </c>
      <c r="O526" s="4"/>
      <c r="Q526" s="4"/>
    </row>
    <row r="527" spans="1:18" x14ac:dyDescent="0.3">
      <c r="A527" s="3">
        <f t="shared" si="19"/>
        <v>6</v>
      </c>
      <c r="B527" s="11" t="s">
        <v>659</v>
      </c>
      <c r="C527" s="5" t="s">
        <v>658</v>
      </c>
      <c r="D527" s="6">
        <v>447140418</v>
      </c>
      <c r="E527" s="5" t="s">
        <v>536</v>
      </c>
      <c r="F527" s="5" t="s">
        <v>4</v>
      </c>
      <c r="G527" s="5" t="s">
        <v>3</v>
      </c>
      <c r="H527" s="2">
        <v>46167</v>
      </c>
      <c r="I527" s="2">
        <v>46190</v>
      </c>
      <c r="J527" s="2"/>
      <c r="K527" s="2" t="str">
        <f>IFERROR(VLOOKUP(B527,#REF!,4,0),"")</f>
        <v/>
      </c>
      <c r="L527" s="1" t="s">
        <v>2</v>
      </c>
      <c r="M527" s="1" t="s">
        <v>12</v>
      </c>
      <c r="O527" s="4" t="s">
        <v>0</v>
      </c>
      <c r="Q527" s="4" t="s">
        <v>0</v>
      </c>
      <c r="R527" s="1" t="s">
        <v>0</v>
      </c>
    </row>
    <row r="528" spans="1:18" x14ac:dyDescent="0.3">
      <c r="A528" s="3">
        <f t="shared" si="19"/>
        <v>7</v>
      </c>
      <c r="B528" s="8" t="s">
        <v>657</v>
      </c>
      <c r="C528" s="5" t="s">
        <v>656</v>
      </c>
      <c r="D528" s="6">
        <v>603491324</v>
      </c>
      <c r="E528" s="5" t="s">
        <v>306</v>
      </c>
      <c r="F528" s="5" t="s">
        <v>48</v>
      </c>
      <c r="G528" s="5" t="s">
        <v>3</v>
      </c>
      <c r="H528" s="2">
        <v>46162</v>
      </c>
      <c r="I528" s="2">
        <v>46181</v>
      </c>
      <c r="J528" s="2"/>
      <c r="K528" s="2" t="str">
        <f>IFERROR(VLOOKUP(B528,#REF!,4,0),"")</f>
        <v/>
      </c>
      <c r="L528" s="1" t="s">
        <v>44</v>
      </c>
      <c r="M528" s="1" t="s">
        <v>17</v>
      </c>
      <c r="O528" s="4"/>
      <c r="Q528" s="4"/>
    </row>
    <row r="529" spans="1:17" x14ac:dyDescent="0.3">
      <c r="A529" s="3">
        <f t="shared" si="19"/>
        <v>8</v>
      </c>
      <c r="B529" s="8" t="s">
        <v>655</v>
      </c>
      <c r="C529" s="5" t="s">
        <v>654</v>
      </c>
      <c r="D529" s="6">
        <v>424713985</v>
      </c>
      <c r="E529" s="5" t="s">
        <v>653</v>
      </c>
      <c r="F529" s="5" t="s">
        <v>40</v>
      </c>
      <c r="G529" s="5" t="s">
        <v>496</v>
      </c>
      <c r="H529" s="2">
        <v>46149</v>
      </c>
      <c r="I529" s="2"/>
      <c r="J529" s="2"/>
      <c r="K529" s="2" t="str">
        <f>IFERROR(VLOOKUP(B529,#REF!,4,0),"")</f>
        <v/>
      </c>
      <c r="L529" s="1" t="s">
        <v>27</v>
      </c>
      <c r="M529" s="1" t="s">
        <v>12</v>
      </c>
      <c r="O529" s="4"/>
      <c r="Q529" s="4"/>
    </row>
    <row r="530" spans="1:17" x14ac:dyDescent="0.3">
      <c r="A530" s="3">
        <f t="shared" si="19"/>
        <v>9</v>
      </c>
      <c r="B530" s="8" t="s">
        <v>652</v>
      </c>
      <c r="C530" s="5" t="s">
        <v>651</v>
      </c>
      <c r="D530" s="6">
        <v>450115527</v>
      </c>
      <c r="E530" s="5" t="s">
        <v>650</v>
      </c>
      <c r="F530" s="5" t="s">
        <v>40</v>
      </c>
      <c r="G530" s="5" t="s">
        <v>496</v>
      </c>
      <c r="H530" s="2">
        <v>46155</v>
      </c>
      <c r="I530" s="2"/>
      <c r="J530" s="2"/>
      <c r="K530" s="2" t="str">
        <f>IFERROR(VLOOKUP(B530,#REF!,4,0),"")</f>
        <v/>
      </c>
      <c r="L530" s="1" t="s">
        <v>27</v>
      </c>
      <c r="M530" s="1" t="s">
        <v>12</v>
      </c>
      <c r="O530" s="4"/>
      <c r="Q530" s="4"/>
    </row>
    <row r="531" spans="1:17" x14ac:dyDescent="0.3">
      <c r="A531" s="3">
        <f t="shared" si="19"/>
        <v>10</v>
      </c>
      <c r="B531" s="17" t="s">
        <v>649</v>
      </c>
      <c r="C531" s="5" t="s">
        <v>648</v>
      </c>
      <c r="D531" s="6">
        <v>447870645</v>
      </c>
      <c r="E531" s="5" t="s">
        <v>647</v>
      </c>
      <c r="F531" s="5" t="s">
        <v>4</v>
      </c>
      <c r="G531" s="5" t="s">
        <v>3</v>
      </c>
      <c r="H531" s="2">
        <v>46153</v>
      </c>
      <c r="I531" s="2"/>
      <c r="J531" s="2"/>
      <c r="K531" s="2" t="str">
        <f>IFERROR(VLOOKUP(B531,#REF!,4,0),"")</f>
        <v/>
      </c>
      <c r="L531" s="1" t="s">
        <v>2</v>
      </c>
      <c r="M531" s="1" t="s">
        <v>12</v>
      </c>
      <c r="O531" s="4"/>
      <c r="Q531" s="4"/>
    </row>
    <row r="532" spans="1:17" x14ac:dyDescent="0.3">
      <c r="A532" s="3">
        <f t="shared" si="19"/>
        <v>11</v>
      </c>
      <c r="B532" s="8" t="s">
        <v>646</v>
      </c>
      <c r="C532" s="5" t="s">
        <v>645</v>
      </c>
      <c r="D532" s="6">
        <v>375227174</v>
      </c>
      <c r="E532" s="5" t="s">
        <v>644</v>
      </c>
      <c r="F532" s="5" t="s">
        <v>36</v>
      </c>
      <c r="G532" s="5" t="s">
        <v>3</v>
      </c>
      <c r="H532" s="2"/>
      <c r="I532" s="2">
        <v>46196</v>
      </c>
      <c r="J532" s="2"/>
      <c r="K532" s="2" t="str">
        <f>IFERROR(VLOOKUP(B532,#REF!,4,0),"")</f>
        <v/>
      </c>
      <c r="L532" s="1" t="s">
        <v>13</v>
      </c>
      <c r="M532" s="1" t="s">
        <v>12</v>
      </c>
      <c r="O532" s="4"/>
      <c r="Q532" s="4"/>
    </row>
    <row r="533" spans="1:17" x14ac:dyDescent="0.3">
      <c r="A533" s="3">
        <f t="shared" si="19"/>
        <v>12</v>
      </c>
      <c r="B533" s="8" t="s">
        <v>643</v>
      </c>
      <c r="C533" s="5" t="s">
        <v>642</v>
      </c>
      <c r="D533" s="6">
        <v>310252366</v>
      </c>
      <c r="E533" s="5" t="s">
        <v>641</v>
      </c>
      <c r="F533" s="5" t="s">
        <v>40</v>
      </c>
      <c r="G533" s="5" t="s">
        <v>496</v>
      </c>
      <c r="H533" s="2">
        <v>46155</v>
      </c>
      <c r="I533" s="2"/>
      <c r="J533" s="2"/>
      <c r="K533" s="2" t="str">
        <f>IFERROR(VLOOKUP(B533,#REF!,4,0),"")</f>
        <v/>
      </c>
      <c r="L533" s="1" t="s">
        <v>27</v>
      </c>
      <c r="M533" s="1" t="s">
        <v>12</v>
      </c>
      <c r="O533" s="4"/>
      <c r="Q533" s="4"/>
    </row>
    <row r="534" spans="1:17" x14ac:dyDescent="0.3">
      <c r="A534" s="3">
        <f t="shared" si="19"/>
        <v>13</v>
      </c>
      <c r="B534" s="8" t="s">
        <v>640</v>
      </c>
      <c r="C534" s="5" t="s">
        <v>639</v>
      </c>
      <c r="D534" s="6">
        <v>275294102</v>
      </c>
      <c r="E534" s="5" t="s">
        <v>581</v>
      </c>
      <c r="F534" s="5" t="s">
        <v>32</v>
      </c>
      <c r="G534" s="5" t="s">
        <v>496</v>
      </c>
      <c r="H534" s="2">
        <v>46162</v>
      </c>
      <c r="I534" s="2"/>
      <c r="J534" s="2"/>
      <c r="K534" s="2" t="str">
        <f>IFERROR(VLOOKUP(B534,#REF!,4,0),"")</f>
        <v/>
      </c>
      <c r="L534" s="1" t="s">
        <v>27</v>
      </c>
      <c r="M534" s="1" t="s">
        <v>342</v>
      </c>
      <c r="O534" s="4"/>
      <c r="Q534" s="4"/>
    </row>
    <row r="535" spans="1:17" x14ac:dyDescent="0.3">
      <c r="A535" s="3">
        <f t="shared" si="19"/>
        <v>14</v>
      </c>
      <c r="B535" s="8" t="s">
        <v>638</v>
      </c>
      <c r="C535" s="5" t="s">
        <v>637</v>
      </c>
      <c r="D535" s="6">
        <v>648096486</v>
      </c>
      <c r="E535" s="5" t="s">
        <v>636</v>
      </c>
      <c r="F535" s="5" t="s">
        <v>40</v>
      </c>
      <c r="G535" s="5" t="s">
        <v>496</v>
      </c>
      <c r="H535" s="2">
        <v>46151</v>
      </c>
      <c r="I535" s="2"/>
      <c r="J535" s="2"/>
      <c r="K535" s="2" t="str">
        <f>IFERROR(VLOOKUP(B535,#REF!,4,0),"")</f>
        <v/>
      </c>
      <c r="L535" s="1" t="s">
        <v>27</v>
      </c>
      <c r="M535" s="1" t="s">
        <v>12</v>
      </c>
      <c r="O535" s="4"/>
      <c r="Q535" s="4"/>
    </row>
    <row r="536" spans="1:17" x14ac:dyDescent="0.3">
      <c r="A536" s="3">
        <f t="shared" si="19"/>
        <v>15</v>
      </c>
      <c r="B536" s="8" t="s">
        <v>635</v>
      </c>
      <c r="C536" s="5" t="s">
        <v>634</v>
      </c>
      <c r="D536" s="6">
        <v>623771332</v>
      </c>
      <c r="E536" s="5" t="s">
        <v>452</v>
      </c>
      <c r="F536" s="5" t="s">
        <v>36</v>
      </c>
      <c r="G536" s="5" t="s">
        <v>3</v>
      </c>
      <c r="H536" s="2">
        <v>46161</v>
      </c>
      <c r="I536" s="2"/>
      <c r="J536" s="2"/>
      <c r="K536" s="2" t="str">
        <f>IFERROR(VLOOKUP(B536,#REF!,4,0),"")</f>
        <v/>
      </c>
      <c r="L536" s="1" t="s">
        <v>13</v>
      </c>
      <c r="M536" s="1" t="s">
        <v>17</v>
      </c>
      <c r="O536" s="4"/>
      <c r="Q536" s="4"/>
    </row>
    <row r="537" spans="1:17" x14ac:dyDescent="0.3">
      <c r="A537" s="3">
        <f t="shared" si="19"/>
        <v>16</v>
      </c>
      <c r="B537" s="8" t="s">
        <v>633</v>
      </c>
      <c r="C537" s="5" t="s">
        <v>632</v>
      </c>
      <c r="D537" s="6">
        <v>516583273</v>
      </c>
      <c r="E537" s="5" t="s">
        <v>192</v>
      </c>
      <c r="F537" s="5" t="s">
        <v>9</v>
      </c>
      <c r="G537" s="5" t="s">
        <v>3</v>
      </c>
      <c r="H537" s="2"/>
      <c r="I537" s="2">
        <v>46176</v>
      </c>
      <c r="J537" s="2"/>
      <c r="K537" s="2" t="str">
        <f>IFERROR(VLOOKUP(B537,#REF!,4,0),"")</f>
        <v/>
      </c>
      <c r="L537" s="1" t="s">
        <v>20</v>
      </c>
      <c r="M537" s="1" t="s">
        <v>17</v>
      </c>
      <c r="O537" s="4"/>
      <c r="Q537" s="4"/>
    </row>
    <row r="538" spans="1:17" x14ac:dyDescent="0.3">
      <c r="A538" s="3">
        <f t="shared" si="19"/>
        <v>17</v>
      </c>
      <c r="B538" s="8" t="s">
        <v>631</v>
      </c>
      <c r="C538" s="5" t="s">
        <v>630</v>
      </c>
      <c r="D538" s="6">
        <v>625900570</v>
      </c>
      <c r="E538" s="5" t="s">
        <v>629</v>
      </c>
      <c r="F538" s="5" t="s">
        <v>40</v>
      </c>
      <c r="G538" s="5" t="s">
        <v>3</v>
      </c>
      <c r="H538" s="2"/>
      <c r="I538" s="2">
        <v>46177</v>
      </c>
      <c r="J538" s="2"/>
      <c r="K538" s="2" t="str">
        <f>IFERROR(VLOOKUP(B538,#REF!,4,0),"")</f>
        <v/>
      </c>
      <c r="L538" s="1" t="s">
        <v>27</v>
      </c>
      <c r="M538" s="1" t="s">
        <v>17</v>
      </c>
      <c r="O538" s="4"/>
      <c r="Q538" s="4"/>
    </row>
    <row r="539" spans="1:17" x14ac:dyDescent="0.3">
      <c r="A539" s="3">
        <f t="shared" si="19"/>
        <v>18</v>
      </c>
      <c r="B539" s="8" t="s">
        <v>628</v>
      </c>
      <c r="C539" s="5" t="s">
        <v>627</v>
      </c>
      <c r="D539" s="6">
        <v>516243557</v>
      </c>
      <c r="E539" s="5" t="s">
        <v>626</v>
      </c>
      <c r="F539" s="5" t="s">
        <v>36</v>
      </c>
      <c r="G539" s="5" t="s">
        <v>3</v>
      </c>
      <c r="H539" s="2"/>
      <c r="I539" s="2">
        <v>46175</v>
      </c>
      <c r="J539" s="2"/>
      <c r="K539" s="2" t="str">
        <f>IFERROR(VLOOKUP(B539,#REF!,4,0),"")</f>
        <v/>
      </c>
      <c r="L539" s="1" t="s">
        <v>13</v>
      </c>
      <c r="M539" s="1" t="s">
        <v>12</v>
      </c>
      <c r="O539" s="4"/>
      <c r="Q539" s="4"/>
    </row>
    <row r="540" spans="1:17" x14ac:dyDescent="0.3">
      <c r="A540" s="3">
        <f t="shared" si="19"/>
        <v>19</v>
      </c>
      <c r="B540" s="8" t="s">
        <v>625</v>
      </c>
      <c r="C540" s="5" t="s">
        <v>624</v>
      </c>
      <c r="D540" s="6">
        <v>575328815</v>
      </c>
      <c r="E540" s="5" t="s">
        <v>623</v>
      </c>
      <c r="F540" s="5" t="s">
        <v>36</v>
      </c>
      <c r="G540" s="5" t="s">
        <v>3</v>
      </c>
      <c r="H540" s="2">
        <v>46158</v>
      </c>
      <c r="I540" s="2">
        <v>46202</v>
      </c>
      <c r="J540" s="2"/>
      <c r="K540" s="2" t="str">
        <f>IFERROR(VLOOKUP(B540,#REF!,4,0),"")</f>
        <v/>
      </c>
      <c r="L540" s="1" t="s">
        <v>13</v>
      </c>
      <c r="M540" s="1" t="s">
        <v>17</v>
      </c>
      <c r="O540" s="4"/>
      <c r="Q540" s="4"/>
    </row>
    <row r="541" spans="1:17" x14ac:dyDescent="0.3">
      <c r="A541" s="3">
        <f t="shared" si="19"/>
        <v>20</v>
      </c>
      <c r="B541" s="8" t="s">
        <v>622</v>
      </c>
      <c r="C541" s="5" t="s">
        <v>621</v>
      </c>
      <c r="D541" s="6">
        <v>508507043</v>
      </c>
      <c r="E541" s="5" t="s">
        <v>620</v>
      </c>
      <c r="F541" s="5" t="s">
        <v>48</v>
      </c>
      <c r="G541" s="5" t="s">
        <v>3</v>
      </c>
      <c r="H541" s="2">
        <v>46160</v>
      </c>
      <c r="I541" s="2">
        <v>46202</v>
      </c>
      <c r="J541" s="2"/>
      <c r="K541" s="2" t="str">
        <f>IFERROR(VLOOKUP(B541,#REF!,4,0),"")</f>
        <v/>
      </c>
      <c r="L541" s="1" t="s">
        <v>44</v>
      </c>
      <c r="M541" s="1" t="s">
        <v>17</v>
      </c>
      <c r="O541" s="4"/>
      <c r="Q541" s="4"/>
    </row>
    <row r="542" spans="1:17" x14ac:dyDescent="0.3">
      <c r="A542" s="3">
        <f t="shared" si="19"/>
        <v>21</v>
      </c>
      <c r="B542" s="8" t="s">
        <v>619</v>
      </c>
      <c r="C542" s="5" t="s">
        <v>618</v>
      </c>
      <c r="D542" s="6">
        <v>600530996</v>
      </c>
      <c r="E542" s="5" t="s">
        <v>617</v>
      </c>
      <c r="F542" s="5" t="s">
        <v>9</v>
      </c>
      <c r="G542" s="5" t="s">
        <v>3</v>
      </c>
      <c r="H542" s="2"/>
      <c r="I542" s="2"/>
      <c r="J542" s="2"/>
      <c r="K542" s="2" t="str">
        <f>IFERROR(VLOOKUP(B542,#REF!,4,0),"")</f>
        <v/>
      </c>
      <c r="L542" s="1" t="s">
        <v>20</v>
      </c>
      <c r="M542" s="1" t="s">
        <v>12</v>
      </c>
      <c r="N542" s="1" t="s">
        <v>616</v>
      </c>
      <c r="O542" s="4"/>
      <c r="Q542" s="4"/>
    </row>
    <row r="543" spans="1:17" x14ac:dyDescent="0.3">
      <c r="A543" s="3">
        <f t="shared" si="19"/>
        <v>22</v>
      </c>
      <c r="B543" s="17" t="s">
        <v>615</v>
      </c>
      <c r="C543" s="5" t="s">
        <v>614</v>
      </c>
      <c r="D543" s="6">
        <v>464428656</v>
      </c>
      <c r="E543" s="5" t="s">
        <v>613</v>
      </c>
      <c r="F543" s="5" t="s">
        <v>90</v>
      </c>
      <c r="G543" s="5" t="s">
        <v>3</v>
      </c>
      <c r="H543" s="2">
        <v>46151</v>
      </c>
      <c r="I543" s="2">
        <v>46193</v>
      </c>
      <c r="J543" s="2"/>
      <c r="K543" s="2" t="str">
        <f>IFERROR(VLOOKUP(B543,#REF!,4,0),"")</f>
        <v/>
      </c>
      <c r="L543" s="1" t="s">
        <v>13</v>
      </c>
      <c r="M543" s="1" t="s">
        <v>12</v>
      </c>
      <c r="O543" s="4" t="s">
        <v>495</v>
      </c>
      <c r="Q543" s="4"/>
    </row>
    <row r="544" spans="1:17" x14ac:dyDescent="0.3">
      <c r="A544" s="3">
        <f t="shared" si="19"/>
        <v>23</v>
      </c>
      <c r="B544" s="8" t="s">
        <v>612</v>
      </c>
      <c r="C544" s="5" t="s">
        <v>611</v>
      </c>
      <c r="D544" s="6">
        <v>588596599</v>
      </c>
      <c r="E544" s="5" t="s">
        <v>610</v>
      </c>
      <c r="F544" s="5" t="s">
        <v>32</v>
      </c>
      <c r="G544" s="5" t="s">
        <v>3</v>
      </c>
      <c r="H544" s="2">
        <v>46144</v>
      </c>
      <c r="I544" s="2">
        <v>46186</v>
      </c>
      <c r="J544" s="2"/>
      <c r="K544" s="2" t="str">
        <f>IFERROR(VLOOKUP(B544,#REF!,4,0),"")</f>
        <v/>
      </c>
      <c r="L544" s="1" t="s">
        <v>27</v>
      </c>
      <c r="M544" s="1" t="s">
        <v>17</v>
      </c>
      <c r="O544" s="4"/>
      <c r="Q544" s="4"/>
    </row>
    <row r="545" spans="1:17" x14ac:dyDescent="0.3">
      <c r="A545" s="3">
        <f t="shared" si="19"/>
        <v>24</v>
      </c>
      <c r="B545" s="17" t="s">
        <v>609</v>
      </c>
      <c r="C545" s="5" t="s">
        <v>608</v>
      </c>
      <c r="D545" s="6">
        <v>441947627</v>
      </c>
      <c r="E545" s="5" t="s">
        <v>436</v>
      </c>
      <c r="F545" s="5" t="s">
        <v>28</v>
      </c>
      <c r="G545" s="5" t="s">
        <v>496</v>
      </c>
      <c r="H545" s="2"/>
      <c r="I545" s="2">
        <v>46182</v>
      </c>
      <c r="J545" s="2"/>
      <c r="K545" s="2" t="str">
        <f>IFERROR(VLOOKUP(B545,#REF!,4,0),"")</f>
        <v/>
      </c>
      <c r="L545" s="1" t="s">
        <v>27</v>
      </c>
      <c r="M545" s="1" t="s">
        <v>12</v>
      </c>
      <c r="O545" s="4" t="s">
        <v>607</v>
      </c>
      <c r="Q545" s="4"/>
    </row>
    <row r="546" spans="1:17" x14ac:dyDescent="0.3">
      <c r="A546" s="3">
        <f t="shared" si="19"/>
        <v>25</v>
      </c>
      <c r="B546" s="8" t="s">
        <v>606</v>
      </c>
      <c r="C546" s="5" t="s">
        <v>605</v>
      </c>
      <c r="D546" s="6">
        <v>460704427</v>
      </c>
      <c r="E546" s="5" t="s">
        <v>508</v>
      </c>
      <c r="F546" s="5" t="s">
        <v>4</v>
      </c>
      <c r="G546" s="5" t="s">
        <v>3</v>
      </c>
      <c r="H546" s="2">
        <v>46170</v>
      </c>
      <c r="I546" s="2">
        <v>46190</v>
      </c>
      <c r="J546" s="2" t="s">
        <v>507</v>
      </c>
      <c r="K546" s="2" t="str">
        <f>IFERROR(VLOOKUP(B546,#REF!,4,0),"")</f>
        <v/>
      </c>
      <c r="L546" s="1" t="s">
        <v>2</v>
      </c>
      <c r="M546" s="1" t="s">
        <v>12</v>
      </c>
      <c r="O546" s="4"/>
      <c r="Q546" s="4"/>
    </row>
    <row r="547" spans="1:17" x14ac:dyDescent="0.3">
      <c r="A547" s="3">
        <f t="shared" si="19"/>
        <v>26</v>
      </c>
      <c r="B547" s="8" t="s">
        <v>604</v>
      </c>
      <c r="C547" s="5" t="s">
        <v>603</v>
      </c>
      <c r="D547" s="6">
        <v>575256474</v>
      </c>
      <c r="E547" s="5" t="s">
        <v>131</v>
      </c>
      <c r="F547" s="5" t="s">
        <v>9</v>
      </c>
      <c r="G547" s="5" t="s">
        <v>3</v>
      </c>
      <c r="H547" s="2">
        <v>46162</v>
      </c>
      <c r="I547" s="2">
        <v>46196</v>
      </c>
      <c r="J547" s="2"/>
      <c r="K547" s="2" t="str">
        <f>IFERROR(VLOOKUP(B547,#REF!,4,0),"")</f>
        <v/>
      </c>
      <c r="L547" s="1" t="s">
        <v>124</v>
      </c>
      <c r="M547" s="1" t="s">
        <v>17</v>
      </c>
      <c r="O547" s="4"/>
      <c r="Q547" s="4"/>
    </row>
    <row r="548" spans="1:17" x14ac:dyDescent="0.3">
      <c r="A548" s="3">
        <f t="shared" si="19"/>
        <v>27</v>
      </c>
      <c r="B548" s="8" t="s">
        <v>602</v>
      </c>
      <c r="C548" s="5" t="s">
        <v>601</v>
      </c>
      <c r="D548" s="6">
        <v>586791190</v>
      </c>
      <c r="E548" s="5" t="s">
        <v>600</v>
      </c>
      <c r="F548" s="5" t="s">
        <v>58</v>
      </c>
      <c r="G548" s="5" t="s">
        <v>3</v>
      </c>
      <c r="H548" s="2">
        <v>46148</v>
      </c>
      <c r="I548" s="2">
        <v>46197</v>
      </c>
      <c r="J548" s="2"/>
      <c r="K548" s="2" t="str">
        <f>IFERROR(VLOOKUP(B548,#REF!,4,0),"")</f>
        <v/>
      </c>
      <c r="L548" s="1" t="s">
        <v>27</v>
      </c>
      <c r="M548" s="1" t="s">
        <v>17</v>
      </c>
      <c r="O548" s="4"/>
      <c r="P548" s="1" t="s">
        <v>507</v>
      </c>
      <c r="Q548" s="4"/>
    </row>
    <row r="549" spans="1:17" x14ac:dyDescent="0.3">
      <c r="A549" s="3">
        <f t="shared" si="19"/>
        <v>28</v>
      </c>
      <c r="B549" s="8" t="s">
        <v>599</v>
      </c>
      <c r="C549" s="5" t="s">
        <v>598</v>
      </c>
      <c r="D549" s="6">
        <v>677431026</v>
      </c>
      <c r="E549" s="5" t="s">
        <v>597</v>
      </c>
      <c r="F549" s="5" t="s">
        <v>36</v>
      </c>
      <c r="G549" s="5" t="s">
        <v>3</v>
      </c>
      <c r="H549" s="2">
        <v>46154</v>
      </c>
      <c r="I549" s="2">
        <v>46183</v>
      </c>
      <c r="J549" s="2"/>
      <c r="K549" s="2" t="str">
        <f>IFERROR(VLOOKUP(B549,#REF!,4,0),"")</f>
        <v/>
      </c>
      <c r="L549" s="1" t="s">
        <v>13</v>
      </c>
      <c r="M549" s="1" t="s">
        <v>17</v>
      </c>
      <c r="O549" s="4"/>
      <c r="Q549" s="4"/>
    </row>
    <row r="550" spans="1:17" x14ac:dyDescent="0.3">
      <c r="A550" s="3">
        <f t="shared" si="19"/>
        <v>29</v>
      </c>
      <c r="B550" s="8" t="s">
        <v>596</v>
      </c>
      <c r="C550" s="5" t="s">
        <v>595</v>
      </c>
      <c r="D550" s="6">
        <v>518774998</v>
      </c>
      <c r="E550" s="5" t="s">
        <v>159</v>
      </c>
      <c r="F550" s="5" t="s">
        <v>32</v>
      </c>
      <c r="G550" s="5" t="s">
        <v>3</v>
      </c>
      <c r="H550" s="2">
        <v>46158</v>
      </c>
      <c r="I550" s="2">
        <v>46195</v>
      </c>
      <c r="J550" s="2"/>
      <c r="K550" s="2" t="str">
        <f>IFERROR(VLOOKUP(B550,#REF!,4,0),"")</f>
        <v/>
      </c>
      <c r="L550" s="1" t="s">
        <v>27</v>
      </c>
      <c r="M550" s="1" t="s">
        <v>17</v>
      </c>
      <c r="O550" s="4"/>
      <c r="Q550" s="4"/>
    </row>
    <row r="551" spans="1:17" x14ac:dyDescent="0.3">
      <c r="A551" s="3">
        <f t="shared" si="19"/>
        <v>30</v>
      </c>
      <c r="B551" s="8" t="s">
        <v>594</v>
      </c>
      <c r="C551" s="5" t="s">
        <v>593</v>
      </c>
      <c r="D551" s="6">
        <v>428875375</v>
      </c>
      <c r="E551" s="5" t="s">
        <v>592</v>
      </c>
      <c r="F551" s="5" t="s">
        <v>48</v>
      </c>
      <c r="G551" s="5" t="s">
        <v>3</v>
      </c>
      <c r="H551" s="2">
        <v>46161</v>
      </c>
      <c r="I551" s="2">
        <v>46199</v>
      </c>
      <c r="J551" s="2"/>
      <c r="K551" s="2" t="str">
        <f>IFERROR(VLOOKUP(B551,#REF!,4,0),"")</f>
        <v/>
      </c>
      <c r="L551" s="1" t="s">
        <v>44</v>
      </c>
      <c r="M551" s="1" t="s">
        <v>12</v>
      </c>
      <c r="O551" s="4" t="s">
        <v>591</v>
      </c>
      <c r="Q551" s="4"/>
    </row>
    <row r="552" spans="1:17" x14ac:dyDescent="0.3">
      <c r="A552" s="3">
        <f t="shared" si="19"/>
        <v>31</v>
      </c>
      <c r="B552" s="8" t="s">
        <v>590</v>
      </c>
      <c r="C552" s="5" t="s">
        <v>589</v>
      </c>
      <c r="D552" s="6">
        <v>616864230</v>
      </c>
      <c r="E552" s="5" t="s">
        <v>24</v>
      </c>
      <c r="F552" s="5" t="s">
        <v>9</v>
      </c>
      <c r="G552" s="5" t="s">
        <v>3</v>
      </c>
      <c r="H552" s="2">
        <v>46161</v>
      </c>
      <c r="I552" s="2">
        <v>46190</v>
      </c>
      <c r="J552" s="2"/>
      <c r="K552" s="2" t="str">
        <f>IFERROR(VLOOKUP(B552,#REF!,4,0),"")</f>
        <v/>
      </c>
      <c r="L552" s="1" t="s">
        <v>20</v>
      </c>
      <c r="M552" s="1" t="s">
        <v>17</v>
      </c>
      <c r="O552" s="4"/>
      <c r="Q552" s="4"/>
    </row>
    <row r="553" spans="1:17" x14ac:dyDescent="0.3">
      <c r="A553" s="3">
        <f t="shared" si="19"/>
        <v>32</v>
      </c>
      <c r="B553" s="8" t="s">
        <v>588</v>
      </c>
      <c r="C553" s="5" t="s">
        <v>587</v>
      </c>
      <c r="D553" s="6">
        <v>516774244</v>
      </c>
      <c r="E553" s="5" t="s">
        <v>586</v>
      </c>
      <c r="F553" s="5" t="s">
        <v>36</v>
      </c>
      <c r="G553" s="5" t="s">
        <v>3</v>
      </c>
      <c r="H553" s="2">
        <v>46161</v>
      </c>
      <c r="I553" s="2">
        <v>46195</v>
      </c>
      <c r="J553" s="2"/>
      <c r="K553" s="2" t="str">
        <f>IFERROR(VLOOKUP(B553,#REF!,4,0),"")</f>
        <v/>
      </c>
      <c r="L553" s="1" t="s">
        <v>13</v>
      </c>
      <c r="M553" s="1" t="s">
        <v>17</v>
      </c>
      <c r="O553" s="4"/>
      <c r="Q553" s="4"/>
    </row>
    <row r="554" spans="1:17" x14ac:dyDescent="0.3">
      <c r="A554" s="3">
        <f t="shared" ref="A554:A587" si="20">1+A553</f>
        <v>33</v>
      </c>
      <c r="B554" s="8" t="s">
        <v>585</v>
      </c>
      <c r="C554" s="5" t="s">
        <v>584</v>
      </c>
      <c r="D554" s="6">
        <v>560543481</v>
      </c>
      <c r="E554" s="5" t="s">
        <v>581</v>
      </c>
      <c r="F554" s="5" t="s">
        <v>32</v>
      </c>
      <c r="G554" s="5" t="s">
        <v>3</v>
      </c>
      <c r="H554" s="2">
        <v>46162</v>
      </c>
      <c r="I554" s="2">
        <v>46196</v>
      </c>
      <c r="J554" s="2"/>
      <c r="K554" s="2" t="str">
        <f>IFERROR(VLOOKUP(B554,#REF!,4,0),"")</f>
        <v/>
      </c>
      <c r="L554" s="1" t="s">
        <v>27</v>
      </c>
      <c r="M554" s="1" t="s">
        <v>17</v>
      </c>
      <c r="O554" s="4"/>
      <c r="Q554" s="4"/>
    </row>
    <row r="555" spans="1:17" x14ac:dyDescent="0.3">
      <c r="A555" s="3">
        <f t="shared" si="20"/>
        <v>34</v>
      </c>
      <c r="B555" s="8" t="s">
        <v>583</v>
      </c>
      <c r="C555" s="5" t="s">
        <v>582</v>
      </c>
      <c r="D555" s="6">
        <v>679624774</v>
      </c>
      <c r="E555" s="5" t="s">
        <v>581</v>
      </c>
      <c r="F555" s="5" t="s">
        <v>32</v>
      </c>
      <c r="G555" s="5" t="s">
        <v>3</v>
      </c>
      <c r="H555" s="2">
        <v>46162</v>
      </c>
      <c r="I555" s="2">
        <v>46196</v>
      </c>
      <c r="J555" s="2"/>
      <c r="K555" s="2" t="str">
        <f>IFERROR(VLOOKUP(B555,#REF!,4,0),"")</f>
        <v/>
      </c>
      <c r="L555" s="1" t="s">
        <v>27</v>
      </c>
      <c r="M555" s="1" t="s">
        <v>17</v>
      </c>
      <c r="O555" s="4"/>
      <c r="Q555" s="4"/>
    </row>
    <row r="556" spans="1:17" x14ac:dyDescent="0.3">
      <c r="A556" s="3">
        <f t="shared" si="20"/>
        <v>35</v>
      </c>
      <c r="B556" s="8" t="s">
        <v>580</v>
      </c>
      <c r="C556" s="5" t="s">
        <v>579</v>
      </c>
      <c r="D556" s="6">
        <v>613568744</v>
      </c>
      <c r="E556" s="5" t="s">
        <v>578</v>
      </c>
      <c r="F556" s="5" t="s">
        <v>40</v>
      </c>
      <c r="G556" s="5" t="s">
        <v>3</v>
      </c>
      <c r="H556" s="2">
        <v>46164</v>
      </c>
      <c r="I556" s="2">
        <v>46185</v>
      </c>
      <c r="J556" s="2"/>
      <c r="K556" s="2" t="str">
        <f>IFERROR(VLOOKUP(B556,#REF!,4,0),"")</f>
        <v/>
      </c>
      <c r="L556" s="1" t="s">
        <v>27</v>
      </c>
      <c r="M556" s="1" t="s">
        <v>12</v>
      </c>
      <c r="O556" s="4"/>
      <c r="Q556" s="4"/>
    </row>
    <row r="557" spans="1:17" x14ac:dyDescent="0.3">
      <c r="A557" s="3">
        <f t="shared" si="20"/>
        <v>36</v>
      </c>
      <c r="B557" s="8" t="s">
        <v>577</v>
      </c>
      <c r="C557" s="5" t="s">
        <v>576</v>
      </c>
      <c r="D557" s="6">
        <v>652203158</v>
      </c>
      <c r="E557" s="5" t="s">
        <v>575</v>
      </c>
      <c r="F557" s="5" t="s">
        <v>40</v>
      </c>
      <c r="G557" s="5" t="s">
        <v>3</v>
      </c>
      <c r="H557" s="2">
        <v>46164</v>
      </c>
      <c r="I557" s="2">
        <v>46185</v>
      </c>
      <c r="J557" s="2"/>
      <c r="K557" s="2" t="str">
        <f>IFERROR(VLOOKUP(B557,#REF!,4,0),"")</f>
        <v/>
      </c>
      <c r="L557" s="1" t="s">
        <v>27</v>
      </c>
      <c r="M557" s="1" t="s">
        <v>17</v>
      </c>
      <c r="O557" s="4"/>
      <c r="Q557" s="4"/>
    </row>
    <row r="558" spans="1:17" x14ac:dyDescent="0.3">
      <c r="A558" s="3">
        <f t="shared" si="20"/>
        <v>37</v>
      </c>
      <c r="B558" s="8" t="s">
        <v>574</v>
      </c>
      <c r="C558" s="5" t="s">
        <v>573</v>
      </c>
      <c r="D558" s="6">
        <v>474061662</v>
      </c>
      <c r="E558" s="5" t="s">
        <v>426</v>
      </c>
      <c r="F558" s="5" t="s">
        <v>9</v>
      </c>
      <c r="G558" s="5" t="s">
        <v>3</v>
      </c>
      <c r="H558" s="2">
        <v>46164</v>
      </c>
      <c r="I558" s="2">
        <v>46202</v>
      </c>
      <c r="J558" s="2"/>
      <c r="K558" s="2" t="str">
        <f>IFERROR(VLOOKUP(B558,#REF!,4,0),"")</f>
        <v/>
      </c>
      <c r="L558" s="1" t="s">
        <v>124</v>
      </c>
      <c r="M558" s="1" t="s">
        <v>17</v>
      </c>
      <c r="O558" s="4"/>
      <c r="Q558" s="4"/>
    </row>
    <row r="559" spans="1:17" x14ac:dyDescent="0.3">
      <c r="A559" s="3">
        <f t="shared" si="20"/>
        <v>38</v>
      </c>
      <c r="B559" s="9" t="s">
        <v>572</v>
      </c>
      <c r="C559" s="5" t="s">
        <v>571</v>
      </c>
      <c r="D559" s="6">
        <v>647396403</v>
      </c>
      <c r="E559" s="5" t="s">
        <v>268</v>
      </c>
      <c r="F559" s="5" t="s">
        <v>4</v>
      </c>
      <c r="G559" s="5" t="s">
        <v>3</v>
      </c>
      <c r="H559" s="2">
        <v>46164</v>
      </c>
      <c r="I559" s="2">
        <v>46199</v>
      </c>
      <c r="J559" s="2"/>
      <c r="K559" s="2" t="str">
        <f>IFERROR(VLOOKUP(B559,#REF!,4,0),"")</f>
        <v/>
      </c>
      <c r="L559" s="1" t="s">
        <v>2</v>
      </c>
      <c r="M559" s="1" t="s">
        <v>17</v>
      </c>
      <c r="O559" s="4"/>
      <c r="Q559" s="4"/>
    </row>
    <row r="560" spans="1:17" x14ac:dyDescent="0.3">
      <c r="A560" s="3">
        <f t="shared" si="20"/>
        <v>39</v>
      </c>
      <c r="B560" s="8" t="s">
        <v>570</v>
      </c>
      <c r="C560" s="5" t="s">
        <v>569</v>
      </c>
      <c r="D560" s="6">
        <v>580762009</v>
      </c>
      <c r="E560" s="5" t="s">
        <v>568</v>
      </c>
      <c r="F560" s="5" t="s">
        <v>32</v>
      </c>
      <c r="G560" s="5" t="s">
        <v>3</v>
      </c>
      <c r="H560" s="2">
        <v>46167</v>
      </c>
      <c r="I560" s="2">
        <v>46198</v>
      </c>
      <c r="J560" s="2"/>
      <c r="K560" s="2" t="str">
        <f>IFERROR(VLOOKUP(B560,#REF!,4,0),"")</f>
        <v/>
      </c>
      <c r="L560" s="1" t="s">
        <v>27</v>
      </c>
      <c r="M560" s="1" t="s">
        <v>17</v>
      </c>
      <c r="O560" s="4"/>
      <c r="Q560" s="4"/>
    </row>
    <row r="561" spans="1:17" x14ac:dyDescent="0.3">
      <c r="A561" s="3">
        <f t="shared" si="20"/>
        <v>40</v>
      </c>
      <c r="B561" s="8" t="s">
        <v>567</v>
      </c>
      <c r="C561" s="5" t="s">
        <v>566</v>
      </c>
      <c r="D561" s="6">
        <v>548815109</v>
      </c>
      <c r="E561" s="5" t="s">
        <v>565</v>
      </c>
      <c r="F561" s="5" t="s">
        <v>28</v>
      </c>
      <c r="G561" s="5" t="s">
        <v>3</v>
      </c>
      <c r="H561" s="2">
        <v>46168</v>
      </c>
      <c r="I561" s="2">
        <v>46183</v>
      </c>
      <c r="J561" s="2"/>
      <c r="K561" s="2" t="str">
        <f>IFERROR(VLOOKUP(B561,#REF!,4,0),"")</f>
        <v/>
      </c>
      <c r="L561" s="1" t="s">
        <v>27</v>
      </c>
      <c r="M561" s="1" t="s">
        <v>17</v>
      </c>
      <c r="O561" s="4"/>
      <c r="Q561" s="4"/>
    </row>
    <row r="562" spans="1:17" x14ac:dyDescent="0.3">
      <c r="A562" s="3">
        <f t="shared" si="20"/>
        <v>41</v>
      </c>
      <c r="B562" s="8" t="s">
        <v>564</v>
      </c>
      <c r="C562" s="5" t="s">
        <v>563</v>
      </c>
      <c r="D562" s="6">
        <v>614169977</v>
      </c>
      <c r="E562" s="5" t="s">
        <v>562</v>
      </c>
      <c r="F562" s="5" t="s">
        <v>48</v>
      </c>
      <c r="G562" s="5" t="s">
        <v>3</v>
      </c>
      <c r="H562" s="2">
        <v>46168</v>
      </c>
      <c r="I562" s="2">
        <v>46186</v>
      </c>
      <c r="J562" s="2"/>
      <c r="K562" s="2" t="str">
        <f>IFERROR(VLOOKUP(B562,#REF!,4,0),"")</f>
        <v/>
      </c>
      <c r="L562" s="1" t="s">
        <v>44</v>
      </c>
      <c r="M562" s="1" t="s">
        <v>17</v>
      </c>
      <c r="O562" s="4"/>
      <c r="Q562" s="4"/>
    </row>
    <row r="563" spans="1:17" x14ac:dyDescent="0.3">
      <c r="A563" s="3">
        <f t="shared" si="20"/>
        <v>42</v>
      </c>
      <c r="B563" s="8" t="s">
        <v>561</v>
      </c>
      <c r="C563" s="5" t="s">
        <v>560</v>
      </c>
      <c r="D563" s="6">
        <v>481917106</v>
      </c>
      <c r="E563" s="5" t="s">
        <v>84</v>
      </c>
      <c r="F563" s="5" t="s">
        <v>28</v>
      </c>
      <c r="G563" s="5" t="s">
        <v>3</v>
      </c>
      <c r="H563" s="2">
        <v>46170</v>
      </c>
      <c r="I563" s="2">
        <v>46200</v>
      </c>
      <c r="J563" s="2"/>
      <c r="K563" s="2" t="str">
        <f>IFERROR(VLOOKUP(B563,#REF!,4,0),"")</f>
        <v/>
      </c>
      <c r="L563" s="1" t="s">
        <v>27</v>
      </c>
      <c r="M563" s="1" t="s">
        <v>17</v>
      </c>
      <c r="O563" s="4"/>
      <c r="Q563" s="4"/>
    </row>
    <row r="564" spans="1:17" x14ac:dyDescent="0.3">
      <c r="A564" s="3">
        <f t="shared" si="20"/>
        <v>43</v>
      </c>
      <c r="B564" s="11" t="s">
        <v>559</v>
      </c>
      <c r="C564" s="5" t="s">
        <v>558</v>
      </c>
      <c r="D564" s="6">
        <v>601738947</v>
      </c>
      <c r="E564" s="5" t="s">
        <v>198</v>
      </c>
      <c r="F564" s="5" t="s">
        <v>9</v>
      </c>
      <c r="G564" s="5" t="s">
        <v>3</v>
      </c>
      <c r="H564" s="2">
        <v>46171</v>
      </c>
      <c r="I564" s="2">
        <v>46202</v>
      </c>
      <c r="J564" s="2"/>
      <c r="K564" s="2" t="str">
        <f>IFERROR(VLOOKUP(B564,#REF!,4,0),"")</f>
        <v/>
      </c>
      <c r="L564" s="1" t="s">
        <v>20</v>
      </c>
      <c r="M564" s="1" t="s">
        <v>17</v>
      </c>
      <c r="O564" s="4"/>
      <c r="Q564" s="4"/>
    </row>
    <row r="565" spans="1:17" x14ac:dyDescent="0.3">
      <c r="A565" s="3">
        <f t="shared" si="20"/>
        <v>44</v>
      </c>
      <c r="B565" s="8" t="s">
        <v>557</v>
      </c>
      <c r="C565" s="5" t="s">
        <v>556</v>
      </c>
      <c r="D565" s="6">
        <v>606335478</v>
      </c>
      <c r="E565" s="5" t="s">
        <v>41</v>
      </c>
      <c r="F565" s="5" t="s">
        <v>40</v>
      </c>
      <c r="G565" s="5" t="s">
        <v>3</v>
      </c>
      <c r="H565" s="2">
        <v>46171</v>
      </c>
      <c r="I565" s="2">
        <v>46203</v>
      </c>
      <c r="J565" s="2"/>
      <c r="K565" s="2" t="str">
        <f>IFERROR(VLOOKUP(B565,#REF!,4,0),"")</f>
        <v/>
      </c>
      <c r="L565" s="1" t="s">
        <v>27</v>
      </c>
      <c r="M565" s="1" t="s">
        <v>17</v>
      </c>
      <c r="O565" s="4"/>
      <c r="Q565" s="4"/>
    </row>
    <row r="566" spans="1:17" x14ac:dyDescent="0.3">
      <c r="A566" s="3">
        <f t="shared" si="20"/>
        <v>45</v>
      </c>
      <c r="B566" s="8" t="s">
        <v>555</v>
      </c>
      <c r="C566" s="5" t="s">
        <v>554</v>
      </c>
      <c r="D566" s="6">
        <v>609081580</v>
      </c>
      <c r="E566" s="5" t="s">
        <v>5</v>
      </c>
      <c r="F566" s="5" t="s">
        <v>4</v>
      </c>
      <c r="G566" s="5" t="s">
        <v>3</v>
      </c>
      <c r="H566" s="2"/>
      <c r="I566" s="2">
        <v>46182</v>
      </c>
      <c r="J566" s="2"/>
      <c r="K566" s="2" t="str">
        <f>IFERROR(VLOOKUP(B566,#REF!,4,0),"")</f>
        <v/>
      </c>
      <c r="L566" s="1" t="s">
        <v>2</v>
      </c>
      <c r="M566" s="1" t="s">
        <v>17</v>
      </c>
      <c r="O566" s="4"/>
      <c r="Q566" s="4"/>
    </row>
    <row r="567" spans="1:17" x14ac:dyDescent="0.3">
      <c r="A567" s="3">
        <f t="shared" si="20"/>
        <v>46</v>
      </c>
      <c r="B567" s="8" t="s">
        <v>553</v>
      </c>
      <c r="C567" s="5" t="s">
        <v>552</v>
      </c>
      <c r="D567" s="6">
        <v>558953281</v>
      </c>
      <c r="E567" s="5" t="s">
        <v>336</v>
      </c>
      <c r="F567" s="5" t="s">
        <v>9</v>
      </c>
      <c r="G567" s="5" t="s">
        <v>3</v>
      </c>
      <c r="H567" s="2"/>
      <c r="I567" s="2">
        <v>46200</v>
      </c>
      <c r="J567" s="2"/>
      <c r="K567" s="2" t="str">
        <f>IFERROR(VLOOKUP(B567,#REF!,4,0),"")</f>
        <v/>
      </c>
      <c r="L567" s="1" t="s">
        <v>13</v>
      </c>
      <c r="M567" s="1" t="s">
        <v>12</v>
      </c>
      <c r="O567" s="4"/>
      <c r="P567" s="1" t="s">
        <v>551</v>
      </c>
      <c r="Q567" s="4"/>
    </row>
    <row r="568" spans="1:17" x14ac:dyDescent="0.3">
      <c r="A568" s="3">
        <f t="shared" si="20"/>
        <v>47</v>
      </c>
      <c r="B568" s="8" t="s">
        <v>550</v>
      </c>
      <c r="C568" s="5" t="s">
        <v>549</v>
      </c>
      <c r="D568" s="6">
        <v>409525371</v>
      </c>
      <c r="E568" s="5" t="s">
        <v>373</v>
      </c>
      <c r="F568" s="5" t="s">
        <v>4</v>
      </c>
      <c r="G568" s="5" t="s">
        <v>3</v>
      </c>
      <c r="H568" s="2"/>
      <c r="I568" s="2">
        <v>46177</v>
      </c>
      <c r="J568" s="2"/>
      <c r="K568" s="2" t="str">
        <f>IFERROR(VLOOKUP(B568,#REF!,4,0),"")</f>
        <v/>
      </c>
      <c r="L568" s="1" t="s">
        <v>2</v>
      </c>
      <c r="M568" s="1" t="s">
        <v>12</v>
      </c>
      <c r="O568" s="4"/>
      <c r="Q568" s="4"/>
    </row>
    <row r="569" spans="1:17" x14ac:dyDescent="0.3">
      <c r="A569" s="3">
        <f t="shared" si="20"/>
        <v>48</v>
      </c>
      <c r="B569" s="8" t="s">
        <v>548</v>
      </c>
      <c r="C569" s="5" t="s">
        <v>547</v>
      </c>
      <c r="D569" s="6">
        <v>413849188</v>
      </c>
      <c r="E569" s="5" t="s">
        <v>256</v>
      </c>
      <c r="F569" s="5" t="s">
        <v>4</v>
      </c>
      <c r="G569" s="5" t="s">
        <v>3</v>
      </c>
      <c r="H569" s="2"/>
      <c r="I569" s="2">
        <v>46179</v>
      </c>
      <c r="J569" s="2"/>
      <c r="K569" s="2" t="str">
        <f>IFERROR(VLOOKUP(B569,#REF!,4,0),"")</f>
        <v/>
      </c>
      <c r="L569" s="1" t="s">
        <v>2</v>
      </c>
      <c r="M569" s="1" t="s">
        <v>12</v>
      </c>
      <c r="O569" s="4"/>
      <c r="Q569" s="4"/>
    </row>
    <row r="570" spans="1:17" x14ac:dyDescent="0.3">
      <c r="A570" s="3">
        <f t="shared" si="20"/>
        <v>49</v>
      </c>
      <c r="B570" s="8" t="s">
        <v>546</v>
      </c>
      <c r="C570" s="5" t="s">
        <v>545</v>
      </c>
      <c r="D570" s="6">
        <v>816312507</v>
      </c>
      <c r="E570" s="5" t="s">
        <v>544</v>
      </c>
      <c r="F570" s="5" t="s">
        <v>9</v>
      </c>
      <c r="G570" s="5" t="s">
        <v>3</v>
      </c>
      <c r="H570" s="2"/>
      <c r="I570" s="2">
        <v>46184</v>
      </c>
      <c r="J570" s="2"/>
      <c r="K570" s="2" t="str">
        <f>IFERROR(VLOOKUP(B570,#REF!,4,0),"")</f>
        <v/>
      </c>
      <c r="L570" s="1" t="s">
        <v>124</v>
      </c>
      <c r="M570" s="1" t="s">
        <v>535</v>
      </c>
      <c r="O570" s="4"/>
      <c r="Q570" s="4"/>
    </row>
    <row r="571" spans="1:17" x14ac:dyDescent="0.3">
      <c r="A571" s="3">
        <f t="shared" si="20"/>
        <v>50</v>
      </c>
      <c r="B571" s="8" t="s">
        <v>543</v>
      </c>
      <c r="C571" s="5" t="s">
        <v>542</v>
      </c>
      <c r="D571" s="6">
        <v>447126375</v>
      </c>
      <c r="E571" s="5" t="s">
        <v>461</v>
      </c>
      <c r="F571" s="5" t="s">
        <v>28</v>
      </c>
      <c r="G571" s="5" t="s">
        <v>3</v>
      </c>
      <c r="H571" s="2"/>
      <c r="I571" s="2">
        <v>46182</v>
      </c>
      <c r="J571" s="2"/>
      <c r="K571" s="2" t="str">
        <f>IFERROR(VLOOKUP(B571,#REF!,4,0),"")</f>
        <v/>
      </c>
      <c r="L571" s="1" t="s">
        <v>27</v>
      </c>
      <c r="M571" s="1" t="s">
        <v>17</v>
      </c>
      <c r="O571" s="4"/>
      <c r="Q571" s="4"/>
    </row>
    <row r="572" spans="1:17" x14ac:dyDescent="0.3">
      <c r="A572" s="3">
        <f t="shared" si="20"/>
        <v>51</v>
      </c>
      <c r="B572" s="8" t="s">
        <v>541</v>
      </c>
      <c r="C572" s="5" t="s">
        <v>540</v>
      </c>
      <c r="D572" s="6">
        <v>687075120</v>
      </c>
      <c r="E572" s="5" t="s">
        <v>426</v>
      </c>
      <c r="F572" s="5" t="s">
        <v>9</v>
      </c>
      <c r="G572" s="5" t="s">
        <v>3</v>
      </c>
      <c r="H572" s="2"/>
      <c r="I572" s="2">
        <v>46183</v>
      </c>
      <c r="J572" s="2"/>
      <c r="K572" s="2" t="str">
        <f>IFERROR(VLOOKUP(B572,#REF!,4,0),"")</f>
        <v/>
      </c>
      <c r="L572" s="1" t="s">
        <v>124</v>
      </c>
      <c r="M572" s="1" t="s">
        <v>535</v>
      </c>
      <c r="O572" s="19" t="s">
        <v>539</v>
      </c>
      <c r="Q572" s="4"/>
    </row>
    <row r="573" spans="1:17" x14ac:dyDescent="0.3">
      <c r="A573" s="3">
        <f t="shared" si="20"/>
        <v>52</v>
      </c>
      <c r="B573" s="8" t="s">
        <v>538</v>
      </c>
      <c r="C573" s="5" t="s">
        <v>537</v>
      </c>
      <c r="D573" s="6">
        <v>610951359</v>
      </c>
      <c r="E573" s="5" t="s">
        <v>536</v>
      </c>
      <c r="F573" s="5" t="s">
        <v>4</v>
      </c>
      <c r="G573" s="5" t="s">
        <v>3</v>
      </c>
      <c r="H573" s="2"/>
      <c r="I573" s="2">
        <v>46183</v>
      </c>
      <c r="J573" s="2"/>
      <c r="K573" s="2" t="str">
        <f>IFERROR(VLOOKUP(B573,#REF!,4,0),"")</f>
        <v/>
      </c>
      <c r="L573" s="1" t="s">
        <v>2</v>
      </c>
      <c r="M573" s="1" t="s">
        <v>535</v>
      </c>
      <c r="O573" s="4"/>
      <c r="Q573" s="4"/>
    </row>
    <row r="574" spans="1:17" x14ac:dyDescent="0.3">
      <c r="A574" s="3">
        <f t="shared" si="20"/>
        <v>53</v>
      </c>
      <c r="B574" s="8" t="s">
        <v>534</v>
      </c>
      <c r="C574" s="5" t="s">
        <v>533</v>
      </c>
      <c r="D574" s="6">
        <v>531269532</v>
      </c>
      <c r="E574" s="5" t="s">
        <v>508</v>
      </c>
      <c r="F574" s="5" t="s">
        <v>4</v>
      </c>
      <c r="G574" s="5" t="s">
        <v>3</v>
      </c>
      <c r="H574" s="2"/>
      <c r="I574" s="2">
        <v>46200</v>
      </c>
      <c r="J574" s="2"/>
      <c r="K574" s="2" t="str">
        <f>IFERROR(VLOOKUP(B574,#REF!,4,0),"")</f>
        <v/>
      </c>
      <c r="L574" s="1" t="s">
        <v>2</v>
      </c>
      <c r="M574" s="1" t="s">
        <v>12</v>
      </c>
      <c r="O574" s="4"/>
      <c r="P574" s="1" t="s">
        <v>1</v>
      </c>
      <c r="Q574" s="4"/>
    </row>
    <row r="575" spans="1:17" x14ac:dyDescent="0.3">
      <c r="A575" s="3">
        <f t="shared" si="20"/>
        <v>54</v>
      </c>
      <c r="B575" s="8" t="s">
        <v>532</v>
      </c>
      <c r="C575" s="5" t="s">
        <v>531</v>
      </c>
      <c r="D575" s="6">
        <v>544736376</v>
      </c>
      <c r="E575" s="5" t="s">
        <v>178</v>
      </c>
      <c r="F575" s="5" t="s">
        <v>28</v>
      </c>
      <c r="G575" s="5" t="s">
        <v>3</v>
      </c>
      <c r="H575" s="2"/>
      <c r="I575" s="2">
        <v>46193</v>
      </c>
      <c r="J575" s="2"/>
      <c r="K575" s="2" t="str">
        <f>IFERROR(VLOOKUP(B575,#REF!,4,0),"")</f>
        <v/>
      </c>
      <c r="L575" s="1" t="s">
        <v>27</v>
      </c>
      <c r="M575" s="1" t="s">
        <v>17</v>
      </c>
      <c r="O575" s="4"/>
      <c r="P575" s="1" t="s">
        <v>1</v>
      </c>
      <c r="Q575" s="4"/>
    </row>
    <row r="576" spans="1:17" x14ac:dyDescent="0.3">
      <c r="A576" s="3">
        <f t="shared" si="20"/>
        <v>55</v>
      </c>
      <c r="B576" s="8" t="s">
        <v>530</v>
      </c>
      <c r="C576" s="5" t="s">
        <v>529</v>
      </c>
      <c r="D576" s="6">
        <v>572418495</v>
      </c>
      <c r="E576" s="5" t="s">
        <v>528</v>
      </c>
      <c r="F576" s="5" t="s">
        <v>9</v>
      </c>
      <c r="G576" s="5" t="s">
        <v>3</v>
      </c>
      <c r="H576" s="2"/>
      <c r="I576" s="2">
        <v>46203</v>
      </c>
      <c r="J576" s="2"/>
      <c r="K576" s="2" t="str">
        <f>IFERROR(VLOOKUP(B576,#REF!,4,0),"")</f>
        <v/>
      </c>
      <c r="L576" s="1" t="s">
        <v>20</v>
      </c>
      <c r="M576" s="1" t="s">
        <v>17</v>
      </c>
      <c r="O576" s="4"/>
      <c r="Q576" s="4"/>
    </row>
    <row r="577" spans="1:17" x14ac:dyDescent="0.3">
      <c r="A577" s="3">
        <f t="shared" si="20"/>
        <v>56</v>
      </c>
      <c r="B577" s="8" t="s">
        <v>527</v>
      </c>
      <c r="C577" s="5" t="s">
        <v>526</v>
      </c>
      <c r="D577" s="6">
        <v>494075954</v>
      </c>
      <c r="E577" s="5" t="s">
        <v>210</v>
      </c>
      <c r="F577" s="5" t="s">
        <v>9</v>
      </c>
      <c r="G577" s="5" t="s">
        <v>3</v>
      </c>
      <c r="H577" s="2"/>
      <c r="I577" s="2">
        <v>46178</v>
      </c>
      <c r="J577" s="2"/>
      <c r="K577" s="2" t="str">
        <f>IFERROR(VLOOKUP(B577,#REF!,4,0),"")</f>
        <v/>
      </c>
      <c r="L577" s="1" t="s">
        <v>124</v>
      </c>
      <c r="M577" s="1" t="s">
        <v>12</v>
      </c>
      <c r="O577" s="4"/>
      <c r="Q577" s="4"/>
    </row>
    <row r="578" spans="1:17" x14ac:dyDescent="0.3">
      <c r="A578" s="3">
        <f t="shared" si="20"/>
        <v>57</v>
      </c>
      <c r="B578" s="8" t="s">
        <v>525</v>
      </c>
      <c r="C578" s="5" t="s">
        <v>524</v>
      </c>
      <c r="D578" s="6">
        <v>480081830</v>
      </c>
      <c r="E578" s="5" t="s">
        <v>523</v>
      </c>
      <c r="F578" s="5" t="s">
        <v>4</v>
      </c>
      <c r="G578" s="5" t="s">
        <v>3</v>
      </c>
      <c r="H578" s="2"/>
      <c r="I578" s="2">
        <v>46179</v>
      </c>
      <c r="J578" s="2"/>
      <c r="K578" s="2" t="str">
        <f>IFERROR(VLOOKUP(B578,#REF!,4,0),"")</f>
        <v/>
      </c>
      <c r="L578" s="1" t="s">
        <v>2</v>
      </c>
      <c r="M578" s="1" t="s">
        <v>12</v>
      </c>
      <c r="O578" s="4"/>
      <c r="Q578" s="4"/>
    </row>
    <row r="579" spans="1:17" x14ac:dyDescent="0.3">
      <c r="A579" s="3">
        <f t="shared" si="20"/>
        <v>58</v>
      </c>
      <c r="B579" s="17" t="s">
        <v>522</v>
      </c>
      <c r="C579" s="5" t="s">
        <v>521</v>
      </c>
      <c r="D579" s="6">
        <v>669601087</v>
      </c>
      <c r="E579" s="5" t="s">
        <v>192</v>
      </c>
      <c r="F579" s="5" t="s">
        <v>9</v>
      </c>
      <c r="G579" s="5" t="s">
        <v>3</v>
      </c>
      <c r="H579" s="2"/>
      <c r="I579" s="2">
        <v>46203</v>
      </c>
      <c r="J579" s="2"/>
      <c r="K579" s="2" t="str">
        <f>IFERROR(VLOOKUP(B579,#REF!,4,0),"")</f>
        <v/>
      </c>
      <c r="L579" s="1" t="s">
        <v>20</v>
      </c>
      <c r="M579" s="1" t="s">
        <v>17</v>
      </c>
      <c r="O579" s="4"/>
      <c r="Q579" s="4"/>
    </row>
    <row r="580" spans="1:17" x14ac:dyDescent="0.3">
      <c r="A580" s="3">
        <f t="shared" si="20"/>
        <v>59</v>
      </c>
      <c r="B580" s="8" t="s">
        <v>520</v>
      </c>
      <c r="C580" s="5" t="s">
        <v>519</v>
      </c>
      <c r="D580" s="6">
        <v>485336585</v>
      </c>
      <c r="E580" s="5" t="s">
        <v>125</v>
      </c>
      <c r="F580" s="5" t="s">
        <v>9</v>
      </c>
      <c r="G580" s="5" t="s">
        <v>3</v>
      </c>
      <c r="H580" s="2"/>
      <c r="I580" s="2">
        <v>46182</v>
      </c>
      <c r="J580" s="2"/>
      <c r="K580" s="2" t="str">
        <f>IFERROR(VLOOKUP(B580,#REF!,4,0),"")</f>
        <v/>
      </c>
      <c r="L580" s="1" t="s">
        <v>124</v>
      </c>
      <c r="M580" s="1" t="s">
        <v>17</v>
      </c>
      <c r="O580" s="4"/>
      <c r="Q580" s="4"/>
    </row>
    <row r="581" spans="1:17" x14ac:dyDescent="0.3">
      <c r="A581" s="3">
        <f t="shared" si="20"/>
        <v>60</v>
      </c>
      <c r="B581" s="8" t="s">
        <v>518</v>
      </c>
      <c r="C581" s="5" t="s">
        <v>517</v>
      </c>
      <c r="D581" s="6">
        <v>591048042</v>
      </c>
      <c r="E581" s="5" t="s">
        <v>516</v>
      </c>
      <c r="F581" s="5" t="s">
        <v>40</v>
      </c>
      <c r="G581" s="5" t="s">
        <v>3</v>
      </c>
      <c r="H581" s="2"/>
      <c r="I581" s="2">
        <v>46202</v>
      </c>
      <c r="J581" s="2"/>
      <c r="K581" s="2" t="str">
        <f>IFERROR(VLOOKUP(B581,#REF!,4,0),"")</f>
        <v/>
      </c>
      <c r="L581" s="1" t="s">
        <v>27</v>
      </c>
      <c r="M581" s="1" t="s">
        <v>17</v>
      </c>
      <c r="O581" s="4"/>
      <c r="P581" s="1" t="s">
        <v>507</v>
      </c>
      <c r="Q581" s="4"/>
    </row>
    <row r="582" spans="1:17" x14ac:dyDescent="0.3">
      <c r="A582" s="3">
        <f t="shared" si="20"/>
        <v>61</v>
      </c>
      <c r="B582" s="8" t="s">
        <v>515</v>
      </c>
      <c r="C582" s="5" t="s">
        <v>514</v>
      </c>
      <c r="D582" s="6">
        <v>431318150</v>
      </c>
      <c r="E582" s="5" t="s">
        <v>103</v>
      </c>
      <c r="F582" s="5" t="s">
        <v>28</v>
      </c>
      <c r="G582" s="5" t="s">
        <v>3</v>
      </c>
      <c r="H582" s="2"/>
      <c r="I582" s="2">
        <v>46199</v>
      </c>
      <c r="J582" s="2"/>
      <c r="K582" s="2" t="str">
        <f>IFERROR(VLOOKUP(B582,#REF!,4,0),"")</f>
        <v/>
      </c>
      <c r="L582" s="1" t="s">
        <v>27</v>
      </c>
      <c r="M582" s="1" t="s">
        <v>17</v>
      </c>
      <c r="O582" s="4"/>
      <c r="Q582" s="4"/>
    </row>
    <row r="583" spans="1:17" x14ac:dyDescent="0.3">
      <c r="A583" s="3">
        <f t="shared" si="20"/>
        <v>62</v>
      </c>
      <c r="B583" s="17" t="s">
        <v>513</v>
      </c>
      <c r="C583" s="5" t="s">
        <v>512</v>
      </c>
      <c r="D583" s="6">
        <v>510641718</v>
      </c>
      <c r="E583" s="5" t="s">
        <v>511</v>
      </c>
      <c r="F583" s="5" t="s">
        <v>36</v>
      </c>
      <c r="G583" s="5" t="s">
        <v>3</v>
      </c>
      <c r="H583" s="2"/>
      <c r="I583" s="2">
        <v>46203</v>
      </c>
      <c r="J583" s="2"/>
      <c r="K583" s="2" t="str">
        <f>IFERROR(VLOOKUP(B583,#REF!,4,0),"")</f>
        <v/>
      </c>
      <c r="L583" s="1" t="s">
        <v>13</v>
      </c>
      <c r="M583" s="1" t="s">
        <v>17</v>
      </c>
      <c r="O583" s="4"/>
      <c r="Q583" s="4"/>
    </row>
    <row r="584" spans="1:17" x14ac:dyDescent="0.3">
      <c r="A584" s="3">
        <f t="shared" si="20"/>
        <v>63</v>
      </c>
      <c r="B584" s="17" t="s">
        <v>510</v>
      </c>
      <c r="C584" s="5" t="s">
        <v>509</v>
      </c>
      <c r="D584" s="6">
        <v>437057835</v>
      </c>
      <c r="E584" s="5" t="s">
        <v>508</v>
      </c>
      <c r="F584" s="5" t="s">
        <v>4</v>
      </c>
      <c r="G584" s="5" t="s">
        <v>496</v>
      </c>
      <c r="H584" s="2">
        <v>46150</v>
      </c>
      <c r="I584" s="2"/>
      <c r="J584" s="2" t="s">
        <v>507</v>
      </c>
      <c r="K584" s="2" t="str">
        <f>IFERROR(VLOOKUP(B584,#REF!,4,0),"")</f>
        <v/>
      </c>
      <c r="L584" s="1" t="s">
        <v>2</v>
      </c>
      <c r="M584" s="1" t="s">
        <v>12</v>
      </c>
      <c r="N584" s="4" t="s">
        <v>506</v>
      </c>
      <c r="O584" s="4"/>
      <c r="Q584" s="4"/>
    </row>
    <row r="585" spans="1:17" x14ac:dyDescent="0.3">
      <c r="A585" s="3">
        <f t="shared" si="20"/>
        <v>64</v>
      </c>
      <c r="B585" s="17" t="s">
        <v>505</v>
      </c>
      <c r="C585" s="5" t="s">
        <v>504</v>
      </c>
      <c r="D585" s="6">
        <v>467933328</v>
      </c>
      <c r="E585" s="5" t="s">
        <v>503</v>
      </c>
      <c r="F585" s="5" t="s">
        <v>90</v>
      </c>
      <c r="G585" s="5" t="s">
        <v>496</v>
      </c>
      <c r="H585" s="2">
        <v>46162</v>
      </c>
      <c r="I585" s="2"/>
      <c r="J585" s="2"/>
      <c r="K585" s="2" t="str">
        <f>IFERROR(VLOOKUP(B585,#REF!,4,0),"")</f>
        <v/>
      </c>
      <c r="L585" s="1" t="s">
        <v>13</v>
      </c>
      <c r="M585" s="1" t="s">
        <v>12</v>
      </c>
      <c r="O585" s="4" t="s">
        <v>495</v>
      </c>
      <c r="Q585" s="4"/>
    </row>
    <row r="586" spans="1:17" x14ac:dyDescent="0.3">
      <c r="A586" s="3">
        <f t="shared" si="20"/>
        <v>65</v>
      </c>
      <c r="B586" s="17" t="s">
        <v>502</v>
      </c>
      <c r="C586" s="5" t="s">
        <v>501</v>
      </c>
      <c r="D586" s="6">
        <v>428379600</v>
      </c>
      <c r="E586" s="5" t="s">
        <v>500</v>
      </c>
      <c r="F586" s="5" t="s">
        <v>90</v>
      </c>
      <c r="G586" s="5" t="s">
        <v>496</v>
      </c>
      <c r="H586" s="2">
        <v>46163</v>
      </c>
      <c r="I586" s="2"/>
      <c r="J586" s="2"/>
      <c r="K586" s="2" t="str">
        <f>IFERROR(VLOOKUP(B586,#REF!,4,0),"")</f>
        <v/>
      </c>
      <c r="L586" s="1" t="s">
        <v>13</v>
      </c>
      <c r="M586" s="1" t="s">
        <v>12</v>
      </c>
      <c r="O586" s="4" t="s">
        <v>495</v>
      </c>
      <c r="Q586" s="4"/>
    </row>
    <row r="587" spans="1:17" x14ac:dyDescent="0.3">
      <c r="A587" s="3">
        <f t="shared" si="20"/>
        <v>66</v>
      </c>
      <c r="B587" s="17" t="s">
        <v>499</v>
      </c>
      <c r="C587" s="5" t="s">
        <v>498</v>
      </c>
      <c r="D587" s="6">
        <v>548412293</v>
      </c>
      <c r="E587" s="5" t="s">
        <v>497</v>
      </c>
      <c r="F587" s="5" t="s">
        <v>90</v>
      </c>
      <c r="G587" s="5" t="s">
        <v>496</v>
      </c>
      <c r="H587" s="2">
        <v>46164</v>
      </c>
      <c r="I587" s="2"/>
      <c r="J587" s="2"/>
      <c r="K587" s="2" t="str">
        <f>IFERROR(VLOOKUP(B587,#REF!,4,0),"")</f>
        <v/>
      </c>
      <c r="L587" s="1" t="s">
        <v>13</v>
      </c>
      <c r="M587" s="1" t="s">
        <v>12</v>
      </c>
      <c r="O587" s="4" t="s">
        <v>495</v>
      </c>
      <c r="Q587" s="4"/>
    </row>
    <row r="588" spans="1:17" x14ac:dyDescent="0.3">
      <c r="A588" s="3"/>
      <c r="B588" s="17" t="s">
        <v>494</v>
      </c>
      <c r="C588" s="5" t="s">
        <v>493</v>
      </c>
      <c r="D588" s="6">
        <v>501348739</v>
      </c>
      <c r="E588" s="5" t="s">
        <v>492</v>
      </c>
      <c r="F588" s="5" t="s">
        <v>4</v>
      </c>
      <c r="G588" s="5" t="s">
        <v>3</v>
      </c>
      <c r="H588" s="18" t="s">
        <v>491</v>
      </c>
      <c r="I588" s="2"/>
      <c r="J588" s="2"/>
      <c r="K588" s="2" t="str">
        <f>IFERROR(VLOOKUP(B588,#REF!,4,0),"")</f>
        <v/>
      </c>
      <c r="O588" s="4"/>
      <c r="Q588" s="4"/>
    </row>
    <row r="589" spans="1:17" x14ac:dyDescent="0.3">
      <c r="A589" s="3"/>
      <c r="B589" s="17" t="s">
        <v>490</v>
      </c>
      <c r="C589" s="5" t="s">
        <v>489</v>
      </c>
      <c r="D589" s="5" t="s">
        <v>488</v>
      </c>
      <c r="E589" s="5"/>
      <c r="F589" s="5"/>
      <c r="G589" s="5" t="s">
        <v>3</v>
      </c>
      <c r="H589" s="5" t="s">
        <v>487</v>
      </c>
      <c r="I589" s="2"/>
      <c r="J589" s="2"/>
      <c r="K589" s="2" t="str">
        <f>IFERROR(VLOOKUP(B589,#REF!,4,0),"")</f>
        <v/>
      </c>
      <c r="O589" s="4"/>
      <c r="Q589" s="4"/>
    </row>
    <row r="590" spans="1:17" x14ac:dyDescent="0.3">
      <c r="A590" s="3"/>
      <c r="B590" s="17" t="s">
        <v>486</v>
      </c>
      <c r="C590" s="5" t="s">
        <v>485</v>
      </c>
      <c r="D590" s="5" t="s">
        <v>484</v>
      </c>
      <c r="E590" s="5"/>
      <c r="F590" s="5"/>
      <c r="G590" s="5" t="s">
        <v>3</v>
      </c>
      <c r="H590" s="5" t="s">
        <v>483</v>
      </c>
      <c r="I590" s="2"/>
      <c r="J590" s="2"/>
      <c r="K590" s="2" t="str">
        <f>IFERROR(VLOOKUP(B590,#REF!,4,0),"")</f>
        <v/>
      </c>
      <c r="O590" s="4"/>
      <c r="Q590" s="4"/>
    </row>
    <row r="591" spans="1:17" x14ac:dyDescent="0.3">
      <c r="A591" s="3"/>
      <c r="B591" s="17" t="s">
        <v>482</v>
      </c>
      <c r="C591" s="5" t="s">
        <v>481</v>
      </c>
      <c r="D591" s="5" t="s">
        <v>480</v>
      </c>
      <c r="E591" s="5"/>
      <c r="F591" s="5"/>
      <c r="G591" s="5" t="s">
        <v>3</v>
      </c>
      <c r="H591" s="5" t="s">
        <v>479</v>
      </c>
      <c r="I591" s="2"/>
      <c r="J591" s="2"/>
      <c r="K591" s="2" t="str">
        <f>IFERROR(VLOOKUP(B591,#REF!,4,0),"")</f>
        <v/>
      </c>
      <c r="O591" s="4"/>
      <c r="Q591" s="4"/>
    </row>
    <row r="592" spans="1:17" x14ac:dyDescent="0.3">
      <c r="A592" s="3"/>
      <c r="B592" s="8" t="s">
        <v>478</v>
      </c>
      <c r="C592" s="5" t="s">
        <v>477</v>
      </c>
      <c r="D592" s="5" t="s">
        <v>476</v>
      </c>
      <c r="E592" s="5"/>
      <c r="F592" s="5"/>
      <c r="G592" s="5" t="s">
        <v>3</v>
      </c>
      <c r="H592" s="5" t="s">
        <v>475</v>
      </c>
      <c r="I592" s="2"/>
      <c r="J592" s="2"/>
      <c r="K592" s="2" t="str">
        <f>IFERROR(VLOOKUP(B592,#REF!,4,0),"")</f>
        <v/>
      </c>
      <c r="O592" s="4"/>
      <c r="Q592" s="4"/>
    </row>
    <row r="593" spans="1:17" x14ac:dyDescent="0.3">
      <c r="K593" s="2" t="str">
        <f>IFERROR(VLOOKUP(B593,#REF!,4,0),"")</f>
        <v/>
      </c>
    </row>
    <row r="594" spans="1:17" x14ac:dyDescent="0.3">
      <c r="A594" s="3"/>
      <c r="B594" s="15" t="s">
        <v>474</v>
      </c>
      <c r="C594" s="14"/>
      <c r="D594" s="14"/>
      <c r="E594" s="5"/>
      <c r="F594" s="5"/>
      <c r="G594" s="5"/>
      <c r="H594" s="2"/>
      <c r="I594" s="2"/>
      <c r="J594" s="2"/>
      <c r="K594" s="2" t="str">
        <f>IFERROR(VLOOKUP(B594,#REF!,4,0),"")</f>
        <v/>
      </c>
      <c r="O594" s="4"/>
      <c r="Q594" s="4"/>
    </row>
    <row r="595" spans="1:17" x14ac:dyDescent="0.3">
      <c r="A595" s="3"/>
      <c r="B595" s="15" t="s">
        <v>473</v>
      </c>
      <c r="C595" s="14" t="s">
        <v>472</v>
      </c>
      <c r="D595" s="16">
        <v>46031</v>
      </c>
      <c r="E595" s="5" t="s">
        <v>469</v>
      </c>
      <c r="F595" s="5"/>
      <c r="G595" s="5"/>
      <c r="H595" s="2"/>
      <c r="I595" s="2"/>
      <c r="J595" s="2"/>
      <c r="K595" s="2" t="str">
        <f>IFERROR(VLOOKUP(B595,#REF!,4,0),"")</f>
        <v/>
      </c>
      <c r="O595" s="4"/>
      <c r="Q595" s="4"/>
    </row>
    <row r="596" spans="1:17" x14ac:dyDescent="0.3">
      <c r="A596" s="3"/>
      <c r="B596" s="15" t="s">
        <v>471</v>
      </c>
      <c r="C596" s="14" t="s">
        <v>470</v>
      </c>
      <c r="D596" s="16">
        <v>46031</v>
      </c>
      <c r="E596" s="5" t="s">
        <v>469</v>
      </c>
      <c r="F596" s="5"/>
      <c r="G596" s="5"/>
      <c r="H596" s="2"/>
      <c r="I596" s="2"/>
      <c r="J596" s="2"/>
      <c r="K596" s="2" t="str">
        <f>IFERROR(VLOOKUP(B596,#REF!,4,0),"")</f>
        <v/>
      </c>
      <c r="O596" s="4"/>
      <c r="Q596" s="4"/>
    </row>
    <row r="597" spans="1:17" x14ac:dyDescent="0.3">
      <c r="A597" s="3"/>
      <c r="B597" s="15"/>
      <c r="C597" s="14"/>
      <c r="D597" s="14"/>
      <c r="E597" s="5"/>
      <c r="F597" s="5"/>
      <c r="G597" s="5"/>
      <c r="H597" s="2"/>
      <c r="I597" s="2"/>
      <c r="J597" s="2"/>
      <c r="K597" s="2" t="str">
        <f>IFERROR(VLOOKUP(B597,#REF!,4,0),"")</f>
        <v/>
      </c>
      <c r="O597" s="4"/>
      <c r="Q597" s="4"/>
    </row>
    <row r="598" spans="1:17" x14ac:dyDescent="0.3">
      <c r="A598" s="3">
        <f>1+A586</f>
        <v>66</v>
      </c>
      <c r="B598" s="8" t="s">
        <v>468</v>
      </c>
      <c r="C598" s="5" t="s">
        <v>467</v>
      </c>
      <c r="D598" s="5"/>
      <c r="E598" s="5" t="s">
        <v>466</v>
      </c>
      <c r="F598" s="5" t="s">
        <v>4</v>
      </c>
      <c r="G598" s="5" t="s">
        <v>255</v>
      </c>
      <c r="H598" s="2"/>
      <c r="I598" s="2"/>
      <c r="J598" s="2">
        <v>46204</v>
      </c>
      <c r="K598" s="2" t="str">
        <f>IFERROR(VLOOKUP(B598,#REF!,4,0),"")</f>
        <v/>
      </c>
      <c r="M598" s="1" t="s">
        <v>12</v>
      </c>
      <c r="O598" s="4"/>
      <c r="Q598" s="4"/>
    </row>
    <row r="599" spans="1:17" x14ac:dyDescent="0.3">
      <c r="A599" s="3">
        <f t="shared" ref="A599:A630" si="21">1+A598</f>
        <v>67</v>
      </c>
      <c r="B599" s="8" t="s">
        <v>465</v>
      </c>
      <c r="C599" s="5" t="s">
        <v>464</v>
      </c>
      <c r="D599" s="5"/>
      <c r="E599" s="5" t="s">
        <v>178</v>
      </c>
      <c r="F599" s="5" t="s">
        <v>28</v>
      </c>
      <c r="G599" s="5" t="s">
        <v>255</v>
      </c>
      <c r="H599" s="2"/>
      <c r="I599" s="2"/>
      <c r="J599" s="2">
        <v>46204</v>
      </c>
      <c r="K599" s="2" t="str">
        <f>IFERROR(VLOOKUP(B599,#REF!,4,0),"")</f>
        <v/>
      </c>
      <c r="M599" s="1" t="s">
        <v>12</v>
      </c>
      <c r="O599" s="4"/>
      <c r="Q599" s="4"/>
    </row>
    <row r="600" spans="1:17" x14ac:dyDescent="0.3">
      <c r="A600" s="3">
        <f t="shared" si="21"/>
        <v>68</v>
      </c>
      <c r="B600" s="8" t="s">
        <v>463</v>
      </c>
      <c r="C600" s="5" t="s">
        <v>462</v>
      </c>
      <c r="D600" s="5"/>
      <c r="E600" s="5" t="s">
        <v>461</v>
      </c>
      <c r="F600" s="5" t="s">
        <v>28</v>
      </c>
      <c r="G600" s="5" t="s">
        <v>255</v>
      </c>
      <c r="H600" s="2"/>
      <c r="I600" s="2"/>
      <c r="J600" s="2">
        <v>46204</v>
      </c>
      <c r="K600" s="2" t="str">
        <f>IFERROR(VLOOKUP(B600,#REF!,4,0),"")</f>
        <v/>
      </c>
      <c r="M600" s="1" t="s">
        <v>12</v>
      </c>
      <c r="O600" s="4"/>
      <c r="Q600" s="4"/>
    </row>
    <row r="601" spans="1:17" x14ac:dyDescent="0.3">
      <c r="A601" s="3">
        <f t="shared" si="21"/>
        <v>69</v>
      </c>
      <c r="B601" s="8" t="s">
        <v>460</v>
      </c>
      <c r="C601" s="5" t="s">
        <v>459</v>
      </c>
      <c r="D601" s="5"/>
      <c r="E601" s="5" t="s">
        <v>458</v>
      </c>
      <c r="F601" s="5" t="s">
        <v>4</v>
      </c>
      <c r="G601" s="5" t="s">
        <v>255</v>
      </c>
      <c r="H601" s="2"/>
      <c r="I601" s="2"/>
      <c r="J601" s="2">
        <v>46204</v>
      </c>
      <c r="K601" s="2" t="str">
        <f>IFERROR(VLOOKUP(B601,#REF!,4,0),"")</f>
        <v/>
      </c>
      <c r="M601" s="1" t="s">
        <v>12</v>
      </c>
      <c r="O601" s="4"/>
      <c r="Q601" s="4"/>
    </row>
    <row r="602" spans="1:17" x14ac:dyDescent="0.3">
      <c r="A602" s="3">
        <f t="shared" si="21"/>
        <v>70</v>
      </c>
      <c r="B602" s="8" t="s">
        <v>457</v>
      </c>
      <c r="C602" s="5" t="s">
        <v>456</v>
      </c>
      <c r="D602" s="5"/>
      <c r="E602" s="5" t="s">
        <v>455</v>
      </c>
      <c r="F602" s="5" t="s">
        <v>28</v>
      </c>
      <c r="G602" s="5" t="s">
        <v>255</v>
      </c>
      <c r="H602" s="2"/>
      <c r="I602" s="2"/>
      <c r="J602" s="2">
        <v>46204</v>
      </c>
      <c r="K602" s="2" t="str">
        <f>IFERROR(VLOOKUP(B602,#REF!,4,0),"")</f>
        <v/>
      </c>
      <c r="M602" s="1" t="s">
        <v>12</v>
      </c>
      <c r="O602" s="4"/>
      <c r="Q602" s="4"/>
    </row>
    <row r="603" spans="1:17" x14ac:dyDescent="0.3">
      <c r="A603" s="3">
        <f t="shared" si="21"/>
        <v>71</v>
      </c>
      <c r="B603" s="8" t="s">
        <v>454</v>
      </c>
      <c r="C603" s="5" t="s">
        <v>453</v>
      </c>
      <c r="D603" s="5"/>
      <c r="E603" s="5" t="s">
        <v>452</v>
      </c>
      <c r="F603" s="5" t="s">
        <v>36</v>
      </c>
      <c r="G603" s="5" t="s">
        <v>255</v>
      </c>
      <c r="H603" s="2"/>
      <c r="I603" s="2"/>
      <c r="J603" s="2">
        <v>46204</v>
      </c>
      <c r="K603" s="2" t="str">
        <f>IFERROR(VLOOKUP(B603,#REF!,4,0),"")</f>
        <v/>
      </c>
      <c r="M603" s="1" t="s">
        <v>12</v>
      </c>
      <c r="O603" s="4"/>
      <c r="Q603" s="4"/>
    </row>
    <row r="604" spans="1:17" x14ac:dyDescent="0.3">
      <c r="A604" s="3">
        <f t="shared" si="21"/>
        <v>72</v>
      </c>
      <c r="B604" s="8" t="s">
        <v>451</v>
      </c>
      <c r="C604" s="5" t="s">
        <v>450</v>
      </c>
      <c r="D604" s="5"/>
      <c r="E604" s="5" t="s">
        <v>159</v>
      </c>
      <c r="F604" s="5" t="s">
        <v>32</v>
      </c>
      <c r="G604" s="5" t="s">
        <v>255</v>
      </c>
      <c r="H604" s="2"/>
      <c r="I604" s="2"/>
      <c r="J604" s="2">
        <v>46204</v>
      </c>
      <c r="K604" s="2" t="str">
        <f>IFERROR(VLOOKUP(B604,#REF!,4,0),"")</f>
        <v/>
      </c>
      <c r="M604" s="1" t="s">
        <v>134</v>
      </c>
      <c r="O604" s="4"/>
      <c r="Q604" s="4"/>
    </row>
    <row r="605" spans="1:17" x14ac:dyDescent="0.3">
      <c r="A605" s="3">
        <f t="shared" si="21"/>
        <v>73</v>
      </c>
      <c r="B605" s="8" t="s">
        <v>449</v>
      </c>
      <c r="C605" s="5" t="s">
        <v>448</v>
      </c>
      <c r="D605" s="5"/>
      <c r="E605" s="5" t="s">
        <v>395</v>
      </c>
      <c r="F605" s="5" t="s">
        <v>48</v>
      </c>
      <c r="G605" s="5" t="s">
        <v>255</v>
      </c>
      <c r="H605" s="2"/>
      <c r="I605" s="2"/>
      <c r="J605" s="2">
        <v>46204</v>
      </c>
      <c r="K605" s="2" t="str">
        <f>IFERROR(VLOOKUP(B605,#REF!,4,0),"")</f>
        <v/>
      </c>
      <c r="M605" s="1" t="s">
        <v>12</v>
      </c>
      <c r="O605" s="4"/>
      <c r="Q605" s="4"/>
    </row>
    <row r="606" spans="1:17" x14ac:dyDescent="0.3">
      <c r="A606" s="3">
        <f t="shared" si="21"/>
        <v>74</v>
      </c>
      <c r="B606" s="8" t="s">
        <v>447</v>
      </c>
      <c r="C606" s="5" t="s">
        <v>446</v>
      </c>
      <c r="D606" s="5"/>
      <c r="E606" s="5" t="s">
        <v>445</v>
      </c>
      <c r="F606" s="5" t="s">
        <v>36</v>
      </c>
      <c r="G606" s="5" t="s">
        <v>255</v>
      </c>
      <c r="H606" s="2"/>
      <c r="I606" s="2"/>
      <c r="J606" s="2">
        <v>46204</v>
      </c>
      <c r="K606" s="2" t="str">
        <f>IFERROR(VLOOKUP(B606,#REF!,4,0),"")</f>
        <v/>
      </c>
      <c r="M606" s="1" t="s">
        <v>12</v>
      </c>
      <c r="O606" s="4"/>
      <c r="Q606" s="4"/>
    </row>
    <row r="607" spans="1:17" x14ac:dyDescent="0.3">
      <c r="A607" s="3">
        <f t="shared" si="21"/>
        <v>75</v>
      </c>
      <c r="B607" s="9" t="s">
        <v>444</v>
      </c>
      <c r="C607" s="5" t="s">
        <v>443</v>
      </c>
      <c r="D607" s="5"/>
      <c r="E607" s="5" t="s">
        <v>290</v>
      </c>
      <c r="F607" s="5" t="s">
        <v>28</v>
      </c>
      <c r="G607" s="5" t="s">
        <v>255</v>
      </c>
      <c r="H607" s="2"/>
      <c r="I607" s="2"/>
      <c r="J607" s="2">
        <v>46204</v>
      </c>
      <c r="K607" s="2" t="str">
        <f>IFERROR(VLOOKUP(B607,#REF!,4,0),"")</f>
        <v/>
      </c>
      <c r="M607" s="1" t="s">
        <v>12</v>
      </c>
      <c r="O607" s="4"/>
      <c r="Q607" s="4"/>
    </row>
    <row r="608" spans="1:17" x14ac:dyDescent="0.3">
      <c r="A608" s="3">
        <f t="shared" si="21"/>
        <v>76</v>
      </c>
      <c r="B608" s="8" t="s">
        <v>442</v>
      </c>
      <c r="C608" s="5" t="s">
        <v>441</v>
      </c>
      <c r="D608" s="5"/>
      <c r="E608" s="5" t="s">
        <v>440</v>
      </c>
      <c r="F608" s="5" t="s">
        <v>28</v>
      </c>
      <c r="G608" s="5" t="s">
        <v>255</v>
      </c>
      <c r="H608" s="2"/>
      <c r="I608" s="2"/>
      <c r="J608" s="2">
        <v>46205</v>
      </c>
      <c r="K608" s="2" t="str">
        <f>IFERROR(VLOOKUP(B608,#REF!,4,0),"")</f>
        <v/>
      </c>
      <c r="M608" s="1" t="s">
        <v>12</v>
      </c>
      <c r="N608" s="1" t="s">
        <v>439</v>
      </c>
      <c r="O608" s="4"/>
      <c r="Q608" s="4"/>
    </row>
    <row r="609" spans="1:17" x14ac:dyDescent="0.3">
      <c r="A609" s="3">
        <f t="shared" si="21"/>
        <v>77</v>
      </c>
      <c r="B609" s="8" t="s">
        <v>438</v>
      </c>
      <c r="C609" s="5" t="s">
        <v>437</v>
      </c>
      <c r="D609" s="5"/>
      <c r="E609" s="5" t="s">
        <v>436</v>
      </c>
      <c r="F609" s="5" t="s">
        <v>28</v>
      </c>
      <c r="G609" s="5" t="s">
        <v>255</v>
      </c>
      <c r="H609" s="2"/>
      <c r="I609" s="2"/>
      <c r="J609" s="2">
        <v>46205</v>
      </c>
      <c r="K609" s="2" t="str">
        <f>IFERROR(VLOOKUP(B609,#REF!,4,0),"")</f>
        <v/>
      </c>
      <c r="M609" s="1" t="s">
        <v>17</v>
      </c>
      <c r="O609" s="4"/>
      <c r="Q609" s="4"/>
    </row>
    <row r="610" spans="1:17" x14ac:dyDescent="0.3">
      <c r="A610" s="3">
        <f t="shared" si="21"/>
        <v>78</v>
      </c>
      <c r="B610" s="8" t="s">
        <v>435</v>
      </c>
      <c r="C610" s="5" t="s">
        <v>434</v>
      </c>
      <c r="D610" s="5"/>
      <c r="E610" s="5" t="s">
        <v>167</v>
      </c>
      <c r="F610" s="5" t="s">
        <v>9</v>
      </c>
      <c r="G610" s="5" t="s">
        <v>255</v>
      </c>
      <c r="H610" s="2"/>
      <c r="I610" s="2"/>
      <c r="J610" s="2">
        <v>46205</v>
      </c>
      <c r="K610" s="2" t="str">
        <f>IFERROR(VLOOKUP(B610,#REF!,4,0),"")</f>
        <v/>
      </c>
      <c r="M610" s="1" t="s">
        <v>12</v>
      </c>
      <c r="O610" s="4"/>
      <c r="Q610" s="4"/>
    </row>
    <row r="611" spans="1:17" x14ac:dyDescent="0.3">
      <c r="A611" s="3">
        <f t="shared" si="21"/>
        <v>79</v>
      </c>
      <c r="B611" s="8" t="s">
        <v>433</v>
      </c>
      <c r="C611" s="5" t="s">
        <v>432</v>
      </c>
      <c r="D611" s="5"/>
      <c r="E611" s="5" t="s">
        <v>426</v>
      </c>
      <c r="F611" s="5" t="s">
        <v>9</v>
      </c>
      <c r="G611" s="5" t="s">
        <v>255</v>
      </c>
      <c r="H611" s="2"/>
      <c r="I611" s="2"/>
      <c r="J611" s="2">
        <v>46205</v>
      </c>
      <c r="K611" s="2" t="str">
        <f>IFERROR(VLOOKUP(B611,#REF!,4,0),"")</f>
        <v/>
      </c>
      <c r="M611" s="1" t="s">
        <v>12</v>
      </c>
      <c r="O611" s="4"/>
      <c r="Q611" s="4"/>
    </row>
    <row r="612" spans="1:17" x14ac:dyDescent="0.3">
      <c r="A612" s="3">
        <f t="shared" si="21"/>
        <v>80</v>
      </c>
      <c r="B612" s="8" t="s">
        <v>431</v>
      </c>
      <c r="C612" s="5" t="s">
        <v>430</v>
      </c>
      <c r="D612" s="5"/>
      <c r="E612" s="5" t="s">
        <v>429</v>
      </c>
      <c r="F612" s="5" t="s">
        <v>36</v>
      </c>
      <c r="G612" s="5" t="s">
        <v>255</v>
      </c>
      <c r="H612" s="2"/>
      <c r="I612" s="2"/>
      <c r="J612" s="2">
        <v>46205</v>
      </c>
      <c r="K612" s="2" t="str">
        <f>IFERROR(VLOOKUP(B612,#REF!,4,0),"")</f>
        <v/>
      </c>
      <c r="M612" s="1" t="s">
        <v>12</v>
      </c>
      <c r="O612" s="4"/>
      <c r="Q612" s="4"/>
    </row>
    <row r="613" spans="1:17" x14ac:dyDescent="0.3">
      <c r="A613" s="3">
        <f t="shared" si="21"/>
        <v>81</v>
      </c>
      <c r="B613" s="8" t="s">
        <v>428</v>
      </c>
      <c r="C613" s="5" t="s">
        <v>427</v>
      </c>
      <c r="D613" s="5"/>
      <c r="E613" s="5" t="s">
        <v>426</v>
      </c>
      <c r="F613" s="5" t="s">
        <v>9</v>
      </c>
      <c r="G613" s="5" t="s">
        <v>255</v>
      </c>
      <c r="H613" s="2"/>
      <c r="I613" s="2"/>
      <c r="J613" s="2">
        <v>46205</v>
      </c>
      <c r="K613" s="2" t="str">
        <f>IFERROR(VLOOKUP(B613,#REF!,4,0),"")</f>
        <v/>
      </c>
      <c r="M613" s="1" t="s">
        <v>12</v>
      </c>
      <c r="O613" s="4"/>
      <c r="Q613" s="4"/>
    </row>
    <row r="614" spans="1:17" x14ac:dyDescent="0.3">
      <c r="A614" s="3">
        <f t="shared" si="21"/>
        <v>82</v>
      </c>
      <c r="B614" s="8" t="s">
        <v>425</v>
      </c>
      <c r="C614" s="5" t="s">
        <v>424</v>
      </c>
      <c r="D614" s="5"/>
      <c r="E614" s="5" t="s">
        <v>423</v>
      </c>
      <c r="F614" s="5" t="s">
        <v>48</v>
      </c>
      <c r="G614" s="5" t="s">
        <v>255</v>
      </c>
      <c r="H614" s="2"/>
      <c r="I614" s="2"/>
      <c r="J614" s="2">
        <v>46205</v>
      </c>
      <c r="K614" s="2" t="str">
        <f>IFERROR(VLOOKUP(B614,#REF!,4,0),"")</f>
        <v/>
      </c>
      <c r="M614" s="1" t="s">
        <v>17</v>
      </c>
      <c r="O614" s="4"/>
      <c r="Q614" s="4"/>
    </row>
    <row r="615" spans="1:17" x14ac:dyDescent="0.3">
      <c r="A615" s="3">
        <f t="shared" si="21"/>
        <v>83</v>
      </c>
      <c r="B615" s="8" t="s">
        <v>422</v>
      </c>
      <c r="C615" s="5" t="s">
        <v>421</v>
      </c>
      <c r="D615" s="5"/>
      <c r="E615" s="5" t="s">
        <v>420</v>
      </c>
      <c r="F615" s="5" t="s">
        <v>36</v>
      </c>
      <c r="G615" s="5" t="s">
        <v>255</v>
      </c>
      <c r="H615" s="2"/>
      <c r="I615" s="2"/>
      <c r="J615" s="2">
        <v>46205</v>
      </c>
      <c r="K615" s="2" t="str">
        <f>IFERROR(VLOOKUP(B615,#REF!,4,0),"")</f>
        <v/>
      </c>
      <c r="M615" s="1" t="s">
        <v>12</v>
      </c>
      <c r="O615" s="4"/>
      <c r="Q615" s="4"/>
    </row>
    <row r="616" spans="1:17" x14ac:dyDescent="0.3">
      <c r="A616" s="3">
        <f t="shared" si="21"/>
        <v>84</v>
      </c>
      <c r="B616" s="8" t="s">
        <v>419</v>
      </c>
      <c r="C616" s="5" t="s">
        <v>418</v>
      </c>
      <c r="D616" s="5"/>
      <c r="E616" s="5" t="s">
        <v>186</v>
      </c>
      <c r="F616" s="5" t="s">
        <v>36</v>
      </c>
      <c r="G616" s="5" t="s">
        <v>255</v>
      </c>
      <c r="H616" s="2"/>
      <c r="I616" s="2"/>
      <c r="J616" s="2">
        <v>46205</v>
      </c>
      <c r="K616" s="2" t="str">
        <f>IFERROR(VLOOKUP(B616,#REF!,4,0),"")</f>
        <v/>
      </c>
      <c r="M616" s="1" t="s">
        <v>12</v>
      </c>
      <c r="O616" s="4"/>
      <c r="Q616" s="4"/>
    </row>
    <row r="617" spans="1:17" x14ac:dyDescent="0.3">
      <c r="A617" s="3">
        <f t="shared" si="21"/>
        <v>85</v>
      </c>
      <c r="B617" s="8" t="s">
        <v>417</v>
      </c>
      <c r="C617" s="5" t="s">
        <v>416</v>
      </c>
      <c r="D617" s="5"/>
      <c r="E617" s="5" t="s">
        <v>167</v>
      </c>
      <c r="F617" s="5" t="s">
        <v>9</v>
      </c>
      <c r="G617" s="5" t="s">
        <v>255</v>
      </c>
      <c r="H617" s="2"/>
      <c r="I617" s="2"/>
      <c r="J617" s="2">
        <v>46205</v>
      </c>
      <c r="K617" s="2" t="str">
        <f>IFERROR(VLOOKUP(B617,#REF!,4,0),"")</f>
        <v/>
      </c>
      <c r="M617" s="1" t="s">
        <v>12</v>
      </c>
      <c r="O617" s="4"/>
      <c r="Q617" s="4"/>
    </row>
    <row r="618" spans="1:17" x14ac:dyDescent="0.3">
      <c r="A618" s="3">
        <f t="shared" si="21"/>
        <v>86</v>
      </c>
      <c r="B618" s="8" t="s">
        <v>415</v>
      </c>
      <c r="C618" s="5" t="s">
        <v>414</v>
      </c>
      <c r="D618" s="5"/>
      <c r="E618" s="5" t="s">
        <v>413</v>
      </c>
      <c r="F618" s="5" t="s">
        <v>28</v>
      </c>
      <c r="G618" s="5" t="s">
        <v>255</v>
      </c>
      <c r="H618" s="2"/>
      <c r="I618" s="2"/>
      <c r="J618" s="2">
        <v>46205</v>
      </c>
      <c r="K618" s="2" t="str">
        <f>IFERROR(VLOOKUP(B618,#REF!,4,0),"")</f>
        <v/>
      </c>
      <c r="M618" s="1" t="s">
        <v>12</v>
      </c>
      <c r="O618" s="4"/>
      <c r="Q618" s="4"/>
    </row>
    <row r="619" spans="1:17" x14ac:dyDescent="0.3">
      <c r="A619" s="3">
        <f t="shared" si="21"/>
        <v>87</v>
      </c>
      <c r="B619" s="8" t="s">
        <v>412</v>
      </c>
      <c r="C619" s="5" t="s">
        <v>411</v>
      </c>
      <c r="D619" s="5"/>
      <c r="E619" s="5" t="s">
        <v>410</v>
      </c>
      <c r="F619" s="5" t="s">
        <v>36</v>
      </c>
      <c r="G619" s="5" t="s">
        <v>255</v>
      </c>
      <c r="H619" s="2"/>
      <c r="I619" s="2"/>
      <c r="J619" s="2">
        <v>46205</v>
      </c>
      <c r="K619" s="2" t="str">
        <f>IFERROR(VLOOKUP(B619,#REF!,4,0),"")</f>
        <v/>
      </c>
      <c r="M619" s="1" t="s">
        <v>12</v>
      </c>
      <c r="O619" s="4"/>
      <c r="Q619" s="4"/>
    </row>
    <row r="620" spans="1:17" x14ac:dyDescent="0.3">
      <c r="A620" s="3">
        <f t="shared" si="21"/>
        <v>88</v>
      </c>
      <c r="B620" s="8" t="s">
        <v>409</v>
      </c>
      <c r="C620" s="5" t="s">
        <v>408</v>
      </c>
      <c r="D620" s="5"/>
      <c r="E620" s="5" t="s">
        <v>336</v>
      </c>
      <c r="F620" s="5" t="s">
        <v>9</v>
      </c>
      <c r="G620" s="5" t="s">
        <v>255</v>
      </c>
      <c r="H620" s="2"/>
      <c r="I620" s="2"/>
      <c r="J620" s="2">
        <v>46206</v>
      </c>
      <c r="K620" s="2" t="str">
        <f>IFERROR(VLOOKUP(B620,#REF!,4,0),"")</f>
        <v/>
      </c>
      <c r="M620" s="1" t="s">
        <v>17</v>
      </c>
      <c r="O620" s="4"/>
      <c r="Q620" s="4"/>
    </row>
    <row r="621" spans="1:17" x14ac:dyDescent="0.3">
      <c r="A621" s="3">
        <f t="shared" si="21"/>
        <v>89</v>
      </c>
      <c r="B621" s="8" t="s">
        <v>407</v>
      </c>
      <c r="C621" s="5" t="s">
        <v>406</v>
      </c>
      <c r="D621" s="5"/>
      <c r="E621" s="5" t="s">
        <v>405</v>
      </c>
      <c r="F621" s="5" t="s">
        <v>28</v>
      </c>
      <c r="G621" s="5" t="s">
        <v>255</v>
      </c>
      <c r="H621" s="2"/>
      <c r="I621" s="2"/>
      <c r="J621" s="2">
        <v>46206</v>
      </c>
      <c r="K621" s="2" t="str">
        <f>IFERROR(VLOOKUP(B621,#REF!,4,0),"")</f>
        <v/>
      </c>
      <c r="M621" s="1" t="s">
        <v>12</v>
      </c>
      <c r="O621" s="4"/>
      <c r="Q621" s="4"/>
    </row>
    <row r="622" spans="1:17" x14ac:dyDescent="0.3">
      <c r="A622" s="3">
        <f t="shared" si="21"/>
        <v>90</v>
      </c>
      <c r="B622" s="8" t="s">
        <v>404</v>
      </c>
      <c r="C622" s="5" t="s">
        <v>403</v>
      </c>
      <c r="D622" s="5"/>
      <c r="E622" s="5" t="s">
        <v>373</v>
      </c>
      <c r="F622" s="5" t="s">
        <v>4</v>
      </c>
      <c r="G622" s="5" t="s">
        <v>255</v>
      </c>
      <c r="H622" s="2"/>
      <c r="I622" s="2"/>
      <c r="J622" s="2">
        <v>46206</v>
      </c>
      <c r="K622" s="2" t="str">
        <f>IFERROR(VLOOKUP(B622,#REF!,4,0),"")</f>
        <v/>
      </c>
      <c r="M622" s="1" t="s">
        <v>12</v>
      </c>
      <c r="O622" s="4"/>
      <c r="Q622" s="4"/>
    </row>
    <row r="623" spans="1:17" x14ac:dyDescent="0.3">
      <c r="A623" s="3">
        <f t="shared" si="21"/>
        <v>91</v>
      </c>
      <c r="B623" s="8" t="s">
        <v>402</v>
      </c>
      <c r="C623" s="5" t="s">
        <v>401</v>
      </c>
      <c r="D623" s="5"/>
      <c r="E623" s="5" t="s">
        <v>349</v>
      </c>
      <c r="F623" s="5" t="s">
        <v>36</v>
      </c>
      <c r="G623" s="5" t="s">
        <v>255</v>
      </c>
      <c r="H623" s="2"/>
      <c r="I623" s="2"/>
      <c r="J623" s="2">
        <v>46206</v>
      </c>
      <c r="K623" s="2" t="str">
        <f>IFERROR(VLOOKUP(B623,#REF!,4,0),"")</f>
        <v/>
      </c>
      <c r="M623" s="1" t="s">
        <v>17</v>
      </c>
      <c r="O623" s="4"/>
      <c r="Q623" s="4"/>
    </row>
    <row r="624" spans="1:17" x14ac:dyDescent="0.3">
      <c r="A624" s="3">
        <f t="shared" si="21"/>
        <v>92</v>
      </c>
      <c r="B624" s="8" t="s">
        <v>400</v>
      </c>
      <c r="C624" s="5" t="s">
        <v>399</v>
      </c>
      <c r="D624" s="5"/>
      <c r="E624" s="5" t="s">
        <v>398</v>
      </c>
      <c r="F624" s="5" t="s">
        <v>32</v>
      </c>
      <c r="G624" s="5" t="s">
        <v>255</v>
      </c>
      <c r="H624" s="2"/>
      <c r="I624" s="2"/>
      <c r="J624" s="2">
        <v>46206</v>
      </c>
      <c r="K624" s="2" t="str">
        <f>IFERROR(VLOOKUP(B624,#REF!,4,0),"")</f>
        <v/>
      </c>
      <c r="M624" s="1" t="s">
        <v>12</v>
      </c>
      <c r="O624" s="4"/>
      <c r="Q624" s="4"/>
    </row>
    <row r="625" spans="1:17" x14ac:dyDescent="0.3">
      <c r="A625" s="3">
        <f t="shared" si="21"/>
        <v>93</v>
      </c>
      <c r="B625" s="8" t="s">
        <v>397</v>
      </c>
      <c r="C625" s="5" t="s">
        <v>396</v>
      </c>
      <c r="D625" s="5"/>
      <c r="E625" s="5" t="s">
        <v>395</v>
      </c>
      <c r="F625" s="5" t="s">
        <v>48</v>
      </c>
      <c r="G625" s="5" t="s">
        <v>255</v>
      </c>
      <c r="H625" s="2"/>
      <c r="I625" s="2"/>
      <c r="J625" s="2">
        <v>46206</v>
      </c>
      <c r="K625" s="2" t="str">
        <f>IFERROR(VLOOKUP(B625,#REF!,4,0),"")</f>
        <v/>
      </c>
      <c r="M625" s="1" t="s">
        <v>17</v>
      </c>
      <c r="O625" s="4"/>
      <c r="Q625" s="4"/>
    </row>
    <row r="626" spans="1:17" x14ac:dyDescent="0.3">
      <c r="A626" s="3">
        <f t="shared" si="21"/>
        <v>94</v>
      </c>
      <c r="B626" s="8" t="s">
        <v>394</v>
      </c>
      <c r="C626" s="5" t="s">
        <v>393</v>
      </c>
      <c r="D626" s="5"/>
      <c r="E626" s="5" t="s">
        <v>392</v>
      </c>
      <c r="F626" s="5" t="s">
        <v>48</v>
      </c>
      <c r="G626" s="5" t="s">
        <v>255</v>
      </c>
      <c r="H626" s="2"/>
      <c r="I626" s="2"/>
      <c r="J626" s="2">
        <v>46206</v>
      </c>
      <c r="K626" s="2" t="str">
        <f>IFERROR(VLOOKUP(B626,#REF!,4,0),"")</f>
        <v/>
      </c>
      <c r="M626" s="1" t="s">
        <v>17</v>
      </c>
      <c r="O626" s="4"/>
      <c r="Q626" s="4"/>
    </row>
    <row r="627" spans="1:17" x14ac:dyDescent="0.3">
      <c r="A627" s="3">
        <f t="shared" si="21"/>
        <v>95</v>
      </c>
      <c r="B627" s="8" t="s">
        <v>391</v>
      </c>
      <c r="C627" s="5" t="s">
        <v>390</v>
      </c>
      <c r="D627" s="5"/>
      <c r="E627" s="5" t="s">
        <v>349</v>
      </c>
      <c r="F627" s="5" t="s">
        <v>36</v>
      </c>
      <c r="G627" s="5" t="s">
        <v>255</v>
      </c>
      <c r="H627" s="2"/>
      <c r="I627" s="2"/>
      <c r="J627" s="2">
        <v>46207</v>
      </c>
      <c r="K627" s="2" t="str">
        <f>IFERROR(VLOOKUP(B627,#REF!,4,0),"")</f>
        <v/>
      </c>
      <c r="M627" s="1" t="s">
        <v>17</v>
      </c>
      <c r="O627" s="4"/>
      <c r="Q627" s="4"/>
    </row>
    <row r="628" spans="1:17" x14ac:dyDescent="0.3">
      <c r="A628" s="3">
        <f t="shared" si="21"/>
        <v>96</v>
      </c>
      <c r="B628" s="8" t="s">
        <v>389</v>
      </c>
      <c r="C628" s="5" t="s">
        <v>388</v>
      </c>
      <c r="D628" s="5"/>
      <c r="E628" s="5" t="s">
        <v>387</v>
      </c>
      <c r="F628" s="5" t="s">
        <v>48</v>
      </c>
      <c r="G628" s="5" t="s">
        <v>255</v>
      </c>
      <c r="H628" s="2"/>
      <c r="I628" s="2"/>
      <c r="J628" s="2">
        <v>46207</v>
      </c>
      <c r="K628" s="2" t="str">
        <f>IFERROR(VLOOKUP(B628,#REF!,4,0),"")</f>
        <v/>
      </c>
      <c r="M628" s="1" t="s">
        <v>12</v>
      </c>
      <c r="O628" s="4"/>
      <c r="Q628" s="4"/>
    </row>
    <row r="629" spans="1:17" x14ac:dyDescent="0.3">
      <c r="A629" s="3">
        <f t="shared" si="21"/>
        <v>97</v>
      </c>
      <c r="B629" s="8" t="s">
        <v>386</v>
      </c>
      <c r="C629" s="5" t="s">
        <v>385</v>
      </c>
      <c r="D629" s="5"/>
      <c r="E629" s="5" t="s">
        <v>384</v>
      </c>
      <c r="F629" s="5" t="s">
        <v>4</v>
      </c>
      <c r="G629" s="5" t="s">
        <v>255</v>
      </c>
      <c r="H629" s="2"/>
      <c r="I629" s="2"/>
      <c r="J629" s="2">
        <v>46207</v>
      </c>
      <c r="K629" s="2" t="str">
        <f>IFERROR(VLOOKUP(B629,#REF!,4,0),"")</f>
        <v/>
      </c>
      <c r="M629" s="1" t="s">
        <v>12</v>
      </c>
      <c r="O629" s="4"/>
      <c r="Q629" s="4"/>
    </row>
    <row r="630" spans="1:17" x14ac:dyDescent="0.3">
      <c r="A630" s="3">
        <f t="shared" si="21"/>
        <v>98</v>
      </c>
      <c r="B630" s="8" t="s">
        <v>383</v>
      </c>
      <c r="C630" s="5" t="s">
        <v>382</v>
      </c>
      <c r="D630" s="5"/>
      <c r="E630" s="5" t="s">
        <v>373</v>
      </c>
      <c r="F630" s="5" t="s">
        <v>4</v>
      </c>
      <c r="G630" s="5" t="s">
        <v>255</v>
      </c>
      <c r="H630" s="2"/>
      <c r="I630" s="2"/>
      <c r="J630" s="2">
        <v>46209</v>
      </c>
      <c r="K630" s="2" t="str">
        <f>IFERROR(VLOOKUP(B630,#REF!,4,0),"")</f>
        <v/>
      </c>
      <c r="M630" s="1" t="s">
        <v>12</v>
      </c>
      <c r="O630" s="4"/>
      <c r="Q630" s="4"/>
    </row>
    <row r="631" spans="1:17" x14ac:dyDescent="0.3">
      <c r="A631" s="3">
        <f t="shared" ref="A631:A662" si="22">1+A630</f>
        <v>99</v>
      </c>
      <c r="B631" s="8" t="s">
        <v>381</v>
      </c>
      <c r="C631" s="5" t="s">
        <v>380</v>
      </c>
      <c r="D631" s="5"/>
      <c r="E631" s="5" t="s">
        <v>379</v>
      </c>
      <c r="F631" s="5" t="s">
        <v>4</v>
      </c>
      <c r="G631" s="5" t="s">
        <v>255</v>
      </c>
      <c r="H631" s="2"/>
      <c r="I631" s="2"/>
      <c r="J631" s="2">
        <v>46209</v>
      </c>
      <c r="K631" s="2" t="str">
        <f>IFERROR(VLOOKUP(B631,#REF!,4,0),"")</f>
        <v/>
      </c>
      <c r="M631" s="1" t="s">
        <v>12</v>
      </c>
      <c r="O631" s="4"/>
      <c r="Q631" s="4"/>
    </row>
    <row r="632" spans="1:17" x14ac:dyDescent="0.3">
      <c r="A632" s="3">
        <f t="shared" si="22"/>
        <v>100</v>
      </c>
      <c r="B632" s="8" t="s">
        <v>378</v>
      </c>
      <c r="C632" s="5" t="s">
        <v>377</v>
      </c>
      <c r="D632" s="5"/>
      <c r="E632" s="5" t="s">
        <v>376</v>
      </c>
      <c r="F632" s="5" t="s">
        <v>9</v>
      </c>
      <c r="G632" s="5" t="s">
        <v>255</v>
      </c>
      <c r="H632" s="2"/>
      <c r="I632" s="2"/>
      <c r="J632" s="2">
        <v>46209</v>
      </c>
      <c r="K632" s="2" t="str">
        <f>IFERROR(VLOOKUP(B632,#REF!,4,0),"")</f>
        <v/>
      </c>
      <c r="M632" s="1" t="s">
        <v>12</v>
      </c>
      <c r="O632" s="4"/>
      <c r="Q632" s="4"/>
    </row>
    <row r="633" spans="1:17" x14ac:dyDescent="0.3">
      <c r="A633" s="3">
        <f t="shared" si="22"/>
        <v>101</v>
      </c>
      <c r="B633" s="8" t="s">
        <v>375</v>
      </c>
      <c r="C633" s="5" t="s">
        <v>374</v>
      </c>
      <c r="D633" s="5"/>
      <c r="E633" s="5" t="s">
        <v>373</v>
      </c>
      <c r="F633" s="5" t="s">
        <v>4</v>
      </c>
      <c r="G633" s="5" t="s">
        <v>255</v>
      </c>
      <c r="H633" s="2"/>
      <c r="I633" s="2"/>
      <c r="J633" s="2">
        <v>46209</v>
      </c>
      <c r="K633" s="2" t="str">
        <f>IFERROR(VLOOKUP(B633,#REF!,4,0),"")</f>
        <v/>
      </c>
      <c r="M633" s="1" t="s">
        <v>17</v>
      </c>
      <c r="O633" s="4"/>
      <c r="Q633" s="4"/>
    </row>
    <row r="634" spans="1:17" x14ac:dyDescent="0.3">
      <c r="A634" s="3">
        <f t="shared" si="22"/>
        <v>102</v>
      </c>
      <c r="B634" s="8" t="s">
        <v>372</v>
      </c>
      <c r="C634" s="5" t="s">
        <v>371</v>
      </c>
      <c r="D634" s="5"/>
      <c r="E634" s="5" t="s">
        <v>357</v>
      </c>
      <c r="F634" s="5" t="s">
        <v>36</v>
      </c>
      <c r="G634" s="5" t="s">
        <v>255</v>
      </c>
      <c r="H634" s="2">
        <v>46160</v>
      </c>
      <c r="I634" s="2">
        <v>46184</v>
      </c>
      <c r="J634" s="2">
        <v>46210</v>
      </c>
      <c r="K634" s="2" t="str">
        <f>IFERROR(VLOOKUP(B634,#REF!,4,0),"")</f>
        <v/>
      </c>
      <c r="M634" s="1" t="s">
        <v>17</v>
      </c>
      <c r="O634" s="4"/>
      <c r="P634" s="1" t="s">
        <v>0</v>
      </c>
      <c r="Q634" s="4"/>
    </row>
    <row r="635" spans="1:17" x14ac:dyDescent="0.3">
      <c r="A635" s="3">
        <f t="shared" si="22"/>
        <v>103</v>
      </c>
      <c r="B635" s="8" t="s">
        <v>370</v>
      </c>
      <c r="C635" s="5" t="s">
        <v>369</v>
      </c>
      <c r="D635" s="5"/>
      <c r="E635" s="5" t="s">
        <v>368</v>
      </c>
      <c r="F635" s="5" t="s">
        <v>36</v>
      </c>
      <c r="G635" s="5" t="s">
        <v>255</v>
      </c>
      <c r="H635" s="2">
        <v>46167</v>
      </c>
      <c r="I635" s="2">
        <v>46181</v>
      </c>
      <c r="J635" s="2">
        <v>46210</v>
      </c>
      <c r="K635" s="2" t="str">
        <f>IFERROR(VLOOKUP(B635,#REF!,4,0),"")</f>
        <v/>
      </c>
      <c r="M635" s="1" t="s">
        <v>12</v>
      </c>
      <c r="O635" s="4"/>
      <c r="P635" s="1" t="s">
        <v>0</v>
      </c>
      <c r="Q635" s="4"/>
    </row>
    <row r="636" spans="1:17" x14ac:dyDescent="0.3">
      <c r="A636" s="3">
        <f t="shared" si="22"/>
        <v>104</v>
      </c>
      <c r="B636" s="8" t="s">
        <v>367</v>
      </c>
      <c r="C636" s="5" t="s">
        <v>366</v>
      </c>
      <c r="D636" s="5"/>
      <c r="E636" s="5" t="s">
        <v>131</v>
      </c>
      <c r="F636" s="5" t="s">
        <v>9</v>
      </c>
      <c r="G636" s="5" t="s">
        <v>255</v>
      </c>
      <c r="H636" s="2"/>
      <c r="I636" s="2"/>
      <c r="J636" s="2">
        <v>46210</v>
      </c>
      <c r="K636" s="2" t="str">
        <f>IFERROR(VLOOKUP(B636,#REF!,4,0),"")</f>
        <v/>
      </c>
      <c r="M636" s="1" t="s">
        <v>17</v>
      </c>
      <c r="O636" s="4"/>
      <c r="Q636" s="4"/>
    </row>
    <row r="637" spans="1:17" x14ac:dyDescent="0.3">
      <c r="A637" s="3">
        <f t="shared" si="22"/>
        <v>105</v>
      </c>
      <c r="B637" s="8" t="s">
        <v>365</v>
      </c>
      <c r="C637" s="5" t="s">
        <v>364</v>
      </c>
      <c r="D637" s="5"/>
      <c r="E637" s="5" t="s">
        <v>363</v>
      </c>
      <c r="F637" s="5" t="s">
        <v>48</v>
      </c>
      <c r="G637" s="5" t="s">
        <v>255</v>
      </c>
      <c r="H637" s="2"/>
      <c r="I637" s="2"/>
      <c r="J637" s="2">
        <v>46210</v>
      </c>
      <c r="K637" s="2" t="str">
        <f>IFERROR(VLOOKUP(B637,#REF!,4,0),"")</f>
        <v/>
      </c>
      <c r="M637" s="1" t="s">
        <v>12</v>
      </c>
      <c r="O637" s="4"/>
      <c r="Q637" s="4"/>
    </row>
    <row r="638" spans="1:17" x14ac:dyDescent="0.3">
      <c r="A638" s="3">
        <f t="shared" si="22"/>
        <v>106</v>
      </c>
      <c r="B638" s="8" t="s">
        <v>362</v>
      </c>
      <c r="C638" s="5" t="s">
        <v>361</v>
      </c>
      <c r="D638" s="5"/>
      <c r="E638" s="5" t="s">
        <v>360</v>
      </c>
      <c r="F638" s="5" t="s">
        <v>48</v>
      </c>
      <c r="G638" s="5" t="s">
        <v>255</v>
      </c>
      <c r="H638" s="2">
        <v>46144</v>
      </c>
      <c r="I638" s="2"/>
      <c r="J638" s="2">
        <v>46211</v>
      </c>
      <c r="K638" s="2" t="str">
        <f>IFERROR(VLOOKUP(B638,#REF!,4,0),"")</f>
        <v/>
      </c>
      <c r="M638" s="1" t="s">
        <v>17</v>
      </c>
      <c r="O638" s="4"/>
      <c r="Q638" s="4"/>
    </row>
    <row r="639" spans="1:17" x14ac:dyDescent="0.3">
      <c r="A639" s="3">
        <f t="shared" si="22"/>
        <v>107</v>
      </c>
      <c r="B639" s="8" t="s">
        <v>359</v>
      </c>
      <c r="C639" s="5" t="s">
        <v>358</v>
      </c>
      <c r="D639" s="5"/>
      <c r="E639" s="5" t="s">
        <v>357</v>
      </c>
      <c r="F639" s="5" t="s">
        <v>36</v>
      </c>
      <c r="G639" s="5" t="s">
        <v>255</v>
      </c>
      <c r="H639" s="2"/>
      <c r="I639" s="2"/>
      <c r="J639" s="2">
        <v>46211</v>
      </c>
      <c r="K639" s="2" t="str">
        <f>IFERROR(VLOOKUP(B639,#REF!,4,0),"")</f>
        <v/>
      </c>
      <c r="M639" s="1" t="s">
        <v>12</v>
      </c>
      <c r="O639" s="4"/>
      <c r="Q639" s="4"/>
    </row>
    <row r="640" spans="1:17" x14ac:dyDescent="0.3">
      <c r="A640" s="3">
        <f t="shared" si="22"/>
        <v>108</v>
      </c>
      <c r="B640" s="8" t="s">
        <v>356</v>
      </c>
      <c r="C640" s="5" t="s">
        <v>355</v>
      </c>
      <c r="D640" s="5"/>
      <c r="E640" s="5" t="s">
        <v>125</v>
      </c>
      <c r="F640" s="5" t="s">
        <v>9</v>
      </c>
      <c r="G640" s="5" t="s">
        <v>255</v>
      </c>
      <c r="H640" s="2"/>
      <c r="I640" s="2"/>
      <c r="J640" s="2">
        <v>46211</v>
      </c>
      <c r="K640" s="2" t="str">
        <f>IFERROR(VLOOKUP(B640,#REF!,4,0),"")</f>
        <v/>
      </c>
      <c r="M640" s="1" t="s">
        <v>17</v>
      </c>
      <c r="O640" s="4"/>
      <c r="Q640" s="4"/>
    </row>
    <row r="641" spans="1:17" x14ac:dyDescent="0.3">
      <c r="A641" s="3">
        <f t="shared" si="22"/>
        <v>109</v>
      </c>
      <c r="B641" s="8" t="s">
        <v>354</v>
      </c>
      <c r="C641" s="5" t="s">
        <v>353</v>
      </c>
      <c r="D641" s="5"/>
      <c r="E641" s="5" t="s">
        <v>352</v>
      </c>
      <c r="F641" s="5" t="s">
        <v>9</v>
      </c>
      <c r="G641" s="5" t="s">
        <v>255</v>
      </c>
      <c r="H641" s="2"/>
      <c r="I641" s="2"/>
      <c r="J641" s="2">
        <v>46211</v>
      </c>
      <c r="K641" s="2" t="str">
        <f>IFERROR(VLOOKUP(B641,#REF!,4,0),"")</f>
        <v/>
      </c>
      <c r="M641" s="1" t="s">
        <v>17</v>
      </c>
      <c r="O641" s="4"/>
      <c r="Q641" s="4"/>
    </row>
    <row r="642" spans="1:17" x14ac:dyDescent="0.3">
      <c r="A642" s="3">
        <f t="shared" si="22"/>
        <v>110</v>
      </c>
      <c r="B642" s="8" t="s">
        <v>351</v>
      </c>
      <c r="C642" s="5" t="s">
        <v>350</v>
      </c>
      <c r="D642" s="5"/>
      <c r="E642" s="5" t="s">
        <v>349</v>
      </c>
      <c r="F642" s="5" t="s">
        <v>36</v>
      </c>
      <c r="G642" s="5" t="s">
        <v>255</v>
      </c>
      <c r="H642" s="2"/>
      <c r="I642" s="2"/>
      <c r="J642" s="2">
        <v>46211</v>
      </c>
      <c r="K642" s="2" t="str">
        <f>IFERROR(VLOOKUP(B642,#REF!,4,0),"")</f>
        <v/>
      </c>
      <c r="M642" s="1" t="s">
        <v>12</v>
      </c>
      <c r="O642" s="4"/>
      <c r="Q642" s="4"/>
    </row>
    <row r="643" spans="1:17" x14ac:dyDescent="0.3">
      <c r="A643" s="3">
        <f t="shared" si="22"/>
        <v>111</v>
      </c>
      <c r="B643" s="8" t="s">
        <v>348</v>
      </c>
      <c r="C643" s="5" t="s">
        <v>347</v>
      </c>
      <c r="D643" s="5"/>
      <c r="E643" s="5" t="s">
        <v>346</v>
      </c>
      <c r="F643" s="5" t="s">
        <v>58</v>
      </c>
      <c r="G643" s="5" t="s">
        <v>255</v>
      </c>
      <c r="H643" s="2"/>
      <c r="I643" s="2"/>
      <c r="J643" s="2">
        <v>46211</v>
      </c>
      <c r="K643" s="2" t="str">
        <f>IFERROR(VLOOKUP(B643,#REF!,4,0),"")</f>
        <v/>
      </c>
      <c r="M643" s="1" t="s">
        <v>12</v>
      </c>
      <c r="O643" s="4" t="s">
        <v>345</v>
      </c>
      <c r="Q643" s="4"/>
    </row>
    <row r="644" spans="1:17" x14ac:dyDescent="0.3">
      <c r="A644" s="3">
        <f t="shared" si="22"/>
        <v>112</v>
      </c>
      <c r="B644" s="8" t="s">
        <v>344</v>
      </c>
      <c r="C644" s="5" t="s">
        <v>343</v>
      </c>
      <c r="D644" s="5"/>
      <c r="E644" s="5" t="s">
        <v>131</v>
      </c>
      <c r="F644" s="5" t="s">
        <v>9</v>
      </c>
      <c r="G644" s="5" t="s">
        <v>255</v>
      </c>
      <c r="H644" s="2"/>
      <c r="I644" s="2"/>
      <c r="J644" s="2">
        <v>46211</v>
      </c>
      <c r="K644" s="2" t="str">
        <f>IFERROR(VLOOKUP(B644,#REF!,4,0),"")</f>
        <v/>
      </c>
      <c r="M644" s="1" t="s">
        <v>342</v>
      </c>
      <c r="O644" s="4"/>
      <c r="Q644" s="4"/>
    </row>
    <row r="645" spans="1:17" x14ac:dyDescent="0.3">
      <c r="A645" s="3">
        <f t="shared" si="22"/>
        <v>113</v>
      </c>
      <c r="B645" s="8" t="s">
        <v>341</v>
      </c>
      <c r="C645" s="5" t="s">
        <v>340</v>
      </c>
      <c r="D645" s="5"/>
      <c r="E645" s="5" t="s">
        <v>339</v>
      </c>
      <c r="F645" s="5" t="s">
        <v>36</v>
      </c>
      <c r="G645" s="5" t="s">
        <v>255</v>
      </c>
      <c r="H645" s="2"/>
      <c r="I645" s="2"/>
      <c r="J645" s="2">
        <v>46211</v>
      </c>
      <c r="K645" s="2" t="str">
        <f>IFERROR(VLOOKUP(B645,#REF!,4,0),"")</f>
        <v/>
      </c>
      <c r="M645" s="1" t="s">
        <v>12</v>
      </c>
      <c r="O645" s="4"/>
      <c r="Q645" s="4"/>
    </row>
    <row r="646" spans="1:17" x14ac:dyDescent="0.3">
      <c r="A646" s="3">
        <f t="shared" si="22"/>
        <v>114</v>
      </c>
      <c r="B646" s="8" t="s">
        <v>338</v>
      </c>
      <c r="C646" s="5" t="s">
        <v>337</v>
      </c>
      <c r="D646" s="5"/>
      <c r="E646" s="5" t="s">
        <v>336</v>
      </c>
      <c r="F646" s="5" t="s">
        <v>9</v>
      </c>
      <c r="G646" s="5" t="s">
        <v>255</v>
      </c>
      <c r="H646" s="2"/>
      <c r="I646" s="2"/>
      <c r="J646" s="2">
        <v>46212</v>
      </c>
      <c r="K646" s="2" t="str">
        <f>IFERROR(VLOOKUP(B646,#REF!,4,0),"")</f>
        <v/>
      </c>
      <c r="M646" s="1" t="s">
        <v>17</v>
      </c>
      <c r="O646" s="4"/>
      <c r="Q646" s="4"/>
    </row>
    <row r="647" spans="1:17" x14ac:dyDescent="0.3">
      <c r="A647" s="3">
        <f t="shared" si="22"/>
        <v>115</v>
      </c>
      <c r="B647" s="8" t="s">
        <v>335</v>
      </c>
      <c r="C647" s="5" t="s">
        <v>334</v>
      </c>
      <c r="D647" s="5"/>
      <c r="E647" s="5" t="s">
        <v>333</v>
      </c>
      <c r="F647" s="5" t="s">
        <v>32</v>
      </c>
      <c r="G647" s="5" t="s">
        <v>255</v>
      </c>
      <c r="H647" s="2"/>
      <c r="I647" s="2"/>
      <c r="J647" s="2">
        <v>46212</v>
      </c>
      <c r="K647" s="2" t="str">
        <f>IFERROR(VLOOKUP(B647,#REF!,4,0),"")</f>
        <v/>
      </c>
      <c r="M647" s="1" t="s">
        <v>12</v>
      </c>
      <c r="O647" s="4"/>
      <c r="Q647" s="4"/>
    </row>
    <row r="648" spans="1:17" x14ac:dyDescent="0.3">
      <c r="A648" s="3">
        <f t="shared" si="22"/>
        <v>116</v>
      </c>
      <c r="B648" s="10" t="s">
        <v>332</v>
      </c>
      <c r="C648" s="5" t="s">
        <v>331</v>
      </c>
      <c r="D648" s="5"/>
      <c r="E648" s="5" t="s">
        <v>330</v>
      </c>
      <c r="F648" s="5" t="s">
        <v>48</v>
      </c>
      <c r="G648" s="5" t="s">
        <v>255</v>
      </c>
      <c r="H648" s="2"/>
      <c r="I648" s="2"/>
      <c r="J648" s="2">
        <v>46212</v>
      </c>
      <c r="K648" s="2" t="str">
        <f>IFERROR(VLOOKUP(B648,#REF!,4,0),"")</f>
        <v/>
      </c>
      <c r="M648" s="1" t="s">
        <v>12</v>
      </c>
      <c r="O648" s="4"/>
      <c r="Q648" s="4"/>
    </row>
    <row r="649" spans="1:17" x14ac:dyDescent="0.3">
      <c r="A649" s="3">
        <f t="shared" si="22"/>
        <v>117</v>
      </c>
      <c r="B649" s="8" t="s">
        <v>329</v>
      </c>
      <c r="C649" s="5" t="s">
        <v>328</v>
      </c>
      <c r="D649" s="5"/>
      <c r="E649" s="5" t="s">
        <v>167</v>
      </c>
      <c r="F649" s="5" t="s">
        <v>9</v>
      </c>
      <c r="G649" s="5" t="s">
        <v>255</v>
      </c>
      <c r="H649" s="2"/>
      <c r="I649" s="2"/>
      <c r="J649" s="2">
        <v>46213</v>
      </c>
      <c r="K649" s="2" t="str">
        <f>IFERROR(VLOOKUP(B649,#REF!,4,0),"")</f>
        <v/>
      </c>
      <c r="M649" s="1" t="s">
        <v>17</v>
      </c>
      <c r="O649" s="4"/>
      <c r="Q649" s="4"/>
    </row>
    <row r="650" spans="1:17" x14ac:dyDescent="0.3">
      <c r="A650" s="3">
        <f t="shared" si="22"/>
        <v>118</v>
      </c>
      <c r="B650" s="8" t="s">
        <v>327</v>
      </c>
      <c r="C650" s="5" t="s">
        <v>326</v>
      </c>
      <c r="D650" s="5"/>
      <c r="E650" s="5" t="s">
        <v>325</v>
      </c>
      <c r="F650" s="5" t="s">
        <v>48</v>
      </c>
      <c r="G650" s="5" t="s">
        <v>255</v>
      </c>
      <c r="H650" s="2"/>
      <c r="I650" s="2"/>
      <c r="J650" s="2">
        <v>46213</v>
      </c>
      <c r="K650" s="2" t="str">
        <f>IFERROR(VLOOKUP(B650,#REF!,4,0),"")</f>
        <v/>
      </c>
      <c r="M650" s="1" t="s">
        <v>12</v>
      </c>
      <c r="O650" s="4"/>
      <c r="Q650" s="4"/>
    </row>
    <row r="651" spans="1:17" x14ac:dyDescent="0.3">
      <c r="A651" s="3">
        <f t="shared" si="22"/>
        <v>119</v>
      </c>
      <c r="B651" s="8" t="s">
        <v>324</v>
      </c>
      <c r="C651" s="5" t="s">
        <v>323</v>
      </c>
      <c r="D651" s="5"/>
      <c r="E651" s="5" t="s">
        <v>322</v>
      </c>
      <c r="F651" s="5" t="s">
        <v>28</v>
      </c>
      <c r="G651" s="5" t="s">
        <v>255</v>
      </c>
      <c r="H651" s="2">
        <v>46153</v>
      </c>
      <c r="I651" s="2"/>
      <c r="J651" s="2">
        <v>46214</v>
      </c>
      <c r="K651" s="2" t="str">
        <f>IFERROR(VLOOKUP(B651,#REF!,4,0),"")</f>
        <v/>
      </c>
      <c r="M651" s="1" t="s">
        <v>12</v>
      </c>
      <c r="O651" s="4"/>
      <c r="Q651" s="4"/>
    </row>
    <row r="652" spans="1:17" x14ac:dyDescent="0.3">
      <c r="A652" s="3">
        <f t="shared" si="22"/>
        <v>120</v>
      </c>
      <c r="B652" s="8" t="s">
        <v>321</v>
      </c>
      <c r="C652" s="5" t="s">
        <v>320</v>
      </c>
      <c r="D652" s="5"/>
      <c r="E652" s="5" t="s">
        <v>319</v>
      </c>
      <c r="F652" s="5" t="s">
        <v>9</v>
      </c>
      <c r="G652" s="5" t="s">
        <v>255</v>
      </c>
      <c r="H652" s="2"/>
      <c r="I652" s="2"/>
      <c r="J652" s="2">
        <v>46214</v>
      </c>
      <c r="K652" s="2" t="str">
        <f>IFERROR(VLOOKUP(B652,#REF!,4,0),"")</f>
        <v/>
      </c>
      <c r="M652" s="1" t="s">
        <v>12</v>
      </c>
      <c r="O652" s="4"/>
      <c r="Q652" s="4"/>
    </row>
    <row r="653" spans="1:17" x14ac:dyDescent="0.3">
      <c r="A653" s="3">
        <f t="shared" si="22"/>
        <v>121</v>
      </c>
      <c r="B653" s="8" t="s">
        <v>318</v>
      </c>
      <c r="C653" s="5" t="s">
        <v>317</v>
      </c>
      <c r="D653" s="5"/>
      <c r="E653" s="5" t="s">
        <v>316</v>
      </c>
      <c r="F653" s="5" t="s">
        <v>9</v>
      </c>
      <c r="G653" s="5" t="s">
        <v>255</v>
      </c>
      <c r="H653" s="2"/>
      <c r="I653" s="2"/>
      <c r="J653" s="2">
        <v>46214</v>
      </c>
      <c r="K653" s="2" t="str">
        <f>IFERROR(VLOOKUP(B653,#REF!,4,0),"")</f>
        <v/>
      </c>
      <c r="M653" s="1" t="s">
        <v>12</v>
      </c>
      <c r="O653" s="4"/>
      <c r="Q653" s="4"/>
    </row>
    <row r="654" spans="1:17" x14ac:dyDescent="0.3">
      <c r="A654" s="3">
        <f t="shared" si="22"/>
        <v>122</v>
      </c>
      <c r="B654" s="8" t="s">
        <v>315</v>
      </c>
      <c r="C654" s="5" t="s">
        <v>314</v>
      </c>
      <c r="D654" s="5"/>
      <c r="E654" s="5" t="s">
        <v>260</v>
      </c>
      <c r="F654" s="5" t="s">
        <v>9</v>
      </c>
      <c r="G654" s="5" t="s">
        <v>255</v>
      </c>
      <c r="H654" s="2"/>
      <c r="I654" s="2"/>
      <c r="J654" s="2">
        <v>46216</v>
      </c>
      <c r="K654" s="2" t="str">
        <f>IFERROR(VLOOKUP(B654,#REF!,4,0),"")</f>
        <v/>
      </c>
      <c r="M654" s="1" t="s">
        <v>17</v>
      </c>
      <c r="O654" s="4"/>
      <c r="Q654" s="4"/>
    </row>
    <row r="655" spans="1:17" x14ac:dyDescent="0.3">
      <c r="A655" s="3">
        <f t="shared" si="22"/>
        <v>123</v>
      </c>
      <c r="B655" s="8" t="s">
        <v>313</v>
      </c>
      <c r="C655" s="5" t="s">
        <v>312</v>
      </c>
      <c r="D655" s="5"/>
      <c r="E655" s="5" t="s">
        <v>121</v>
      </c>
      <c r="F655" s="5" t="s">
        <v>9</v>
      </c>
      <c r="G655" s="5" t="s">
        <v>255</v>
      </c>
      <c r="H655" s="2"/>
      <c r="I655" s="2"/>
      <c r="J655" s="2">
        <v>46216</v>
      </c>
      <c r="K655" s="2" t="str">
        <f>IFERROR(VLOOKUP(B655,#REF!,4,0),"")</f>
        <v/>
      </c>
      <c r="M655" s="1" t="s">
        <v>12</v>
      </c>
      <c r="O655" s="4"/>
      <c r="Q655" s="4"/>
    </row>
    <row r="656" spans="1:17" x14ac:dyDescent="0.3">
      <c r="A656" s="3">
        <f t="shared" si="22"/>
        <v>124</v>
      </c>
      <c r="B656" s="8" t="s">
        <v>311</v>
      </c>
      <c r="C656" s="5" t="s">
        <v>310</v>
      </c>
      <c r="D656" s="5"/>
      <c r="E656" s="5" t="s">
        <v>309</v>
      </c>
      <c r="F656" s="5" t="s">
        <v>4</v>
      </c>
      <c r="G656" s="5" t="s">
        <v>255</v>
      </c>
      <c r="H656" s="2"/>
      <c r="I656" s="2"/>
      <c r="J656" s="2">
        <v>46217</v>
      </c>
      <c r="K656" s="2" t="str">
        <f>IFERROR(VLOOKUP(B656,#REF!,4,0),"")</f>
        <v/>
      </c>
      <c r="M656" s="1" t="s">
        <v>12</v>
      </c>
      <c r="O656" s="4"/>
      <c r="Q656" s="4"/>
    </row>
    <row r="657" spans="1:17" x14ac:dyDescent="0.3">
      <c r="A657" s="3">
        <f t="shared" si="22"/>
        <v>125</v>
      </c>
      <c r="B657" s="8" t="s">
        <v>308</v>
      </c>
      <c r="C657" s="5" t="s">
        <v>307</v>
      </c>
      <c r="D657" s="5"/>
      <c r="E657" s="5" t="s">
        <v>306</v>
      </c>
      <c r="F657" s="5" t="s">
        <v>48</v>
      </c>
      <c r="G657" s="5" t="s">
        <v>255</v>
      </c>
      <c r="H657" s="2"/>
      <c r="I657" s="2"/>
      <c r="J657" s="2">
        <v>46217</v>
      </c>
      <c r="K657" s="2" t="str">
        <f>IFERROR(VLOOKUP(B657,#REF!,4,0),"")</f>
        <v/>
      </c>
      <c r="M657" s="1" t="s">
        <v>17</v>
      </c>
      <c r="O657" s="4"/>
      <c r="Q657" s="4"/>
    </row>
    <row r="658" spans="1:17" x14ac:dyDescent="0.3">
      <c r="A658" s="3">
        <f t="shared" si="22"/>
        <v>126</v>
      </c>
      <c r="B658" s="8" t="s">
        <v>305</v>
      </c>
      <c r="C658" s="5" t="s">
        <v>304</v>
      </c>
      <c r="D658" s="5"/>
      <c r="E658" s="5" t="s">
        <v>137</v>
      </c>
      <c r="F658" s="5" t="s">
        <v>9</v>
      </c>
      <c r="G658" s="5" t="s">
        <v>255</v>
      </c>
      <c r="H658" s="2"/>
      <c r="I658" s="2"/>
      <c r="J658" s="2">
        <v>46217</v>
      </c>
      <c r="K658" s="2" t="str">
        <f>IFERROR(VLOOKUP(B658,#REF!,4,0),"")</f>
        <v/>
      </c>
      <c r="M658" s="1" t="s">
        <v>17</v>
      </c>
      <c r="O658" s="4"/>
      <c r="Q658" s="4"/>
    </row>
    <row r="659" spans="1:17" x14ac:dyDescent="0.3">
      <c r="A659" s="3">
        <f t="shared" si="22"/>
        <v>127</v>
      </c>
      <c r="B659" s="8" t="s">
        <v>303</v>
      </c>
      <c r="C659" s="5" t="s">
        <v>302</v>
      </c>
      <c r="D659" s="5"/>
      <c r="E659" s="5" t="s">
        <v>301</v>
      </c>
      <c r="F659" s="5" t="s">
        <v>40</v>
      </c>
      <c r="G659" s="5" t="s">
        <v>255</v>
      </c>
      <c r="H659" s="2"/>
      <c r="I659" s="2"/>
      <c r="J659" s="2">
        <v>46218</v>
      </c>
      <c r="K659" s="2" t="str">
        <f>IFERROR(VLOOKUP(B659,#REF!,4,0),"")</f>
        <v/>
      </c>
      <c r="M659" s="1" t="s">
        <v>12</v>
      </c>
      <c r="O659" s="4"/>
      <c r="Q659" s="4"/>
    </row>
    <row r="660" spans="1:17" x14ac:dyDescent="0.3">
      <c r="A660" s="3">
        <f t="shared" si="22"/>
        <v>128</v>
      </c>
      <c r="B660" s="8" t="s">
        <v>300</v>
      </c>
      <c r="C660" s="5" t="s">
        <v>299</v>
      </c>
      <c r="D660" s="5"/>
      <c r="E660" s="5" t="s">
        <v>298</v>
      </c>
      <c r="F660" s="5" t="s">
        <v>9</v>
      </c>
      <c r="G660" s="5" t="s">
        <v>255</v>
      </c>
      <c r="H660" s="2"/>
      <c r="I660" s="2"/>
      <c r="J660" s="2">
        <v>46219</v>
      </c>
      <c r="K660" s="2" t="str">
        <f>IFERROR(VLOOKUP(B660,#REF!,4,0),"")</f>
        <v/>
      </c>
      <c r="M660" s="1" t="s">
        <v>12</v>
      </c>
      <c r="N660" s="1" t="s">
        <v>297</v>
      </c>
      <c r="O660" s="4"/>
      <c r="Q660" s="4"/>
    </row>
    <row r="661" spans="1:17" x14ac:dyDescent="0.3">
      <c r="A661" s="3">
        <f t="shared" si="22"/>
        <v>129</v>
      </c>
      <c r="B661" s="8" t="s">
        <v>296</v>
      </c>
      <c r="C661" s="5" t="s">
        <v>295</v>
      </c>
      <c r="D661" s="5"/>
      <c r="E661" s="5" t="s">
        <v>137</v>
      </c>
      <c r="F661" s="5" t="s">
        <v>9</v>
      </c>
      <c r="G661" s="5" t="s">
        <v>255</v>
      </c>
      <c r="H661" s="2"/>
      <c r="I661" s="2"/>
      <c r="J661" s="2">
        <v>46219</v>
      </c>
      <c r="K661" s="2" t="str">
        <f>IFERROR(VLOOKUP(B661,#REF!,4,0),"")</f>
        <v/>
      </c>
      <c r="M661" s="1" t="s">
        <v>12</v>
      </c>
      <c r="O661" s="4"/>
      <c r="Q661" s="4"/>
    </row>
    <row r="662" spans="1:17" x14ac:dyDescent="0.3">
      <c r="A662" s="3">
        <f t="shared" si="22"/>
        <v>130</v>
      </c>
      <c r="B662" s="8" t="s">
        <v>294</v>
      </c>
      <c r="C662" s="5" t="s">
        <v>293</v>
      </c>
      <c r="D662" s="5"/>
      <c r="E662" s="5" t="s">
        <v>131</v>
      </c>
      <c r="F662" s="5" t="s">
        <v>9</v>
      </c>
      <c r="G662" s="5" t="s">
        <v>255</v>
      </c>
      <c r="H662" s="2"/>
      <c r="I662" s="2"/>
      <c r="J662" s="2">
        <v>46220</v>
      </c>
      <c r="K662" s="2" t="str">
        <f>IFERROR(VLOOKUP(B662,#REF!,4,0),"")</f>
        <v/>
      </c>
      <c r="M662" s="1" t="s">
        <v>17</v>
      </c>
      <c r="O662" s="4"/>
      <c r="Q662" s="4"/>
    </row>
    <row r="663" spans="1:17" x14ac:dyDescent="0.3">
      <c r="A663" s="3">
        <f t="shared" ref="A663:A694" si="23">1+A662</f>
        <v>131</v>
      </c>
      <c r="B663" s="8" t="s">
        <v>292</v>
      </c>
      <c r="C663" s="5" t="s">
        <v>291</v>
      </c>
      <c r="D663" s="5"/>
      <c r="E663" s="5" t="s">
        <v>290</v>
      </c>
      <c r="F663" s="5" t="s">
        <v>28</v>
      </c>
      <c r="G663" s="5" t="s">
        <v>255</v>
      </c>
      <c r="H663" s="2"/>
      <c r="I663" s="2"/>
      <c r="J663" s="2">
        <v>46221</v>
      </c>
      <c r="K663" s="2" t="str">
        <f>IFERROR(VLOOKUP(B663,#REF!,4,0),"")</f>
        <v/>
      </c>
      <c r="M663" s="1" t="s">
        <v>12</v>
      </c>
      <c r="O663" s="4"/>
      <c r="Q663" s="4"/>
    </row>
    <row r="664" spans="1:17" x14ac:dyDescent="0.3">
      <c r="A664" s="3">
        <f t="shared" si="23"/>
        <v>132</v>
      </c>
      <c r="B664" s="8" t="s">
        <v>289</v>
      </c>
      <c r="C664" s="5" t="s">
        <v>288</v>
      </c>
      <c r="D664" s="5"/>
      <c r="E664" s="5" t="s">
        <v>287</v>
      </c>
      <c r="F664" s="5" t="s">
        <v>48</v>
      </c>
      <c r="G664" s="5" t="s">
        <v>255</v>
      </c>
      <c r="H664" s="2"/>
      <c r="I664" s="2"/>
      <c r="J664" s="2">
        <v>46221</v>
      </c>
      <c r="K664" s="2" t="str">
        <f>IFERROR(VLOOKUP(B664,#REF!,4,0),"")</f>
        <v/>
      </c>
      <c r="M664" s="1" t="s">
        <v>17</v>
      </c>
      <c r="O664" s="4"/>
      <c r="Q664" s="4"/>
    </row>
    <row r="665" spans="1:17" x14ac:dyDescent="0.3">
      <c r="A665" s="3">
        <f t="shared" si="23"/>
        <v>133</v>
      </c>
      <c r="B665" s="8" t="s">
        <v>286</v>
      </c>
      <c r="C665" s="5" t="s">
        <v>285</v>
      </c>
      <c r="D665" s="5"/>
      <c r="E665" s="5" t="s">
        <v>167</v>
      </c>
      <c r="F665" s="5" t="s">
        <v>9</v>
      </c>
      <c r="G665" s="5" t="s">
        <v>255</v>
      </c>
      <c r="H665" s="2"/>
      <c r="I665" s="2"/>
      <c r="J665" s="2">
        <v>46224</v>
      </c>
      <c r="K665" s="2" t="str">
        <f>IFERROR(VLOOKUP(B665,#REF!,4,0),"")</f>
        <v/>
      </c>
      <c r="M665" s="1" t="s">
        <v>17</v>
      </c>
      <c r="O665" s="4"/>
      <c r="Q665" s="4"/>
    </row>
    <row r="666" spans="1:17" x14ac:dyDescent="0.3">
      <c r="A666" s="3">
        <f t="shared" si="23"/>
        <v>134</v>
      </c>
      <c r="B666" s="8" t="s">
        <v>284</v>
      </c>
      <c r="C666" s="5" t="s">
        <v>283</v>
      </c>
      <c r="D666" s="5"/>
      <c r="E666" s="5" t="s">
        <v>282</v>
      </c>
      <c r="F666" s="5" t="s">
        <v>28</v>
      </c>
      <c r="G666" s="5" t="s">
        <v>255</v>
      </c>
      <c r="H666" s="2">
        <v>46170</v>
      </c>
      <c r="I666" s="2"/>
      <c r="J666" s="2">
        <v>46225</v>
      </c>
      <c r="K666" s="2" t="str">
        <f>IFERROR(VLOOKUP(B666,#REF!,4,0),"")</f>
        <v/>
      </c>
      <c r="M666" s="1" t="s">
        <v>17</v>
      </c>
      <c r="O666" s="4"/>
      <c r="Q666" s="4"/>
    </row>
    <row r="667" spans="1:17" x14ac:dyDescent="0.3">
      <c r="A667" s="3">
        <f t="shared" si="23"/>
        <v>135</v>
      </c>
      <c r="B667" s="8" t="s">
        <v>281</v>
      </c>
      <c r="C667" s="5" t="s">
        <v>280</v>
      </c>
      <c r="D667" s="5"/>
      <c r="E667" s="5" t="s">
        <v>279</v>
      </c>
      <c r="F667" s="5" t="s">
        <v>40</v>
      </c>
      <c r="G667" s="5" t="s">
        <v>255</v>
      </c>
      <c r="H667" s="2">
        <v>46155</v>
      </c>
      <c r="I667" s="2"/>
      <c r="J667" s="2">
        <v>46226</v>
      </c>
      <c r="K667" s="2" t="str">
        <f>IFERROR(VLOOKUP(B667,#REF!,4,0),"")</f>
        <v/>
      </c>
      <c r="M667" s="1" t="s">
        <v>12</v>
      </c>
      <c r="O667" s="4"/>
      <c r="Q667" s="4"/>
    </row>
    <row r="668" spans="1:17" x14ac:dyDescent="0.3">
      <c r="A668" s="3">
        <f t="shared" si="23"/>
        <v>136</v>
      </c>
      <c r="B668" s="8" t="s">
        <v>278</v>
      </c>
      <c r="C668" s="5" t="s">
        <v>277</v>
      </c>
      <c r="D668" s="5"/>
      <c r="E668" s="5" t="s">
        <v>276</v>
      </c>
      <c r="F668" s="5" t="s">
        <v>40</v>
      </c>
      <c r="G668" s="5" t="s">
        <v>255</v>
      </c>
      <c r="H668" s="2"/>
      <c r="I668" s="2">
        <v>46177</v>
      </c>
      <c r="J668" s="2">
        <v>46226</v>
      </c>
      <c r="K668" s="2" t="str">
        <f>IFERROR(VLOOKUP(B668,#REF!,4,0),"")</f>
        <v/>
      </c>
      <c r="M668" s="1" t="s">
        <v>17</v>
      </c>
      <c r="O668" s="4"/>
      <c r="Q668" s="4"/>
    </row>
    <row r="669" spans="1:17" x14ac:dyDescent="0.3">
      <c r="A669" s="3">
        <f t="shared" si="23"/>
        <v>137</v>
      </c>
      <c r="B669" s="8" t="s">
        <v>275</v>
      </c>
      <c r="C669" s="5" t="s">
        <v>274</v>
      </c>
      <c r="D669" s="5"/>
      <c r="E669" s="5" t="s">
        <v>195</v>
      </c>
      <c r="F669" s="5" t="s">
        <v>9</v>
      </c>
      <c r="G669" s="5" t="s">
        <v>255</v>
      </c>
      <c r="H669" s="2"/>
      <c r="I669" s="2">
        <v>46175</v>
      </c>
      <c r="J669" s="2">
        <v>46227</v>
      </c>
      <c r="K669" s="2" t="str">
        <f>IFERROR(VLOOKUP(B669,#REF!,4,0),"")</f>
        <v/>
      </c>
      <c r="M669" s="1" t="s">
        <v>17</v>
      </c>
      <c r="O669" s="4"/>
      <c r="Q669" s="4"/>
    </row>
    <row r="670" spans="1:17" x14ac:dyDescent="0.3">
      <c r="A670" s="3">
        <f t="shared" si="23"/>
        <v>138</v>
      </c>
      <c r="B670" s="8" t="s">
        <v>273</v>
      </c>
      <c r="C670" s="5" t="s">
        <v>272</v>
      </c>
      <c r="D670" s="5"/>
      <c r="E670" s="5" t="s">
        <v>271</v>
      </c>
      <c r="F670" s="5" t="s">
        <v>36</v>
      </c>
      <c r="G670" s="5" t="s">
        <v>255</v>
      </c>
      <c r="H670" s="2">
        <v>46171</v>
      </c>
      <c r="I670" s="2"/>
      <c r="J670" s="2">
        <v>46228</v>
      </c>
      <c r="K670" s="2" t="str">
        <f>IFERROR(VLOOKUP(B670,#REF!,4,0),"")</f>
        <v/>
      </c>
      <c r="M670" s="1" t="s">
        <v>12</v>
      </c>
      <c r="O670" s="4"/>
      <c r="Q670" s="4"/>
    </row>
    <row r="671" spans="1:17" x14ac:dyDescent="0.3">
      <c r="A671" s="3">
        <f t="shared" si="23"/>
        <v>139</v>
      </c>
      <c r="B671" s="9" t="s">
        <v>270</v>
      </c>
      <c r="C671" s="5" t="s">
        <v>269</v>
      </c>
      <c r="D671" s="5"/>
      <c r="E671" s="5" t="s">
        <v>268</v>
      </c>
      <c r="F671" s="5" t="s">
        <v>4</v>
      </c>
      <c r="G671" s="5" t="s">
        <v>255</v>
      </c>
      <c r="H671" s="2">
        <v>46153</v>
      </c>
      <c r="I671" s="2"/>
      <c r="J671" s="2">
        <v>46231</v>
      </c>
      <c r="K671" s="2" t="str">
        <f>IFERROR(VLOOKUP(B671,#REF!,4,0),"")</f>
        <v/>
      </c>
      <c r="M671" s="1" t="s">
        <v>17</v>
      </c>
      <c r="O671" s="4"/>
      <c r="Q671" s="4"/>
    </row>
    <row r="672" spans="1:17" x14ac:dyDescent="0.3">
      <c r="A672" s="3">
        <f t="shared" si="23"/>
        <v>140</v>
      </c>
      <c r="B672" s="8" t="s">
        <v>267</v>
      </c>
      <c r="C672" s="5" t="s">
        <v>266</v>
      </c>
      <c r="D672" s="5"/>
      <c r="E672" s="5" t="s">
        <v>210</v>
      </c>
      <c r="F672" s="5" t="s">
        <v>9</v>
      </c>
      <c r="G672" s="5" t="s">
        <v>255</v>
      </c>
      <c r="H672" s="2"/>
      <c r="I672" s="2">
        <v>46178</v>
      </c>
      <c r="J672" s="2">
        <v>46232</v>
      </c>
      <c r="K672" s="2" t="str">
        <f>IFERROR(VLOOKUP(B672,#REF!,4,0),"")</f>
        <v/>
      </c>
      <c r="M672" s="1" t="s">
        <v>12</v>
      </c>
      <c r="O672" s="4"/>
      <c r="Q672" s="4"/>
    </row>
    <row r="673" spans="1:17" x14ac:dyDescent="0.3">
      <c r="A673" s="3">
        <f t="shared" si="23"/>
        <v>141</v>
      </c>
      <c r="B673" s="8" t="s">
        <v>265</v>
      </c>
      <c r="C673" s="5" t="s">
        <v>264</v>
      </c>
      <c r="D673" s="5"/>
      <c r="E673" s="5" t="s">
        <v>263</v>
      </c>
      <c r="F673" s="5" t="s">
        <v>36</v>
      </c>
      <c r="G673" s="5" t="s">
        <v>255</v>
      </c>
      <c r="H673" s="2"/>
      <c r="I673" s="2"/>
      <c r="J673" s="2">
        <v>46232</v>
      </c>
      <c r="K673" s="2" t="str">
        <f>IFERROR(VLOOKUP(B673,#REF!,4,0),"")</f>
        <v/>
      </c>
      <c r="M673" s="1" t="s">
        <v>12</v>
      </c>
      <c r="O673" s="4"/>
      <c r="Q673" s="4"/>
    </row>
    <row r="674" spans="1:17" x14ac:dyDescent="0.3">
      <c r="A674" s="3">
        <f t="shared" si="23"/>
        <v>142</v>
      </c>
      <c r="B674" s="8" t="s">
        <v>262</v>
      </c>
      <c r="C674" s="5" t="s">
        <v>261</v>
      </c>
      <c r="D674" s="5"/>
      <c r="E674" s="5" t="s">
        <v>260</v>
      </c>
      <c r="F674" s="5" t="s">
        <v>9</v>
      </c>
      <c r="G674" s="5" t="s">
        <v>255</v>
      </c>
      <c r="H674" s="2"/>
      <c r="I674" s="2">
        <v>46203</v>
      </c>
      <c r="J674" s="2">
        <v>46233</v>
      </c>
      <c r="K674" s="2" t="str">
        <f>IFERROR(VLOOKUP(B674,#REF!,4,0),"")</f>
        <v/>
      </c>
      <c r="M674" s="1" t="s">
        <v>259</v>
      </c>
      <c r="O674" s="4"/>
      <c r="Q674" s="4"/>
    </row>
    <row r="675" spans="1:17" x14ac:dyDescent="0.3">
      <c r="A675" s="3">
        <f t="shared" si="23"/>
        <v>143</v>
      </c>
      <c r="B675" s="8" t="s">
        <v>258</v>
      </c>
      <c r="C675" s="5" t="s">
        <v>257</v>
      </c>
      <c r="D675" s="5"/>
      <c r="E675" s="5" t="s">
        <v>256</v>
      </c>
      <c r="F675" s="5" t="s">
        <v>4</v>
      </c>
      <c r="G675" s="5" t="s">
        <v>255</v>
      </c>
      <c r="H675" s="2">
        <v>46147</v>
      </c>
      <c r="I675" s="2"/>
      <c r="J675" s="2"/>
      <c r="K675" s="2" t="str">
        <f>IFERROR(VLOOKUP(B675,#REF!,4,0),"")</f>
        <v/>
      </c>
      <c r="M675" s="1" t="s">
        <v>17</v>
      </c>
      <c r="O675" s="4"/>
      <c r="Q675" s="4"/>
    </row>
    <row r="676" spans="1:17" x14ac:dyDescent="0.3">
      <c r="A676" s="3">
        <f t="shared" si="23"/>
        <v>144</v>
      </c>
      <c r="B676" s="8" t="s">
        <v>254</v>
      </c>
      <c r="C676" s="5" t="s">
        <v>253</v>
      </c>
      <c r="D676" s="5"/>
      <c r="E676" s="5" t="s">
        <v>252</v>
      </c>
      <c r="F676" s="5" t="s">
        <v>40</v>
      </c>
      <c r="G676" s="5" t="s">
        <v>8</v>
      </c>
      <c r="H676" s="2"/>
      <c r="I676" s="2">
        <v>46182</v>
      </c>
      <c r="J676" s="2"/>
      <c r="K676" s="2" t="str">
        <f>IFERROR(VLOOKUP(B676,#REF!,4,0),"")</f>
        <v/>
      </c>
      <c r="L676" s="1" t="s">
        <v>27</v>
      </c>
      <c r="M676" s="1" t="s">
        <v>12</v>
      </c>
      <c r="O676" s="4"/>
      <c r="Q676" s="4"/>
    </row>
    <row r="677" spans="1:17" x14ac:dyDescent="0.3">
      <c r="A677" s="3">
        <f t="shared" si="23"/>
        <v>145</v>
      </c>
      <c r="B677" s="8" t="s">
        <v>251</v>
      </c>
      <c r="C677" s="5" t="s">
        <v>250</v>
      </c>
      <c r="D677" s="5"/>
      <c r="E677" s="5" t="s">
        <v>249</v>
      </c>
      <c r="F677" s="5" t="s">
        <v>28</v>
      </c>
      <c r="G677" s="5" t="s">
        <v>8</v>
      </c>
      <c r="H677" s="2"/>
      <c r="I677" s="2">
        <v>46175</v>
      </c>
      <c r="J677" s="2"/>
      <c r="K677" s="2" t="str">
        <f>IFERROR(VLOOKUP(B677,#REF!,4,0),"")</f>
        <v/>
      </c>
      <c r="L677" s="1" t="s">
        <v>27</v>
      </c>
      <c r="M677" s="1" t="s">
        <v>12</v>
      </c>
      <c r="O677" s="4"/>
      <c r="Q677" s="4"/>
    </row>
    <row r="678" spans="1:17" x14ac:dyDescent="0.3">
      <c r="A678" s="3">
        <f t="shared" si="23"/>
        <v>146</v>
      </c>
      <c r="B678" s="8" t="s">
        <v>248</v>
      </c>
      <c r="C678" s="5" t="s">
        <v>247</v>
      </c>
      <c r="D678" s="5"/>
      <c r="E678" s="5" t="s">
        <v>246</v>
      </c>
      <c r="F678" s="5" t="s">
        <v>9</v>
      </c>
      <c r="G678" s="5" t="s">
        <v>8</v>
      </c>
      <c r="H678" s="2"/>
      <c r="I678" s="2">
        <v>46188</v>
      </c>
      <c r="J678" s="2"/>
      <c r="K678" s="2" t="str">
        <f>IFERROR(VLOOKUP(B678,#REF!,4,0),"")</f>
        <v/>
      </c>
      <c r="L678" s="1" t="s">
        <v>20</v>
      </c>
      <c r="M678" s="1" t="s">
        <v>12</v>
      </c>
      <c r="O678" s="4"/>
      <c r="Q678" s="4"/>
    </row>
    <row r="679" spans="1:17" x14ac:dyDescent="0.3">
      <c r="A679" s="3">
        <f t="shared" si="23"/>
        <v>147</v>
      </c>
      <c r="B679" s="8" t="s">
        <v>245</v>
      </c>
      <c r="C679" s="5" t="s">
        <v>244</v>
      </c>
      <c r="D679" s="5"/>
      <c r="E679" s="5" t="s">
        <v>243</v>
      </c>
      <c r="F679" s="5" t="s">
        <v>48</v>
      </c>
      <c r="G679" s="5" t="s">
        <v>8</v>
      </c>
      <c r="H679" s="2">
        <v>46161</v>
      </c>
      <c r="I679" s="2">
        <v>46199</v>
      </c>
      <c r="J679" s="2"/>
      <c r="K679" s="2" t="str">
        <f>IFERROR(VLOOKUP(B679,#REF!,4,0),"")</f>
        <v/>
      </c>
      <c r="L679" s="1" t="s">
        <v>44</v>
      </c>
      <c r="M679" s="1" t="s">
        <v>17</v>
      </c>
      <c r="O679" s="4"/>
      <c r="Q679" s="4"/>
    </row>
    <row r="680" spans="1:17" x14ac:dyDescent="0.3">
      <c r="A680" s="3">
        <f t="shared" si="23"/>
        <v>148</v>
      </c>
      <c r="B680" s="8" t="s">
        <v>242</v>
      </c>
      <c r="C680" s="5" t="s">
        <v>241</v>
      </c>
      <c r="D680" s="5"/>
      <c r="E680" s="5" t="s">
        <v>240</v>
      </c>
      <c r="F680" s="5" t="s">
        <v>48</v>
      </c>
      <c r="G680" s="5" t="s">
        <v>8</v>
      </c>
      <c r="H680" s="2">
        <v>46170</v>
      </c>
      <c r="I680" s="2">
        <v>46193</v>
      </c>
      <c r="J680" s="2"/>
      <c r="K680" s="2" t="str">
        <f>IFERROR(VLOOKUP(B680,#REF!,4,0),"")</f>
        <v/>
      </c>
      <c r="L680" s="1" t="s">
        <v>44</v>
      </c>
      <c r="M680" s="1" t="s">
        <v>12</v>
      </c>
      <c r="O680" s="4"/>
      <c r="Q680" s="4"/>
    </row>
    <row r="681" spans="1:17" x14ac:dyDescent="0.3">
      <c r="A681" s="3">
        <f t="shared" si="23"/>
        <v>149</v>
      </c>
      <c r="B681" s="8" t="s">
        <v>239</v>
      </c>
      <c r="C681" s="5" t="s">
        <v>238</v>
      </c>
      <c r="D681" s="5"/>
      <c r="E681" s="5" t="s">
        <v>237</v>
      </c>
      <c r="F681" s="5" t="s">
        <v>90</v>
      </c>
      <c r="G681" s="5" t="s">
        <v>8</v>
      </c>
      <c r="H681" s="2">
        <v>46164</v>
      </c>
      <c r="I681" s="2">
        <v>46198</v>
      </c>
      <c r="J681" s="2"/>
      <c r="K681" s="2" t="str">
        <f>IFERROR(VLOOKUP(B681,#REF!,4,0),"")</f>
        <v/>
      </c>
      <c r="L681" s="1" t="s">
        <v>13</v>
      </c>
      <c r="M681" s="1" t="s">
        <v>12</v>
      </c>
      <c r="O681" s="4"/>
      <c r="Q681" s="4"/>
    </row>
    <row r="682" spans="1:17" x14ac:dyDescent="0.3">
      <c r="A682" s="3">
        <f t="shared" si="23"/>
        <v>150</v>
      </c>
      <c r="B682" s="8" t="s">
        <v>236</v>
      </c>
      <c r="C682" s="5" t="s">
        <v>235</v>
      </c>
      <c r="D682" s="5"/>
      <c r="E682" s="5" t="s">
        <v>234</v>
      </c>
      <c r="F682" s="5" t="s">
        <v>48</v>
      </c>
      <c r="G682" s="5" t="s">
        <v>8</v>
      </c>
      <c r="H682" s="2"/>
      <c r="I682" s="2">
        <v>46192</v>
      </c>
      <c r="J682" s="2"/>
      <c r="K682" s="2" t="str">
        <f>IFERROR(VLOOKUP(B682,#REF!,4,0),"")</f>
        <v/>
      </c>
      <c r="L682" s="1" t="s">
        <v>44</v>
      </c>
      <c r="M682" s="1" t="s">
        <v>12</v>
      </c>
      <c r="O682" s="4"/>
      <c r="Q682" s="4"/>
    </row>
    <row r="683" spans="1:17" x14ac:dyDescent="0.3">
      <c r="A683" s="3">
        <f t="shared" si="23"/>
        <v>151</v>
      </c>
      <c r="B683" s="8" t="s">
        <v>233</v>
      </c>
      <c r="C683" s="5" t="s">
        <v>232</v>
      </c>
      <c r="D683" s="5"/>
      <c r="E683" s="5" t="s">
        <v>231</v>
      </c>
      <c r="F683" s="5" t="s">
        <v>48</v>
      </c>
      <c r="G683" s="5" t="s">
        <v>8</v>
      </c>
      <c r="H683" s="2">
        <v>46146</v>
      </c>
      <c r="I683" s="2">
        <v>46177</v>
      </c>
      <c r="J683" s="2"/>
      <c r="K683" s="2" t="str">
        <f>IFERROR(VLOOKUP(B683,#REF!,4,0),"")</f>
        <v/>
      </c>
      <c r="L683" s="1" t="s">
        <v>44</v>
      </c>
      <c r="M683" s="1" t="s">
        <v>17</v>
      </c>
      <c r="O683" s="4"/>
      <c r="Q683" s="4"/>
    </row>
    <row r="684" spans="1:17" x14ac:dyDescent="0.3">
      <c r="A684" s="3">
        <f t="shared" si="23"/>
        <v>152</v>
      </c>
      <c r="B684" s="8" t="s">
        <v>230</v>
      </c>
      <c r="C684" s="5" t="s">
        <v>229</v>
      </c>
      <c r="D684" s="5"/>
      <c r="E684" s="5" t="s">
        <v>228</v>
      </c>
      <c r="F684" s="5" t="s">
        <v>90</v>
      </c>
      <c r="G684" s="5" t="s">
        <v>8</v>
      </c>
      <c r="H684" s="2">
        <v>46164</v>
      </c>
      <c r="I684" s="2">
        <v>46199</v>
      </c>
      <c r="J684" s="2"/>
      <c r="K684" s="2" t="str">
        <f>IFERROR(VLOOKUP(B684,#REF!,4,0),"")</f>
        <v/>
      </c>
      <c r="L684" s="1" t="s">
        <v>13</v>
      </c>
      <c r="M684" s="1" t="s">
        <v>12</v>
      </c>
      <c r="O684" s="4"/>
      <c r="Q684" s="4"/>
    </row>
    <row r="685" spans="1:17" x14ac:dyDescent="0.3">
      <c r="A685" s="3">
        <f t="shared" si="23"/>
        <v>153</v>
      </c>
      <c r="B685" s="8" t="s">
        <v>227</v>
      </c>
      <c r="C685" s="5" t="s">
        <v>226</v>
      </c>
      <c r="D685" s="5"/>
      <c r="E685" s="5" t="s">
        <v>225</v>
      </c>
      <c r="F685" s="5" t="s">
        <v>28</v>
      </c>
      <c r="G685" s="5" t="s">
        <v>8</v>
      </c>
      <c r="H685" s="2"/>
      <c r="I685" s="2">
        <v>46184</v>
      </c>
      <c r="J685" s="2"/>
      <c r="K685" s="2" t="str">
        <f>IFERROR(VLOOKUP(B685,#REF!,4,0),"")</f>
        <v/>
      </c>
      <c r="L685" s="1" t="s">
        <v>27</v>
      </c>
      <c r="M685" s="1" t="s">
        <v>12</v>
      </c>
      <c r="O685" s="4"/>
      <c r="Q685" s="4"/>
    </row>
    <row r="686" spans="1:17" x14ac:dyDescent="0.3">
      <c r="A686" s="3">
        <f t="shared" si="23"/>
        <v>154</v>
      </c>
      <c r="B686" s="8" t="s">
        <v>224</v>
      </c>
      <c r="C686" s="5" t="s">
        <v>223</v>
      </c>
      <c r="D686" s="5"/>
      <c r="E686" s="5" t="s">
        <v>222</v>
      </c>
      <c r="F686" s="5" t="s">
        <v>28</v>
      </c>
      <c r="G686" s="5" t="s">
        <v>8</v>
      </c>
      <c r="H686" s="2"/>
      <c r="I686" s="2">
        <v>46175</v>
      </c>
      <c r="J686" s="2"/>
      <c r="K686" s="2" t="str">
        <f>IFERROR(VLOOKUP(B686,#REF!,4,0),"")</f>
        <v/>
      </c>
      <c r="L686" s="1" t="s">
        <v>27</v>
      </c>
      <c r="M686" s="1" t="s">
        <v>12</v>
      </c>
      <c r="O686" s="4"/>
      <c r="Q686" s="4"/>
    </row>
    <row r="687" spans="1:17" x14ac:dyDescent="0.3">
      <c r="A687" s="3">
        <f t="shared" si="23"/>
        <v>155</v>
      </c>
      <c r="B687" s="8" t="s">
        <v>221</v>
      </c>
      <c r="C687" s="5" t="s">
        <v>220</v>
      </c>
      <c r="D687" s="5"/>
      <c r="E687" s="5" t="s">
        <v>219</v>
      </c>
      <c r="F687" s="5" t="s">
        <v>28</v>
      </c>
      <c r="G687" s="5" t="s">
        <v>8</v>
      </c>
      <c r="H687" s="2"/>
      <c r="I687" s="2">
        <v>46175</v>
      </c>
      <c r="J687" s="2"/>
      <c r="K687" s="2" t="str">
        <f>IFERROR(VLOOKUP(B687,#REF!,4,0),"")</f>
        <v/>
      </c>
      <c r="L687" s="1" t="s">
        <v>27</v>
      </c>
      <c r="M687" s="1" t="s">
        <v>12</v>
      </c>
      <c r="O687" s="4" t="s">
        <v>218</v>
      </c>
      <c r="Q687" s="4"/>
    </row>
    <row r="688" spans="1:17" x14ac:dyDescent="0.3">
      <c r="A688" s="3">
        <f t="shared" si="23"/>
        <v>156</v>
      </c>
      <c r="B688" s="8" t="s">
        <v>217</v>
      </c>
      <c r="C688" s="5" t="s">
        <v>216</v>
      </c>
      <c r="D688" s="5"/>
      <c r="E688" s="5" t="s">
        <v>215</v>
      </c>
      <c r="F688" s="5" t="s">
        <v>32</v>
      </c>
      <c r="G688" s="5" t="s">
        <v>8</v>
      </c>
      <c r="H688" s="2"/>
      <c r="I688" s="2">
        <v>46181</v>
      </c>
      <c r="J688" s="2"/>
      <c r="K688" s="2" t="str">
        <f>IFERROR(VLOOKUP(B688,#REF!,4,0),"")</f>
        <v/>
      </c>
      <c r="L688" s="1" t="s">
        <v>27</v>
      </c>
      <c r="M688" s="1" t="s">
        <v>17</v>
      </c>
      <c r="O688" s="4"/>
      <c r="Q688" s="4"/>
    </row>
    <row r="689" spans="1:17" x14ac:dyDescent="0.3">
      <c r="A689" s="3">
        <f t="shared" si="23"/>
        <v>157</v>
      </c>
      <c r="B689" s="8" t="s">
        <v>214</v>
      </c>
      <c r="C689" s="5" t="s">
        <v>213</v>
      </c>
      <c r="D689" s="5"/>
      <c r="E689" s="5" t="s">
        <v>210</v>
      </c>
      <c r="F689" s="5" t="s">
        <v>9</v>
      </c>
      <c r="G689" s="5" t="s">
        <v>8</v>
      </c>
      <c r="H689" s="2"/>
      <c r="I689" s="2">
        <v>46181</v>
      </c>
      <c r="J689" s="2"/>
      <c r="K689" s="2" t="str">
        <f>IFERROR(VLOOKUP(B689,#REF!,4,0),"")</f>
        <v/>
      </c>
      <c r="L689" s="1" t="s">
        <v>124</v>
      </c>
      <c r="M689" s="1" t="s">
        <v>12</v>
      </c>
      <c r="O689" s="4"/>
      <c r="Q689" s="4"/>
    </row>
    <row r="690" spans="1:17" x14ac:dyDescent="0.3">
      <c r="A690" s="3">
        <f t="shared" si="23"/>
        <v>158</v>
      </c>
      <c r="B690" s="8" t="s">
        <v>212</v>
      </c>
      <c r="C690" s="5" t="s">
        <v>211</v>
      </c>
      <c r="D690" s="5"/>
      <c r="E690" s="5" t="s">
        <v>210</v>
      </c>
      <c r="F690" s="5" t="s">
        <v>9</v>
      </c>
      <c r="G690" s="5" t="s">
        <v>8</v>
      </c>
      <c r="H690" s="2"/>
      <c r="I690" s="2">
        <v>46177</v>
      </c>
      <c r="J690" s="2"/>
      <c r="K690" s="2" t="str">
        <f>IFERROR(VLOOKUP(B690,#REF!,4,0),"")</f>
        <v/>
      </c>
      <c r="L690" s="1" t="s">
        <v>124</v>
      </c>
      <c r="M690" s="1" t="s">
        <v>12</v>
      </c>
      <c r="O690" s="4"/>
      <c r="Q690" s="4"/>
    </row>
    <row r="691" spans="1:17" x14ac:dyDescent="0.3">
      <c r="A691" s="3">
        <f t="shared" si="23"/>
        <v>159</v>
      </c>
      <c r="B691" s="8" t="s">
        <v>209</v>
      </c>
      <c r="C691" s="5" t="s">
        <v>208</v>
      </c>
      <c r="D691" s="5"/>
      <c r="E691" s="5" t="s">
        <v>207</v>
      </c>
      <c r="F691" s="5" t="s">
        <v>28</v>
      </c>
      <c r="G691" s="5" t="s">
        <v>8</v>
      </c>
      <c r="H691" s="2"/>
      <c r="I691" s="2">
        <v>46178</v>
      </c>
      <c r="J691" s="2"/>
      <c r="K691" s="2" t="str">
        <f>IFERROR(VLOOKUP(B691,#REF!,4,0),"")</f>
        <v/>
      </c>
      <c r="L691" s="1" t="s">
        <v>27</v>
      </c>
      <c r="M691" s="1" t="s">
        <v>17</v>
      </c>
      <c r="O691" s="4"/>
      <c r="Q691" s="4"/>
    </row>
    <row r="692" spans="1:17" x14ac:dyDescent="0.3">
      <c r="A692" s="3">
        <f t="shared" si="23"/>
        <v>160</v>
      </c>
      <c r="B692" s="8" t="s">
        <v>206</v>
      </c>
      <c r="C692" s="5" t="s">
        <v>205</v>
      </c>
      <c r="D692" s="5"/>
      <c r="E692" s="5" t="s">
        <v>204</v>
      </c>
      <c r="F692" s="5" t="s">
        <v>36</v>
      </c>
      <c r="G692" s="5" t="s">
        <v>8</v>
      </c>
      <c r="H692" s="2">
        <v>46160</v>
      </c>
      <c r="I692" s="2">
        <v>46191</v>
      </c>
      <c r="J692" s="2"/>
      <c r="K692" s="2" t="str">
        <f>IFERROR(VLOOKUP(B692,#REF!,4,0),"")</f>
        <v/>
      </c>
      <c r="L692" s="1" t="s">
        <v>13</v>
      </c>
      <c r="M692" s="1" t="s">
        <v>17</v>
      </c>
      <c r="O692" s="4"/>
      <c r="Q692" s="4"/>
    </row>
    <row r="693" spans="1:17" x14ac:dyDescent="0.3">
      <c r="A693" s="3">
        <f t="shared" si="23"/>
        <v>161</v>
      </c>
      <c r="B693" s="8" t="s">
        <v>203</v>
      </c>
      <c r="C693" s="5" t="s">
        <v>202</v>
      </c>
      <c r="D693" s="5"/>
      <c r="E693" s="5" t="s">
        <v>201</v>
      </c>
      <c r="F693" s="5" t="s">
        <v>36</v>
      </c>
      <c r="G693" s="5" t="s">
        <v>8</v>
      </c>
      <c r="H693" s="2">
        <v>46168</v>
      </c>
      <c r="I693" s="2">
        <v>46196</v>
      </c>
      <c r="J693" s="2"/>
      <c r="K693" s="2" t="str">
        <f>IFERROR(VLOOKUP(B693,#REF!,4,0),"")</f>
        <v/>
      </c>
      <c r="L693" s="1" t="s">
        <v>13</v>
      </c>
      <c r="M693" s="1" t="s">
        <v>17</v>
      </c>
      <c r="O693" s="4"/>
      <c r="Q693" s="4"/>
    </row>
    <row r="694" spans="1:17" x14ac:dyDescent="0.3">
      <c r="A694" s="3">
        <f t="shared" si="23"/>
        <v>162</v>
      </c>
      <c r="B694" s="8" t="s">
        <v>200</v>
      </c>
      <c r="C694" s="5" t="s">
        <v>199</v>
      </c>
      <c r="D694" s="5"/>
      <c r="E694" s="5" t="s">
        <v>198</v>
      </c>
      <c r="F694" s="5" t="s">
        <v>9</v>
      </c>
      <c r="G694" s="5" t="s">
        <v>8</v>
      </c>
      <c r="H694" s="2">
        <v>46160</v>
      </c>
      <c r="I694" s="2">
        <v>46184</v>
      </c>
      <c r="J694" s="2"/>
      <c r="K694" s="2" t="str">
        <f>IFERROR(VLOOKUP(B694,#REF!,4,0),"")</f>
        <v/>
      </c>
      <c r="L694" s="1" t="s">
        <v>20</v>
      </c>
      <c r="M694" s="1" t="s">
        <v>12</v>
      </c>
      <c r="O694" s="4"/>
      <c r="Q694" s="4"/>
    </row>
    <row r="695" spans="1:17" x14ac:dyDescent="0.3">
      <c r="A695" s="3">
        <f t="shared" ref="A695:A726" si="24">1+A694</f>
        <v>163</v>
      </c>
      <c r="B695" s="8" t="s">
        <v>197</v>
      </c>
      <c r="C695" s="5" t="s">
        <v>196</v>
      </c>
      <c r="D695" s="5"/>
      <c r="E695" s="5" t="s">
        <v>195</v>
      </c>
      <c r="F695" s="5" t="s">
        <v>9</v>
      </c>
      <c r="G695" s="5" t="s">
        <v>8</v>
      </c>
      <c r="H695" s="2"/>
      <c r="I695" s="2">
        <v>46175</v>
      </c>
      <c r="J695" s="2"/>
      <c r="K695" s="2" t="str">
        <f>IFERROR(VLOOKUP(B695,#REF!,4,0),"")</f>
        <v/>
      </c>
      <c r="L695" s="1" t="s">
        <v>20</v>
      </c>
      <c r="M695" s="1" t="s">
        <v>12</v>
      </c>
      <c r="O695" s="4"/>
      <c r="Q695" s="4"/>
    </row>
    <row r="696" spans="1:17" x14ac:dyDescent="0.3">
      <c r="A696" s="3">
        <f t="shared" si="24"/>
        <v>164</v>
      </c>
      <c r="B696" s="8" t="s">
        <v>194</v>
      </c>
      <c r="C696" s="5" t="s">
        <v>193</v>
      </c>
      <c r="D696" s="5"/>
      <c r="E696" s="5" t="s">
        <v>192</v>
      </c>
      <c r="F696" s="5" t="s">
        <v>9</v>
      </c>
      <c r="G696" s="5" t="s">
        <v>8</v>
      </c>
      <c r="H696" s="2"/>
      <c r="I696" s="2">
        <v>46199</v>
      </c>
      <c r="J696" s="2"/>
      <c r="K696" s="2" t="str">
        <f>IFERROR(VLOOKUP(B696,#REF!,4,0),"")</f>
        <v/>
      </c>
      <c r="L696" s="1" t="s">
        <v>20</v>
      </c>
      <c r="M696" s="1" t="s">
        <v>12</v>
      </c>
      <c r="O696" s="4"/>
      <c r="Q696" s="4"/>
    </row>
    <row r="697" spans="1:17" x14ac:dyDescent="0.3">
      <c r="A697" s="3">
        <f t="shared" si="24"/>
        <v>165</v>
      </c>
      <c r="B697" s="8" t="s">
        <v>191</v>
      </c>
      <c r="C697" s="5" t="s">
        <v>190</v>
      </c>
      <c r="D697" s="5"/>
      <c r="E697" s="5" t="s">
        <v>189</v>
      </c>
      <c r="F697" s="5" t="s">
        <v>4</v>
      </c>
      <c r="G697" s="5" t="s">
        <v>8</v>
      </c>
      <c r="H697" s="2"/>
      <c r="I697" s="2">
        <v>46176</v>
      </c>
      <c r="J697" s="2"/>
      <c r="K697" s="2" t="str">
        <f>IFERROR(VLOOKUP(B697,#REF!,4,0),"")</f>
        <v/>
      </c>
      <c r="L697" s="1" t="s">
        <v>2</v>
      </c>
      <c r="M697" s="1" t="s">
        <v>12</v>
      </c>
      <c r="O697" s="4"/>
      <c r="Q697" s="4"/>
    </row>
    <row r="698" spans="1:17" x14ac:dyDescent="0.3">
      <c r="A698" s="3">
        <f t="shared" si="24"/>
        <v>166</v>
      </c>
      <c r="B698" s="8" t="s">
        <v>188</v>
      </c>
      <c r="C698" s="5" t="s">
        <v>187</v>
      </c>
      <c r="D698" s="5"/>
      <c r="E698" s="5" t="s">
        <v>186</v>
      </c>
      <c r="F698" s="5" t="s">
        <v>36</v>
      </c>
      <c r="G698" s="5" t="s">
        <v>8</v>
      </c>
      <c r="H698" s="2">
        <v>46150</v>
      </c>
      <c r="I698" s="2">
        <v>46188</v>
      </c>
      <c r="J698" s="2"/>
      <c r="K698" s="2" t="str">
        <f>IFERROR(VLOOKUP(B698,#REF!,4,0),"")</f>
        <v/>
      </c>
      <c r="L698" s="1" t="s">
        <v>13</v>
      </c>
      <c r="M698" s="1" t="s">
        <v>17</v>
      </c>
      <c r="O698" s="4"/>
      <c r="Q698" s="4"/>
    </row>
    <row r="699" spans="1:17" x14ac:dyDescent="0.3">
      <c r="A699" s="3">
        <f t="shared" si="24"/>
        <v>167</v>
      </c>
      <c r="B699" s="8" t="s">
        <v>185</v>
      </c>
      <c r="C699" s="5" t="s">
        <v>184</v>
      </c>
      <c r="D699" s="5"/>
      <c r="E699" s="5" t="s">
        <v>183</v>
      </c>
      <c r="F699" s="5" t="s">
        <v>9</v>
      </c>
      <c r="G699" s="5" t="s">
        <v>8</v>
      </c>
      <c r="H699" s="2"/>
      <c r="I699" s="2">
        <v>46178</v>
      </c>
      <c r="J699" s="2"/>
      <c r="K699" s="2" t="str">
        <f>IFERROR(VLOOKUP(B699,#REF!,4,0),"")</f>
        <v/>
      </c>
      <c r="L699" s="1" t="s">
        <v>20</v>
      </c>
      <c r="M699" s="1" t="s">
        <v>12</v>
      </c>
      <c r="O699" s="4"/>
      <c r="Q699" s="4"/>
    </row>
    <row r="700" spans="1:17" x14ac:dyDescent="0.3">
      <c r="A700" s="3">
        <f t="shared" si="24"/>
        <v>168</v>
      </c>
      <c r="B700" s="8" t="s">
        <v>182</v>
      </c>
      <c r="C700" s="5" t="s">
        <v>181</v>
      </c>
      <c r="D700" s="5"/>
      <c r="E700" s="5" t="s">
        <v>178</v>
      </c>
      <c r="F700" s="5" t="s">
        <v>28</v>
      </c>
      <c r="G700" s="5" t="s">
        <v>8</v>
      </c>
      <c r="H700" s="2"/>
      <c r="I700" s="2">
        <v>46190</v>
      </c>
      <c r="J700" s="2"/>
      <c r="K700" s="2" t="str">
        <f>IFERROR(VLOOKUP(B700,#REF!,4,0),"")</f>
        <v/>
      </c>
      <c r="L700" s="1" t="s">
        <v>27</v>
      </c>
      <c r="M700" s="1" t="s">
        <v>12</v>
      </c>
      <c r="O700" s="4"/>
      <c r="Q700" s="4"/>
    </row>
    <row r="701" spans="1:17" x14ac:dyDescent="0.3">
      <c r="A701" s="3">
        <f t="shared" si="24"/>
        <v>169</v>
      </c>
      <c r="B701" s="8" t="s">
        <v>180</v>
      </c>
      <c r="C701" s="5" t="s">
        <v>179</v>
      </c>
      <c r="D701" s="5"/>
      <c r="E701" s="5" t="s">
        <v>178</v>
      </c>
      <c r="F701" s="5" t="s">
        <v>28</v>
      </c>
      <c r="G701" s="5" t="s">
        <v>8</v>
      </c>
      <c r="H701" s="2"/>
      <c r="I701" s="2">
        <v>46175</v>
      </c>
      <c r="J701" s="2"/>
      <c r="K701" s="2" t="str">
        <f>IFERROR(VLOOKUP(B701,#REF!,4,0),"")</f>
        <v/>
      </c>
      <c r="L701" s="1" t="s">
        <v>27</v>
      </c>
      <c r="M701" s="1" t="s">
        <v>12</v>
      </c>
      <c r="O701" s="4"/>
      <c r="Q701" s="4"/>
    </row>
    <row r="702" spans="1:17" x14ac:dyDescent="0.3">
      <c r="A702" s="3">
        <f t="shared" si="24"/>
        <v>170</v>
      </c>
      <c r="B702" s="8" t="s">
        <v>177</v>
      </c>
      <c r="C702" s="5" t="s">
        <v>176</v>
      </c>
      <c r="D702" s="5"/>
      <c r="E702" s="5" t="s">
        <v>175</v>
      </c>
      <c r="F702" s="5" t="s">
        <v>90</v>
      </c>
      <c r="G702" s="5" t="s">
        <v>8</v>
      </c>
      <c r="H702" s="2">
        <v>46165</v>
      </c>
      <c r="I702" s="2">
        <v>46198</v>
      </c>
      <c r="J702" s="2"/>
      <c r="K702" s="2" t="str">
        <f>IFERROR(VLOOKUP(B702,#REF!,4,0),"")</f>
        <v/>
      </c>
      <c r="L702" s="1" t="s">
        <v>13</v>
      </c>
      <c r="M702" s="1" t="s">
        <v>17</v>
      </c>
      <c r="O702" s="4"/>
      <c r="Q702" s="4"/>
    </row>
    <row r="703" spans="1:17" x14ac:dyDescent="0.3">
      <c r="A703" s="3">
        <f t="shared" si="24"/>
        <v>171</v>
      </c>
      <c r="B703" s="8" t="s">
        <v>174</v>
      </c>
      <c r="C703" s="5" t="s">
        <v>173</v>
      </c>
      <c r="D703" s="5"/>
      <c r="E703" s="5" t="s">
        <v>172</v>
      </c>
      <c r="F703" s="5" t="s">
        <v>48</v>
      </c>
      <c r="G703" s="5" t="s">
        <v>8</v>
      </c>
      <c r="H703" s="2"/>
      <c r="I703" s="2">
        <v>46184</v>
      </c>
      <c r="J703" s="2"/>
      <c r="K703" s="2" t="str">
        <f>IFERROR(VLOOKUP(B703,#REF!,4,0),"")</f>
        <v/>
      </c>
      <c r="L703" s="1" t="s">
        <v>44</v>
      </c>
      <c r="M703" s="1" t="s">
        <v>17</v>
      </c>
      <c r="O703" s="4"/>
      <c r="Q703" s="4"/>
    </row>
    <row r="704" spans="1:17" x14ac:dyDescent="0.3">
      <c r="A704" s="3">
        <f t="shared" si="24"/>
        <v>172</v>
      </c>
      <c r="B704" s="8" t="s">
        <v>171</v>
      </c>
      <c r="C704" s="5" t="s">
        <v>170</v>
      </c>
      <c r="D704" s="5"/>
      <c r="E704" s="5" t="s">
        <v>167</v>
      </c>
      <c r="F704" s="5" t="s">
        <v>9</v>
      </c>
      <c r="G704" s="5" t="s">
        <v>8</v>
      </c>
      <c r="H704" s="2"/>
      <c r="I704" s="2">
        <v>46177</v>
      </c>
      <c r="J704" s="2"/>
      <c r="K704" s="2" t="str">
        <f>IFERROR(VLOOKUP(B704,#REF!,4,0),"")</f>
        <v/>
      </c>
      <c r="L704" s="1" t="s">
        <v>124</v>
      </c>
      <c r="M704" s="1" t="s">
        <v>12</v>
      </c>
      <c r="O704" s="4"/>
      <c r="Q704" s="4"/>
    </row>
    <row r="705" spans="1:17" x14ac:dyDescent="0.3">
      <c r="A705" s="3">
        <f t="shared" si="24"/>
        <v>173</v>
      </c>
      <c r="B705" s="13" t="s">
        <v>169</v>
      </c>
      <c r="C705" s="5" t="s">
        <v>168</v>
      </c>
      <c r="D705" s="5"/>
      <c r="E705" s="5" t="s">
        <v>167</v>
      </c>
      <c r="F705" s="5" t="s">
        <v>9</v>
      </c>
      <c r="G705" s="5" t="s">
        <v>8</v>
      </c>
      <c r="H705" s="2"/>
      <c r="I705" s="2">
        <v>46183</v>
      </c>
      <c r="J705" s="2"/>
      <c r="K705" s="2" t="str">
        <f>IFERROR(VLOOKUP(B705,#REF!,4,0),"")</f>
        <v/>
      </c>
      <c r="L705" s="1" t="s">
        <v>124</v>
      </c>
      <c r="M705" s="1" t="s">
        <v>12</v>
      </c>
      <c r="O705" s="4"/>
      <c r="Q705" s="4"/>
    </row>
    <row r="706" spans="1:17" x14ac:dyDescent="0.3">
      <c r="A706" s="3">
        <f t="shared" si="24"/>
        <v>174</v>
      </c>
      <c r="B706" s="8" t="s">
        <v>166</v>
      </c>
      <c r="C706" s="5" t="s">
        <v>165</v>
      </c>
      <c r="D706" s="5"/>
      <c r="E706" s="5" t="s">
        <v>164</v>
      </c>
      <c r="F706" s="5" t="s">
        <v>9</v>
      </c>
      <c r="G706" s="5" t="s">
        <v>8</v>
      </c>
      <c r="H706" s="2"/>
      <c r="I706" s="2">
        <v>46181</v>
      </c>
      <c r="J706" s="2"/>
      <c r="K706" s="2" t="str">
        <f>IFERROR(VLOOKUP(B706,#REF!,4,0),"")</f>
        <v/>
      </c>
      <c r="L706" s="1" t="s">
        <v>20</v>
      </c>
      <c r="M706" s="1" t="s">
        <v>17</v>
      </c>
      <c r="O706" s="4"/>
      <c r="Q706" s="4"/>
    </row>
    <row r="707" spans="1:17" x14ac:dyDescent="0.3">
      <c r="A707" s="3">
        <f t="shared" si="24"/>
        <v>175</v>
      </c>
      <c r="B707" s="8" t="s">
        <v>163</v>
      </c>
      <c r="C707" s="5" t="s">
        <v>162</v>
      </c>
      <c r="D707" s="5"/>
      <c r="E707" s="5" t="s">
        <v>159</v>
      </c>
      <c r="F707" s="5" t="s">
        <v>32</v>
      </c>
      <c r="G707" s="5" t="s">
        <v>8</v>
      </c>
      <c r="H707" s="2"/>
      <c r="I707" s="2">
        <v>46176</v>
      </c>
      <c r="J707" s="2"/>
      <c r="K707" s="2" t="str">
        <f>IFERROR(VLOOKUP(B707,#REF!,4,0),"")</f>
        <v/>
      </c>
      <c r="L707" s="1" t="s">
        <v>27</v>
      </c>
      <c r="M707" s="1" t="s">
        <v>12</v>
      </c>
      <c r="O707" s="4"/>
      <c r="Q707" s="4"/>
    </row>
    <row r="708" spans="1:17" x14ac:dyDescent="0.3">
      <c r="A708" s="3">
        <f t="shared" si="24"/>
        <v>176</v>
      </c>
      <c r="B708" s="8" t="s">
        <v>161</v>
      </c>
      <c r="C708" s="5" t="s">
        <v>160</v>
      </c>
      <c r="D708" s="5"/>
      <c r="E708" s="5" t="s">
        <v>159</v>
      </c>
      <c r="F708" s="5" t="s">
        <v>32</v>
      </c>
      <c r="G708" s="5" t="s">
        <v>8</v>
      </c>
      <c r="H708" s="2"/>
      <c r="I708" s="2">
        <v>46176</v>
      </c>
      <c r="J708" s="2"/>
      <c r="K708" s="2" t="str">
        <f>IFERROR(VLOOKUP(B708,#REF!,4,0),"")</f>
        <v/>
      </c>
      <c r="L708" s="1" t="s">
        <v>27</v>
      </c>
      <c r="M708" s="1" t="s">
        <v>12</v>
      </c>
      <c r="O708" s="4"/>
      <c r="Q708" s="4"/>
    </row>
    <row r="709" spans="1:17" x14ac:dyDescent="0.3">
      <c r="A709" s="3">
        <f t="shared" si="24"/>
        <v>177</v>
      </c>
      <c r="B709" s="8" t="s">
        <v>158</v>
      </c>
      <c r="C709" s="5" t="s">
        <v>157</v>
      </c>
      <c r="D709" s="5"/>
      <c r="E709" s="5" t="s">
        <v>156</v>
      </c>
      <c r="F709" s="5" t="s">
        <v>32</v>
      </c>
      <c r="G709" s="5" t="s">
        <v>8</v>
      </c>
      <c r="H709" s="2"/>
      <c r="I709" s="2">
        <v>46176</v>
      </c>
      <c r="J709" s="2"/>
      <c r="K709" s="2" t="str">
        <f>IFERROR(VLOOKUP(B709,#REF!,4,0),"")</f>
        <v/>
      </c>
      <c r="L709" s="1" t="s">
        <v>27</v>
      </c>
      <c r="M709" s="1" t="s">
        <v>12</v>
      </c>
      <c r="O709" s="4"/>
      <c r="Q709" s="4"/>
    </row>
    <row r="710" spans="1:17" x14ac:dyDescent="0.3">
      <c r="A710" s="3">
        <f t="shared" si="24"/>
        <v>178</v>
      </c>
      <c r="B710" s="8" t="s">
        <v>155</v>
      </c>
      <c r="C710" s="5" t="s">
        <v>154</v>
      </c>
      <c r="D710" s="5"/>
      <c r="E710" s="5" t="s">
        <v>153</v>
      </c>
      <c r="F710" s="5" t="s">
        <v>9</v>
      </c>
      <c r="G710" s="5" t="s">
        <v>8</v>
      </c>
      <c r="H710" s="2"/>
      <c r="I710" s="2">
        <v>46191</v>
      </c>
      <c r="J710" s="2"/>
      <c r="K710" s="2" t="str">
        <f>IFERROR(VLOOKUP(B710,#REF!,4,0),"")</f>
        <v/>
      </c>
      <c r="L710" s="1" t="s">
        <v>124</v>
      </c>
      <c r="M710" s="1" t="s">
        <v>17</v>
      </c>
      <c r="O710" s="4"/>
      <c r="Q710" s="4"/>
    </row>
    <row r="711" spans="1:17" x14ac:dyDescent="0.3">
      <c r="A711" s="3">
        <f t="shared" si="24"/>
        <v>179</v>
      </c>
      <c r="B711" s="8" t="s">
        <v>152</v>
      </c>
      <c r="C711" s="5" t="s">
        <v>151</v>
      </c>
      <c r="D711" s="5"/>
      <c r="E711" s="5" t="s">
        <v>150</v>
      </c>
      <c r="F711" s="5" t="s">
        <v>28</v>
      </c>
      <c r="G711" s="5" t="s">
        <v>8</v>
      </c>
      <c r="H711" s="2"/>
      <c r="I711" s="2">
        <v>46175</v>
      </c>
      <c r="J711" s="2"/>
      <c r="K711" s="2" t="str">
        <f>IFERROR(VLOOKUP(B711,#REF!,4,0),"")</f>
        <v/>
      </c>
      <c r="L711" s="1" t="s">
        <v>27</v>
      </c>
      <c r="M711" s="1" t="s">
        <v>17</v>
      </c>
      <c r="O711" s="4"/>
      <c r="Q711" s="4"/>
    </row>
    <row r="712" spans="1:17" x14ac:dyDescent="0.3">
      <c r="A712" s="3">
        <f t="shared" si="24"/>
        <v>180</v>
      </c>
      <c r="B712" s="9" t="s">
        <v>149</v>
      </c>
      <c r="C712" s="5" t="s">
        <v>148</v>
      </c>
      <c r="D712" s="5"/>
      <c r="E712" s="5" t="s">
        <v>147</v>
      </c>
      <c r="F712" s="5" t="s">
        <v>36</v>
      </c>
      <c r="G712" s="5" t="s">
        <v>8</v>
      </c>
      <c r="H712" s="2"/>
      <c r="I712" s="2">
        <v>46184</v>
      </c>
      <c r="J712" s="2"/>
      <c r="K712" s="2" t="str">
        <f>IFERROR(VLOOKUP(B712,#REF!,4,0),"")</f>
        <v/>
      </c>
      <c r="L712" s="1" t="s">
        <v>13</v>
      </c>
      <c r="M712" s="1" t="s">
        <v>12</v>
      </c>
      <c r="O712" s="4" t="s">
        <v>146</v>
      </c>
      <c r="Q712" s="4"/>
    </row>
    <row r="713" spans="1:17" x14ac:dyDescent="0.3">
      <c r="A713" s="3">
        <f t="shared" si="24"/>
        <v>181</v>
      </c>
      <c r="B713" s="8" t="s">
        <v>145</v>
      </c>
      <c r="C713" s="5" t="s">
        <v>144</v>
      </c>
      <c r="D713" s="5"/>
      <c r="E713" s="12" t="s">
        <v>143</v>
      </c>
      <c r="F713" s="5" t="s">
        <v>48</v>
      </c>
      <c r="G713" s="5" t="s">
        <v>8</v>
      </c>
      <c r="H713" s="2"/>
      <c r="I713" s="2">
        <v>46184</v>
      </c>
      <c r="J713" s="2"/>
      <c r="K713" s="2" t="str">
        <f>IFERROR(VLOOKUP(B713,#REF!,4,0),"")</f>
        <v/>
      </c>
      <c r="L713" s="1" t="s">
        <v>44</v>
      </c>
      <c r="M713" s="1" t="s">
        <v>12</v>
      </c>
      <c r="O713" s="4"/>
      <c r="Q713" s="4"/>
    </row>
    <row r="714" spans="1:17" x14ac:dyDescent="0.3">
      <c r="A714" s="3">
        <f t="shared" si="24"/>
        <v>182</v>
      </c>
      <c r="B714" s="8" t="s">
        <v>142</v>
      </c>
      <c r="C714" s="5" t="s">
        <v>141</v>
      </c>
      <c r="D714" s="5"/>
      <c r="E714" s="5" t="s">
        <v>140</v>
      </c>
      <c r="F714" s="5" t="s">
        <v>9</v>
      </c>
      <c r="G714" s="5" t="s">
        <v>8</v>
      </c>
      <c r="H714" s="2"/>
      <c r="I714" s="2">
        <v>46181</v>
      </c>
      <c r="J714" s="2"/>
      <c r="K714" s="2" t="str">
        <f>IFERROR(VLOOKUP(B714,#REF!,4,0),"")</f>
        <v/>
      </c>
      <c r="L714" s="1" t="s">
        <v>20</v>
      </c>
      <c r="M714" s="1" t="s">
        <v>12</v>
      </c>
      <c r="O714" s="4"/>
      <c r="Q714" s="4"/>
    </row>
    <row r="715" spans="1:17" x14ac:dyDescent="0.3">
      <c r="A715" s="3">
        <f t="shared" si="24"/>
        <v>183</v>
      </c>
      <c r="B715" s="8" t="s">
        <v>139</v>
      </c>
      <c r="C715" s="5" t="s">
        <v>138</v>
      </c>
      <c r="D715" s="5"/>
      <c r="E715" s="5" t="s">
        <v>137</v>
      </c>
      <c r="F715" s="5" t="s">
        <v>9</v>
      </c>
      <c r="G715" s="5" t="s">
        <v>8</v>
      </c>
      <c r="H715" s="2"/>
      <c r="I715" s="2">
        <v>46179</v>
      </c>
      <c r="J715" s="2"/>
      <c r="K715" s="2" t="str">
        <f>IFERROR(VLOOKUP(B715,#REF!,4,0),"")</f>
        <v/>
      </c>
      <c r="L715" s="1" t="s">
        <v>20</v>
      </c>
      <c r="M715" s="1" t="s">
        <v>17</v>
      </c>
      <c r="O715" s="4"/>
      <c r="Q715" s="4"/>
    </row>
    <row r="716" spans="1:17" x14ac:dyDescent="0.3">
      <c r="A716" s="3">
        <f t="shared" si="24"/>
        <v>184</v>
      </c>
      <c r="B716" s="8" t="s">
        <v>136</v>
      </c>
      <c r="C716" s="5" t="s">
        <v>135</v>
      </c>
      <c r="D716" s="5"/>
      <c r="E716" s="5" t="s">
        <v>131</v>
      </c>
      <c r="F716" s="5" t="s">
        <v>9</v>
      </c>
      <c r="G716" s="5" t="s">
        <v>8</v>
      </c>
      <c r="H716" s="2"/>
      <c r="I716" s="2">
        <v>46185</v>
      </c>
      <c r="J716" s="2"/>
      <c r="K716" s="2" t="str">
        <f>IFERROR(VLOOKUP(B716,#REF!,4,0),"")</f>
        <v/>
      </c>
      <c r="L716" s="1" t="s">
        <v>124</v>
      </c>
      <c r="M716" s="1" t="s">
        <v>134</v>
      </c>
      <c r="O716" s="4"/>
      <c r="Q716" s="4"/>
    </row>
    <row r="717" spans="1:17" x14ac:dyDescent="0.3">
      <c r="A717" s="3">
        <f t="shared" si="24"/>
        <v>185</v>
      </c>
      <c r="B717" s="8" t="s">
        <v>133</v>
      </c>
      <c r="C717" s="5" t="s">
        <v>132</v>
      </c>
      <c r="D717" s="5"/>
      <c r="E717" s="5" t="s">
        <v>131</v>
      </c>
      <c r="F717" s="5" t="s">
        <v>9</v>
      </c>
      <c r="G717" s="5" t="s">
        <v>8</v>
      </c>
      <c r="H717" s="2"/>
      <c r="I717" s="2">
        <v>46178</v>
      </c>
      <c r="J717" s="2"/>
      <c r="K717" s="2" t="str">
        <f>IFERROR(VLOOKUP(B717,#REF!,4,0),"")</f>
        <v/>
      </c>
      <c r="L717" s="1" t="s">
        <v>124</v>
      </c>
      <c r="M717" s="1" t="s">
        <v>12</v>
      </c>
      <c r="O717" s="4"/>
      <c r="Q717" s="4"/>
    </row>
    <row r="718" spans="1:17" x14ac:dyDescent="0.3">
      <c r="A718" s="3">
        <f t="shared" si="24"/>
        <v>186</v>
      </c>
      <c r="B718" s="8" t="s">
        <v>130</v>
      </c>
      <c r="C718" s="5" t="s">
        <v>129</v>
      </c>
      <c r="D718" s="5"/>
      <c r="E718" s="5" t="s">
        <v>128</v>
      </c>
      <c r="F718" s="5" t="s">
        <v>36</v>
      </c>
      <c r="G718" s="5" t="s">
        <v>8</v>
      </c>
      <c r="H718" s="2"/>
      <c r="I718" s="2">
        <v>46178</v>
      </c>
      <c r="J718" s="2"/>
      <c r="K718" s="2" t="str">
        <f>IFERROR(VLOOKUP(B718,#REF!,4,0),"")</f>
        <v/>
      </c>
      <c r="L718" s="1" t="s">
        <v>13</v>
      </c>
      <c r="M718" s="1" t="s">
        <v>12</v>
      </c>
      <c r="O718" s="4"/>
      <c r="Q718" s="4"/>
    </row>
    <row r="719" spans="1:17" x14ac:dyDescent="0.3">
      <c r="A719" s="3">
        <f t="shared" si="24"/>
        <v>187</v>
      </c>
      <c r="B719" s="8" t="s">
        <v>127</v>
      </c>
      <c r="C719" s="5" t="s">
        <v>126</v>
      </c>
      <c r="D719" s="5"/>
      <c r="E719" s="5" t="s">
        <v>125</v>
      </c>
      <c r="F719" s="5" t="s">
        <v>9</v>
      </c>
      <c r="G719" s="5" t="s">
        <v>8</v>
      </c>
      <c r="H719" s="2"/>
      <c r="I719" s="2">
        <v>46178</v>
      </c>
      <c r="J719" s="2"/>
      <c r="K719" s="2" t="str">
        <f>IFERROR(VLOOKUP(B719,#REF!,4,0),"")</f>
        <v/>
      </c>
      <c r="L719" s="1" t="s">
        <v>124</v>
      </c>
      <c r="M719" s="1" t="s">
        <v>12</v>
      </c>
      <c r="O719" s="4"/>
      <c r="Q719" s="4"/>
    </row>
    <row r="720" spans="1:17" x14ac:dyDescent="0.3">
      <c r="A720" s="3">
        <f t="shared" si="24"/>
        <v>188</v>
      </c>
      <c r="B720" s="11" t="s">
        <v>123</v>
      </c>
      <c r="C720" s="5" t="s">
        <v>122</v>
      </c>
      <c r="D720" s="5"/>
      <c r="E720" s="5" t="s">
        <v>121</v>
      </c>
      <c r="F720" s="5" t="s">
        <v>9</v>
      </c>
      <c r="G720" s="5" t="s">
        <v>8</v>
      </c>
      <c r="H720" s="2"/>
      <c r="I720" s="2">
        <v>46177</v>
      </c>
      <c r="J720" s="2"/>
      <c r="K720" s="2" t="str">
        <f>IFERROR(VLOOKUP(B720,#REF!,4,0),"")</f>
        <v/>
      </c>
      <c r="L720" s="1" t="s">
        <v>20</v>
      </c>
      <c r="M720" s="1" t="s">
        <v>12</v>
      </c>
      <c r="O720" s="4"/>
      <c r="Q720" s="4"/>
    </row>
    <row r="721" spans="1:17" x14ac:dyDescent="0.3">
      <c r="A721" s="3">
        <f t="shared" si="24"/>
        <v>189</v>
      </c>
      <c r="B721" s="10" t="s">
        <v>120</v>
      </c>
      <c r="C721" s="5" t="s">
        <v>119</v>
      </c>
      <c r="D721" s="5"/>
      <c r="E721" s="5" t="s">
        <v>118</v>
      </c>
      <c r="F721" s="5" t="s">
        <v>40</v>
      </c>
      <c r="G721" s="5" t="s">
        <v>8</v>
      </c>
      <c r="H721" s="2">
        <v>46165</v>
      </c>
      <c r="I721" s="2">
        <v>46179</v>
      </c>
      <c r="J721" s="2"/>
      <c r="K721" s="2" t="str">
        <f>IFERROR(VLOOKUP(B721,#REF!,4,0),"")</f>
        <v/>
      </c>
      <c r="L721" s="1" t="s">
        <v>27</v>
      </c>
      <c r="M721" s="1" t="s">
        <v>17</v>
      </c>
      <c r="O721" s="4"/>
      <c r="Q721" s="4"/>
    </row>
    <row r="722" spans="1:17" x14ac:dyDescent="0.3">
      <c r="A722" s="3">
        <f t="shared" si="24"/>
        <v>190</v>
      </c>
      <c r="B722" s="8" t="s">
        <v>117</v>
      </c>
      <c r="C722" s="5" t="s">
        <v>116</v>
      </c>
      <c r="D722" s="5"/>
      <c r="E722" s="5" t="s">
        <v>115</v>
      </c>
      <c r="F722" s="5" t="s">
        <v>4</v>
      </c>
      <c r="G722" s="5" t="s">
        <v>8</v>
      </c>
      <c r="H722" s="2">
        <v>46165</v>
      </c>
      <c r="I722" s="2">
        <v>46199</v>
      </c>
      <c r="J722" s="2"/>
      <c r="K722" s="2" t="str">
        <f>IFERROR(VLOOKUP(B722,#REF!,4,0),"")</f>
        <v/>
      </c>
      <c r="L722" s="1" t="s">
        <v>2</v>
      </c>
      <c r="M722" s="1" t="s">
        <v>17</v>
      </c>
      <c r="O722" s="4"/>
      <c r="Q722" s="4"/>
    </row>
    <row r="723" spans="1:17" x14ac:dyDescent="0.3">
      <c r="A723" s="3">
        <f t="shared" si="24"/>
        <v>191</v>
      </c>
      <c r="B723" s="8" t="s">
        <v>114</v>
      </c>
      <c r="C723" s="5" t="s">
        <v>113</v>
      </c>
      <c r="D723" s="5"/>
      <c r="E723" s="5" t="s">
        <v>112</v>
      </c>
      <c r="F723" s="5" t="s">
        <v>36</v>
      </c>
      <c r="G723" s="5" t="s">
        <v>8</v>
      </c>
      <c r="H723" s="2"/>
      <c r="I723" s="2">
        <v>46178</v>
      </c>
      <c r="J723" s="2"/>
      <c r="K723" s="2" t="str">
        <f>IFERROR(VLOOKUP(B723,#REF!,4,0),"")</f>
        <v/>
      </c>
      <c r="L723" s="1" t="s">
        <v>13</v>
      </c>
      <c r="M723" s="1" t="s">
        <v>12</v>
      </c>
      <c r="O723" s="4"/>
      <c r="Q723" s="4"/>
    </row>
    <row r="724" spans="1:17" x14ac:dyDescent="0.3">
      <c r="A724" s="3">
        <f t="shared" si="24"/>
        <v>192</v>
      </c>
      <c r="B724" s="8" t="s">
        <v>111</v>
      </c>
      <c r="C724" s="5" t="s">
        <v>110</v>
      </c>
      <c r="D724" s="5"/>
      <c r="E724" s="5" t="s">
        <v>109</v>
      </c>
      <c r="F724" s="5" t="s">
        <v>48</v>
      </c>
      <c r="G724" s="5" t="s">
        <v>8</v>
      </c>
      <c r="H724" s="2"/>
      <c r="I724" s="2">
        <v>46183</v>
      </c>
      <c r="J724" s="2"/>
      <c r="K724" s="2" t="str">
        <f>IFERROR(VLOOKUP(B724,#REF!,4,0),"")</f>
        <v/>
      </c>
      <c r="L724" s="1" t="s">
        <v>44</v>
      </c>
      <c r="M724" s="1" t="s">
        <v>12</v>
      </c>
      <c r="O724" s="4"/>
      <c r="Q724" s="4"/>
    </row>
    <row r="725" spans="1:17" x14ac:dyDescent="0.3">
      <c r="A725" s="3">
        <f t="shared" si="24"/>
        <v>193</v>
      </c>
      <c r="B725" s="8" t="s">
        <v>108</v>
      </c>
      <c r="C725" s="5" t="s">
        <v>107</v>
      </c>
      <c r="D725" s="5"/>
      <c r="E725" s="5" t="s">
        <v>106</v>
      </c>
      <c r="F725" s="5" t="s">
        <v>90</v>
      </c>
      <c r="G725" s="5" t="s">
        <v>8</v>
      </c>
      <c r="H725" s="2"/>
      <c r="I725" s="2">
        <v>46193</v>
      </c>
      <c r="J725" s="2"/>
      <c r="K725" s="2" t="str">
        <f>IFERROR(VLOOKUP(B725,#REF!,4,0),"")</f>
        <v/>
      </c>
      <c r="L725" s="1" t="s">
        <v>13</v>
      </c>
      <c r="M725" s="1" t="s">
        <v>12</v>
      </c>
      <c r="O725" s="4"/>
      <c r="Q725" s="4"/>
    </row>
    <row r="726" spans="1:17" x14ac:dyDescent="0.3">
      <c r="A726" s="3">
        <f t="shared" si="24"/>
        <v>194</v>
      </c>
      <c r="B726" s="8" t="s">
        <v>105</v>
      </c>
      <c r="C726" s="5" t="s">
        <v>104</v>
      </c>
      <c r="D726" s="5"/>
      <c r="E726" s="5" t="s">
        <v>103</v>
      </c>
      <c r="F726" s="5" t="s">
        <v>28</v>
      </c>
      <c r="G726" s="5" t="s">
        <v>8</v>
      </c>
      <c r="H726" s="2"/>
      <c r="I726" s="2">
        <v>46184</v>
      </c>
      <c r="J726" s="2"/>
      <c r="K726" s="2" t="str">
        <f>IFERROR(VLOOKUP(B726,#REF!,4,0),"")</f>
        <v/>
      </c>
      <c r="L726" s="1" t="s">
        <v>27</v>
      </c>
      <c r="M726" s="1" t="s">
        <v>12</v>
      </c>
      <c r="O726" s="4"/>
      <c r="Q726" s="4"/>
    </row>
    <row r="727" spans="1:17" x14ac:dyDescent="0.3">
      <c r="A727" s="3">
        <f t="shared" ref="A727:A753" si="25">1+A726</f>
        <v>195</v>
      </c>
      <c r="B727" s="8" t="s">
        <v>102</v>
      </c>
      <c r="C727" s="5" t="s">
        <v>101</v>
      </c>
      <c r="D727" s="5"/>
      <c r="E727" s="5" t="s">
        <v>100</v>
      </c>
      <c r="F727" s="5" t="s">
        <v>48</v>
      </c>
      <c r="G727" s="5" t="s">
        <v>8</v>
      </c>
      <c r="H727" s="2">
        <v>46148</v>
      </c>
      <c r="I727" s="2">
        <v>46196</v>
      </c>
      <c r="J727" s="2"/>
      <c r="K727" s="2" t="str">
        <f>IFERROR(VLOOKUP(B727,#REF!,4,0),"")</f>
        <v/>
      </c>
      <c r="L727" s="1" t="s">
        <v>44</v>
      </c>
      <c r="M727" s="1" t="s">
        <v>12</v>
      </c>
      <c r="O727" s="4"/>
      <c r="Q727" s="4"/>
    </row>
    <row r="728" spans="1:17" x14ac:dyDescent="0.3">
      <c r="A728" s="3">
        <f t="shared" si="25"/>
        <v>196</v>
      </c>
      <c r="B728" s="8" t="s">
        <v>99</v>
      </c>
      <c r="C728" s="5" t="s">
        <v>98</v>
      </c>
      <c r="D728" s="5"/>
      <c r="E728" s="5" t="s">
        <v>97</v>
      </c>
      <c r="F728" s="5" t="s">
        <v>48</v>
      </c>
      <c r="G728" s="5" t="s">
        <v>8</v>
      </c>
      <c r="H728" s="2"/>
      <c r="I728" s="2">
        <v>46195</v>
      </c>
      <c r="J728" s="2"/>
      <c r="K728" s="2" t="str">
        <f>IFERROR(VLOOKUP(B728,#REF!,4,0),"")</f>
        <v/>
      </c>
      <c r="L728" s="1" t="s">
        <v>44</v>
      </c>
      <c r="M728" s="1" t="s">
        <v>17</v>
      </c>
      <c r="O728" s="4"/>
      <c r="Q728" s="4"/>
    </row>
    <row r="729" spans="1:17" x14ac:dyDescent="0.3">
      <c r="A729" s="3">
        <f t="shared" si="25"/>
        <v>197</v>
      </c>
      <c r="B729" s="8" t="s">
        <v>96</v>
      </c>
      <c r="C729" s="5" t="s">
        <v>95</v>
      </c>
      <c r="D729" s="5"/>
      <c r="E729" s="5" t="s">
        <v>94</v>
      </c>
      <c r="F729" s="5" t="s">
        <v>4</v>
      </c>
      <c r="G729" s="5" t="s">
        <v>8</v>
      </c>
      <c r="H729" s="2"/>
      <c r="I729" s="2">
        <v>46184</v>
      </c>
      <c r="J729" s="2"/>
      <c r="K729" s="2" t="str">
        <f>IFERROR(VLOOKUP(B729,#REF!,4,0),"")</f>
        <v/>
      </c>
      <c r="L729" s="1" t="s">
        <v>2</v>
      </c>
      <c r="M729" s="1" t="s">
        <v>12</v>
      </c>
      <c r="O729" s="4"/>
      <c r="Q729" s="4"/>
    </row>
    <row r="730" spans="1:17" x14ac:dyDescent="0.3">
      <c r="A730" s="3">
        <f t="shared" si="25"/>
        <v>198</v>
      </c>
      <c r="B730" s="8" t="s">
        <v>93</v>
      </c>
      <c r="C730" s="5" t="s">
        <v>92</v>
      </c>
      <c r="D730" s="5"/>
      <c r="E730" s="5" t="s">
        <v>91</v>
      </c>
      <c r="F730" s="5" t="s">
        <v>90</v>
      </c>
      <c r="G730" s="5" t="s">
        <v>8</v>
      </c>
      <c r="H730" s="2"/>
      <c r="I730" s="2">
        <v>46199</v>
      </c>
      <c r="J730" s="2"/>
      <c r="K730" s="2" t="str">
        <f>IFERROR(VLOOKUP(B730,#REF!,4,0),"")</f>
        <v/>
      </c>
      <c r="L730" s="1" t="s">
        <v>44</v>
      </c>
      <c r="M730" s="1" t="s">
        <v>12</v>
      </c>
      <c r="O730" s="4"/>
      <c r="Q730" s="4"/>
    </row>
    <row r="731" spans="1:17" x14ac:dyDescent="0.3">
      <c r="A731" s="3">
        <f t="shared" si="25"/>
        <v>199</v>
      </c>
      <c r="B731" s="10" t="s">
        <v>89</v>
      </c>
      <c r="C731" s="5" t="s">
        <v>88</v>
      </c>
      <c r="D731" s="5"/>
      <c r="E731" s="5" t="s">
        <v>87</v>
      </c>
      <c r="F731" s="5" t="s">
        <v>48</v>
      </c>
      <c r="G731" s="5" t="s">
        <v>8</v>
      </c>
      <c r="H731" s="2">
        <v>46168</v>
      </c>
      <c r="I731" s="2">
        <v>46188</v>
      </c>
      <c r="J731" s="2"/>
      <c r="K731" s="2" t="str">
        <f>IFERROR(VLOOKUP(B731,#REF!,4,0),"")</f>
        <v/>
      </c>
      <c r="L731" s="1" t="s">
        <v>44</v>
      </c>
      <c r="M731" s="1" t="s">
        <v>17</v>
      </c>
      <c r="O731" s="4"/>
      <c r="Q731" s="4"/>
    </row>
    <row r="732" spans="1:17" x14ac:dyDescent="0.3">
      <c r="A732" s="3">
        <f t="shared" si="25"/>
        <v>200</v>
      </c>
      <c r="B732" s="8" t="s">
        <v>86</v>
      </c>
      <c r="C732" s="5" t="s">
        <v>85</v>
      </c>
      <c r="D732" s="5"/>
      <c r="E732" s="5" t="s">
        <v>84</v>
      </c>
      <c r="F732" s="5" t="s">
        <v>28</v>
      </c>
      <c r="G732" s="5" t="s">
        <v>8</v>
      </c>
      <c r="H732" s="2"/>
      <c r="I732" s="2">
        <v>46178</v>
      </c>
      <c r="J732" s="2"/>
      <c r="K732" s="2" t="str">
        <f>IFERROR(VLOOKUP(B732,#REF!,4,0),"")</f>
        <v/>
      </c>
      <c r="L732" s="1" t="s">
        <v>77</v>
      </c>
      <c r="M732" s="1" t="s">
        <v>12</v>
      </c>
      <c r="O732" s="4"/>
      <c r="Q732" s="4"/>
    </row>
    <row r="733" spans="1:17" x14ac:dyDescent="0.3">
      <c r="A733" s="3">
        <f t="shared" si="25"/>
        <v>201</v>
      </c>
      <c r="B733" s="8" t="s">
        <v>83</v>
      </c>
      <c r="C733" s="5" t="s">
        <v>82</v>
      </c>
      <c r="D733" s="5"/>
      <c r="E733" s="5" t="s">
        <v>81</v>
      </c>
      <c r="F733" s="5" t="s">
        <v>36</v>
      </c>
      <c r="G733" s="5" t="s">
        <v>8</v>
      </c>
      <c r="H733" s="2"/>
      <c r="I733" s="2">
        <v>46177</v>
      </c>
      <c r="J733" s="2"/>
      <c r="K733" s="2" t="str">
        <f>IFERROR(VLOOKUP(B733,#REF!,4,0),"")</f>
        <v/>
      </c>
      <c r="L733" s="1" t="s">
        <v>13</v>
      </c>
      <c r="M733" s="1" t="s">
        <v>12</v>
      </c>
      <c r="O733" s="4"/>
      <c r="Q733" s="4"/>
    </row>
    <row r="734" spans="1:17" x14ac:dyDescent="0.3">
      <c r="A734" s="3">
        <f t="shared" si="25"/>
        <v>202</v>
      </c>
      <c r="B734" s="8" t="s">
        <v>80</v>
      </c>
      <c r="C734" s="5" t="s">
        <v>79</v>
      </c>
      <c r="D734" s="5"/>
      <c r="E734" s="5" t="s">
        <v>78</v>
      </c>
      <c r="F734" s="5" t="s">
        <v>4</v>
      </c>
      <c r="G734" s="5" t="s">
        <v>8</v>
      </c>
      <c r="H734" s="2"/>
      <c r="I734" s="2">
        <v>46176</v>
      </c>
      <c r="J734" s="2"/>
      <c r="K734" s="2" t="str">
        <f>IFERROR(VLOOKUP(B734,#REF!,4,0),"")</f>
        <v/>
      </c>
      <c r="L734" s="1" t="s">
        <v>77</v>
      </c>
      <c r="M734" s="1" t="s">
        <v>12</v>
      </c>
      <c r="O734" s="4"/>
      <c r="Q734" s="4"/>
    </row>
    <row r="735" spans="1:17" x14ac:dyDescent="0.3">
      <c r="A735" s="3">
        <f t="shared" si="25"/>
        <v>203</v>
      </c>
      <c r="B735" s="8" t="s">
        <v>76</v>
      </c>
      <c r="C735" s="5" t="s">
        <v>75</v>
      </c>
      <c r="D735" s="5"/>
      <c r="E735" s="5" t="s">
        <v>74</v>
      </c>
      <c r="F735" s="5" t="s">
        <v>48</v>
      </c>
      <c r="G735" s="5" t="s">
        <v>8</v>
      </c>
      <c r="H735" s="2"/>
      <c r="I735" s="2">
        <v>46176</v>
      </c>
      <c r="J735" s="2"/>
      <c r="K735" s="2" t="str">
        <f>IFERROR(VLOOKUP(B735,#REF!,4,0),"")</f>
        <v/>
      </c>
      <c r="L735" s="1" t="s">
        <v>44</v>
      </c>
      <c r="M735" s="1" t="s">
        <v>12</v>
      </c>
      <c r="O735" s="4"/>
      <c r="Q735" s="4"/>
    </row>
    <row r="736" spans="1:17" x14ac:dyDescent="0.3">
      <c r="A736" s="3">
        <f t="shared" si="25"/>
        <v>204</v>
      </c>
      <c r="B736" s="8" t="s">
        <v>73</v>
      </c>
      <c r="C736" s="5" t="s">
        <v>72</v>
      </c>
      <c r="D736" s="5"/>
      <c r="E736" s="5" t="s">
        <v>71</v>
      </c>
      <c r="F736" s="5" t="s">
        <v>28</v>
      </c>
      <c r="G736" s="5" t="s">
        <v>8</v>
      </c>
      <c r="H736" s="2"/>
      <c r="I736" s="2">
        <v>46200</v>
      </c>
      <c r="J736" s="2"/>
      <c r="K736" s="2" t="str">
        <f>IFERROR(VLOOKUP(B736,#REF!,4,0),"")</f>
        <v/>
      </c>
      <c r="L736" s="1" t="s">
        <v>27</v>
      </c>
      <c r="M736" s="1" t="s">
        <v>12</v>
      </c>
      <c r="O736" s="4"/>
      <c r="Q736" s="4"/>
    </row>
    <row r="737" spans="1:17" x14ac:dyDescent="0.3">
      <c r="A737" s="3">
        <f t="shared" si="25"/>
        <v>205</v>
      </c>
      <c r="B737" s="8" t="s">
        <v>70</v>
      </c>
      <c r="C737" s="5" t="s">
        <v>69</v>
      </c>
      <c r="D737" s="5"/>
      <c r="E737" s="5" t="s">
        <v>68</v>
      </c>
      <c r="F737" s="5" t="s">
        <v>28</v>
      </c>
      <c r="G737" s="5" t="s">
        <v>8</v>
      </c>
      <c r="H737" s="2"/>
      <c r="I737" s="2">
        <v>46184</v>
      </c>
      <c r="J737" s="2"/>
      <c r="K737" s="2" t="str">
        <f>IFERROR(VLOOKUP(B737,#REF!,4,0),"")</f>
        <v/>
      </c>
      <c r="L737" s="1" t="s">
        <v>20</v>
      </c>
      <c r="M737" s="1" t="s">
        <v>12</v>
      </c>
      <c r="O737" s="4"/>
      <c r="Q737" s="4"/>
    </row>
    <row r="738" spans="1:17" x14ac:dyDescent="0.3">
      <c r="A738" s="3">
        <f t="shared" si="25"/>
        <v>206</v>
      </c>
      <c r="B738" s="8" t="s">
        <v>67</v>
      </c>
      <c r="C738" s="5" t="s">
        <v>66</v>
      </c>
      <c r="D738" s="5"/>
      <c r="E738" s="5" t="s">
        <v>65</v>
      </c>
      <c r="F738" s="5" t="s">
        <v>4</v>
      </c>
      <c r="G738" s="5" t="s">
        <v>8</v>
      </c>
      <c r="H738" s="2"/>
      <c r="I738" s="2">
        <v>46182</v>
      </c>
      <c r="J738" s="2"/>
      <c r="K738" s="2" t="str">
        <f>IFERROR(VLOOKUP(B738,#REF!,4,0),"")</f>
        <v/>
      </c>
      <c r="L738" s="1" t="s">
        <v>2</v>
      </c>
      <c r="M738" s="1" t="s">
        <v>12</v>
      </c>
      <c r="O738" s="4"/>
      <c r="Q738" s="4"/>
    </row>
    <row r="739" spans="1:17" x14ac:dyDescent="0.3">
      <c r="A739" s="3">
        <f t="shared" si="25"/>
        <v>207</v>
      </c>
      <c r="B739" s="8" t="s">
        <v>64</v>
      </c>
      <c r="C739" s="5" t="s">
        <v>63</v>
      </c>
      <c r="D739" s="5"/>
      <c r="E739" s="5" t="s">
        <v>62</v>
      </c>
      <c r="F739" s="5" t="s">
        <v>28</v>
      </c>
      <c r="G739" s="5" t="s">
        <v>8</v>
      </c>
      <c r="H739" s="2"/>
      <c r="I739" s="2">
        <v>46183</v>
      </c>
      <c r="J739" s="2"/>
      <c r="K739" s="2" t="str">
        <f>IFERROR(VLOOKUP(B739,#REF!,4,0),"")</f>
        <v/>
      </c>
      <c r="L739" s="1" t="s">
        <v>27</v>
      </c>
      <c r="M739" s="1" t="s">
        <v>17</v>
      </c>
      <c r="O739" s="4"/>
      <c r="Q739" s="4"/>
    </row>
    <row r="740" spans="1:17" x14ac:dyDescent="0.3">
      <c r="A740" s="3">
        <f t="shared" si="25"/>
        <v>208</v>
      </c>
      <c r="B740" s="8" t="s">
        <v>61</v>
      </c>
      <c r="C740" s="5" t="s">
        <v>60</v>
      </c>
      <c r="D740" s="5"/>
      <c r="E740" s="5" t="s">
        <v>59</v>
      </c>
      <c r="F740" s="5" t="s">
        <v>58</v>
      </c>
      <c r="G740" s="5" t="s">
        <v>8</v>
      </c>
      <c r="H740" s="2">
        <v>46170</v>
      </c>
      <c r="I740" s="2">
        <v>46197</v>
      </c>
      <c r="J740" s="2"/>
      <c r="K740" s="2" t="str">
        <f>IFERROR(VLOOKUP(B740,#REF!,4,0),"")</f>
        <v/>
      </c>
      <c r="L740" s="1" t="s">
        <v>27</v>
      </c>
      <c r="M740" s="1" t="s">
        <v>17</v>
      </c>
      <c r="O740" s="4"/>
      <c r="Q740" s="4"/>
    </row>
    <row r="741" spans="1:17" x14ac:dyDescent="0.3">
      <c r="A741" s="3">
        <f t="shared" si="25"/>
        <v>209</v>
      </c>
      <c r="B741" s="8" t="s">
        <v>57</v>
      </c>
      <c r="C741" s="5" t="s">
        <v>56</v>
      </c>
      <c r="D741" s="5"/>
      <c r="E741" s="5" t="s">
        <v>55</v>
      </c>
      <c r="F741" s="5" t="s">
        <v>9</v>
      </c>
      <c r="G741" s="5" t="s">
        <v>8</v>
      </c>
      <c r="H741" s="2"/>
      <c r="I741" s="2">
        <v>46190</v>
      </c>
      <c r="J741" s="2"/>
      <c r="K741" s="2" t="str">
        <f>IFERROR(VLOOKUP(B741,#REF!,4,0),"")</f>
        <v/>
      </c>
      <c r="L741" s="1" t="s">
        <v>27</v>
      </c>
      <c r="M741" s="1" t="s">
        <v>12</v>
      </c>
      <c r="O741" s="4"/>
      <c r="Q741" s="4"/>
    </row>
    <row r="742" spans="1:17" x14ac:dyDescent="0.3">
      <c r="A742" s="3">
        <f t="shared" si="25"/>
        <v>210</v>
      </c>
      <c r="B742" s="10" t="s">
        <v>54</v>
      </c>
      <c r="C742" s="5" t="s">
        <v>53</v>
      </c>
      <c r="D742" s="5"/>
      <c r="E742" s="5" t="s">
        <v>52</v>
      </c>
      <c r="F742" s="5" t="s">
        <v>40</v>
      </c>
      <c r="G742" s="5" t="s">
        <v>8</v>
      </c>
      <c r="H742" s="2">
        <v>46165</v>
      </c>
      <c r="I742" s="2">
        <v>46192</v>
      </c>
      <c r="J742" s="2"/>
      <c r="K742" s="2" t="str">
        <f>IFERROR(VLOOKUP(B742,#REF!,4,0),"")</f>
        <v/>
      </c>
      <c r="L742" s="1" t="s">
        <v>27</v>
      </c>
      <c r="M742" s="1" t="s">
        <v>12</v>
      </c>
      <c r="O742" s="4"/>
      <c r="Q742" s="4"/>
    </row>
    <row r="743" spans="1:17" x14ac:dyDescent="0.3">
      <c r="A743" s="3">
        <f t="shared" si="25"/>
        <v>211</v>
      </c>
      <c r="B743" s="8" t="s">
        <v>51</v>
      </c>
      <c r="C743" s="5" t="s">
        <v>50</v>
      </c>
      <c r="D743" s="5"/>
      <c r="E743" s="5" t="s">
        <v>49</v>
      </c>
      <c r="F743" s="5" t="s">
        <v>48</v>
      </c>
      <c r="G743" s="5" t="s">
        <v>8</v>
      </c>
      <c r="H743" s="2"/>
      <c r="I743" s="2">
        <v>46175</v>
      </c>
      <c r="J743" s="2"/>
      <c r="K743" s="2" t="str">
        <f>IFERROR(VLOOKUP(B743,#REF!,4,0),"")</f>
        <v/>
      </c>
      <c r="L743" s="1" t="s">
        <v>44</v>
      </c>
      <c r="M743" s="1" t="s">
        <v>17</v>
      </c>
      <c r="O743" s="4"/>
      <c r="Q743" s="4"/>
    </row>
    <row r="744" spans="1:17" x14ac:dyDescent="0.3">
      <c r="A744" s="3">
        <f t="shared" si="25"/>
        <v>212</v>
      </c>
      <c r="B744" s="8" t="s">
        <v>47</v>
      </c>
      <c r="C744" s="5" t="s">
        <v>46</v>
      </c>
      <c r="D744" s="5"/>
      <c r="E744" s="5" t="s">
        <v>45</v>
      </c>
      <c r="F744" s="5" t="s">
        <v>28</v>
      </c>
      <c r="G744" s="5" t="s">
        <v>8</v>
      </c>
      <c r="H744" s="2"/>
      <c r="I744" s="2">
        <v>46176</v>
      </c>
      <c r="J744" s="2"/>
      <c r="K744" s="2" t="str">
        <f>IFERROR(VLOOKUP(B744,#REF!,4,0),"")</f>
        <v/>
      </c>
      <c r="L744" s="1" t="s">
        <v>44</v>
      </c>
      <c r="M744" s="1" t="s">
        <v>17</v>
      </c>
      <c r="O744" s="4"/>
      <c r="Q744" s="4"/>
    </row>
    <row r="745" spans="1:17" x14ac:dyDescent="0.3">
      <c r="A745" s="3">
        <f t="shared" si="25"/>
        <v>213</v>
      </c>
      <c r="B745" s="8" t="s">
        <v>43</v>
      </c>
      <c r="C745" s="5" t="s">
        <v>42</v>
      </c>
      <c r="D745" s="5"/>
      <c r="E745" s="5" t="s">
        <v>41</v>
      </c>
      <c r="F745" s="5" t="s">
        <v>40</v>
      </c>
      <c r="G745" s="5" t="s">
        <v>8</v>
      </c>
      <c r="H745" s="2">
        <v>46171</v>
      </c>
      <c r="I745" s="2">
        <v>46203</v>
      </c>
      <c r="J745" s="2"/>
      <c r="K745" s="2" t="str">
        <f>IFERROR(VLOOKUP(B745,#REF!,4,0),"")</f>
        <v/>
      </c>
      <c r="L745" s="1" t="s">
        <v>27</v>
      </c>
      <c r="M745" s="1" t="s">
        <v>17</v>
      </c>
      <c r="O745" s="4"/>
      <c r="Q745" s="4"/>
    </row>
    <row r="746" spans="1:17" x14ac:dyDescent="0.3">
      <c r="A746" s="3">
        <f t="shared" si="25"/>
        <v>214</v>
      </c>
      <c r="B746" s="10" t="s">
        <v>39</v>
      </c>
      <c r="C746" s="5" t="s">
        <v>38</v>
      </c>
      <c r="D746" s="5"/>
      <c r="E746" s="5" t="s">
        <v>37</v>
      </c>
      <c r="F746" s="5" t="s">
        <v>36</v>
      </c>
      <c r="G746" s="5" t="s">
        <v>8</v>
      </c>
      <c r="H746" s="2"/>
      <c r="I746" s="2">
        <v>46178</v>
      </c>
      <c r="J746" s="2"/>
      <c r="K746" s="2" t="str">
        <f>IFERROR(VLOOKUP(B746,#REF!,4,0),"")</f>
        <v/>
      </c>
      <c r="L746" s="1" t="s">
        <v>13</v>
      </c>
      <c r="M746" s="1" t="s">
        <v>12</v>
      </c>
      <c r="O746" s="4"/>
      <c r="Q746" s="4"/>
    </row>
    <row r="747" spans="1:17" x14ac:dyDescent="0.3">
      <c r="A747" s="3">
        <f t="shared" si="25"/>
        <v>215</v>
      </c>
      <c r="B747" s="8" t="s">
        <v>35</v>
      </c>
      <c r="C747" s="5" t="s">
        <v>34</v>
      </c>
      <c r="D747" s="5"/>
      <c r="E747" s="5" t="s">
        <v>33</v>
      </c>
      <c r="F747" s="5" t="s">
        <v>32</v>
      </c>
      <c r="G747" s="5" t="s">
        <v>8</v>
      </c>
      <c r="H747" s="2"/>
      <c r="I747" s="2">
        <v>46182</v>
      </c>
      <c r="J747" s="2"/>
      <c r="K747" s="2" t="str">
        <f>IFERROR(VLOOKUP(B747,#REF!,4,0),"")</f>
        <v/>
      </c>
      <c r="L747" s="1" t="s">
        <v>27</v>
      </c>
      <c r="M747" s="1" t="s">
        <v>17</v>
      </c>
      <c r="O747" s="4"/>
      <c r="Q747" s="4"/>
    </row>
    <row r="748" spans="1:17" x14ac:dyDescent="0.3">
      <c r="A748" s="3">
        <f t="shared" si="25"/>
        <v>216</v>
      </c>
      <c r="B748" s="8" t="s">
        <v>31</v>
      </c>
      <c r="C748" s="5" t="s">
        <v>30</v>
      </c>
      <c r="D748" s="5"/>
      <c r="E748" s="5" t="s">
        <v>29</v>
      </c>
      <c r="F748" s="5" t="s">
        <v>28</v>
      </c>
      <c r="G748" s="5" t="s">
        <v>8</v>
      </c>
      <c r="H748" s="2"/>
      <c r="I748" s="2">
        <v>46183</v>
      </c>
      <c r="J748" s="2"/>
      <c r="K748" s="2" t="str">
        <f>IFERROR(VLOOKUP(B748,#REF!,4,0),"")</f>
        <v/>
      </c>
      <c r="L748" s="1" t="s">
        <v>27</v>
      </c>
      <c r="M748" s="1" t="s">
        <v>12</v>
      </c>
      <c r="O748" s="4"/>
      <c r="Q748" s="4"/>
    </row>
    <row r="749" spans="1:17" x14ac:dyDescent="0.3">
      <c r="A749" s="3">
        <f t="shared" si="25"/>
        <v>217</v>
      </c>
      <c r="B749" s="8" t="s">
        <v>26</v>
      </c>
      <c r="C749" s="5" t="s">
        <v>25</v>
      </c>
      <c r="D749" s="5"/>
      <c r="E749" s="5" t="s">
        <v>24</v>
      </c>
      <c r="F749" s="5" t="s">
        <v>9</v>
      </c>
      <c r="G749" s="5" t="s">
        <v>8</v>
      </c>
      <c r="H749" s="2"/>
      <c r="I749" s="2">
        <v>46181</v>
      </c>
      <c r="J749" s="2"/>
      <c r="K749" s="2" t="str">
        <f>IFERROR(VLOOKUP(B749,#REF!,4,0),"")</f>
        <v/>
      </c>
      <c r="L749" s="1" t="s">
        <v>20</v>
      </c>
      <c r="M749" s="1" t="s">
        <v>12</v>
      </c>
      <c r="O749" s="4"/>
      <c r="Q749" s="4"/>
    </row>
    <row r="750" spans="1:17" x14ac:dyDescent="0.3">
      <c r="A750" s="3">
        <f t="shared" si="25"/>
        <v>218</v>
      </c>
      <c r="B750" s="9" t="s">
        <v>23</v>
      </c>
      <c r="C750" s="5" t="s">
        <v>22</v>
      </c>
      <c r="D750" s="5"/>
      <c r="E750" s="5" t="s">
        <v>21</v>
      </c>
      <c r="F750" s="5" t="s">
        <v>9</v>
      </c>
      <c r="G750" s="5" t="s">
        <v>8</v>
      </c>
      <c r="H750" s="2">
        <v>46155</v>
      </c>
      <c r="I750" s="2">
        <v>46202</v>
      </c>
      <c r="J750" s="2"/>
      <c r="K750" s="2" t="str">
        <f>IFERROR(VLOOKUP(B750,#REF!,4,0),"")</f>
        <v/>
      </c>
      <c r="L750" s="1" t="s">
        <v>20</v>
      </c>
      <c r="M750" s="1" t="s">
        <v>12</v>
      </c>
      <c r="O750" s="4"/>
      <c r="Q750" s="4"/>
    </row>
    <row r="751" spans="1:17" x14ac:dyDescent="0.3">
      <c r="A751" s="3">
        <f t="shared" si="25"/>
        <v>219</v>
      </c>
      <c r="B751" s="8" t="s">
        <v>19</v>
      </c>
      <c r="C751" s="5" t="s">
        <v>18</v>
      </c>
      <c r="D751" s="5"/>
      <c r="E751" s="5" t="s">
        <v>14</v>
      </c>
      <c r="F751" s="5" t="s">
        <v>9</v>
      </c>
      <c r="G751" s="5" t="s">
        <v>8</v>
      </c>
      <c r="H751" s="2"/>
      <c r="I751" s="2">
        <v>46200</v>
      </c>
      <c r="J751" s="2"/>
      <c r="K751" s="2" t="str">
        <f>IFERROR(VLOOKUP(B751,#REF!,4,0),"")</f>
        <v/>
      </c>
      <c r="L751" s="1" t="s">
        <v>13</v>
      </c>
      <c r="M751" s="1" t="s">
        <v>17</v>
      </c>
      <c r="O751" s="4"/>
      <c r="Q751" s="4"/>
    </row>
    <row r="752" spans="1:17" x14ac:dyDescent="0.3">
      <c r="A752" s="3">
        <f t="shared" si="25"/>
        <v>220</v>
      </c>
      <c r="B752" s="8" t="s">
        <v>16</v>
      </c>
      <c r="C752" s="5" t="s">
        <v>15</v>
      </c>
      <c r="D752" s="5"/>
      <c r="E752" s="5" t="s">
        <v>14</v>
      </c>
      <c r="F752" s="5" t="s">
        <v>9</v>
      </c>
      <c r="G752" s="5" t="s">
        <v>8</v>
      </c>
      <c r="H752" s="2"/>
      <c r="I752" s="2">
        <v>46190</v>
      </c>
      <c r="J752" s="2"/>
      <c r="K752" s="2" t="str">
        <f>IFERROR(VLOOKUP(B752,#REF!,4,0),"")</f>
        <v/>
      </c>
      <c r="L752" s="1" t="s">
        <v>13</v>
      </c>
      <c r="M752" s="1" t="s">
        <v>12</v>
      </c>
      <c r="O752" s="4"/>
      <c r="Q752" s="4"/>
    </row>
    <row r="753" spans="1:18" x14ac:dyDescent="0.3">
      <c r="A753" s="3">
        <f t="shared" si="25"/>
        <v>221</v>
      </c>
      <c r="B753" s="8" t="s">
        <v>11</v>
      </c>
      <c r="C753" s="5" t="s">
        <v>10</v>
      </c>
      <c r="D753" s="5"/>
      <c r="E753" s="5" t="e">
        <v>#N/A</v>
      </c>
      <c r="F753" s="5" t="s">
        <v>9</v>
      </c>
      <c r="G753" s="5" t="s">
        <v>8</v>
      </c>
      <c r="H753" s="2"/>
      <c r="I753" s="2">
        <v>46198</v>
      </c>
      <c r="J753" s="2"/>
      <c r="K753" s="2" t="str">
        <f>IFERROR(VLOOKUP(B753,#REF!,4,0),"")</f>
        <v/>
      </c>
      <c r="L753" s="1" t="s">
        <v>2</v>
      </c>
      <c r="M753" s="1" t="e">
        <v>#N/A</v>
      </c>
      <c r="O753" s="4"/>
      <c r="Q753" s="4"/>
    </row>
    <row r="754" spans="1:18" x14ac:dyDescent="0.3">
      <c r="A754" s="3"/>
      <c r="H754" s="2"/>
      <c r="I754" s="2"/>
      <c r="J754" s="2"/>
    </row>
    <row r="755" spans="1:18" x14ac:dyDescent="0.3">
      <c r="A755" s="3"/>
      <c r="H755" s="2"/>
      <c r="I755" s="2"/>
      <c r="J755" s="2"/>
    </row>
    <row r="756" spans="1:18" x14ac:dyDescent="0.3">
      <c r="A756" s="3">
        <f>1+A193</f>
        <v>5</v>
      </c>
      <c r="B756" s="7" t="s">
        <v>7</v>
      </c>
      <c r="C756" s="5" t="s">
        <v>6</v>
      </c>
      <c r="D756" s="6">
        <v>452714200</v>
      </c>
      <c r="E756" s="5" t="s">
        <v>5</v>
      </c>
      <c r="F756" s="5" t="s">
        <v>4</v>
      </c>
      <c r="G756" s="5" t="s">
        <v>3</v>
      </c>
      <c r="H756" s="2">
        <v>46164</v>
      </c>
      <c r="I756" s="2">
        <v>46193</v>
      </c>
      <c r="J756" s="2">
        <v>46217</v>
      </c>
      <c r="K756" s="2" t="str">
        <f>IFERROR(VLOOKUP(B756,#REF!,4,0),"")</f>
        <v/>
      </c>
      <c r="L756" s="1" t="s">
        <v>2</v>
      </c>
      <c r="M756" s="1" t="e">
        <v>#N/A</v>
      </c>
      <c r="O756" s="4" t="s">
        <v>0</v>
      </c>
      <c r="P756" s="1" t="s">
        <v>1</v>
      </c>
      <c r="Q756" s="4" t="s">
        <v>0</v>
      </c>
      <c r="R756" s="1" t="s">
        <v>0</v>
      </c>
    </row>
    <row r="757" spans="1:18" x14ac:dyDescent="0.3">
      <c r="A757" s="3"/>
      <c r="H757" s="2"/>
      <c r="I757" s="2"/>
      <c r="J757" s="2"/>
    </row>
  </sheetData>
  <conditionalFormatting sqref="B690:B703 B705:B724">
    <cfRule type="colorScale" priority="3">
      <colorScale>
        <cfvo type="num" val="2"/>
        <cfvo type="num" val="3"/>
        <cfvo type="num" val="4"/>
        <color rgb="FFFFFF00"/>
        <color rgb="FFFF0000"/>
        <color rgb="FF00B0F0"/>
      </colorScale>
    </cfRule>
    <cfRule type="cellIs" dxfId="199" priority="4" stopIfTrue="1" operator="equal">
      <formula>"Sabtu"</formula>
    </cfRule>
    <cfRule type="cellIs" dxfId="198" priority="5" stopIfTrue="1" operator="equal">
      <formula>"Minggu"</formula>
    </cfRule>
  </conditionalFormatting>
  <conditionalFormatting sqref="B705:B724 B655:B703">
    <cfRule type="duplicateValues" dxfId="197" priority="2"/>
  </conditionalFormatting>
  <conditionalFormatting sqref="B756 B4:B299">
    <cfRule type="duplicateValues" dxfId="196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436"/>
  <sheetViews>
    <sheetView topLeftCell="B1" workbookViewId="0">
      <selection activeCell="L4" sqref="L4"/>
    </sheetView>
  </sheetViews>
  <sheetFormatPr defaultRowHeight="13.8" x14ac:dyDescent="0.3"/>
  <cols>
    <col min="1" max="1" width="4" bestFit="1" customWidth="1"/>
    <col min="2" max="2" width="6.6640625" bestFit="1" customWidth="1"/>
    <col min="3" max="3" width="43.5546875" bestFit="1" customWidth="1"/>
    <col min="4" max="4" width="12" bestFit="1" customWidth="1"/>
    <col min="5" max="5" width="22.109375" bestFit="1" customWidth="1"/>
    <col min="6" max="6" width="13.6640625" bestFit="1" customWidth="1"/>
    <col min="7" max="7" width="15" customWidth="1"/>
    <col min="8" max="8" width="16.88671875" bestFit="1" customWidth="1"/>
    <col min="9" max="9" width="9.44140625" bestFit="1" customWidth="1"/>
    <col min="10" max="10" width="8.88671875" bestFit="1" customWidth="1"/>
    <col min="11" max="11" width="9.88671875" bestFit="1" customWidth="1"/>
    <col min="12" max="12" width="8" bestFit="1" customWidth="1"/>
    <col min="13" max="13" width="21.109375" bestFit="1" customWidth="1"/>
    <col min="14" max="14" width="17.88671875" bestFit="1" customWidth="1"/>
    <col min="15" max="15" width="28.33203125" bestFit="1" customWidth="1"/>
    <col min="18" max="18" width="14.6640625" bestFit="1" customWidth="1"/>
  </cols>
  <sheetData>
    <row r="1" spans="1:21" ht="28.8" x14ac:dyDescent="0.3">
      <c r="A1" s="31" t="s">
        <v>1894</v>
      </c>
      <c r="B1" s="31" t="s">
        <v>1893</v>
      </c>
      <c r="C1" s="31" t="s">
        <v>1892</v>
      </c>
      <c r="D1" s="31" t="s">
        <v>1891</v>
      </c>
      <c r="E1" s="31" t="s">
        <v>1890</v>
      </c>
      <c r="F1" s="31"/>
      <c r="G1" s="30" t="s">
        <v>1889</v>
      </c>
      <c r="H1" s="32" t="s">
        <v>1888</v>
      </c>
      <c r="I1" s="32" t="s">
        <v>1887</v>
      </c>
      <c r="J1" s="32" t="s">
        <v>1886</v>
      </c>
      <c r="K1" s="33" t="s">
        <v>1885</v>
      </c>
      <c r="L1" s="32" t="s">
        <v>1884</v>
      </c>
      <c r="M1" s="1"/>
      <c r="N1" s="1"/>
      <c r="O1" s="18" t="s">
        <v>1883</v>
      </c>
    </row>
    <row r="2" spans="1:21" x14ac:dyDescent="0.3">
      <c r="R2" t="s">
        <v>1900</v>
      </c>
      <c r="S2">
        <v>26</v>
      </c>
      <c r="T2" t="s">
        <v>2021</v>
      </c>
    </row>
    <row r="3" spans="1:21" x14ac:dyDescent="0.3">
      <c r="R3" t="s">
        <v>1901</v>
      </c>
      <c r="S3">
        <v>433</v>
      </c>
      <c r="T3">
        <f>S3/S2</f>
        <v>16.653846153846153</v>
      </c>
    </row>
    <row r="4" spans="1:21" ht="14.4" x14ac:dyDescent="0.3">
      <c r="A4" s="3">
        <v>1</v>
      </c>
      <c r="B4" s="8" t="s">
        <v>1400</v>
      </c>
      <c r="C4" s="5" t="s">
        <v>1399</v>
      </c>
      <c r="D4" s="6">
        <v>385779848</v>
      </c>
      <c r="E4" s="5" t="s">
        <v>1312</v>
      </c>
      <c r="F4" s="5" t="s">
        <v>28</v>
      </c>
      <c r="G4" s="5" t="s">
        <v>3</v>
      </c>
      <c r="H4" s="2">
        <v>46146</v>
      </c>
      <c r="I4" s="2"/>
      <c r="J4" s="2">
        <v>46204</v>
      </c>
      <c r="K4" s="2" t="s">
        <v>1899</v>
      </c>
      <c r="L4" s="1" t="s">
        <v>27</v>
      </c>
      <c r="M4" s="1" t="s">
        <v>12</v>
      </c>
      <c r="N4" s="1"/>
      <c r="O4" s="4"/>
      <c r="R4" t="s">
        <v>2020</v>
      </c>
      <c r="S4">
        <v>54</v>
      </c>
      <c r="T4">
        <v>17</v>
      </c>
      <c r="U4">
        <f>S4/T4</f>
        <v>3.1764705882352939</v>
      </c>
    </row>
    <row r="5" spans="1:21" ht="14.4" x14ac:dyDescent="0.3">
      <c r="A5" s="3">
        <v>2</v>
      </c>
      <c r="B5" s="8" t="s">
        <v>1398</v>
      </c>
      <c r="C5" s="5" t="s">
        <v>1397</v>
      </c>
      <c r="D5" s="6">
        <v>379980859</v>
      </c>
      <c r="E5" s="5" t="s">
        <v>986</v>
      </c>
      <c r="F5" s="5" t="s">
        <v>28</v>
      </c>
      <c r="G5" s="5" t="s">
        <v>3</v>
      </c>
      <c r="H5" s="2">
        <v>46168</v>
      </c>
      <c r="I5" s="2"/>
      <c r="J5" s="2">
        <v>46204</v>
      </c>
      <c r="K5" s="2" t="s">
        <v>1899</v>
      </c>
      <c r="L5" s="1" t="s">
        <v>27</v>
      </c>
      <c r="M5" s="1" t="s">
        <v>12</v>
      </c>
      <c r="N5" s="1"/>
      <c r="O5" s="4"/>
    </row>
    <row r="6" spans="1:21" ht="14.4" x14ac:dyDescent="0.3">
      <c r="A6" s="3">
        <v>3</v>
      </c>
      <c r="B6" s="8" t="s">
        <v>1396</v>
      </c>
      <c r="C6" s="5" t="s">
        <v>1395</v>
      </c>
      <c r="D6" s="6">
        <v>454992534</v>
      </c>
      <c r="E6" s="5" t="s">
        <v>1119</v>
      </c>
      <c r="F6" s="5" t="s">
        <v>4</v>
      </c>
      <c r="G6" s="5" t="s">
        <v>3</v>
      </c>
      <c r="H6" s="2"/>
      <c r="I6" s="2"/>
      <c r="J6" s="2">
        <v>46204</v>
      </c>
      <c r="K6" s="2">
        <v>46260</v>
      </c>
      <c r="L6" s="1"/>
      <c r="M6" s="1" t="s">
        <v>12</v>
      </c>
      <c r="N6" s="1"/>
      <c r="O6" s="4"/>
    </row>
    <row r="7" spans="1:21" ht="14.4" x14ac:dyDescent="0.3">
      <c r="A7" s="3">
        <v>4</v>
      </c>
      <c r="B7" s="8" t="s">
        <v>1394</v>
      </c>
      <c r="C7" s="5" t="s">
        <v>1393</v>
      </c>
      <c r="D7" s="6">
        <v>425467449</v>
      </c>
      <c r="E7" s="5" t="s">
        <v>863</v>
      </c>
      <c r="F7" s="5" t="s">
        <v>48</v>
      </c>
      <c r="G7" s="5" t="s">
        <v>3</v>
      </c>
      <c r="H7" s="2"/>
      <c r="I7" s="2"/>
      <c r="J7" s="2">
        <v>46205</v>
      </c>
      <c r="K7" s="2">
        <v>46256</v>
      </c>
      <c r="L7" s="1" t="s">
        <v>44</v>
      </c>
      <c r="M7" s="1" t="s">
        <v>12</v>
      </c>
      <c r="N7" s="1"/>
      <c r="O7" s="4"/>
    </row>
    <row r="8" spans="1:21" ht="14.4" x14ac:dyDescent="0.3">
      <c r="A8" s="3">
        <v>5</v>
      </c>
      <c r="B8" s="8" t="s">
        <v>1392</v>
      </c>
      <c r="C8" s="5" t="s">
        <v>1391</v>
      </c>
      <c r="D8" s="6">
        <v>380991173</v>
      </c>
      <c r="E8" s="5" t="s">
        <v>198</v>
      </c>
      <c r="F8" s="5" t="s">
        <v>9</v>
      </c>
      <c r="G8" s="5" t="s">
        <v>3</v>
      </c>
      <c r="H8" s="2"/>
      <c r="I8" s="2"/>
      <c r="J8" s="2">
        <v>46205</v>
      </c>
      <c r="K8" s="2">
        <v>46254</v>
      </c>
      <c r="L8" s="1" t="s">
        <v>20</v>
      </c>
      <c r="M8" s="1" t="s">
        <v>12</v>
      </c>
      <c r="N8" s="1"/>
      <c r="O8" s="4"/>
    </row>
    <row r="9" spans="1:21" ht="14.4" x14ac:dyDescent="0.3">
      <c r="A9" s="3">
        <v>6</v>
      </c>
      <c r="B9" s="8" t="s">
        <v>1390</v>
      </c>
      <c r="C9" s="5" t="s">
        <v>1389</v>
      </c>
      <c r="D9" s="6">
        <v>597832289</v>
      </c>
      <c r="E9" s="5" t="s">
        <v>1388</v>
      </c>
      <c r="F9" s="5" t="s">
        <v>4</v>
      </c>
      <c r="G9" s="5" t="s">
        <v>3</v>
      </c>
      <c r="H9" s="2"/>
      <c r="I9" s="2"/>
      <c r="J9" s="2">
        <v>46205</v>
      </c>
      <c r="K9" s="2" t="s">
        <v>1899</v>
      </c>
      <c r="L9" s="1" t="s">
        <v>77</v>
      </c>
      <c r="M9" s="1" t="s">
        <v>17</v>
      </c>
      <c r="N9" s="1"/>
      <c r="O9" s="4"/>
    </row>
    <row r="10" spans="1:21" ht="14.4" x14ac:dyDescent="0.3">
      <c r="A10" s="3">
        <v>7</v>
      </c>
      <c r="B10" s="8" t="s">
        <v>1387</v>
      </c>
      <c r="C10" s="5" t="s">
        <v>1386</v>
      </c>
      <c r="D10" s="6">
        <v>449120671</v>
      </c>
      <c r="E10" s="5" t="s">
        <v>1385</v>
      </c>
      <c r="F10" s="5" t="s">
        <v>9</v>
      </c>
      <c r="G10" s="5" t="s">
        <v>3</v>
      </c>
      <c r="H10" s="2"/>
      <c r="I10" s="2"/>
      <c r="J10" s="2">
        <v>46206</v>
      </c>
      <c r="K10" s="2">
        <v>46258</v>
      </c>
      <c r="L10" s="1" t="s">
        <v>20</v>
      </c>
      <c r="M10" s="1" t="s">
        <v>12</v>
      </c>
      <c r="N10" s="1"/>
      <c r="O10" s="4" t="s">
        <v>0</v>
      </c>
    </row>
    <row r="11" spans="1:21" ht="14.4" x14ac:dyDescent="0.3">
      <c r="A11" s="3">
        <v>8</v>
      </c>
      <c r="B11" s="8" t="s">
        <v>1384</v>
      </c>
      <c r="C11" s="5" t="s">
        <v>1383</v>
      </c>
      <c r="D11" s="6">
        <v>460418380</v>
      </c>
      <c r="E11" s="5" t="s">
        <v>1382</v>
      </c>
      <c r="F11" s="5" t="s">
        <v>32</v>
      </c>
      <c r="G11" s="5" t="s">
        <v>3</v>
      </c>
      <c r="H11" s="2">
        <v>46146</v>
      </c>
      <c r="I11" s="2"/>
      <c r="J11" s="2">
        <v>46206</v>
      </c>
      <c r="K11" s="2" t="s">
        <v>1899</v>
      </c>
      <c r="L11" s="1" t="s">
        <v>27</v>
      </c>
      <c r="M11" s="1" t="s">
        <v>12</v>
      </c>
      <c r="N11" s="1"/>
      <c r="O11" s="4"/>
    </row>
    <row r="12" spans="1:21" ht="14.4" x14ac:dyDescent="0.3">
      <c r="A12" s="3">
        <v>9</v>
      </c>
      <c r="B12" s="8" t="s">
        <v>1381</v>
      </c>
      <c r="C12" s="5" t="s">
        <v>1380</v>
      </c>
      <c r="D12" s="6">
        <v>822519414</v>
      </c>
      <c r="E12" s="5" t="s">
        <v>544</v>
      </c>
      <c r="F12" s="5" t="s">
        <v>9</v>
      </c>
      <c r="G12" s="5" t="s">
        <v>3</v>
      </c>
      <c r="H12" s="2">
        <v>46146</v>
      </c>
      <c r="I12" s="2"/>
      <c r="J12" s="2">
        <v>46206</v>
      </c>
      <c r="K12" s="2" t="s">
        <v>1899</v>
      </c>
      <c r="L12" s="1" t="s">
        <v>124</v>
      </c>
      <c r="M12" s="1" t="s">
        <v>17</v>
      </c>
      <c r="N12" s="1"/>
      <c r="O12" s="4"/>
    </row>
    <row r="13" spans="1:21" ht="14.4" x14ac:dyDescent="0.3">
      <c r="A13" s="3">
        <v>10</v>
      </c>
      <c r="B13" s="8" t="s">
        <v>1379</v>
      </c>
      <c r="C13" s="5" t="s">
        <v>1378</v>
      </c>
      <c r="D13" s="6">
        <v>568566925</v>
      </c>
      <c r="E13" s="5" t="s">
        <v>705</v>
      </c>
      <c r="F13" s="5" t="s">
        <v>9</v>
      </c>
      <c r="G13" s="5" t="s">
        <v>3</v>
      </c>
      <c r="H13" s="2"/>
      <c r="I13" s="2"/>
      <c r="J13" s="2">
        <v>46206</v>
      </c>
      <c r="K13" s="2" t="s">
        <v>1899</v>
      </c>
      <c r="L13" s="1" t="s">
        <v>124</v>
      </c>
      <c r="M13" s="1" t="s">
        <v>17</v>
      </c>
      <c r="N13" s="1"/>
      <c r="O13" s="4"/>
    </row>
    <row r="14" spans="1:21" ht="14.4" x14ac:dyDescent="0.3">
      <c r="A14" s="3">
        <v>11</v>
      </c>
      <c r="B14" s="8" t="s">
        <v>1377</v>
      </c>
      <c r="C14" s="5" t="s">
        <v>1376</v>
      </c>
      <c r="D14" s="6">
        <v>569912020</v>
      </c>
      <c r="E14" s="5" t="s">
        <v>776</v>
      </c>
      <c r="F14" s="5" t="s">
        <v>4</v>
      </c>
      <c r="G14" s="5" t="s">
        <v>3</v>
      </c>
      <c r="H14" s="2"/>
      <c r="I14" s="2"/>
      <c r="J14" s="2">
        <v>46206</v>
      </c>
      <c r="K14" s="2" t="s">
        <v>1899</v>
      </c>
      <c r="L14" s="1"/>
      <c r="M14" s="1" t="s">
        <v>17</v>
      </c>
      <c r="N14" s="1"/>
      <c r="O14" s="4"/>
    </row>
    <row r="15" spans="1:21" ht="14.4" x14ac:dyDescent="0.3">
      <c r="A15" s="3">
        <v>12</v>
      </c>
      <c r="B15" s="8" t="s">
        <v>1375</v>
      </c>
      <c r="C15" s="5" t="s">
        <v>1374</v>
      </c>
      <c r="D15" s="6">
        <v>528446091</v>
      </c>
      <c r="E15" s="5" t="s">
        <v>1373</v>
      </c>
      <c r="F15" s="5" t="s">
        <v>28</v>
      </c>
      <c r="G15" s="5" t="s">
        <v>3</v>
      </c>
      <c r="H15" s="2"/>
      <c r="I15" s="2"/>
      <c r="J15" s="2">
        <v>46206</v>
      </c>
      <c r="K15" s="2" t="s">
        <v>1899</v>
      </c>
      <c r="L15" s="1" t="s">
        <v>27</v>
      </c>
      <c r="M15" s="1" t="s">
        <v>17</v>
      </c>
      <c r="N15" s="1"/>
      <c r="O15" s="4"/>
    </row>
    <row r="16" spans="1:21" ht="14.4" x14ac:dyDescent="0.3">
      <c r="A16" s="3">
        <v>13</v>
      </c>
      <c r="B16" s="8" t="s">
        <v>1372</v>
      </c>
      <c r="C16" s="5" t="s">
        <v>1371</v>
      </c>
      <c r="D16" s="6">
        <v>538547163</v>
      </c>
      <c r="E16" s="5" t="s">
        <v>756</v>
      </c>
      <c r="F16" s="5" t="s">
        <v>4</v>
      </c>
      <c r="G16" s="5" t="s">
        <v>3</v>
      </c>
      <c r="H16" s="2"/>
      <c r="I16" s="2"/>
      <c r="J16" s="2">
        <v>46206</v>
      </c>
      <c r="K16" s="2" t="s">
        <v>1899</v>
      </c>
      <c r="L16" s="1"/>
      <c r="M16" s="1" t="s">
        <v>17</v>
      </c>
      <c r="N16" s="1"/>
      <c r="O16" s="4"/>
    </row>
    <row r="17" spans="1:15" ht="14.4" x14ac:dyDescent="0.3">
      <c r="A17" s="3">
        <v>13</v>
      </c>
      <c r="B17" s="8" t="s">
        <v>1370</v>
      </c>
      <c r="C17" s="5" t="s">
        <v>1369</v>
      </c>
      <c r="D17" s="6">
        <v>603817986</v>
      </c>
      <c r="E17" s="5" t="s">
        <v>167</v>
      </c>
      <c r="F17" s="5" t="s">
        <v>9</v>
      </c>
      <c r="G17" s="5" t="s">
        <v>3</v>
      </c>
      <c r="H17" s="2"/>
      <c r="I17" s="2">
        <v>46186</v>
      </c>
      <c r="J17" s="2">
        <v>46207</v>
      </c>
      <c r="K17" s="2">
        <v>46252</v>
      </c>
      <c r="L17" s="1" t="s">
        <v>124</v>
      </c>
      <c r="M17" s="1" t="s">
        <v>17</v>
      </c>
      <c r="N17" s="1"/>
      <c r="O17" s="4" t="s">
        <v>0</v>
      </c>
    </row>
    <row r="18" spans="1:15" ht="14.4" x14ac:dyDescent="0.3">
      <c r="A18" s="3">
        <v>14</v>
      </c>
      <c r="B18" s="8" t="s">
        <v>1368</v>
      </c>
      <c r="C18" s="5" t="s">
        <v>1367</v>
      </c>
      <c r="D18" s="6">
        <v>516525878</v>
      </c>
      <c r="E18" s="5" t="s">
        <v>1366</v>
      </c>
      <c r="F18" s="5" t="s">
        <v>36</v>
      </c>
      <c r="G18" s="5" t="s">
        <v>3</v>
      </c>
      <c r="H18" s="2">
        <v>46167</v>
      </c>
      <c r="I18" s="2"/>
      <c r="J18" s="2">
        <v>46207</v>
      </c>
      <c r="K18" s="2">
        <v>46254</v>
      </c>
      <c r="L18" s="1" t="s">
        <v>13</v>
      </c>
      <c r="M18" s="1" t="s">
        <v>12</v>
      </c>
      <c r="N18" s="1"/>
      <c r="O18" s="4" t="s">
        <v>0</v>
      </c>
    </row>
    <row r="19" spans="1:15" ht="14.4" x14ac:dyDescent="0.3">
      <c r="A19" s="3">
        <v>15</v>
      </c>
      <c r="B19" s="8" t="s">
        <v>1365</v>
      </c>
      <c r="C19" s="5" t="s">
        <v>1364</v>
      </c>
      <c r="D19" s="6">
        <v>558274600</v>
      </c>
      <c r="E19" s="5" t="s">
        <v>968</v>
      </c>
      <c r="F19" s="5" t="s">
        <v>4</v>
      </c>
      <c r="G19" s="5" t="s">
        <v>3</v>
      </c>
      <c r="H19" s="2"/>
      <c r="I19" s="2"/>
      <c r="J19" s="2">
        <v>46207</v>
      </c>
      <c r="K19" s="2" t="s">
        <v>1899</v>
      </c>
      <c r="L19" s="1"/>
      <c r="M19" s="1" t="s">
        <v>12</v>
      </c>
      <c r="N19" s="1"/>
      <c r="O19" s="4"/>
    </row>
    <row r="20" spans="1:15" ht="14.4" x14ac:dyDescent="0.3">
      <c r="A20" s="3">
        <v>16</v>
      </c>
      <c r="B20" s="8" t="s">
        <v>1363</v>
      </c>
      <c r="C20" s="5" t="s">
        <v>1362</v>
      </c>
      <c r="D20" s="6">
        <v>567084802</v>
      </c>
      <c r="E20" s="5" t="s">
        <v>820</v>
      </c>
      <c r="F20" s="5" t="s">
        <v>9</v>
      </c>
      <c r="G20" s="5" t="s">
        <v>3</v>
      </c>
      <c r="H20" s="2"/>
      <c r="I20" s="2"/>
      <c r="J20" s="2">
        <v>46207</v>
      </c>
      <c r="K20" s="2" t="s">
        <v>1899</v>
      </c>
      <c r="L20" s="1" t="s">
        <v>20</v>
      </c>
      <c r="M20" s="1" t="s">
        <v>12</v>
      </c>
      <c r="N20" s="1"/>
      <c r="O20" s="4"/>
    </row>
    <row r="21" spans="1:15" ht="14.4" x14ac:dyDescent="0.3">
      <c r="A21" s="3">
        <v>17</v>
      </c>
      <c r="B21" s="8" t="s">
        <v>1361</v>
      </c>
      <c r="C21" s="5" t="s">
        <v>1360</v>
      </c>
      <c r="D21" s="6">
        <v>525936584</v>
      </c>
      <c r="E21" s="5" t="s">
        <v>440</v>
      </c>
      <c r="F21" s="5" t="s">
        <v>28</v>
      </c>
      <c r="G21" s="5" t="s">
        <v>3</v>
      </c>
      <c r="H21" s="2"/>
      <c r="I21" s="2">
        <v>46190</v>
      </c>
      <c r="J21" s="2">
        <v>46207</v>
      </c>
      <c r="K21" s="2" t="s">
        <v>1899</v>
      </c>
      <c r="L21" s="1" t="s">
        <v>27</v>
      </c>
      <c r="M21" s="1" t="s">
        <v>17</v>
      </c>
      <c r="N21" s="1"/>
      <c r="O21" s="4"/>
    </row>
    <row r="22" spans="1:15" ht="14.4" x14ac:dyDescent="0.3">
      <c r="A22" s="3">
        <v>18</v>
      </c>
      <c r="B22" s="8" t="s">
        <v>1359</v>
      </c>
      <c r="C22" s="5" t="s">
        <v>1358</v>
      </c>
      <c r="D22" s="6">
        <v>529875966</v>
      </c>
      <c r="E22" s="5" t="s">
        <v>178</v>
      </c>
      <c r="F22" s="5" t="s">
        <v>28</v>
      </c>
      <c r="G22" s="5" t="s">
        <v>3</v>
      </c>
      <c r="H22" s="2"/>
      <c r="I22" s="2"/>
      <c r="J22" s="2">
        <v>46207</v>
      </c>
      <c r="K22" s="2" t="s">
        <v>1899</v>
      </c>
      <c r="L22" s="1" t="s">
        <v>27</v>
      </c>
      <c r="M22" s="1" t="s">
        <v>17</v>
      </c>
      <c r="N22" s="1"/>
      <c r="O22" s="4"/>
    </row>
    <row r="23" spans="1:15" ht="14.4" x14ac:dyDescent="0.3">
      <c r="A23" s="3">
        <v>19</v>
      </c>
      <c r="B23" s="8" t="s">
        <v>1357</v>
      </c>
      <c r="C23" s="5" t="s">
        <v>1356</v>
      </c>
      <c r="D23" s="6">
        <v>385606475</v>
      </c>
      <c r="E23" s="5" t="s">
        <v>309</v>
      </c>
      <c r="F23" s="5" t="s">
        <v>4</v>
      </c>
      <c r="G23" s="5" t="s">
        <v>3</v>
      </c>
      <c r="H23" s="2"/>
      <c r="I23" s="2"/>
      <c r="J23" s="2">
        <v>46209</v>
      </c>
      <c r="K23" s="2">
        <v>46252</v>
      </c>
      <c r="L23" s="1"/>
      <c r="M23" s="1" t="s">
        <v>12</v>
      </c>
      <c r="N23" s="1"/>
      <c r="O23" s="4"/>
    </row>
    <row r="24" spans="1:15" ht="14.4" x14ac:dyDescent="0.3">
      <c r="A24" s="3">
        <v>20</v>
      </c>
      <c r="B24" s="8" t="s">
        <v>1355</v>
      </c>
      <c r="C24" s="5" t="s">
        <v>1354</v>
      </c>
      <c r="D24" s="6">
        <v>398928385</v>
      </c>
      <c r="E24" s="5" t="s">
        <v>1353</v>
      </c>
      <c r="F24" s="5" t="s">
        <v>48</v>
      </c>
      <c r="G24" s="5" t="s">
        <v>3</v>
      </c>
      <c r="H24" s="2">
        <v>46155</v>
      </c>
      <c r="I24" s="2">
        <v>46192</v>
      </c>
      <c r="J24" s="2">
        <v>46209</v>
      </c>
      <c r="K24" s="2">
        <v>46252</v>
      </c>
      <c r="L24" s="1" t="s">
        <v>44</v>
      </c>
      <c r="M24" s="1" t="s">
        <v>17</v>
      </c>
      <c r="N24" s="1"/>
      <c r="O24" s="4"/>
    </row>
    <row r="25" spans="1:15" ht="14.4" x14ac:dyDescent="0.3">
      <c r="A25" s="3">
        <v>21</v>
      </c>
      <c r="B25" s="8" t="s">
        <v>1352</v>
      </c>
      <c r="C25" s="5" t="s">
        <v>1351</v>
      </c>
      <c r="D25" s="6">
        <v>449343850</v>
      </c>
      <c r="E25" s="5" t="s">
        <v>395</v>
      </c>
      <c r="F25" s="5" t="s">
        <v>48</v>
      </c>
      <c r="G25" s="5" t="s">
        <v>3</v>
      </c>
      <c r="H25" s="2"/>
      <c r="I25" s="2">
        <v>46176</v>
      </c>
      <c r="J25" s="2">
        <v>46209</v>
      </c>
      <c r="K25" s="2">
        <v>46252</v>
      </c>
      <c r="L25" s="1" t="s">
        <v>44</v>
      </c>
      <c r="M25" s="1" t="s">
        <v>12</v>
      </c>
      <c r="N25" s="1"/>
      <c r="O25" s="4"/>
    </row>
    <row r="26" spans="1:15" ht="14.4" x14ac:dyDescent="0.3">
      <c r="A26" s="3">
        <v>22</v>
      </c>
      <c r="B26" s="8" t="s">
        <v>1350</v>
      </c>
      <c r="C26" s="5" t="s">
        <v>1349</v>
      </c>
      <c r="D26" s="6">
        <v>395146274</v>
      </c>
      <c r="E26" s="5" t="s">
        <v>131</v>
      </c>
      <c r="F26" s="5" t="s">
        <v>9</v>
      </c>
      <c r="G26" s="5" t="s">
        <v>3</v>
      </c>
      <c r="H26" s="2">
        <v>46147</v>
      </c>
      <c r="I26" s="2"/>
      <c r="J26" s="2">
        <v>46209</v>
      </c>
      <c r="K26" s="2">
        <v>46255</v>
      </c>
      <c r="L26" s="1" t="s">
        <v>124</v>
      </c>
      <c r="M26" s="1" t="s">
        <v>12</v>
      </c>
      <c r="N26" s="1"/>
      <c r="O26" s="4"/>
    </row>
    <row r="27" spans="1:15" ht="14.4" x14ac:dyDescent="0.3">
      <c r="A27" s="3">
        <v>23</v>
      </c>
      <c r="B27" s="8" t="s">
        <v>1348</v>
      </c>
      <c r="C27" s="5" t="s">
        <v>1347</v>
      </c>
      <c r="D27" s="6">
        <v>383094118</v>
      </c>
      <c r="E27" s="5" t="s">
        <v>131</v>
      </c>
      <c r="F27" s="5" t="s">
        <v>9</v>
      </c>
      <c r="G27" s="5" t="s">
        <v>3</v>
      </c>
      <c r="H27" s="2"/>
      <c r="I27" s="2">
        <v>46190</v>
      </c>
      <c r="J27" s="2">
        <v>46209</v>
      </c>
      <c r="K27" s="2">
        <v>46255</v>
      </c>
      <c r="L27" s="1" t="s">
        <v>124</v>
      </c>
      <c r="M27" s="1" t="s">
        <v>12</v>
      </c>
      <c r="N27" s="1"/>
      <c r="O27" s="4"/>
    </row>
    <row r="28" spans="1:15" ht="14.4" x14ac:dyDescent="0.3">
      <c r="A28" s="3">
        <v>24</v>
      </c>
      <c r="B28" s="8" t="s">
        <v>1346</v>
      </c>
      <c r="C28" s="5" t="s">
        <v>1345</v>
      </c>
      <c r="D28" s="6">
        <v>353759890</v>
      </c>
      <c r="E28" s="5" t="s">
        <v>131</v>
      </c>
      <c r="F28" s="5" t="s">
        <v>9</v>
      </c>
      <c r="G28" s="5" t="s">
        <v>3</v>
      </c>
      <c r="H28" s="2"/>
      <c r="I28" s="2"/>
      <c r="J28" s="2">
        <v>46209</v>
      </c>
      <c r="K28" s="2" t="s">
        <v>1899</v>
      </c>
      <c r="L28" s="1" t="s">
        <v>124</v>
      </c>
      <c r="M28" s="1" t="s">
        <v>12</v>
      </c>
      <c r="N28" s="1"/>
      <c r="O28" s="4"/>
    </row>
    <row r="29" spans="1:15" ht="14.4" x14ac:dyDescent="0.3">
      <c r="A29" s="3">
        <v>25</v>
      </c>
      <c r="B29" s="8" t="s">
        <v>1344</v>
      </c>
      <c r="C29" s="5" t="s">
        <v>1343</v>
      </c>
      <c r="D29" s="6">
        <v>446521419</v>
      </c>
      <c r="E29" s="5" t="s">
        <v>125</v>
      </c>
      <c r="F29" s="5" t="s">
        <v>9</v>
      </c>
      <c r="G29" s="5" t="s">
        <v>3</v>
      </c>
      <c r="H29" s="2"/>
      <c r="I29" s="2"/>
      <c r="J29" s="2">
        <v>46209</v>
      </c>
      <c r="K29" s="2">
        <v>46258</v>
      </c>
      <c r="L29" s="1" t="s">
        <v>124</v>
      </c>
      <c r="M29" s="1" t="s">
        <v>12</v>
      </c>
      <c r="N29" s="1"/>
      <c r="O29" s="4"/>
    </row>
    <row r="30" spans="1:15" ht="14.4" x14ac:dyDescent="0.3">
      <c r="A30" s="3">
        <v>26</v>
      </c>
      <c r="B30" s="8" t="s">
        <v>1342</v>
      </c>
      <c r="C30" s="5" t="s">
        <v>1341</v>
      </c>
      <c r="D30" s="6">
        <v>494644561</v>
      </c>
      <c r="E30" s="5" t="s">
        <v>1340</v>
      </c>
      <c r="F30" s="5" t="s">
        <v>28</v>
      </c>
      <c r="G30" s="5" t="s">
        <v>3</v>
      </c>
      <c r="H30" s="2">
        <v>46171</v>
      </c>
      <c r="I30" s="2"/>
      <c r="J30" s="2">
        <v>46209</v>
      </c>
      <c r="K30" s="2" t="s">
        <v>1899</v>
      </c>
      <c r="L30" s="1" t="s">
        <v>27</v>
      </c>
      <c r="M30" s="1" t="s">
        <v>17</v>
      </c>
      <c r="N30" s="1"/>
      <c r="O30" s="4"/>
    </row>
    <row r="31" spans="1:15" ht="14.4" x14ac:dyDescent="0.3">
      <c r="A31" s="3">
        <v>27</v>
      </c>
      <c r="B31" s="8" t="s">
        <v>1339</v>
      </c>
      <c r="C31" s="5" t="s">
        <v>1338</v>
      </c>
      <c r="D31" s="6">
        <v>562993067</v>
      </c>
      <c r="E31" s="5" t="s">
        <v>694</v>
      </c>
      <c r="F31" s="5" t="s">
        <v>36</v>
      </c>
      <c r="G31" s="5" t="s">
        <v>3</v>
      </c>
      <c r="H31" s="2">
        <v>46158</v>
      </c>
      <c r="I31" s="2">
        <v>46186</v>
      </c>
      <c r="J31" s="2">
        <v>46209</v>
      </c>
      <c r="K31" s="2" t="s">
        <v>1899</v>
      </c>
      <c r="L31" s="1" t="s">
        <v>13</v>
      </c>
      <c r="M31" s="1" t="s">
        <v>12</v>
      </c>
      <c r="N31" s="1"/>
      <c r="O31" s="4"/>
    </row>
    <row r="32" spans="1:15" ht="14.4" x14ac:dyDescent="0.3">
      <c r="A32" s="3">
        <v>28</v>
      </c>
      <c r="B32" s="8" t="s">
        <v>1337</v>
      </c>
      <c r="C32" s="5" t="s">
        <v>1336</v>
      </c>
      <c r="D32" s="6">
        <v>482362439</v>
      </c>
      <c r="E32" s="5" t="s">
        <v>1335</v>
      </c>
      <c r="F32" s="5" t="s">
        <v>36</v>
      </c>
      <c r="G32" s="5" t="s">
        <v>3</v>
      </c>
      <c r="H32" s="2"/>
      <c r="I32" s="2"/>
      <c r="J32" s="2">
        <v>46209</v>
      </c>
      <c r="K32" s="2" t="s">
        <v>1899</v>
      </c>
      <c r="L32" s="1" t="s">
        <v>13</v>
      </c>
      <c r="M32" s="1" t="s">
        <v>12</v>
      </c>
      <c r="N32" s="1"/>
      <c r="O32" s="4"/>
    </row>
    <row r="33" spans="1:15" ht="14.4" x14ac:dyDescent="0.3">
      <c r="A33" s="3">
        <v>29</v>
      </c>
      <c r="B33" s="10" t="s">
        <v>1334</v>
      </c>
      <c r="C33" s="5" t="s">
        <v>1333</v>
      </c>
      <c r="D33" s="6">
        <v>527678304</v>
      </c>
      <c r="E33" s="5" t="s">
        <v>1187</v>
      </c>
      <c r="F33" s="5" t="s">
        <v>9</v>
      </c>
      <c r="G33" s="5" t="s">
        <v>3</v>
      </c>
      <c r="H33" s="2"/>
      <c r="I33" s="2"/>
      <c r="J33" s="2">
        <v>46209</v>
      </c>
      <c r="K33" s="2" t="s">
        <v>1899</v>
      </c>
      <c r="L33" s="1" t="s">
        <v>20</v>
      </c>
      <c r="M33" s="1" t="s">
        <v>17</v>
      </c>
      <c r="N33" s="1"/>
      <c r="O33" s="4"/>
    </row>
    <row r="34" spans="1:15" ht="14.4" x14ac:dyDescent="0.3">
      <c r="A34" s="3">
        <v>30</v>
      </c>
      <c r="B34" s="11" t="s">
        <v>1332</v>
      </c>
      <c r="C34" s="5" t="s">
        <v>1331</v>
      </c>
      <c r="D34" s="6">
        <v>457374457</v>
      </c>
      <c r="E34" s="5" t="s">
        <v>837</v>
      </c>
      <c r="F34" s="5" t="s">
        <v>4</v>
      </c>
      <c r="G34" s="5" t="s">
        <v>3</v>
      </c>
      <c r="H34" s="2">
        <v>46151</v>
      </c>
      <c r="I34" s="2">
        <v>46185</v>
      </c>
      <c r="J34" s="2">
        <v>46210</v>
      </c>
      <c r="K34" s="2">
        <v>46253</v>
      </c>
      <c r="L34" s="1" t="s">
        <v>2</v>
      </c>
      <c r="M34" s="1" t="s">
        <v>12</v>
      </c>
      <c r="N34" s="1"/>
      <c r="O34" s="4" t="s">
        <v>0</v>
      </c>
    </row>
    <row r="35" spans="1:15" ht="14.4" x14ac:dyDescent="0.3">
      <c r="A35" s="3">
        <v>31</v>
      </c>
      <c r="B35" s="8" t="s">
        <v>1330</v>
      </c>
      <c r="C35" s="5" t="s">
        <v>1329</v>
      </c>
      <c r="D35" s="6">
        <v>387219325</v>
      </c>
      <c r="E35" s="5" t="s">
        <v>373</v>
      </c>
      <c r="F35" s="5" t="s">
        <v>4</v>
      </c>
      <c r="G35" s="5" t="s">
        <v>3</v>
      </c>
      <c r="H35" s="2"/>
      <c r="I35" s="2"/>
      <c r="J35" s="2">
        <v>46210</v>
      </c>
      <c r="K35" s="2">
        <v>46253</v>
      </c>
      <c r="L35" s="1"/>
      <c r="M35" s="1" t="s">
        <v>12</v>
      </c>
      <c r="N35" s="1"/>
      <c r="O35" s="4"/>
    </row>
    <row r="36" spans="1:15" ht="14.4" x14ac:dyDescent="0.3">
      <c r="A36" s="3">
        <v>32</v>
      </c>
      <c r="B36" s="8" t="s">
        <v>1328</v>
      </c>
      <c r="C36" s="5" t="s">
        <v>1327</v>
      </c>
      <c r="D36" s="6">
        <v>342167641</v>
      </c>
      <c r="E36" s="5" t="s">
        <v>131</v>
      </c>
      <c r="F36" s="5" t="s">
        <v>9</v>
      </c>
      <c r="G36" s="5" t="s">
        <v>3</v>
      </c>
      <c r="H36" s="2"/>
      <c r="I36" s="2"/>
      <c r="J36" s="2">
        <v>46210</v>
      </c>
      <c r="K36" s="2" t="s">
        <v>1899</v>
      </c>
      <c r="L36" s="1" t="s">
        <v>124</v>
      </c>
      <c r="M36" s="1" t="s">
        <v>12</v>
      </c>
      <c r="N36" s="1"/>
      <c r="O36" s="4"/>
    </row>
    <row r="37" spans="1:15" ht="14.4" x14ac:dyDescent="0.3">
      <c r="A37" s="3">
        <v>33</v>
      </c>
      <c r="B37" s="8" t="s">
        <v>1326</v>
      </c>
      <c r="C37" s="5" t="s">
        <v>1325</v>
      </c>
      <c r="D37" s="6">
        <v>440062293</v>
      </c>
      <c r="E37" s="5" t="s">
        <v>167</v>
      </c>
      <c r="F37" s="5" t="s">
        <v>9</v>
      </c>
      <c r="G37" s="5" t="s">
        <v>3</v>
      </c>
      <c r="H37" s="2"/>
      <c r="I37" s="2"/>
      <c r="J37" s="2">
        <v>46210</v>
      </c>
      <c r="K37" s="2">
        <v>46253</v>
      </c>
      <c r="L37" s="1" t="s">
        <v>124</v>
      </c>
      <c r="M37" s="1" t="s">
        <v>17</v>
      </c>
      <c r="N37" s="1"/>
      <c r="O37" s="4"/>
    </row>
    <row r="38" spans="1:15" ht="14.4" x14ac:dyDescent="0.3">
      <c r="A38" s="3">
        <v>34</v>
      </c>
      <c r="B38" s="8" t="s">
        <v>1324</v>
      </c>
      <c r="C38" s="5" t="s">
        <v>1323</v>
      </c>
      <c r="D38" s="6">
        <v>544864972</v>
      </c>
      <c r="E38" s="5" t="s">
        <v>198</v>
      </c>
      <c r="F38" s="5" t="s">
        <v>9</v>
      </c>
      <c r="G38" s="5" t="s">
        <v>3</v>
      </c>
      <c r="H38" s="2">
        <v>46149</v>
      </c>
      <c r="I38" s="2">
        <v>46192</v>
      </c>
      <c r="J38" s="2">
        <v>46210</v>
      </c>
      <c r="K38" s="2">
        <v>46254</v>
      </c>
      <c r="L38" s="1" t="s">
        <v>20</v>
      </c>
      <c r="M38" s="1" t="s">
        <v>12</v>
      </c>
      <c r="N38" s="1"/>
      <c r="O38" s="4" t="s">
        <v>0</v>
      </c>
    </row>
    <row r="39" spans="1:15" ht="14.4" x14ac:dyDescent="0.3">
      <c r="A39" s="3">
        <v>35</v>
      </c>
      <c r="B39" s="8" t="s">
        <v>1322</v>
      </c>
      <c r="C39" s="5" t="s">
        <v>1321</v>
      </c>
      <c r="D39" s="6" t="e">
        <v>#N/A</v>
      </c>
      <c r="E39" s="5" t="s">
        <v>1320</v>
      </c>
      <c r="F39" s="5" t="s">
        <v>48</v>
      </c>
      <c r="G39" s="5" t="s">
        <v>3</v>
      </c>
      <c r="H39" s="2">
        <v>46162</v>
      </c>
      <c r="I39" s="2"/>
      <c r="J39" s="2">
        <v>46210</v>
      </c>
      <c r="K39" s="2" t="s">
        <v>1899</v>
      </c>
      <c r="L39" s="1" t="s">
        <v>44</v>
      </c>
      <c r="M39" s="1" t="s">
        <v>12</v>
      </c>
      <c r="N39" s="1"/>
      <c r="O39" s="4" t="s">
        <v>1319</v>
      </c>
    </row>
    <row r="40" spans="1:15" ht="14.4" x14ac:dyDescent="0.3">
      <c r="A40" s="3">
        <v>36</v>
      </c>
      <c r="B40" s="8" t="s">
        <v>1318</v>
      </c>
      <c r="C40" s="5" t="s">
        <v>1317</v>
      </c>
      <c r="D40" s="6">
        <v>523721408</v>
      </c>
      <c r="E40" s="5" t="s">
        <v>568</v>
      </c>
      <c r="F40" s="5" t="s">
        <v>32</v>
      </c>
      <c r="G40" s="5" t="s">
        <v>3</v>
      </c>
      <c r="H40" s="2">
        <v>46170</v>
      </c>
      <c r="I40" s="2">
        <v>46198</v>
      </c>
      <c r="J40" s="2">
        <v>46210</v>
      </c>
      <c r="K40" s="2" t="s">
        <v>1899</v>
      </c>
      <c r="L40" s="1" t="s">
        <v>27</v>
      </c>
      <c r="M40" s="1" t="s">
        <v>12</v>
      </c>
      <c r="N40" s="1"/>
      <c r="O40" s="4"/>
    </row>
    <row r="41" spans="1:15" ht="14.4" x14ac:dyDescent="0.3">
      <c r="A41" s="3">
        <v>37</v>
      </c>
      <c r="B41" s="8" t="s">
        <v>1316</v>
      </c>
      <c r="C41" s="5" t="s">
        <v>1315</v>
      </c>
      <c r="D41" s="6">
        <v>323873237</v>
      </c>
      <c r="E41" s="5" t="s">
        <v>1312</v>
      </c>
      <c r="F41" s="5" t="s">
        <v>28</v>
      </c>
      <c r="G41" s="5" t="s">
        <v>3</v>
      </c>
      <c r="H41" s="2"/>
      <c r="I41" s="2"/>
      <c r="J41" s="2">
        <v>46210</v>
      </c>
      <c r="K41" s="2">
        <v>46261</v>
      </c>
      <c r="L41" s="1" t="s">
        <v>27</v>
      </c>
      <c r="M41" s="1" t="s">
        <v>12</v>
      </c>
      <c r="N41" s="1"/>
      <c r="O41" s="4"/>
    </row>
    <row r="42" spans="1:15" ht="14.4" x14ac:dyDescent="0.3">
      <c r="A42" s="3">
        <v>38</v>
      </c>
      <c r="B42" s="8" t="s">
        <v>1314</v>
      </c>
      <c r="C42" s="5" t="s">
        <v>1313</v>
      </c>
      <c r="D42" s="6">
        <v>395167921</v>
      </c>
      <c r="E42" s="5" t="s">
        <v>1312</v>
      </c>
      <c r="F42" s="5" t="s">
        <v>28</v>
      </c>
      <c r="G42" s="5" t="s">
        <v>3</v>
      </c>
      <c r="H42" s="2"/>
      <c r="I42" s="2"/>
      <c r="J42" s="2">
        <v>46210</v>
      </c>
      <c r="K42" s="2" t="s">
        <v>1899</v>
      </c>
      <c r="L42" s="1" t="s">
        <v>27</v>
      </c>
      <c r="M42" s="1" t="s">
        <v>12</v>
      </c>
      <c r="N42" s="1"/>
      <c r="O42" s="4"/>
    </row>
    <row r="43" spans="1:15" ht="14.4" x14ac:dyDescent="0.3">
      <c r="A43" s="3">
        <v>39</v>
      </c>
      <c r="B43" s="8" t="s">
        <v>1311</v>
      </c>
      <c r="C43" s="5" t="s">
        <v>1310</v>
      </c>
      <c r="D43" s="6">
        <v>581230168</v>
      </c>
      <c r="E43" s="5" t="s">
        <v>333</v>
      </c>
      <c r="F43" s="5" t="s">
        <v>32</v>
      </c>
      <c r="G43" s="5" t="s">
        <v>3</v>
      </c>
      <c r="H43" s="2"/>
      <c r="I43" s="2"/>
      <c r="J43" s="2">
        <v>46210</v>
      </c>
      <c r="K43" s="2" t="s">
        <v>1899</v>
      </c>
      <c r="L43" s="1" t="s">
        <v>27</v>
      </c>
      <c r="M43" s="1" t="s">
        <v>12</v>
      </c>
      <c r="N43" s="1"/>
      <c r="O43" s="4"/>
    </row>
    <row r="44" spans="1:15" ht="14.4" x14ac:dyDescent="0.3">
      <c r="A44" s="3">
        <v>40</v>
      </c>
      <c r="B44" s="8" t="s">
        <v>1309</v>
      </c>
      <c r="C44" s="5" t="s">
        <v>1308</v>
      </c>
      <c r="D44" s="6">
        <v>490771313</v>
      </c>
      <c r="E44" s="5" t="s">
        <v>756</v>
      </c>
      <c r="F44" s="5" t="s">
        <v>4</v>
      </c>
      <c r="G44" s="5" t="s">
        <v>3</v>
      </c>
      <c r="H44" s="2"/>
      <c r="I44" s="2"/>
      <c r="J44" s="2">
        <v>46210</v>
      </c>
      <c r="K44" s="2" t="s">
        <v>1899</v>
      </c>
      <c r="L44" s="1"/>
      <c r="M44" s="1" t="s">
        <v>17</v>
      </c>
      <c r="N44" s="1"/>
      <c r="O44" s="4"/>
    </row>
    <row r="45" spans="1:15" ht="14.4" x14ac:dyDescent="0.3">
      <c r="A45" s="3">
        <v>41</v>
      </c>
      <c r="B45" s="8" t="s">
        <v>1307</v>
      </c>
      <c r="C45" s="5" t="s">
        <v>1306</v>
      </c>
      <c r="D45" s="6">
        <v>517554324</v>
      </c>
      <c r="E45" s="5" t="s">
        <v>186</v>
      </c>
      <c r="F45" s="5" t="s">
        <v>36</v>
      </c>
      <c r="G45" s="5" t="s">
        <v>3</v>
      </c>
      <c r="H45" s="2">
        <v>46150</v>
      </c>
      <c r="I45" s="2">
        <v>46188</v>
      </c>
      <c r="J45" s="2">
        <v>46211</v>
      </c>
      <c r="K45" s="2" t="s">
        <v>1899</v>
      </c>
      <c r="L45" s="1" t="s">
        <v>13</v>
      </c>
      <c r="M45" s="1" t="s">
        <v>17</v>
      </c>
      <c r="N45" s="1"/>
      <c r="O45" s="4"/>
    </row>
    <row r="46" spans="1:15" ht="14.4" x14ac:dyDescent="0.3">
      <c r="A46" s="3">
        <v>42</v>
      </c>
      <c r="B46" s="8" t="s">
        <v>1305</v>
      </c>
      <c r="C46" s="5" t="s">
        <v>1304</v>
      </c>
      <c r="D46" s="6">
        <v>428177218</v>
      </c>
      <c r="E46" s="5" t="s">
        <v>986</v>
      </c>
      <c r="F46" s="5" t="s">
        <v>28</v>
      </c>
      <c r="G46" s="5" t="s">
        <v>3</v>
      </c>
      <c r="H46" s="2"/>
      <c r="I46" s="2"/>
      <c r="J46" s="2">
        <v>46211</v>
      </c>
      <c r="K46" s="2" t="s">
        <v>1899</v>
      </c>
      <c r="L46" s="1" t="s">
        <v>27</v>
      </c>
      <c r="M46" s="1" t="s">
        <v>12</v>
      </c>
      <c r="N46" s="1"/>
      <c r="O46" s="4"/>
    </row>
    <row r="47" spans="1:15" ht="14.4" x14ac:dyDescent="0.3">
      <c r="A47" s="3">
        <v>43</v>
      </c>
      <c r="B47" s="8" t="s">
        <v>1303</v>
      </c>
      <c r="C47" s="5" t="s">
        <v>1302</v>
      </c>
      <c r="D47" s="6">
        <v>408762601</v>
      </c>
      <c r="E47" s="5" t="s">
        <v>1301</v>
      </c>
      <c r="F47" s="5" t="s">
        <v>28</v>
      </c>
      <c r="G47" s="5" t="s">
        <v>3</v>
      </c>
      <c r="H47" s="2"/>
      <c r="I47" s="2"/>
      <c r="J47" s="2">
        <v>46211</v>
      </c>
      <c r="K47" s="2" t="s">
        <v>1899</v>
      </c>
      <c r="L47" s="1" t="s">
        <v>27</v>
      </c>
      <c r="M47" s="1" t="s">
        <v>12</v>
      </c>
      <c r="N47" s="1"/>
      <c r="O47" s="4"/>
    </row>
    <row r="48" spans="1:15" ht="14.4" x14ac:dyDescent="0.3">
      <c r="A48" s="3">
        <v>44</v>
      </c>
      <c r="B48" s="8" t="s">
        <v>1300</v>
      </c>
      <c r="C48" s="5" t="s">
        <v>1299</v>
      </c>
      <c r="D48" s="6">
        <v>531608572</v>
      </c>
      <c r="E48" s="5" t="s">
        <v>260</v>
      </c>
      <c r="F48" s="5" t="s">
        <v>9</v>
      </c>
      <c r="G48" s="5" t="s">
        <v>3</v>
      </c>
      <c r="H48" s="2"/>
      <c r="I48" s="2"/>
      <c r="J48" s="2">
        <v>46211</v>
      </c>
      <c r="K48" s="2" t="s">
        <v>1899</v>
      </c>
      <c r="L48" s="1" t="s">
        <v>124</v>
      </c>
      <c r="M48" s="1" t="s">
        <v>17</v>
      </c>
      <c r="N48" s="1"/>
      <c r="O48" s="4"/>
    </row>
    <row r="49" spans="1:15" ht="14.4" x14ac:dyDescent="0.3">
      <c r="A49" s="3">
        <v>45</v>
      </c>
      <c r="B49" s="8" t="s">
        <v>1298</v>
      </c>
      <c r="C49" s="5" t="s">
        <v>1297</v>
      </c>
      <c r="D49" s="6">
        <v>489155699</v>
      </c>
      <c r="E49" s="5" t="s">
        <v>536</v>
      </c>
      <c r="F49" s="5" t="s">
        <v>4</v>
      </c>
      <c r="G49" s="5" t="s">
        <v>3</v>
      </c>
      <c r="H49" s="2"/>
      <c r="I49" s="2"/>
      <c r="J49" s="2">
        <v>46211</v>
      </c>
      <c r="K49" s="2">
        <v>46260</v>
      </c>
      <c r="L49" s="1"/>
      <c r="M49" s="1" t="s">
        <v>17</v>
      </c>
      <c r="N49" s="1"/>
      <c r="O49" s="4"/>
    </row>
    <row r="50" spans="1:15" ht="14.4" x14ac:dyDescent="0.3">
      <c r="A50" s="3">
        <v>46</v>
      </c>
      <c r="B50" s="8" t="s">
        <v>1296</v>
      </c>
      <c r="C50" s="5" t="s">
        <v>1295</v>
      </c>
      <c r="D50" s="6">
        <v>175968956</v>
      </c>
      <c r="E50" s="5" t="s">
        <v>309</v>
      </c>
      <c r="F50" s="5" t="s">
        <v>4</v>
      </c>
      <c r="G50" s="5" t="s">
        <v>3</v>
      </c>
      <c r="H50" s="2"/>
      <c r="I50" s="2">
        <v>46175</v>
      </c>
      <c r="J50" s="2">
        <v>46211</v>
      </c>
      <c r="K50" s="2">
        <v>46260</v>
      </c>
      <c r="L50" s="1"/>
      <c r="M50" s="1" t="s">
        <v>342</v>
      </c>
      <c r="N50" s="1"/>
      <c r="O50" s="4"/>
    </row>
    <row r="51" spans="1:15" ht="14.4" x14ac:dyDescent="0.3">
      <c r="A51" s="3">
        <v>47</v>
      </c>
      <c r="B51" s="8" t="s">
        <v>1294</v>
      </c>
      <c r="C51" s="5" t="s">
        <v>1293</v>
      </c>
      <c r="D51" s="6">
        <v>369942270</v>
      </c>
      <c r="E51" s="5" t="s">
        <v>1292</v>
      </c>
      <c r="F51" s="5" t="s">
        <v>4</v>
      </c>
      <c r="G51" s="5" t="s">
        <v>3</v>
      </c>
      <c r="H51" s="2"/>
      <c r="I51" s="2"/>
      <c r="J51" s="2">
        <v>46211</v>
      </c>
      <c r="K51" s="2" t="s">
        <v>1899</v>
      </c>
      <c r="L51" s="1" t="s">
        <v>77</v>
      </c>
      <c r="M51" s="1" t="s">
        <v>12</v>
      </c>
      <c r="N51" s="1"/>
      <c r="O51" s="4"/>
    </row>
    <row r="52" spans="1:15" ht="14.4" x14ac:dyDescent="0.3">
      <c r="A52" s="3">
        <v>48</v>
      </c>
      <c r="B52" s="8" t="s">
        <v>1291</v>
      </c>
      <c r="C52" s="5" t="s">
        <v>1290</v>
      </c>
      <c r="D52" s="6">
        <v>463622338</v>
      </c>
      <c r="E52" s="5" t="s">
        <v>256</v>
      </c>
      <c r="F52" s="5" t="s">
        <v>4</v>
      </c>
      <c r="G52" s="5" t="s">
        <v>3</v>
      </c>
      <c r="H52" s="2"/>
      <c r="I52" s="2"/>
      <c r="J52" s="2">
        <v>46211</v>
      </c>
      <c r="K52" s="2" t="s">
        <v>1899</v>
      </c>
      <c r="L52" s="1"/>
      <c r="M52" s="1" t="s">
        <v>17</v>
      </c>
      <c r="N52" s="1"/>
      <c r="O52" s="4"/>
    </row>
    <row r="53" spans="1:15" ht="14.4" x14ac:dyDescent="0.3">
      <c r="A53" s="3">
        <v>49</v>
      </c>
      <c r="B53" s="8" t="s">
        <v>1289</v>
      </c>
      <c r="C53" s="5" t="s">
        <v>1288</v>
      </c>
      <c r="D53" s="6">
        <v>413147216</v>
      </c>
      <c r="E53" s="5" t="s">
        <v>688</v>
      </c>
      <c r="F53" s="5" t="s">
        <v>28</v>
      </c>
      <c r="G53" s="5" t="s">
        <v>3</v>
      </c>
      <c r="H53" s="2"/>
      <c r="I53" s="2"/>
      <c r="J53" s="2">
        <v>46211</v>
      </c>
      <c r="K53" s="2" t="s">
        <v>1899</v>
      </c>
      <c r="L53" s="1" t="s">
        <v>27</v>
      </c>
      <c r="M53" s="1" t="s">
        <v>12</v>
      </c>
      <c r="N53" s="1"/>
      <c r="O53" s="4"/>
    </row>
    <row r="54" spans="1:15" ht="14.4" x14ac:dyDescent="0.3">
      <c r="A54" s="3">
        <v>50</v>
      </c>
      <c r="B54" s="8" t="s">
        <v>1287</v>
      </c>
      <c r="C54" s="5" t="s">
        <v>1286</v>
      </c>
      <c r="D54" s="6">
        <v>399860323</v>
      </c>
      <c r="E54" s="5" t="s">
        <v>851</v>
      </c>
      <c r="F54" s="5" t="s">
        <v>4</v>
      </c>
      <c r="G54" s="5" t="s">
        <v>3</v>
      </c>
      <c r="H54" s="2">
        <v>46148</v>
      </c>
      <c r="I54" s="2">
        <v>46195</v>
      </c>
      <c r="J54" s="2">
        <v>46212</v>
      </c>
      <c r="K54" s="2">
        <v>46258</v>
      </c>
      <c r="L54" s="1" t="s">
        <v>77</v>
      </c>
      <c r="M54" s="1" t="s">
        <v>12</v>
      </c>
      <c r="N54" s="1"/>
      <c r="O54" s="4" t="s">
        <v>0</v>
      </c>
    </row>
    <row r="55" spans="1:15" ht="14.4" x14ac:dyDescent="0.3">
      <c r="A55" s="3">
        <v>51</v>
      </c>
      <c r="B55" s="8" t="s">
        <v>1284</v>
      </c>
      <c r="C55" s="5" t="s">
        <v>1283</v>
      </c>
      <c r="D55" s="6">
        <v>600470966</v>
      </c>
      <c r="E55" s="5" t="s">
        <v>1282</v>
      </c>
      <c r="F55" s="5" t="s">
        <v>9</v>
      </c>
      <c r="G55" s="5" t="s">
        <v>3</v>
      </c>
      <c r="H55" s="2">
        <v>46162</v>
      </c>
      <c r="I55" s="2"/>
      <c r="J55" s="2">
        <v>46212</v>
      </c>
      <c r="K55" s="2" t="s">
        <v>1899</v>
      </c>
      <c r="L55" s="1" t="s">
        <v>20</v>
      </c>
      <c r="M55" s="1" t="s">
        <v>17</v>
      </c>
      <c r="N55" s="1"/>
      <c r="O55" s="4"/>
    </row>
    <row r="56" spans="1:15" ht="14.4" x14ac:dyDescent="0.3">
      <c r="A56" s="3">
        <v>52</v>
      </c>
      <c r="B56" s="8" t="s">
        <v>1281</v>
      </c>
      <c r="C56" s="5" t="s">
        <v>1280</v>
      </c>
      <c r="D56" s="6">
        <v>479778107</v>
      </c>
      <c r="E56" s="5" t="s">
        <v>1187</v>
      </c>
      <c r="F56" s="5" t="s">
        <v>9</v>
      </c>
      <c r="G56" s="5" t="s">
        <v>3</v>
      </c>
      <c r="H56" s="2"/>
      <c r="I56" s="2"/>
      <c r="J56" s="2">
        <v>46212</v>
      </c>
      <c r="K56" s="2" t="s">
        <v>1899</v>
      </c>
      <c r="L56" s="1" t="s">
        <v>20</v>
      </c>
      <c r="M56" s="1" t="s">
        <v>17</v>
      </c>
      <c r="N56" s="1"/>
      <c r="O56" s="4"/>
    </row>
    <row r="57" spans="1:15" ht="14.4" x14ac:dyDescent="0.3">
      <c r="A57" s="3">
        <v>53</v>
      </c>
      <c r="B57" s="10" t="s">
        <v>1279</v>
      </c>
      <c r="C57" s="5" t="s">
        <v>1278</v>
      </c>
      <c r="D57" s="6">
        <v>465165080</v>
      </c>
      <c r="E57" s="5" t="s">
        <v>1277</v>
      </c>
      <c r="F57" s="5" t="s">
        <v>4</v>
      </c>
      <c r="G57" s="5" t="s">
        <v>3</v>
      </c>
      <c r="H57" s="2"/>
      <c r="I57" s="2"/>
      <c r="J57" s="2">
        <v>46212</v>
      </c>
      <c r="K57" s="2" t="s">
        <v>1899</v>
      </c>
      <c r="L57" s="1"/>
      <c r="M57" s="1" t="s">
        <v>12</v>
      </c>
      <c r="N57" s="1"/>
      <c r="O57" s="4"/>
    </row>
    <row r="58" spans="1:15" ht="14.4" x14ac:dyDescent="0.3">
      <c r="A58" s="3">
        <v>54</v>
      </c>
      <c r="B58" s="8" t="s">
        <v>1276</v>
      </c>
      <c r="C58" s="5" t="s">
        <v>1275</v>
      </c>
      <c r="D58" s="6">
        <v>404792031</v>
      </c>
      <c r="E58" s="5" t="s">
        <v>131</v>
      </c>
      <c r="F58" s="5" t="s">
        <v>9</v>
      </c>
      <c r="G58" s="5" t="s">
        <v>3</v>
      </c>
      <c r="H58" s="2"/>
      <c r="I58" s="2"/>
      <c r="J58" s="2">
        <v>46212</v>
      </c>
      <c r="K58" s="2" t="s">
        <v>1899</v>
      </c>
      <c r="L58" s="1" t="s">
        <v>124</v>
      </c>
      <c r="M58" s="1" t="s">
        <v>17</v>
      </c>
      <c r="N58" s="1"/>
      <c r="O58" s="4"/>
    </row>
    <row r="59" spans="1:15" ht="14.4" x14ac:dyDescent="0.3">
      <c r="A59" s="3">
        <v>55</v>
      </c>
      <c r="B59" s="8" t="s">
        <v>1274</v>
      </c>
      <c r="C59" s="5" t="s">
        <v>1273</v>
      </c>
      <c r="D59" s="6">
        <v>513583645</v>
      </c>
      <c r="E59" s="5" t="s">
        <v>879</v>
      </c>
      <c r="F59" s="5" t="s">
        <v>4</v>
      </c>
      <c r="G59" s="5" t="s">
        <v>3</v>
      </c>
      <c r="H59" s="2"/>
      <c r="I59" s="2"/>
      <c r="J59" s="2">
        <v>46212</v>
      </c>
      <c r="K59" s="2" t="s">
        <v>1899</v>
      </c>
      <c r="L59" s="1" t="s">
        <v>77</v>
      </c>
      <c r="M59" s="1" t="s">
        <v>17</v>
      </c>
      <c r="N59" s="1"/>
      <c r="O59" s="4"/>
    </row>
    <row r="60" spans="1:15" ht="14.4" x14ac:dyDescent="0.3">
      <c r="A60" s="3">
        <v>56</v>
      </c>
      <c r="B60" s="8" t="s">
        <v>1272</v>
      </c>
      <c r="C60" s="5" t="s">
        <v>1271</v>
      </c>
      <c r="D60" s="6">
        <v>442156372</v>
      </c>
      <c r="E60" s="5" t="s">
        <v>1270</v>
      </c>
      <c r="F60" s="5" t="s">
        <v>32</v>
      </c>
      <c r="G60" s="5" t="s">
        <v>3</v>
      </c>
      <c r="H60" s="2"/>
      <c r="I60" s="2"/>
      <c r="J60" s="2">
        <v>46212</v>
      </c>
      <c r="K60" s="2">
        <v>46263</v>
      </c>
      <c r="L60" s="1" t="s">
        <v>27</v>
      </c>
      <c r="M60" s="1" t="s">
        <v>12</v>
      </c>
      <c r="N60" s="1"/>
      <c r="O60" s="4"/>
    </row>
    <row r="61" spans="1:15" ht="14.4" x14ac:dyDescent="0.3">
      <c r="A61" s="3">
        <v>57</v>
      </c>
      <c r="B61" s="8" t="s">
        <v>1269</v>
      </c>
      <c r="C61" s="5" t="s">
        <v>1268</v>
      </c>
      <c r="D61" s="6">
        <v>537755435</v>
      </c>
      <c r="E61" s="5" t="s">
        <v>575</v>
      </c>
      <c r="F61" s="5" t="s">
        <v>40</v>
      </c>
      <c r="G61" s="5" t="s">
        <v>3</v>
      </c>
      <c r="H61" s="2"/>
      <c r="I61" s="2"/>
      <c r="J61" s="2">
        <v>46212</v>
      </c>
      <c r="K61" s="2" t="s">
        <v>1899</v>
      </c>
      <c r="L61" s="1" t="s">
        <v>27</v>
      </c>
      <c r="M61" s="1" t="s">
        <v>17</v>
      </c>
      <c r="N61" s="1"/>
      <c r="O61" s="4"/>
    </row>
    <row r="62" spans="1:15" ht="14.4" x14ac:dyDescent="0.3">
      <c r="A62" s="3">
        <v>58</v>
      </c>
      <c r="B62" s="8" t="s">
        <v>1267</v>
      </c>
      <c r="C62" s="5" t="s">
        <v>1266</v>
      </c>
      <c r="D62" s="6">
        <v>443292285</v>
      </c>
      <c r="E62" s="5" t="s">
        <v>673</v>
      </c>
      <c r="F62" s="5" t="s">
        <v>9</v>
      </c>
      <c r="G62" s="5" t="s">
        <v>3</v>
      </c>
      <c r="H62" s="2"/>
      <c r="I62" s="2"/>
      <c r="J62" s="2">
        <v>46212</v>
      </c>
      <c r="K62" s="2"/>
      <c r="L62" s="1" t="s">
        <v>20</v>
      </c>
      <c r="M62" s="1" t="s">
        <v>12</v>
      </c>
      <c r="N62" s="1"/>
      <c r="O62" s="4" t="s">
        <v>1265</v>
      </c>
    </row>
    <row r="63" spans="1:15" ht="14.4" x14ac:dyDescent="0.3">
      <c r="A63" s="3">
        <v>59</v>
      </c>
      <c r="B63" s="8" t="s">
        <v>1264</v>
      </c>
      <c r="C63" s="5" t="s">
        <v>1263</v>
      </c>
      <c r="D63" s="6">
        <v>595493212</v>
      </c>
      <c r="E63" s="5" t="s">
        <v>879</v>
      </c>
      <c r="F63" s="5" t="s">
        <v>4</v>
      </c>
      <c r="G63" s="5" t="s">
        <v>3</v>
      </c>
      <c r="H63" s="2">
        <v>46160</v>
      </c>
      <c r="I63" s="2">
        <v>46183</v>
      </c>
      <c r="J63" s="2">
        <v>46213</v>
      </c>
      <c r="K63" s="2">
        <v>46261</v>
      </c>
      <c r="L63" s="1" t="s">
        <v>2</v>
      </c>
      <c r="M63" s="1" t="s">
        <v>535</v>
      </c>
      <c r="N63" s="1"/>
      <c r="O63" s="4" t="s">
        <v>0</v>
      </c>
    </row>
    <row r="64" spans="1:15" ht="14.4" x14ac:dyDescent="0.3">
      <c r="A64" s="3">
        <v>60</v>
      </c>
      <c r="B64" s="8" t="s">
        <v>1261</v>
      </c>
      <c r="C64" s="5" t="s">
        <v>1260</v>
      </c>
      <c r="D64" s="6">
        <v>451009428</v>
      </c>
      <c r="E64" s="5" t="s">
        <v>186</v>
      </c>
      <c r="F64" s="5" t="s">
        <v>36</v>
      </c>
      <c r="G64" s="5" t="s">
        <v>3</v>
      </c>
      <c r="H64" s="2">
        <v>46153</v>
      </c>
      <c r="I64" s="2">
        <v>46177</v>
      </c>
      <c r="J64" s="2">
        <v>46213</v>
      </c>
      <c r="K64" s="2">
        <v>46256</v>
      </c>
      <c r="L64" s="1" t="s">
        <v>13</v>
      </c>
      <c r="M64" s="1" t="s">
        <v>17</v>
      </c>
      <c r="N64" s="1"/>
      <c r="O64" s="4" t="s">
        <v>0</v>
      </c>
    </row>
    <row r="65" spans="1:15" ht="14.4" x14ac:dyDescent="0.3">
      <c r="A65" s="3">
        <v>61</v>
      </c>
      <c r="B65" s="8" t="s">
        <v>1259</v>
      </c>
      <c r="C65" s="5" t="s">
        <v>1258</v>
      </c>
      <c r="D65" s="6">
        <v>424062243</v>
      </c>
      <c r="E65" s="5" t="s">
        <v>1257</v>
      </c>
      <c r="F65" s="5" t="s">
        <v>36</v>
      </c>
      <c r="G65" s="5" t="s">
        <v>3</v>
      </c>
      <c r="H65" s="2">
        <v>46157</v>
      </c>
      <c r="I65" s="2">
        <v>46188</v>
      </c>
      <c r="J65" s="2">
        <v>46213</v>
      </c>
      <c r="K65" s="2" t="s">
        <v>1899</v>
      </c>
      <c r="L65" s="1" t="s">
        <v>13</v>
      </c>
      <c r="M65" s="1" t="s">
        <v>12</v>
      </c>
      <c r="N65" s="1"/>
      <c r="O65" s="4"/>
    </row>
    <row r="66" spans="1:15" ht="14.4" x14ac:dyDescent="0.3">
      <c r="A66" s="3">
        <v>62</v>
      </c>
      <c r="B66" s="8" t="s">
        <v>1256</v>
      </c>
      <c r="C66" s="5" t="s">
        <v>1255</v>
      </c>
      <c r="D66" s="6">
        <v>488869874</v>
      </c>
      <c r="E66" s="5" t="s">
        <v>1254</v>
      </c>
      <c r="F66" s="5" t="s">
        <v>9</v>
      </c>
      <c r="G66" s="5" t="s">
        <v>3</v>
      </c>
      <c r="H66" s="2">
        <v>46164</v>
      </c>
      <c r="I66" s="2"/>
      <c r="J66" s="2">
        <v>46213</v>
      </c>
      <c r="K66" s="2" t="s">
        <v>1899</v>
      </c>
      <c r="L66" s="1" t="s">
        <v>124</v>
      </c>
      <c r="M66" s="1" t="s">
        <v>12</v>
      </c>
      <c r="N66" s="1"/>
      <c r="O66" s="4"/>
    </row>
    <row r="67" spans="1:15" ht="14.4" x14ac:dyDescent="0.3">
      <c r="A67" s="3">
        <v>63</v>
      </c>
      <c r="B67" s="8" t="s">
        <v>1253</v>
      </c>
      <c r="C67" s="5" t="s">
        <v>1252</v>
      </c>
      <c r="D67" s="6">
        <v>749301830</v>
      </c>
      <c r="E67" s="5" t="s">
        <v>1251</v>
      </c>
      <c r="F67" s="5" t="s">
        <v>36</v>
      </c>
      <c r="G67" s="5" t="s">
        <v>3</v>
      </c>
      <c r="H67" s="2"/>
      <c r="I67" s="2">
        <v>46176</v>
      </c>
      <c r="J67" s="2">
        <v>46213</v>
      </c>
      <c r="K67" s="2" t="s">
        <v>1899</v>
      </c>
      <c r="L67" s="1" t="s">
        <v>13</v>
      </c>
      <c r="M67" s="1" t="s">
        <v>17</v>
      </c>
      <c r="N67" s="1"/>
      <c r="O67" s="4"/>
    </row>
    <row r="68" spans="1:15" ht="14.4" x14ac:dyDescent="0.3">
      <c r="A68" s="3">
        <v>64</v>
      </c>
      <c r="B68" s="8" t="s">
        <v>1250</v>
      </c>
      <c r="C68" s="5" t="s">
        <v>1249</v>
      </c>
      <c r="D68" s="6">
        <v>526906609</v>
      </c>
      <c r="E68" s="5" t="s">
        <v>137</v>
      </c>
      <c r="F68" s="5" t="s">
        <v>9</v>
      </c>
      <c r="G68" s="5" t="s">
        <v>3</v>
      </c>
      <c r="H68" s="2"/>
      <c r="I68" s="2"/>
      <c r="J68" s="2">
        <v>46213</v>
      </c>
      <c r="K68" s="2" t="s">
        <v>1899</v>
      </c>
      <c r="L68" s="1" t="s">
        <v>20</v>
      </c>
      <c r="M68" s="1" t="s">
        <v>17</v>
      </c>
      <c r="N68" s="1"/>
      <c r="O68" s="4"/>
    </row>
    <row r="69" spans="1:15" ht="14.4" x14ac:dyDescent="0.3">
      <c r="A69" s="3">
        <v>65</v>
      </c>
      <c r="B69" s="8" t="s">
        <v>1248</v>
      </c>
      <c r="C69" s="5" t="s">
        <v>1247</v>
      </c>
      <c r="D69" s="6">
        <v>430118991</v>
      </c>
      <c r="E69" s="5" t="s">
        <v>1246</v>
      </c>
      <c r="F69" s="5" t="s">
        <v>48</v>
      </c>
      <c r="G69" s="5" t="s">
        <v>3</v>
      </c>
      <c r="H69" s="2"/>
      <c r="I69" s="2"/>
      <c r="J69" s="2">
        <v>46213</v>
      </c>
      <c r="K69" s="2" t="s">
        <v>1899</v>
      </c>
      <c r="L69" s="1" t="s">
        <v>44</v>
      </c>
      <c r="M69" s="1" t="s">
        <v>17</v>
      </c>
      <c r="N69" s="1"/>
      <c r="O69" s="4"/>
    </row>
    <row r="70" spans="1:15" ht="14.4" x14ac:dyDescent="0.3">
      <c r="A70" s="3">
        <v>66</v>
      </c>
      <c r="B70" s="8" t="s">
        <v>1245</v>
      </c>
      <c r="C70" s="5" t="s">
        <v>1244</v>
      </c>
      <c r="D70" s="6">
        <v>511090196</v>
      </c>
      <c r="E70" s="5" t="s">
        <v>1243</v>
      </c>
      <c r="F70" s="5" t="s">
        <v>9</v>
      </c>
      <c r="G70" s="5" t="s">
        <v>3</v>
      </c>
      <c r="H70" s="2"/>
      <c r="I70" s="2"/>
      <c r="J70" s="2">
        <v>46213</v>
      </c>
      <c r="K70" s="2" t="s">
        <v>1899</v>
      </c>
      <c r="L70" s="1" t="s">
        <v>20</v>
      </c>
      <c r="M70" s="1" t="s">
        <v>12</v>
      </c>
      <c r="N70" s="1"/>
      <c r="O70" s="4"/>
    </row>
    <row r="71" spans="1:15" ht="14.4" x14ac:dyDescent="0.3">
      <c r="A71" s="3">
        <v>67</v>
      </c>
      <c r="B71" s="8" t="s">
        <v>1242</v>
      </c>
      <c r="C71" s="5" t="s">
        <v>1241</v>
      </c>
      <c r="D71" s="6">
        <v>486994415</v>
      </c>
      <c r="E71" s="5" t="s">
        <v>183</v>
      </c>
      <c r="F71" s="5" t="s">
        <v>9</v>
      </c>
      <c r="G71" s="5" t="s">
        <v>3</v>
      </c>
      <c r="H71" s="2"/>
      <c r="I71" s="2">
        <v>46199</v>
      </c>
      <c r="J71" s="2">
        <v>46213</v>
      </c>
      <c r="K71" s="2" t="s">
        <v>1899</v>
      </c>
      <c r="L71" s="1" t="s">
        <v>20</v>
      </c>
      <c r="M71" s="1" t="s">
        <v>12</v>
      </c>
      <c r="N71" s="1"/>
      <c r="O71" s="4"/>
    </row>
    <row r="72" spans="1:15" ht="14.4" x14ac:dyDescent="0.3">
      <c r="A72" s="3">
        <v>68</v>
      </c>
      <c r="B72" s="8" t="s">
        <v>1240</v>
      </c>
      <c r="C72" s="5" t="s">
        <v>1239</v>
      </c>
      <c r="D72" s="6">
        <v>376421066</v>
      </c>
      <c r="E72" s="5" t="s">
        <v>688</v>
      </c>
      <c r="F72" s="5" t="s">
        <v>28</v>
      </c>
      <c r="G72" s="5" t="s">
        <v>3</v>
      </c>
      <c r="H72" s="2"/>
      <c r="I72" s="2">
        <v>46175</v>
      </c>
      <c r="J72" s="2">
        <v>46213</v>
      </c>
      <c r="K72" s="2" t="s">
        <v>1899</v>
      </c>
      <c r="L72" s="1" t="s">
        <v>27</v>
      </c>
      <c r="M72" s="1" t="s">
        <v>12</v>
      </c>
      <c r="N72" s="1"/>
      <c r="O72" s="4"/>
    </row>
    <row r="73" spans="1:15" ht="14.4" x14ac:dyDescent="0.3">
      <c r="A73" s="3">
        <v>69</v>
      </c>
      <c r="B73" s="8" t="s">
        <v>1238</v>
      </c>
      <c r="C73" s="5" t="s">
        <v>1237</v>
      </c>
      <c r="D73" s="6">
        <v>470442780</v>
      </c>
      <c r="E73" s="5" t="s">
        <v>1236</v>
      </c>
      <c r="F73" s="5" t="s">
        <v>28</v>
      </c>
      <c r="G73" s="5" t="s">
        <v>3</v>
      </c>
      <c r="H73" s="2"/>
      <c r="I73" s="2"/>
      <c r="J73" s="2">
        <v>46213</v>
      </c>
      <c r="K73" s="2" t="s">
        <v>1899</v>
      </c>
      <c r="L73" s="1" t="s">
        <v>27</v>
      </c>
      <c r="M73" s="1" t="s">
        <v>17</v>
      </c>
      <c r="N73" s="1"/>
      <c r="O73" s="4"/>
    </row>
    <row r="74" spans="1:15" ht="14.4" x14ac:dyDescent="0.3">
      <c r="A74" s="3">
        <v>70</v>
      </c>
      <c r="B74" s="8" t="s">
        <v>1235</v>
      </c>
      <c r="C74" s="5" t="s">
        <v>1234</v>
      </c>
      <c r="D74" s="6">
        <v>548386522</v>
      </c>
      <c r="E74" s="5" t="s">
        <v>915</v>
      </c>
      <c r="F74" s="5" t="s">
        <v>4</v>
      </c>
      <c r="G74" s="5" t="s">
        <v>3</v>
      </c>
      <c r="H74" s="2">
        <v>46151</v>
      </c>
      <c r="I74" s="2">
        <v>46186</v>
      </c>
      <c r="J74" s="2">
        <v>46214</v>
      </c>
      <c r="K74" s="2">
        <v>46252</v>
      </c>
      <c r="L74" s="1" t="s">
        <v>2</v>
      </c>
      <c r="M74" s="1" t="s">
        <v>17</v>
      </c>
      <c r="N74" s="1"/>
      <c r="O74" s="4" t="s">
        <v>0</v>
      </c>
    </row>
    <row r="75" spans="1:15" ht="14.4" x14ac:dyDescent="0.3">
      <c r="A75" s="3">
        <v>71</v>
      </c>
      <c r="B75" s="8" t="s">
        <v>1233</v>
      </c>
      <c r="C75" s="5" t="s">
        <v>1232</v>
      </c>
      <c r="D75" s="6">
        <v>537762370</v>
      </c>
      <c r="E75" s="5" t="s">
        <v>1150</v>
      </c>
      <c r="F75" s="5" t="s">
        <v>36</v>
      </c>
      <c r="G75" s="5" t="s">
        <v>3</v>
      </c>
      <c r="H75" s="2">
        <v>46167</v>
      </c>
      <c r="I75" s="2"/>
      <c r="J75" s="2">
        <v>46214</v>
      </c>
      <c r="K75" s="2">
        <v>46254</v>
      </c>
      <c r="L75" s="1" t="s">
        <v>13</v>
      </c>
      <c r="M75" s="1" t="s">
        <v>17</v>
      </c>
      <c r="N75" s="1"/>
      <c r="O75" s="4"/>
    </row>
    <row r="76" spans="1:15" ht="14.4" x14ac:dyDescent="0.3">
      <c r="A76" s="3">
        <v>72</v>
      </c>
      <c r="B76" s="8" t="s">
        <v>1231</v>
      </c>
      <c r="C76" s="5" t="s">
        <v>1230</v>
      </c>
      <c r="D76" s="6">
        <v>530132747</v>
      </c>
      <c r="E76" s="5" t="s">
        <v>663</v>
      </c>
      <c r="F76" s="5" t="s">
        <v>9</v>
      </c>
      <c r="G76" s="5" t="s">
        <v>3</v>
      </c>
      <c r="H76" s="2">
        <v>46165</v>
      </c>
      <c r="I76" s="2">
        <v>46196</v>
      </c>
      <c r="J76" s="2">
        <v>46214</v>
      </c>
      <c r="K76" s="2">
        <v>46255</v>
      </c>
      <c r="L76" s="1" t="s">
        <v>20</v>
      </c>
      <c r="M76" s="1" t="s">
        <v>17</v>
      </c>
      <c r="N76" s="1"/>
      <c r="O76" s="4" t="s">
        <v>0</v>
      </c>
    </row>
    <row r="77" spans="1:15" ht="14.4" x14ac:dyDescent="0.3">
      <c r="A77" s="3">
        <v>73</v>
      </c>
      <c r="B77" s="17" t="s">
        <v>1229</v>
      </c>
      <c r="C77" s="5" t="s">
        <v>1228</v>
      </c>
      <c r="D77" s="6">
        <v>427267697</v>
      </c>
      <c r="E77" s="5" t="s">
        <v>1119</v>
      </c>
      <c r="F77" s="5" t="s">
        <v>4</v>
      </c>
      <c r="G77" s="5" t="s">
        <v>3</v>
      </c>
      <c r="H77" s="2">
        <v>46154</v>
      </c>
      <c r="I77" s="2">
        <v>46190</v>
      </c>
      <c r="J77" s="2">
        <v>46214</v>
      </c>
      <c r="K77" s="2">
        <v>46260</v>
      </c>
      <c r="L77" s="1" t="s">
        <v>2</v>
      </c>
      <c r="M77" s="1" t="s">
        <v>12</v>
      </c>
      <c r="N77" s="1"/>
      <c r="O77" s="4" t="s">
        <v>0</v>
      </c>
    </row>
    <row r="78" spans="1:15" ht="14.4" x14ac:dyDescent="0.3">
      <c r="A78" s="3">
        <v>74</v>
      </c>
      <c r="B78" s="8" t="s">
        <v>1227</v>
      </c>
      <c r="C78" s="5" t="s">
        <v>1226</v>
      </c>
      <c r="D78" s="6">
        <v>663106536</v>
      </c>
      <c r="E78" s="5" t="s">
        <v>1225</v>
      </c>
      <c r="F78" s="5" t="s">
        <v>36</v>
      </c>
      <c r="G78" s="5" t="s">
        <v>3</v>
      </c>
      <c r="H78" s="2"/>
      <c r="I78" s="2"/>
      <c r="J78" s="2">
        <v>46214</v>
      </c>
      <c r="K78" s="2" t="s">
        <v>1899</v>
      </c>
      <c r="L78" s="1" t="s">
        <v>13</v>
      </c>
      <c r="M78" s="1" t="s">
        <v>12</v>
      </c>
      <c r="N78" s="1"/>
      <c r="O78" s="4"/>
    </row>
    <row r="79" spans="1:15" ht="14.4" x14ac:dyDescent="0.3">
      <c r="A79" s="3">
        <v>75</v>
      </c>
      <c r="B79" s="8" t="s">
        <v>1224</v>
      </c>
      <c r="C79" s="5" t="s">
        <v>1223</v>
      </c>
      <c r="D79" s="6">
        <v>523054174</v>
      </c>
      <c r="E79" s="5" t="s">
        <v>1222</v>
      </c>
      <c r="F79" s="5" t="s">
        <v>48</v>
      </c>
      <c r="G79" s="5" t="s">
        <v>3</v>
      </c>
      <c r="H79" s="2">
        <v>46172</v>
      </c>
      <c r="I79" s="2"/>
      <c r="J79" s="2">
        <v>46214</v>
      </c>
      <c r="K79" s="2" t="s">
        <v>1899</v>
      </c>
      <c r="L79" s="1" t="s">
        <v>44</v>
      </c>
      <c r="M79" s="1" t="s">
        <v>12</v>
      </c>
      <c r="N79" s="1"/>
      <c r="O79" s="4"/>
    </row>
    <row r="80" spans="1:15" ht="14.4" x14ac:dyDescent="0.3">
      <c r="A80" s="3">
        <v>76</v>
      </c>
      <c r="B80" s="8" t="s">
        <v>1221</v>
      </c>
      <c r="C80" s="5" t="s">
        <v>1220</v>
      </c>
      <c r="D80" s="6">
        <v>501540970</v>
      </c>
      <c r="E80" s="5" t="s">
        <v>1219</v>
      </c>
      <c r="F80" s="5" t="s">
        <v>28</v>
      </c>
      <c r="G80" s="5" t="s">
        <v>3</v>
      </c>
      <c r="H80" s="2"/>
      <c r="I80" s="2"/>
      <c r="J80" s="2">
        <v>46214</v>
      </c>
      <c r="K80" s="2" t="s">
        <v>1899</v>
      </c>
      <c r="L80" s="1" t="s">
        <v>27</v>
      </c>
      <c r="M80" s="1" t="s">
        <v>17</v>
      </c>
      <c r="N80" s="1"/>
      <c r="O80" s="4"/>
    </row>
    <row r="81" spans="1:15" ht="14.4" x14ac:dyDescent="0.3">
      <c r="A81" s="3">
        <v>77</v>
      </c>
      <c r="B81" s="8" t="s">
        <v>1218</v>
      </c>
      <c r="C81" s="5" t="s">
        <v>1217</v>
      </c>
      <c r="D81" s="6">
        <v>406784392</v>
      </c>
      <c r="E81" s="5" t="s">
        <v>857</v>
      </c>
      <c r="F81" s="5" t="s">
        <v>28</v>
      </c>
      <c r="G81" s="5" t="s">
        <v>3</v>
      </c>
      <c r="H81" s="2"/>
      <c r="I81" s="2"/>
      <c r="J81" s="2">
        <v>46214</v>
      </c>
      <c r="K81" s="2">
        <v>46260</v>
      </c>
      <c r="L81" s="1" t="s">
        <v>27</v>
      </c>
      <c r="M81" s="1" t="s">
        <v>12</v>
      </c>
      <c r="N81" s="1"/>
      <c r="O81" s="4"/>
    </row>
    <row r="82" spans="1:15" ht="14.4" x14ac:dyDescent="0.3">
      <c r="A82" s="3">
        <v>78</v>
      </c>
      <c r="B82" s="8" t="s">
        <v>1216</v>
      </c>
      <c r="C82" s="5" t="s">
        <v>1215</v>
      </c>
      <c r="D82" s="6">
        <v>639938230</v>
      </c>
      <c r="E82" s="5" t="s">
        <v>1214</v>
      </c>
      <c r="F82" s="5" t="s">
        <v>9</v>
      </c>
      <c r="G82" s="5" t="s">
        <v>3</v>
      </c>
      <c r="H82" s="2"/>
      <c r="I82" s="2"/>
      <c r="J82" s="2">
        <v>46214</v>
      </c>
      <c r="K82" s="2" t="s">
        <v>1899</v>
      </c>
      <c r="L82" s="1" t="s">
        <v>20</v>
      </c>
      <c r="M82" s="1" t="s">
        <v>17</v>
      </c>
      <c r="N82" s="1"/>
      <c r="O82" s="4"/>
    </row>
    <row r="83" spans="1:15" ht="14.4" x14ac:dyDescent="0.3">
      <c r="A83" s="3">
        <v>79</v>
      </c>
      <c r="B83" s="8" t="s">
        <v>1213</v>
      </c>
      <c r="C83" s="5" t="s">
        <v>1212</v>
      </c>
      <c r="D83" s="6">
        <v>477722855</v>
      </c>
      <c r="E83" s="5" t="s">
        <v>1211</v>
      </c>
      <c r="F83" s="5" t="s">
        <v>48</v>
      </c>
      <c r="G83" s="5" t="s">
        <v>3</v>
      </c>
      <c r="H83" s="2">
        <v>46163</v>
      </c>
      <c r="I83" s="2"/>
      <c r="J83" s="2">
        <v>46216</v>
      </c>
      <c r="K83" s="2" t="s">
        <v>1899</v>
      </c>
      <c r="L83" s="1" t="s">
        <v>44</v>
      </c>
      <c r="M83" s="1" t="s">
        <v>12</v>
      </c>
      <c r="N83" s="1"/>
      <c r="O83" s="4"/>
    </row>
    <row r="84" spans="1:15" ht="14.4" x14ac:dyDescent="0.3">
      <c r="A84" s="3">
        <v>80</v>
      </c>
      <c r="B84" s="8" t="s">
        <v>1210</v>
      </c>
      <c r="C84" s="5" t="s">
        <v>1209</v>
      </c>
      <c r="D84" s="6">
        <v>413662115</v>
      </c>
      <c r="E84" s="5" t="s">
        <v>1208</v>
      </c>
      <c r="F84" s="5" t="s">
        <v>48</v>
      </c>
      <c r="G84" s="5" t="s">
        <v>3</v>
      </c>
      <c r="H84" s="2">
        <v>46163</v>
      </c>
      <c r="I84" s="2"/>
      <c r="J84" s="2">
        <v>46216</v>
      </c>
      <c r="K84" s="2" t="s">
        <v>1899</v>
      </c>
      <c r="L84" s="1" t="s">
        <v>44</v>
      </c>
      <c r="M84" s="1" t="s">
        <v>12</v>
      </c>
      <c r="N84" s="1"/>
      <c r="O84" s="4"/>
    </row>
    <row r="85" spans="1:15" ht="14.4" x14ac:dyDescent="0.3">
      <c r="A85" s="3">
        <v>81</v>
      </c>
      <c r="B85" s="8" t="s">
        <v>1207</v>
      </c>
      <c r="C85" s="5" t="s">
        <v>1206</v>
      </c>
      <c r="D85" s="6">
        <v>381570339</v>
      </c>
      <c r="E85" s="5" t="s">
        <v>156</v>
      </c>
      <c r="F85" s="5" t="s">
        <v>32</v>
      </c>
      <c r="G85" s="5" t="s">
        <v>3</v>
      </c>
      <c r="H85" s="2"/>
      <c r="I85" s="2">
        <v>46176</v>
      </c>
      <c r="J85" s="2">
        <v>46216</v>
      </c>
      <c r="K85" s="2">
        <v>46254</v>
      </c>
      <c r="L85" s="1" t="s">
        <v>27</v>
      </c>
      <c r="M85" s="1" t="s">
        <v>12</v>
      </c>
      <c r="N85" s="1"/>
      <c r="O85" s="4"/>
    </row>
    <row r="86" spans="1:15" ht="14.4" x14ac:dyDescent="0.3">
      <c r="A86" s="3">
        <v>82</v>
      </c>
      <c r="B86" s="8" t="s">
        <v>1205</v>
      </c>
      <c r="C86" s="5" t="s">
        <v>1204</v>
      </c>
      <c r="D86" s="6">
        <v>395093900</v>
      </c>
      <c r="E86" s="5" t="s">
        <v>508</v>
      </c>
      <c r="F86" s="5" t="s">
        <v>4</v>
      </c>
      <c r="G86" s="5" t="s">
        <v>3</v>
      </c>
      <c r="H86" s="2">
        <v>46150</v>
      </c>
      <c r="I86" s="2"/>
      <c r="J86" s="2">
        <v>46216</v>
      </c>
      <c r="K86" s="2" t="s">
        <v>1899</v>
      </c>
      <c r="L86" s="1" t="s">
        <v>2</v>
      </c>
      <c r="M86" s="1" t="s">
        <v>12</v>
      </c>
      <c r="N86" s="1"/>
      <c r="O86" s="4" t="s">
        <v>1203</v>
      </c>
    </row>
    <row r="87" spans="1:15" ht="14.4" x14ac:dyDescent="0.3">
      <c r="A87" s="3">
        <v>83</v>
      </c>
      <c r="B87" s="8" t="s">
        <v>1202</v>
      </c>
      <c r="C87" s="5" t="s">
        <v>1201</v>
      </c>
      <c r="D87" s="6">
        <v>500281856</v>
      </c>
      <c r="E87" s="5" t="s">
        <v>1200</v>
      </c>
      <c r="F87" s="5" t="s">
        <v>58</v>
      </c>
      <c r="G87" s="5" t="s">
        <v>3</v>
      </c>
      <c r="H87" s="2">
        <v>46148</v>
      </c>
      <c r="I87" s="2">
        <v>46199</v>
      </c>
      <c r="J87" s="2">
        <v>46216</v>
      </c>
      <c r="K87" s="2" t="s">
        <v>1899</v>
      </c>
      <c r="L87" s="1" t="s">
        <v>27</v>
      </c>
      <c r="M87" s="1" t="s">
        <v>12</v>
      </c>
      <c r="N87" s="1"/>
      <c r="O87" s="4"/>
    </row>
    <row r="88" spans="1:15" ht="14.4" x14ac:dyDescent="0.3">
      <c r="A88" s="3">
        <v>84</v>
      </c>
      <c r="B88" s="8" t="s">
        <v>1199</v>
      </c>
      <c r="C88" s="5" t="s">
        <v>1198</v>
      </c>
      <c r="D88" s="6">
        <v>435503785</v>
      </c>
      <c r="E88" s="5" t="s">
        <v>597</v>
      </c>
      <c r="F88" s="5" t="s">
        <v>36</v>
      </c>
      <c r="G88" s="5" t="s">
        <v>3</v>
      </c>
      <c r="H88" s="2">
        <v>46149</v>
      </c>
      <c r="I88" s="2">
        <v>46203</v>
      </c>
      <c r="J88" s="2">
        <v>46216</v>
      </c>
      <c r="K88" s="2" t="s">
        <v>1899</v>
      </c>
      <c r="L88" s="1" t="s">
        <v>13</v>
      </c>
      <c r="M88" s="1" t="s">
        <v>12</v>
      </c>
      <c r="N88" s="1"/>
      <c r="O88" s="4" t="s">
        <v>1197</v>
      </c>
    </row>
    <row r="89" spans="1:15" ht="14.4" x14ac:dyDescent="0.3">
      <c r="A89" s="3">
        <v>85</v>
      </c>
      <c r="B89" s="8" t="s">
        <v>1196</v>
      </c>
      <c r="C89" s="5" t="s">
        <v>1195</v>
      </c>
      <c r="D89" s="6">
        <v>394858579</v>
      </c>
      <c r="E89" s="5" t="s">
        <v>1194</v>
      </c>
      <c r="F89" s="5" t="s">
        <v>58</v>
      </c>
      <c r="G89" s="5" t="s">
        <v>3</v>
      </c>
      <c r="H89" s="2">
        <v>46150</v>
      </c>
      <c r="I89" s="2">
        <v>46199</v>
      </c>
      <c r="J89" s="2">
        <v>46216</v>
      </c>
      <c r="K89" s="2" t="s">
        <v>1899</v>
      </c>
      <c r="L89" s="1" t="s">
        <v>27</v>
      </c>
      <c r="M89" s="1" t="s">
        <v>12</v>
      </c>
      <c r="N89" s="1"/>
      <c r="O89" s="4"/>
    </row>
    <row r="90" spans="1:15" ht="14.4" x14ac:dyDescent="0.3">
      <c r="A90" s="3">
        <v>86</v>
      </c>
      <c r="B90" s="8" t="s">
        <v>1193</v>
      </c>
      <c r="C90" s="5" t="s">
        <v>1192</v>
      </c>
      <c r="D90" s="6">
        <v>379749913</v>
      </c>
      <c r="E90" s="5" t="s">
        <v>260</v>
      </c>
      <c r="F90" s="5" t="s">
        <v>9</v>
      </c>
      <c r="G90" s="5" t="s">
        <v>3</v>
      </c>
      <c r="H90" s="2">
        <v>46154</v>
      </c>
      <c r="I90" s="2"/>
      <c r="J90" s="2">
        <v>46216</v>
      </c>
      <c r="K90" s="2" t="s">
        <v>1899</v>
      </c>
      <c r="L90" s="1" t="s">
        <v>124</v>
      </c>
      <c r="M90" s="1" t="s">
        <v>12</v>
      </c>
      <c r="N90" s="1"/>
      <c r="O90" s="4"/>
    </row>
    <row r="91" spans="1:15" ht="14.4" x14ac:dyDescent="0.3">
      <c r="A91" s="3">
        <v>87</v>
      </c>
      <c r="B91" s="8" t="s">
        <v>1191</v>
      </c>
      <c r="C91" s="5" t="s">
        <v>1190</v>
      </c>
      <c r="D91" s="6">
        <v>430996871</v>
      </c>
      <c r="E91" s="5" t="s">
        <v>581</v>
      </c>
      <c r="F91" s="5" t="s">
        <v>32</v>
      </c>
      <c r="G91" s="5" t="s">
        <v>3</v>
      </c>
      <c r="H91" s="2">
        <v>46157</v>
      </c>
      <c r="I91" s="2"/>
      <c r="J91" s="2">
        <v>46216</v>
      </c>
      <c r="K91" s="2" t="s">
        <v>1899</v>
      </c>
      <c r="L91" s="1" t="s">
        <v>27</v>
      </c>
      <c r="M91" s="1" t="s">
        <v>17</v>
      </c>
      <c r="N91" s="1"/>
      <c r="O91" s="4"/>
    </row>
    <row r="92" spans="1:15" ht="14.4" x14ac:dyDescent="0.3">
      <c r="A92" s="3">
        <v>88</v>
      </c>
      <c r="B92" s="8" t="s">
        <v>1189</v>
      </c>
      <c r="C92" s="5" t="s">
        <v>1188</v>
      </c>
      <c r="D92" s="6">
        <v>468585894</v>
      </c>
      <c r="E92" s="5" t="s">
        <v>1187</v>
      </c>
      <c r="F92" s="5" t="s">
        <v>9</v>
      </c>
      <c r="G92" s="5" t="s">
        <v>3</v>
      </c>
      <c r="H92" s="2">
        <v>46160</v>
      </c>
      <c r="I92" s="2"/>
      <c r="J92" s="2">
        <v>46216</v>
      </c>
      <c r="K92" s="2" t="s">
        <v>1899</v>
      </c>
      <c r="L92" s="1" t="s">
        <v>20</v>
      </c>
      <c r="M92" s="1" t="s">
        <v>12</v>
      </c>
      <c r="N92" s="1"/>
      <c r="O92" s="4"/>
    </row>
    <row r="93" spans="1:15" ht="14.4" x14ac:dyDescent="0.3">
      <c r="A93" s="3">
        <v>89</v>
      </c>
      <c r="B93" s="8" t="s">
        <v>1186</v>
      </c>
      <c r="C93" s="5" t="s">
        <v>1185</v>
      </c>
      <c r="D93" s="6">
        <v>412950658</v>
      </c>
      <c r="E93" s="5" t="s">
        <v>164</v>
      </c>
      <c r="F93" s="5" t="s">
        <v>9</v>
      </c>
      <c r="G93" s="5" t="s">
        <v>3</v>
      </c>
      <c r="H93" s="2">
        <v>46168</v>
      </c>
      <c r="I93" s="2"/>
      <c r="J93" s="2">
        <v>46216</v>
      </c>
      <c r="K93" s="2" t="s">
        <v>1899</v>
      </c>
      <c r="L93" s="1" t="s">
        <v>20</v>
      </c>
      <c r="M93" s="1" t="s">
        <v>17</v>
      </c>
      <c r="N93" s="1"/>
      <c r="O93" s="4"/>
    </row>
    <row r="94" spans="1:15" ht="14.4" x14ac:dyDescent="0.3">
      <c r="A94" s="3">
        <v>90</v>
      </c>
      <c r="B94" s="8" t="s">
        <v>1184</v>
      </c>
      <c r="C94" s="5" t="s">
        <v>1183</v>
      </c>
      <c r="D94" s="6">
        <v>447311372</v>
      </c>
      <c r="E94" s="5" t="s">
        <v>249</v>
      </c>
      <c r="F94" s="5" t="s">
        <v>9</v>
      </c>
      <c r="G94" s="5" t="s">
        <v>3</v>
      </c>
      <c r="H94" s="2">
        <v>46172</v>
      </c>
      <c r="I94" s="2"/>
      <c r="J94" s="2">
        <v>46216</v>
      </c>
      <c r="K94" s="2" t="s">
        <v>1899</v>
      </c>
      <c r="L94" s="1" t="s">
        <v>20</v>
      </c>
      <c r="M94" s="1" t="s">
        <v>12</v>
      </c>
      <c r="N94" s="1"/>
      <c r="O94" s="4"/>
    </row>
    <row r="95" spans="1:15" ht="14.4" x14ac:dyDescent="0.3">
      <c r="A95" s="3">
        <v>91</v>
      </c>
      <c r="B95" s="8" t="s">
        <v>1182</v>
      </c>
      <c r="C95" s="5" t="s">
        <v>1181</v>
      </c>
      <c r="D95" s="6">
        <v>479297301</v>
      </c>
      <c r="E95" s="5" t="s">
        <v>805</v>
      </c>
      <c r="F95" s="5" t="s">
        <v>4</v>
      </c>
      <c r="G95" s="5" t="s">
        <v>3</v>
      </c>
      <c r="H95" s="2"/>
      <c r="I95" s="2"/>
      <c r="J95" s="2">
        <v>46216</v>
      </c>
      <c r="K95" s="2" t="s">
        <v>1899</v>
      </c>
      <c r="L95" s="1"/>
      <c r="M95" s="1" t="s">
        <v>12</v>
      </c>
      <c r="N95" s="1"/>
      <c r="O95" s="4"/>
    </row>
    <row r="96" spans="1:15" ht="14.4" x14ac:dyDescent="0.3">
      <c r="A96" s="3">
        <v>92</v>
      </c>
      <c r="B96" s="8" t="s">
        <v>1180</v>
      </c>
      <c r="C96" s="5" t="s">
        <v>1179</v>
      </c>
      <c r="D96" s="6">
        <v>490901254</v>
      </c>
      <c r="E96" s="5" t="s">
        <v>1178</v>
      </c>
      <c r="F96" s="5" t="s">
        <v>4</v>
      </c>
      <c r="G96" s="5" t="s">
        <v>3</v>
      </c>
      <c r="H96" s="2"/>
      <c r="I96" s="2"/>
      <c r="J96" s="2">
        <v>46216</v>
      </c>
      <c r="K96" s="2" t="s">
        <v>1899</v>
      </c>
      <c r="L96" s="1"/>
      <c r="M96" s="1" t="s">
        <v>12</v>
      </c>
      <c r="N96" s="1"/>
      <c r="O96" s="4"/>
    </row>
    <row r="97" spans="1:15" ht="14.4" x14ac:dyDescent="0.3">
      <c r="A97" s="3">
        <v>93</v>
      </c>
      <c r="B97" s="8" t="s">
        <v>1177</v>
      </c>
      <c r="C97" s="5" t="s">
        <v>1176</v>
      </c>
      <c r="D97" s="6">
        <v>418889167</v>
      </c>
      <c r="E97" s="5" t="s">
        <v>508</v>
      </c>
      <c r="F97" s="5" t="s">
        <v>4</v>
      </c>
      <c r="G97" s="5" t="s">
        <v>3</v>
      </c>
      <c r="H97" s="2"/>
      <c r="I97" s="2">
        <v>46175</v>
      </c>
      <c r="J97" s="2">
        <v>46216</v>
      </c>
      <c r="K97" s="2" t="s">
        <v>1899</v>
      </c>
      <c r="L97" s="1"/>
      <c r="M97" s="1" t="s">
        <v>12</v>
      </c>
      <c r="N97" s="1"/>
      <c r="O97" s="4" t="s">
        <v>1175</v>
      </c>
    </row>
    <row r="98" spans="1:15" ht="14.4" x14ac:dyDescent="0.3">
      <c r="A98" s="3">
        <v>94</v>
      </c>
      <c r="B98" s="8" t="s">
        <v>1174</v>
      </c>
      <c r="C98" s="5" t="s">
        <v>1173</v>
      </c>
      <c r="D98" s="6">
        <v>374917236</v>
      </c>
      <c r="E98" s="5" t="s">
        <v>322</v>
      </c>
      <c r="F98" s="5" t="s">
        <v>28</v>
      </c>
      <c r="G98" s="5" t="s">
        <v>3</v>
      </c>
      <c r="H98" s="2">
        <v>46163</v>
      </c>
      <c r="I98" s="2">
        <v>46184</v>
      </c>
      <c r="J98" s="2">
        <v>46217</v>
      </c>
      <c r="K98" s="2">
        <v>46252</v>
      </c>
      <c r="L98" s="1" t="s">
        <v>27</v>
      </c>
      <c r="M98" s="1" t="s">
        <v>12</v>
      </c>
      <c r="N98" s="1"/>
      <c r="O98" s="4" t="s">
        <v>0</v>
      </c>
    </row>
    <row r="99" spans="1:15" ht="14.4" x14ac:dyDescent="0.3">
      <c r="A99" s="3">
        <v>95</v>
      </c>
      <c r="B99" s="10" t="s">
        <v>1172</v>
      </c>
      <c r="C99" s="5" t="s">
        <v>1171</v>
      </c>
      <c r="D99" s="6">
        <v>364212772</v>
      </c>
      <c r="E99" s="5" t="s">
        <v>156</v>
      </c>
      <c r="F99" s="5" t="s">
        <v>28</v>
      </c>
      <c r="G99" s="5" t="s">
        <v>3</v>
      </c>
      <c r="H99" s="2">
        <v>46147</v>
      </c>
      <c r="I99" s="2"/>
      <c r="J99" s="2">
        <v>46217</v>
      </c>
      <c r="K99" s="2" t="s">
        <v>1899</v>
      </c>
      <c r="L99" s="1" t="s">
        <v>27</v>
      </c>
      <c r="M99" s="1" t="s">
        <v>12</v>
      </c>
      <c r="N99" s="1"/>
      <c r="O99" s="4"/>
    </row>
    <row r="100" spans="1:15" ht="14.4" x14ac:dyDescent="0.3">
      <c r="A100" s="3">
        <v>96</v>
      </c>
      <c r="B100" s="8" t="s">
        <v>1170</v>
      </c>
      <c r="C100" s="5" t="s">
        <v>1169</v>
      </c>
      <c r="D100" s="6">
        <v>424762042</v>
      </c>
      <c r="E100" s="5" t="s">
        <v>953</v>
      </c>
      <c r="F100" s="5" t="s">
        <v>4</v>
      </c>
      <c r="G100" s="5" t="s">
        <v>3</v>
      </c>
      <c r="H100" s="2">
        <v>46157</v>
      </c>
      <c r="I100" s="2"/>
      <c r="J100" s="2">
        <v>46217</v>
      </c>
      <c r="K100" s="2" t="s">
        <v>1899</v>
      </c>
      <c r="L100" s="1"/>
      <c r="M100" s="1" t="s">
        <v>12</v>
      </c>
      <c r="N100" s="1"/>
      <c r="O100" s="4"/>
    </row>
    <row r="101" spans="1:15" ht="14.4" x14ac:dyDescent="0.3">
      <c r="A101" s="3">
        <v>1</v>
      </c>
      <c r="B101" s="8" t="s">
        <v>1168</v>
      </c>
      <c r="C101" s="5" t="s">
        <v>1167</v>
      </c>
      <c r="D101" s="6">
        <v>368348006</v>
      </c>
      <c r="E101" s="5" t="s">
        <v>14</v>
      </c>
      <c r="F101" s="5" t="s">
        <v>9</v>
      </c>
      <c r="G101" s="5" t="s">
        <v>3</v>
      </c>
      <c r="H101" s="2">
        <v>46171</v>
      </c>
      <c r="I101" s="2"/>
      <c r="J101" s="2">
        <v>46217</v>
      </c>
      <c r="K101" s="2" t="s">
        <v>1899</v>
      </c>
      <c r="L101" s="1" t="s">
        <v>13</v>
      </c>
      <c r="M101" s="1" t="s">
        <v>12</v>
      </c>
      <c r="N101" s="1"/>
      <c r="O101" s="4" t="s">
        <v>1166</v>
      </c>
    </row>
    <row r="102" spans="1:15" ht="14.4" x14ac:dyDescent="0.3">
      <c r="A102" s="3">
        <v>2</v>
      </c>
      <c r="B102" s="8" t="s">
        <v>1165</v>
      </c>
      <c r="C102" s="5" t="s">
        <v>1164</v>
      </c>
      <c r="D102" s="6">
        <v>544242428</v>
      </c>
      <c r="E102" s="5" t="s">
        <v>997</v>
      </c>
      <c r="F102" s="5" t="s">
        <v>4</v>
      </c>
      <c r="G102" s="5" t="s">
        <v>3</v>
      </c>
      <c r="H102" s="2"/>
      <c r="I102" s="2"/>
      <c r="J102" s="2">
        <v>46217</v>
      </c>
      <c r="K102" s="2" t="s">
        <v>1899</v>
      </c>
      <c r="L102" s="1" t="s">
        <v>77</v>
      </c>
      <c r="M102" s="1" t="s">
        <v>17</v>
      </c>
      <c r="N102" s="1"/>
      <c r="O102" s="4"/>
    </row>
    <row r="103" spans="1:15" ht="14.4" x14ac:dyDescent="0.3">
      <c r="A103" s="3">
        <v>3</v>
      </c>
      <c r="B103" s="23" t="s">
        <v>1163</v>
      </c>
      <c r="C103" s="5" t="s">
        <v>1162</v>
      </c>
      <c r="D103" s="6">
        <v>471403705</v>
      </c>
      <c r="E103" s="5" t="s">
        <v>854</v>
      </c>
      <c r="F103" s="5" t="s">
        <v>4</v>
      </c>
      <c r="G103" s="5" t="s">
        <v>3</v>
      </c>
      <c r="H103" s="2"/>
      <c r="I103" s="2"/>
      <c r="J103" s="2">
        <v>46217</v>
      </c>
      <c r="K103" s="2" t="s">
        <v>1899</v>
      </c>
      <c r="L103" s="1" t="s">
        <v>77</v>
      </c>
      <c r="M103" s="1" t="s">
        <v>17</v>
      </c>
      <c r="N103" s="1"/>
      <c r="O103" s="4"/>
    </row>
    <row r="104" spans="1:15" ht="14.4" x14ac:dyDescent="0.3">
      <c r="A104" s="3">
        <v>4</v>
      </c>
      <c r="B104" s="8" t="s">
        <v>1161</v>
      </c>
      <c r="C104" s="5" t="s">
        <v>1160</v>
      </c>
      <c r="D104" s="6">
        <v>431753911</v>
      </c>
      <c r="E104" s="5" t="s">
        <v>1159</v>
      </c>
      <c r="F104" s="5" t="s">
        <v>36</v>
      </c>
      <c r="G104" s="5" t="s">
        <v>3</v>
      </c>
      <c r="H104" s="2"/>
      <c r="I104" s="2">
        <v>46177</v>
      </c>
      <c r="J104" s="2">
        <v>46217</v>
      </c>
      <c r="K104" s="2" t="s">
        <v>1899</v>
      </c>
      <c r="L104" s="1" t="s">
        <v>13</v>
      </c>
      <c r="M104" s="1" t="s">
        <v>17</v>
      </c>
      <c r="N104" s="1"/>
      <c r="O104" s="4"/>
    </row>
    <row r="105" spans="1:15" ht="14.4" x14ac:dyDescent="0.3">
      <c r="A105" s="3">
        <v>5</v>
      </c>
      <c r="B105" s="8" t="s">
        <v>1158</v>
      </c>
      <c r="C105" s="5" t="s">
        <v>1157</v>
      </c>
      <c r="D105" s="6">
        <v>411955350</v>
      </c>
      <c r="E105" s="5" t="s">
        <v>986</v>
      </c>
      <c r="F105" s="5" t="s">
        <v>28</v>
      </c>
      <c r="G105" s="5" t="s">
        <v>3</v>
      </c>
      <c r="H105" s="2"/>
      <c r="I105" s="2">
        <v>46184</v>
      </c>
      <c r="J105" s="2">
        <v>46217</v>
      </c>
      <c r="K105" s="2" t="s">
        <v>1899</v>
      </c>
      <c r="L105" s="1" t="s">
        <v>27</v>
      </c>
      <c r="M105" s="1" t="s">
        <v>12</v>
      </c>
      <c r="N105" s="1"/>
      <c r="O105" s="4"/>
    </row>
    <row r="106" spans="1:15" ht="14.4" x14ac:dyDescent="0.3">
      <c r="A106" s="3">
        <v>6</v>
      </c>
      <c r="B106" s="10" t="s">
        <v>1156</v>
      </c>
      <c r="C106" s="5" t="s">
        <v>1155</v>
      </c>
      <c r="D106" s="6">
        <v>523397567</v>
      </c>
      <c r="E106" s="5" t="s">
        <v>1145</v>
      </c>
      <c r="F106" s="5" t="s">
        <v>36</v>
      </c>
      <c r="G106" s="5" t="s">
        <v>3</v>
      </c>
      <c r="H106" s="2"/>
      <c r="I106" s="2">
        <v>46196</v>
      </c>
      <c r="J106" s="2">
        <v>46217</v>
      </c>
      <c r="K106" s="2" t="s">
        <v>1899</v>
      </c>
      <c r="L106" s="1" t="s">
        <v>13</v>
      </c>
      <c r="M106" s="1" t="s">
        <v>17</v>
      </c>
      <c r="N106" s="1"/>
      <c r="O106" s="4"/>
    </row>
    <row r="107" spans="1:15" ht="14.4" x14ac:dyDescent="0.3">
      <c r="A107" s="3">
        <v>7</v>
      </c>
      <c r="B107" s="8" t="s">
        <v>1154</v>
      </c>
      <c r="C107" s="5" t="s">
        <v>1153</v>
      </c>
      <c r="D107" s="6">
        <v>426787565</v>
      </c>
      <c r="E107" s="5" t="s">
        <v>268</v>
      </c>
      <c r="F107" s="5" t="s">
        <v>4</v>
      </c>
      <c r="G107" s="5" t="s">
        <v>3</v>
      </c>
      <c r="H107" s="2"/>
      <c r="I107" s="2"/>
      <c r="J107" s="2">
        <v>46217</v>
      </c>
      <c r="K107" s="2" t="s">
        <v>1899</v>
      </c>
      <c r="L107" s="1"/>
      <c r="M107" s="1" t="s">
        <v>12</v>
      </c>
      <c r="N107" s="1"/>
      <c r="O107" s="4"/>
    </row>
    <row r="108" spans="1:15" ht="14.4" x14ac:dyDescent="0.3">
      <c r="A108" s="3">
        <v>8</v>
      </c>
      <c r="B108" s="8" t="s">
        <v>1152</v>
      </c>
      <c r="C108" s="5" t="s">
        <v>1151</v>
      </c>
      <c r="D108" s="6">
        <v>685469105</v>
      </c>
      <c r="E108" s="5" t="s">
        <v>1150</v>
      </c>
      <c r="F108" s="5" t="s">
        <v>36</v>
      </c>
      <c r="G108" s="5" t="s">
        <v>3</v>
      </c>
      <c r="H108" s="2">
        <v>46168</v>
      </c>
      <c r="I108" s="2">
        <v>46181</v>
      </c>
      <c r="J108" s="2">
        <v>46218</v>
      </c>
      <c r="K108" s="2">
        <v>46253</v>
      </c>
      <c r="L108" s="1" t="s">
        <v>13</v>
      </c>
      <c r="M108" s="1" t="s">
        <v>535</v>
      </c>
      <c r="N108" s="1"/>
      <c r="O108" s="4"/>
    </row>
    <row r="109" spans="1:15" ht="14.4" x14ac:dyDescent="0.3">
      <c r="A109" s="3">
        <v>9</v>
      </c>
      <c r="B109" s="8" t="s">
        <v>1149</v>
      </c>
      <c r="C109" s="5" t="s">
        <v>1148</v>
      </c>
      <c r="D109" s="6">
        <v>392841801</v>
      </c>
      <c r="E109" s="5" t="s">
        <v>829</v>
      </c>
      <c r="F109" s="5" t="s">
        <v>4</v>
      </c>
      <c r="G109" s="5" t="s">
        <v>3</v>
      </c>
      <c r="H109" s="2">
        <v>46163</v>
      </c>
      <c r="I109" s="2">
        <v>46182</v>
      </c>
      <c r="J109" s="2">
        <v>46218</v>
      </c>
      <c r="K109" s="2">
        <v>46256</v>
      </c>
      <c r="L109" s="1" t="s">
        <v>2</v>
      </c>
      <c r="M109" s="1" t="s">
        <v>12</v>
      </c>
      <c r="N109" s="1"/>
      <c r="O109" s="4" t="s">
        <v>0</v>
      </c>
    </row>
    <row r="110" spans="1:15" ht="14.4" x14ac:dyDescent="0.3">
      <c r="A110" s="3">
        <v>10</v>
      </c>
      <c r="B110" s="8" t="s">
        <v>1147</v>
      </c>
      <c r="C110" s="5" t="s">
        <v>1146</v>
      </c>
      <c r="D110" s="6">
        <v>682602705</v>
      </c>
      <c r="E110" s="5" t="s">
        <v>1145</v>
      </c>
      <c r="F110" s="5" t="s">
        <v>36</v>
      </c>
      <c r="G110" s="5" t="s">
        <v>3</v>
      </c>
      <c r="H110" s="2">
        <v>46154</v>
      </c>
      <c r="I110" s="2">
        <v>46183</v>
      </c>
      <c r="J110" s="2">
        <v>46218</v>
      </c>
      <c r="K110" s="2" t="s">
        <v>1899</v>
      </c>
      <c r="L110" s="1" t="s">
        <v>13</v>
      </c>
      <c r="M110" s="1" t="s">
        <v>535</v>
      </c>
      <c r="N110" s="1"/>
      <c r="O110" s="4"/>
    </row>
    <row r="111" spans="1:15" ht="14.4" x14ac:dyDescent="0.3">
      <c r="A111" s="3">
        <v>11</v>
      </c>
      <c r="B111" s="8" t="s">
        <v>1144</v>
      </c>
      <c r="C111" s="5" t="s">
        <v>1143</v>
      </c>
      <c r="D111" s="6">
        <v>517066694</v>
      </c>
      <c r="E111" s="5" t="s">
        <v>1142</v>
      </c>
      <c r="F111" s="5" t="s">
        <v>40</v>
      </c>
      <c r="G111" s="5" t="s">
        <v>3</v>
      </c>
      <c r="H111" s="2">
        <v>46164</v>
      </c>
      <c r="I111" s="2"/>
      <c r="J111" s="2">
        <v>46218</v>
      </c>
      <c r="K111" s="2" t="s">
        <v>1899</v>
      </c>
      <c r="L111" s="1" t="s">
        <v>27</v>
      </c>
      <c r="M111" s="1" t="s">
        <v>12</v>
      </c>
      <c r="N111" s="1"/>
      <c r="O111" s="4"/>
    </row>
    <row r="112" spans="1:15" ht="14.4" x14ac:dyDescent="0.3">
      <c r="A112" s="3">
        <v>12</v>
      </c>
      <c r="B112" s="8" t="s">
        <v>1141</v>
      </c>
      <c r="C112" s="5" t="s">
        <v>1140</v>
      </c>
      <c r="D112" s="6">
        <v>514323315</v>
      </c>
      <c r="E112" s="5" t="s">
        <v>1139</v>
      </c>
      <c r="F112" s="5" t="s">
        <v>48</v>
      </c>
      <c r="G112" s="5" t="s">
        <v>3</v>
      </c>
      <c r="H112" s="2">
        <v>46167</v>
      </c>
      <c r="I112" s="2"/>
      <c r="J112" s="2">
        <v>46218</v>
      </c>
      <c r="K112" s="2" t="s">
        <v>1899</v>
      </c>
      <c r="L112" s="1" t="s">
        <v>44</v>
      </c>
      <c r="M112" s="1" t="s">
        <v>17</v>
      </c>
      <c r="N112" s="1"/>
      <c r="O112" s="4"/>
    </row>
    <row r="113" spans="1:15" ht="14.4" x14ac:dyDescent="0.3">
      <c r="A113" s="3">
        <v>13</v>
      </c>
      <c r="B113" s="8" t="s">
        <v>1138</v>
      </c>
      <c r="C113" s="5" t="s">
        <v>1137</v>
      </c>
      <c r="D113" s="6">
        <v>577750543</v>
      </c>
      <c r="E113" s="5" t="s">
        <v>523</v>
      </c>
      <c r="F113" s="5" t="s">
        <v>4</v>
      </c>
      <c r="G113" s="5" t="s">
        <v>3</v>
      </c>
      <c r="H113" s="2">
        <v>46171</v>
      </c>
      <c r="I113" s="2"/>
      <c r="J113" s="2">
        <v>46218</v>
      </c>
      <c r="K113" s="2" t="s">
        <v>1899</v>
      </c>
      <c r="L113" s="1" t="s">
        <v>2</v>
      </c>
      <c r="M113" s="1" t="s">
        <v>535</v>
      </c>
      <c r="N113" s="1"/>
      <c r="O113" s="4"/>
    </row>
    <row r="114" spans="1:15" ht="14.4" x14ac:dyDescent="0.3">
      <c r="A114" s="3">
        <v>14</v>
      </c>
      <c r="B114" s="8" t="s">
        <v>1136</v>
      </c>
      <c r="C114" s="5" t="s">
        <v>1135</v>
      </c>
      <c r="D114" s="6">
        <v>511833486</v>
      </c>
      <c r="E114" s="5" t="s">
        <v>192</v>
      </c>
      <c r="F114" s="5" t="s">
        <v>9</v>
      </c>
      <c r="G114" s="5" t="s">
        <v>3</v>
      </c>
      <c r="H114" s="2"/>
      <c r="I114" s="2"/>
      <c r="J114" s="2">
        <v>46218</v>
      </c>
      <c r="K114" s="2" t="s">
        <v>1899</v>
      </c>
      <c r="L114" s="1" t="s">
        <v>20</v>
      </c>
      <c r="M114" s="1" t="s">
        <v>12</v>
      </c>
      <c r="N114" s="1"/>
      <c r="O114" s="4" t="s">
        <v>1134</v>
      </c>
    </row>
    <row r="115" spans="1:15" ht="14.4" x14ac:dyDescent="0.3">
      <c r="A115" s="3">
        <v>15</v>
      </c>
      <c r="B115" s="8" t="s">
        <v>1133</v>
      </c>
      <c r="C115" s="5" t="s">
        <v>1132</v>
      </c>
      <c r="D115" s="6">
        <v>490731212</v>
      </c>
      <c r="E115" s="5" t="s">
        <v>909</v>
      </c>
      <c r="F115" s="5" t="s">
        <v>9</v>
      </c>
      <c r="G115" s="5" t="s">
        <v>3</v>
      </c>
      <c r="H115" s="2"/>
      <c r="I115" s="2"/>
      <c r="J115" s="2">
        <v>46218</v>
      </c>
      <c r="K115" s="2" t="s">
        <v>1899</v>
      </c>
      <c r="L115" s="1" t="s">
        <v>20</v>
      </c>
      <c r="M115" s="1" t="s">
        <v>12</v>
      </c>
      <c r="N115" s="1"/>
      <c r="O115" s="4"/>
    </row>
    <row r="116" spans="1:15" ht="14.4" x14ac:dyDescent="0.3">
      <c r="A116" s="3">
        <v>16</v>
      </c>
      <c r="B116" s="8" t="s">
        <v>1131</v>
      </c>
      <c r="C116" s="5" t="s">
        <v>1130</v>
      </c>
      <c r="D116" s="6">
        <v>417279334</v>
      </c>
      <c r="E116" s="5" t="s">
        <v>1119</v>
      </c>
      <c r="F116" s="5" t="s">
        <v>4</v>
      </c>
      <c r="G116" s="5" t="s">
        <v>3</v>
      </c>
      <c r="H116" s="2"/>
      <c r="I116" s="2"/>
      <c r="J116" s="2">
        <v>46218</v>
      </c>
      <c r="K116" s="2" t="s">
        <v>1899</v>
      </c>
      <c r="L116" s="1"/>
      <c r="M116" s="1" t="s">
        <v>12</v>
      </c>
      <c r="N116" s="1"/>
      <c r="O116" s="4"/>
    </row>
    <row r="117" spans="1:15" ht="14.4" x14ac:dyDescent="0.3">
      <c r="A117" s="3">
        <v>17</v>
      </c>
      <c r="B117" s="8" t="s">
        <v>1129</v>
      </c>
      <c r="C117" s="5" t="s">
        <v>1128</v>
      </c>
      <c r="D117" s="6">
        <v>431367575</v>
      </c>
      <c r="E117" s="5" t="s">
        <v>316</v>
      </c>
      <c r="F117" s="5" t="s">
        <v>9</v>
      </c>
      <c r="G117" s="5" t="s">
        <v>3</v>
      </c>
      <c r="H117" s="2"/>
      <c r="I117" s="2"/>
      <c r="J117" s="2">
        <v>46218</v>
      </c>
      <c r="K117" s="2" t="s">
        <v>1899</v>
      </c>
      <c r="L117" s="1" t="s">
        <v>20</v>
      </c>
      <c r="M117" s="1" t="s">
        <v>12</v>
      </c>
      <c r="N117" s="1"/>
      <c r="O117" s="4"/>
    </row>
    <row r="118" spans="1:15" ht="14.4" x14ac:dyDescent="0.3">
      <c r="A118" s="3">
        <v>18</v>
      </c>
      <c r="B118" s="8" t="s">
        <v>1127</v>
      </c>
      <c r="C118" s="5" t="s">
        <v>1126</v>
      </c>
      <c r="D118" s="6">
        <v>634802614</v>
      </c>
      <c r="E118" s="5" t="s">
        <v>968</v>
      </c>
      <c r="F118" s="5" t="s">
        <v>4</v>
      </c>
      <c r="G118" s="5" t="s">
        <v>3</v>
      </c>
      <c r="H118" s="2">
        <v>46162</v>
      </c>
      <c r="I118" s="2">
        <v>46195</v>
      </c>
      <c r="J118" s="2">
        <v>46219</v>
      </c>
      <c r="K118" s="2">
        <v>46252</v>
      </c>
      <c r="L118" s="1" t="s">
        <v>2</v>
      </c>
      <c r="M118" s="1" t="s">
        <v>535</v>
      </c>
      <c r="N118" s="1"/>
      <c r="O118" s="4" t="s">
        <v>0</v>
      </c>
    </row>
    <row r="119" spans="1:15" ht="14.4" x14ac:dyDescent="0.3">
      <c r="A119" s="3">
        <v>19</v>
      </c>
      <c r="B119" s="8" t="s">
        <v>1125</v>
      </c>
      <c r="C119" s="5" t="s">
        <v>1124</v>
      </c>
      <c r="D119" s="6">
        <v>679783860</v>
      </c>
      <c r="E119" s="5" t="s">
        <v>857</v>
      </c>
      <c r="F119" s="5" t="s">
        <v>28</v>
      </c>
      <c r="G119" s="5" t="s">
        <v>3</v>
      </c>
      <c r="H119" s="2">
        <v>46157</v>
      </c>
      <c r="I119" s="2">
        <v>46183</v>
      </c>
      <c r="J119" s="2">
        <v>46219</v>
      </c>
      <c r="K119" s="2">
        <v>46253</v>
      </c>
      <c r="L119" s="1" t="s">
        <v>27</v>
      </c>
      <c r="M119" s="1" t="s">
        <v>535</v>
      </c>
      <c r="N119" s="1"/>
      <c r="O119" s="4" t="s">
        <v>0</v>
      </c>
    </row>
    <row r="120" spans="1:15" ht="14.4" x14ac:dyDescent="0.3">
      <c r="A120" s="3">
        <v>20</v>
      </c>
      <c r="B120" s="8" t="s">
        <v>1123</v>
      </c>
      <c r="C120" s="5" t="s">
        <v>1122</v>
      </c>
      <c r="D120" s="6">
        <v>455921818</v>
      </c>
      <c r="E120" s="5" t="s">
        <v>379</v>
      </c>
      <c r="F120" s="5" t="s">
        <v>4</v>
      </c>
      <c r="G120" s="5" t="s">
        <v>3</v>
      </c>
      <c r="H120" s="2">
        <v>46170</v>
      </c>
      <c r="I120" s="2"/>
      <c r="J120" s="2">
        <v>46219</v>
      </c>
      <c r="K120" s="2">
        <v>46254</v>
      </c>
      <c r="L120" s="1"/>
      <c r="M120" s="1" t="s">
        <v>17</v>
      </c>
      <c r="N120" s="1"/>
      <c r="O120" s="4"/>
    </row>
    <row r="121" spans="1:15" ht="14.4" x14ac:dyDescent="0.3">
      <c r="A121" s="3">
        <v>21</v>
      </c>
      <c r="B121" s="8" t="s">
        <v>1121</v>
      </c>
      <c r="C121" s="5" t="s">
        <v>1120</v>
      </c>
      <c r="D121" s="6">
        <v>399838064</v>
      </c>
      <c r="E121" s="5" t="s">
        <v>1119</v>
      </c>
      <c r="F121" s="5" t="s">
        <v>4</v>
      </c>
      <c r="G121" s="5" t="s">
        <v>3</v>
      </c>
      <c r="H121" s="2"/>
      <c r="I121" s="2">
        <v>46177</v>
      </c>
      <c r="J121" s="2">
        <v>46219</v>
      </c>
      <c r="K121" s="2">
        <v>46255</v>
      </c>
      <c r="L121" s="1" t="s">
        <v>2</v>
      </c>
      <c r="M121" s="1" t="s">
        <v>17</v>
      </c>
      <c r="N121" s="1"/>
      <c r="O121" s="4"/>
    </row>
    <row r="122" spans="1:15" ht="14.4" x14ac:dyDescent="0.3">
      <c r="A122" s="3">
        <v>22</v>
      </c>
      <c r="B122" s="8" t="s">
        <v>1118</v>
      </c>
      <c r="C122" s="5" t="s">
        <v>1117</v>
      </c>
      <c r="D122" s="6">
        <v>567467870</v>
      </c>
      <c r="E122" s="5" t="s">
        <v>854</v>
      </c>
      <c r="F122" s="5" t="s">
        <v>4</v>
      </c>
      <c r="G122" s="5" t="s">
        <v>3</v>
      </c>
      <c r="H122" s="2">
        <v>46155</v>
      </c>
      <c r="I122" s="2">
        <v>46192</v>
      </c>
      <c r="J122" s="2">
        <v>46219</v>
      </c>
      <c r="K122" s="2">
        <v>46255</v>
      </c>
      <c r="L122" s="1" t="s">
        <v>2</v>
      </c>
      <c r="M122" s="1" t="s">
        <v>535</v>
      </c>
      <c r="N122" s="1"/>
      <c r="O122" s="4" t="s">
        <v>0</v>
      </c>
    </row>
    <row r="123" spans="1:15" ht="14.4" x14ac:dyDescent="0.3">
      <c r="A123" s="3">
        <v>23</v>
      </c>
      <c r="B123" s="8" t="s">
        <v>1116</v>
      </c>
      <c r="C123" s="5" t="s">
        <v>1115</v>
      </c>
      <c r="D123" s="6">
        <v>498702053</v>
      </c>
      <c r="E123" s="5" t="s">
        <v>24</v>
      </c>
      <c r="F123" s="5" t="s">
        <v>9</v>
      </c>
      <c r="G123" s="5" t="s">
        <v>3</v>
      </c>
      <c r="H123" s="2"/>
      <c r="I123" s="2">
        <v>46177</v>
      </c>
      <c r="J123" s="2">
        <v>46219</v>
      </c>
      <c r="K123" s="2">
        <v>46256</v>
      </c>
      <c r="L123" s="1" t="s">
        <v>20</v>
      </c>
      <c r="M123" s="1" t="s">
        <v>12</v>
      </c>
      <c r="N123" s="1"/>
      <c r="O123" s="4" t="s">
        <v>0</v>
      </c>
    </row>
    <row r="124" spans="1:15" ht="14.4" x14ac:dyDescent="0.3">
      <c r="A124" s="3">
        <v>24</v>
      </c>
      <c r="B124" s="8" t="s">
        <v>1114</v>
      </c>
      <c r="C124" s="5" t="s">
        <v>1113</v>
      </c>
      <c r="D124" s="6">
        <v>514199026</v>
      </c>
      <c r="E124" s="5" t="s">
        <v>103</v>
      </c>
      <c r="F124" s="5" t="s">
        <v>28</v>
      </c>
      <c r="G124" s="5" t="s">
        <v>3</v>
      </c>
      <c r="H124" s="2">
        <v>46154</v>
      </c>
      <c r="I124" s="2">
        <v>46191</v>
      </c>
      <c r="J124" s="2">
        <v>46219</v>
      </c>
      <c r="K124" s="2">
        <v>46260</v>
      </c>
      <c r="L124" s="1" t="s">
        <v>27</v>
      </c>
      <c r="M124" s="1" t="s">
        <v>17</v>
      </c>
      <c r="N124" s="1"/>
      <c r="O124" s="4" t="s">
        <v>0</v>
      </c>
    </row>
    <row r="125" spans="1:15" ht="14.4" x14ac:dyDescent="0.3">
      <c r="A125" s="3">
        <v>25</v>
      </c>
      <c r="B125" s="8" t="s">
        <v>1112</v>
      </c>
      <c r="C125" s="5" t="s">
        <v>1111</v>
      </c>
      <c r="D125" s="6">
        <v>501378367</v>
      </c>
      <c r="E125" s="5" t="s">
        <v>137</v>
      </c>
      <c r="F125" s="5" t="s">
        <v>9</v>
      </c>
      <c r="G125" s="5" t="s">
        <v>3</v>
      </c>
      <c r="H125" s="2">
        <v>46149</v>
      </c>
      <c r="I125" s="2"/>
      <c r="J125" s="2">
        <v>46219</v>
      </c>
      <c r="K125" s="2" t="s">
        <v>1899</v>
      </c>
      <c r="L125" s="1" t="s">
        <v>20</v>
      </c>
      <c r="M125" s="1" t="s">
        <v>12</v>
      </c>
      <c r="N125" s="1"/>
      <c r="O125" s="4"/>
    </row>
    <row r="126" spans="1:15" ht="14.4" x14ac:dyDescent="0.3">
      <c r="A126" s="3">
        <v>26</v>
      </c>
      <c r="B126" s="8" t="s">
        <v>1110</v>
      </c>
      <c r="C126" s="5" t="s">
        <v>1109</v>
      </c>
      <c r="D126" s="6">
        <v>441698533</v>
      </c>
      <c r="E126" s="5" t="s">
        <v>298</v>
      </c>
      <c r="F126" s="5" t="s">
        <v>9</v>
      </c>
      <c r="G126" s="5" t="s">
        <v>3</v>
      </c>
      <c r="H126" s="2"/>
      <c r="I126" s="2">
        <v>46181</v>
      </c>
      <c r="J126" s="2">
        <v>46219</v>
      </c>
      <c r="K126" s="2" t="s">
        <v>1899</v>
      </c>
      <c r="L126" s="1" t="s">
        <v>124</v>
      </c>
      <c r="M126" s="1" t="s">
        <v>12</v>
      </c>
      <c r="N126" s="1"/>
      <c r="O126" s="4"/>
    </row>
    <row r="127" spans="1:15" ht="14.4" x14ac:dyDescent="0.3">
      <c r="A127" s="3">
        <v>27</v>
      </c>
      <c r="B127" s="8" t="s">
        <v>1108</v>
      </c>
      <c r="C127" s="5" t="s">
        <v>1107</v>
      </c>
      <c r="D127" s="6">
        <v>715825757</v>
      </c>
      <c r="E127" s="5" t="s">
        <v>192</v>
      </c>
      <c r="F127" s="5" t="s">
        <v>9</v>
      </c>
      <c r="G127" s="5" t="s">
        <v>3</v>
      </c>
      <c r="H127" s="2"/>
      <c r="I127" s="2"/>
      <c r="J127" s="2">
        <v>46219</v>
      </c>
      <c r="K127" s="2" t="s">
        <v>1899</v>
      </c>
      <c r="L127" s="1" t="s">
        <v>20</v>
      </c>
      <c r="M127" s="1" t="s">
        <v>535</v>
      </c>
      <c r="N127" s="1"/>
      <c r="O127" s="4"/>
    </row>
    <row r="128" spans="1:15" ht="14.4" x14ac:dyDescent="0.3">
      <c r="A128" s="3">
        <v>28</v>
      </c>
      <c r="B128" s="8" t="s">
        <v>1106</v>
      </c>
      <c r="C128" s="5" t="s">
        <v>1105</v>
      </c>
      <c r="D128" s="6">
        <v>415976457</v>
      </c>
      <c r="E128" s="5" t="s">
        <v>137</v>
      </c>
      <c r="F128" s="5" t="s">
        <v>9</v>
      </c>
      <c r="G128" s="5" t="s">
        <v>3</v>
      </c>
      <c r="H128" s="2"/>
      <c r="I128" s="2"/>
      <c r="J128" s="2">
        <v>46219</v>
      </c>
      <c r="K128" s="2" t="s">
        <v>1899</v>
      </c>
      <c r="L128" s="1" t="s">
        <v>20</v>
      </c>
      <c r="M128" s="1" t="s">
        <v>17</v>
      </c>
      <c r="N128" s="1"/>
      <c r="O128" s="4"/>
    </row>
    <row r="129" spans="1:15" ht="14.4" x14ac:dyDescent="0.3">
      <c r="A129" s="3">
        <v>29</v>
      </c>
      <c r="B129" s="8" t="s">
        <v>1104</v>
      </c>
      <c r="C129" s="5" t="s">
        <v>1103</v>
      </c>
      <c r="D129" s="6">
        <v>507605364</v>
      </c>
      <c r="E129" s="5" t="s">
        <v>1102</v>
      </c>
      <c r="F129" s="5" t="s">
        <v>48</v>
      </c>
      <c r="G129" s="5" t="s">
        <v>3</v>
      </c>
      <c r="H129" s="2"/>
      <c r="I129" s="2"/>
      <c r="J129" s="2">
        <v>46219</v>
      </c>
      <c r="K129" s="2" t="s">
        <v>1899</v>
      </c>
      <c r="L129" s="1" t="s">
        <v>44</v>
      </c>
      <c r="M129" s="1" t="s">
        <v>17</v>
      </c>
      <c r="N129" s="1"/>
      <c r="O129" s="4"/>
    </row>
    <row r="130" spans="1:15" ht="14.4" x14ac:dyDescent="0.3">
      <c r="A130" s="3">
        <v>30</v>
      </c>
      <c r="B130" s="8" t="s">
        <v>1101</v>
      </c>
      <c r="C130" s="5" t="s">
        <v>1100</v>
      </c>
      <c r="D130" s="6">
        <v>369735292</v>
      </c>
      <c r="E130" s="5" t="s">
        <v>1099</v>
      </c>
      <c r="F130" s="5" t="s">
        <v>36</v>
      </c>
      <c r="G130" s="5" t="s">
        <v>3</v>
      </c>
      <c r="H130" s="2"/>
      <c r="I130" s="2">
        <v>46178</v>
      </c>
      <c r="J130" s="2">
        <v>46220</v>
      </c>
      <c r="K130" s="2" t="s">
        <v>1899</v>
      </c>
      <c r="L130" s="1" t="s">
        <v>13</v>
      </c>
      <c r="M130" s="1" t="s">
        <v>12</v>
      </c>
      <c r="N130" s="1"/>
      <c r="O130" s="4"/>
    </row>
    <row r="131" spans="1:15" ht="14.4" x14ac:dyDescent="0.3">
      <c r="A131" s="3">
        <v>31</v>
      </c>
      <c r="B131" s="8" t="s">
        <v>1098</v>
      </c>
      <c r="C131" s="5" t="s">
        <v>1097</v>
      </c>
      <c r="D131" s="6">
        <v>487420853</v>
      </c>
      <c r="E131" s="5" t="s">
        <v>256</v>
      </c>
      <c r="F131" s="5" t="s">
        <v>4</v>
      </c>
      <c r="G131" s="5" t="s">
        <v>3</v>
      </c>
      <c r="H131" s="2">
        <v>46144</v>
      </c>
      <c r="I131" s="2"/>
      <c r="J131" s="2">
        <v>46220</v>
      </c>
      <c r="K131" s="2" t="s">
        <v>1899</v>
      </c>
      <c r="L131" s="1"/>
      <c r="M131" s="1" t="s">
        <v>17</v>
      </c>
      <c r="N131" s="1"/>
      <c r="O131" s="4"/>
    </row>
    <row r="132" spans="1:15" ht="14.4" x14ac:dyDescent="0.3">
      <c r="A132" s="3">
        <v>32</v>
      </c>
      <c r="B132" s="8" t="s">
        <v>1096</v>
      </c>
      <c r="C132" s="5" t="s">
        <v>1095</v>
      </c>
      <c r="D132" s="6">
        <v>482859681</v>
      </c>
      <c r="E132" s="5" t="s">
        <v>131</v>
      </c>
      <c r="F132" s="5" t="s">
        <v>9</v>
      </c>
      <c r="G132" s="5" t="s">
        <v>3</v>
      </c>
      <c r="H132" s="2">
        <v>46149</v>
      </c>
      <c r="I132" s="2"/>
      <c r="J132" s="2">
        <v>46220</v>
      </c>
      <c r="K132" s="2" t="s">
        <v>1899</v>
      </c>
      <c r="L132" s="1" t="s">
        <v>124</v>
      </c>
      <c r="M132" s="1" t="s">
        <v>17</v>
      </c>
      <c r="N132" s="1"/>
      <c r="O132" s="4"/>
    </row>
    <row r="133" spans="1:15" ht="14.4" x14ac:dyDescent="0.3">
      <c r="A133" s="3">
        <v>33</v>
      </c>
      <c r="B133" s="8" t="s">
        <v>1094</v>
      </c>
      <c r="C133" s="5" t="s">
        <v>1093</v>
      </c>
      <c r="D133" s="6">
        <v>386829175</v>
      </c>
      <c r="E133" s="5" t="s">
        <v>186</v>
      </c>
      <c r="F133" s="5" t="s">
        <v>36</v>
      </c>
      <c r="G133" s="5" t="s">
        <v>3</v>
      </c>
      <c r="H133" s="2">
        <v>46153</v>
      </c>
      <c r="I133" s="2">
        <v>46177</v>
      </c>
      <c r="J133" s="2">
        <v>46220</v>
      </c>
      <c r="K133" s="2" t="s">
        <v>1899</v>
      </c>
      <c r="L133" s="1" t="s">
        <v>13</v>
      </c>
      <c r="M133" s="1" t="s">
        <v>12</v>
      </c>
      <c r="N133" s="1"/>
      <c r="O133" s="4"/>
    </row>
    <row r="134" spans="1:15" ht="14.4" x14ac:dyDescent="0.3">
      <c r="A134" s="3">
        <v>34</v>
      </c>
      <c r="B134" s="8" t="s">
        <v>1092</v>
      </c>
      <c r="C134" s="5" t="s">
        <v>1091</v>
      </c>
      <c r="D134" s="6">
        <v>424585373</v>
      </c>
      <c r="E134" s="5" t="s">
        <v>1090</v>
      </c>
      <c r="F134" s="5" t="s">
        <v>32</v>
      </c>
      <c r="G134" s="5" t="s">
        <v>3</v>
      </c>
      <c r="H134" s="2">
        <v>46157</v>
      </c>
      <c r="I134" s="2">
        <v>46195</v>
      </c>
      <c r="J134" s="2">
        <v>46220</v>
      </c>
      <c r="K134" s="2" t="s">
        <v>1899</v>
      </c>
      <c r="L134" s="1" t="s">
        <v>27</v>
      </c>
      <c r="M134" s="1" t="s">
        <v>12</v>
      </c>
      <c r="N134" s="1"/>
      <c r="O134" s="4"/>
    </row>
    <row r="135" spans="1:15" ht="14.4" x14ac:dyDescent="0.3">
      <c r="A135" s="3">
        <v>35</v>
      </c>
      <c r="B135" s="8" t="s">
        <v>1089</v>
      </c>
      <c r="C135" s="5" t="s">
        <v>1088</v>
      </c>
      <c r="D135" s="6">
        <v>391782556</v>
      </c>
      <c r="E135" s="5" t="s">
        <v>1087</v>
      </c>
      <c r="F135" s="5" t="s">
        <v>48</v>
      </c>
      <c r="G135" s="5" t="s">
        <v>3</v>
      </c>
      <c r="H135" s="2">
        <v>46163</v>
      </c>
      <c r="I135" s="2">
        <v>46198</v>
      </c>
      <c r="J135" s="2">
        <v>46220</v>
      </c>
      <c r="K135" s="2" t="s">
        <v>1899</v>
      </c>
      <c r="L135" s="1" t="s">
        <v>44</v>
      </c>
      <c r="M135" s="1" t="s">
        <v>12</v>
      </c>
      <c r="N135" s="1"/>
      <c r="O135" s="4"/>
    </row>
    <row r="136" spans="1:15" ht="14.4" x14ac:dyDescent="0.3">
      <c r="A136" s="3">
        <v>36</v>
      </c>
      <c r="B136" s="8" t="s">
        <v>1086</v>
      </c>
      <c r="C136" s="5" t="s">
        <v>1085</v>
      </c>
      <c r="D136" s="6">
        <v>398104804</v>
      </c>
      <c r="E136" s="5" t="s">
        <v>1084</v>
      </c>
      <c r="F136" s="5" t="s">
        <v>48</v>
      </c>
      <c r="G136" s="5" t="s">
        <v>3</v>
      </c>
      <c r="H136" s="2">
        <v>46163</v>
      </c>
      <c r="I136" s="2">
        <v>46198</v>
      </c>
      <c r="J136" s="2">
        <v>46220</v>
      </c>
      <c r="K136" s="2" t="s">
        <v>1899</v>
      </c>
      <c r="L136" s="1" t="s">
        <v>44</v>
      </c>
      <c r="M136" s="1" t="s">
        <v>12</v>
      </c>
      <c r="N136" s="1"/>
      <c r="O136" s="4"/>
    </row>
    <row r="137" spans="1:15" ht="14.4" x14ac:dyDescent="0.3">
      <c r="A137" s="3">
        <v>37</v>
      </c>
      <c r="B137" s="8" t="s">
        <v>1083</v>
      </c>
      <c r="C137" s="5" t="s">
        <v>1082</v>
      </c>
      <c r="D137" s="6">
        <v>505817081</v>
      </c>
      <c r="E137" s="5" t="s">
        <v>24</v>
      </c>
      <c r="F137" s="5" t="s">
        <v>9</v>
      </c>
      <c r="G137" s="5" t="s">
        <v>3</v>
      </c>
      <c r="H137" s="2">
        <v>46165</v>
      </c>
      <c r="I137" s="2"/>
      <c r="J137" s="2">
        <v>46220</v>
      </c>
      <c r="K137" s="2" t="s">
        <v>1899</v>
      </c>
      <c r="L137" s="1" t="s">
        <v>20</v>
      </c>
      <c r="M137" s="1" t="s">
        <v>17</v>
      </c>
      <c r="N137" s="1"/>
      <c r="O137" s="4"/>
    </row>
    <row r="138" spans="1:15" ht="14.4" x14ac:dyDescent="0.3">
      <c r="A138" s="3">
        <v>38</v>
      </c>
      <c r="B138" s="8" t="s">
        <v>1081</v>
      </c>
      <c r="C138" s="5" t="s">
        <v>1080</v>
      </c>
      <c r="D138" s="6">
        <v>382978441</v>
      </c>
      <c r="E138" s="5" t="s">
        <v>178</v>
      </c>
      <c r="F138" s="5" t="s">
        <v>28</v>
      </c>
      <c r="G138" s="5" t="s">
        <v>3</v>
      </c>
      <c r="H138" s="2">
        <v>46170</v>
      </c>
      <c r="I138" s="2"/>
      <c r="J138" s="2">
        <v>46220</v>
      </c>
      <c r="K138" s="2" t="s">
        <v>1899</v>
      </c>
      <c r="L138" s="1" t="s">
        <v>27</v>
      </c>
      <c r="M138" s="1" t="s">
        <v>12</v>
      </c>
      <c r="N138" s="1"/>
      <c r="O138" s="4"/>
    </row>
    <row r="139" spans="1:15" ht="14.4" x14ac:dyDescent="0.3">
      <c r="A139" s="3">
        <v>39</v>
      </c>
      <c r="B139" s="8" t="s">
        <v>1079</v>
      </c>
      <c r="C139" s="5" t="s">
        <v>1078</v>
      </c>
      <c r="D139" s="6">
        <v>527848567</v>
      </c>
      <c r="E139" s="5" t="s">
        <v>1077</v>
      </c>
      <c r="F139" s="5" t="s">
        <v>32</v>
      </c>
      <c r="G139" s="5" t="s">
        <v>3</v>
      </c>
      <c r="H139" s="2">
        <v>46170</v>
      </c>
      <c r="I139" s="2"/>
      <c r="J139" s="2">
        <v>46220</v>
      </c>
      <c r="K139" s="2" t="s">
        <v>1899</v>
      </c>
      <c r="L139" s="1" t="s">
        <v>27</v>
      </c>
      <c r="M139" s="1" t="s">
        <v>12</v>
      </c>
      <c r="N139" s="1"/>
      <c r="O139" s="4"/>
    </row>
    <row r="140" spans="1:15" ht="14.4" x14ac:dyDescent="0.3">
      <c r="A140" s="3">
        <v>40</v>
      </c>
      <c r="B140" s="8" t="s">
        <v>1076</v>
      </c>
      <c r="C140" s="5" t="s">
        <v>1075</v>
      </c>
      <c r="D140" s="6">
        <v>750666607</v>
      </c>
      <c r="E140" s="5" t="s">
        <v>673</v>
      </c>
      <c r="F140" s="5" t="s">
        <v>9</v>
      </c>
      <c r="G140" s="5" t="s">
        <v>3</v>
      </c>
      <c r="H140" s="2"/>
      <c r="I140" s="2"/>
      <c r="J140" s="2">
        <v>46220</v>
      </c>
      <c r="K140" s="2" t="s">
        <v>1899</v>
      </c>
      <c r="L140" s="1" t="s">
        <v>20</v>
      </c>
      <c r="M140" s="1" t="s">
        <v>17</v>
      </c>
      <c r="N140" s="1"/>
      <c r="O140" s="4"/>
    </row>
    <row r="141" spans="1:15" ht="14.4" x14ac:dyDescent="0.3">
      <c r="A141" s="3">
        <v>41</v>
      </c>
      <c r="B141" s="9" t="s">
        <v>1074</v>
      </c>
      <c r="C141" s="5" t="s">
        <v>1073</v>
      </c>
      <c r="D141" s="6">
        <v>458866777</v>
      </c>
      <c r="E141" s="5" t="s">
        <v>150</v>
      </c>
      <c r="F141" s="5" t="s">
        <v>28</v>
      </c>
      <c r="G141" s="5" t="s">
        <v>3</v>
      </c>
      <c r="H141" s="2"/>
      <c r="I141" s="2"/>
      <c r="J141" s="2">
        <v>46220</v>
      </c>
      <c r="K141" s="2" t="s">
        <v>1899</v>
      </c>
      <c r="L141" s="1" t="s">
        <v>27</v>
      </c>
      <c r="M141" s="1" t="s">
        <v>17</v>
      </c>
      <c r="N141" s="1"/>
      <c r="O141" s="4"/>
    </row>
    <row r="142" spans="1:15" ht="14.4" x14ac:dyDescent="0.3">
      <c r="A142" s="3">
        <v>42</v>
      </c>
      <c r="B142" s="8" t="s">
        <v>1072</v>
      </c>
      <c r="C142" s="5" t="s">
        <v>1071</v>
      </c>
      <c r="D142" s="6">
        <v>234697333</v>
      </c>
      <c r="E142" s="5" t="s">
        <v>805</v>
      </c>
      <c r="F142" s="5" t="s">
        <v>4</v>
      </c>
      <c r="G142" s="5" t="s">
        <v>3</v>
      </c>
      <c r="H142" s="2"/>
      <c r="I142" s="2">
        <v>46178</v>
      </c>
      <c r="J142" s="2">
        <v>46220</v>
      </c>
      <c r="K142" s="2" t="s">
        <v>1899</v>
      </c>
      <c r="L142" s="1"/>
      <c r="M142" s="1" t="s">
        <v>12</v>
      </c>
      <c r="N142" s="1"/>
      <c r="O142" s="4"/>
    </row>
    <row r="143" spans="1:15" ht="14.4" x14ac:dyDescent="0.3">
      <c r="A143" s="3">
        <v>43</v>
      </c>
      <c r="B143" s="8" t="s">
        <v>1070</v>
      </c>
      <c r="C143" s="5" t="s">
        <v>1069</v>
      </c>
      <c r="D143" s="6">
        <v>354968195</v>
      </c>
      <c r="E143" s="5" t="s">
        <v>256</v>
      </c>
      <c r="F143" s="5" t="s">
        <v>4</v>
      </c>
      <c r="G143" s="5" t="s">
        <v>3</v>
      </c>
      <c r="H143" s="2"/>
      <c r="I143" s="2"/>
      <c r="J143" s="2">
        <v>46220</v>
      </c>
      <c r="K143" s="2" t="s">
        <v>1899</v>
      </c>
      <c r="L143" s="1"/>
      <c r="M143" s="1" t="s">
        <v>12</v>
      </c>
      <c r="N143" s="1"/>
      <c r="O143" s="4"/>
    </row>
    <row r="144" spans="1:15" ht="14.4" x14ac:dyDescent="0.3">
      <c r="A144" s="3">
        <v>44</v>
      </c>
      <c r="B144" s="8" t="s">
        <v>1068</v>
      </c>
      <c r="C144" s="5" t="s">
        <v>1067</v>
      </c>
      <c r="D144" s="6">
        <v>482579378</v>
      </c>
      <c r="E144" s="5" t="s">
        <v>805</v>
      </c>
      <c r="F144" s="5" t="s">
        <v>4</v>
      </c>
      <c r="G144" s="5" t="s">
        <v>3</v>
      </c>
      <c r="H144" s="2"/>
      <c r="I144" s="2"/>
      <c r="J144" s="2">
        <v>46220</v>
      </c>
      <c r="K144" s="2" t="s">
        <v>1899</v>
      </c>
      <c r="L144" s="1" t="s">
        <v>20</v>
      </c>
      <c r="M144" s="1" t="s">
        <v>12</v>
      </c>
      <c r="N144" s="1"/>
      <c r="O144" s="4"/>
    </row>
    <row r="145" spans="1:15" ht="14.4" x14ac:dyDescent="0.3">
      <c r="A145" s="3">
        <v>45</v>
      </c>
      <c r="B145" s="8" t="s">
        <v>1066</v>
      </c>
      <c r="C145" s="5" t="s">
        <v>1065</v>
      </c>
      <c r="D145" s="6">
        <v>541082655</v>
      </c>
      <c r="E145" s="5" t="s">
        <v>909</v>
      </c>
      <c r="F145" s="5" t="s">
        <v>9</v>
      </c>
      <c r="G145" s="5" t="s">
        <v>3</v>
      </c>
      <c r="H145" s="2">
        <v>46151</v>
      </c>
      <c r="I145" s="2">
        <v>46186</v>
      </c>
      <c r="J145" s="2">
        <v>46221</v>
      </c>
      <c r="K145" s="2">
        <v>46253</v>
      </c>
      <c r="L145" s="1" t="s">
        <v>20</v>
      </c>
      <c r="M145" s="1" t="s">
        <v>17</v>
      </c>
      <c r="N145" s="1"/>
      <c r="O145" s="4" t="s">
        <v>0</v>
      </c>
    </row>
    <row r="146" spans="1:15" ht="14.4" x14ac:dyDescent="0.3">
      <c r="A146" s="3">
        <v>46</v>
      </c>
      <c r="B146" s="11" t="s">
        <v>1064</v>
      </c>
      <c r="C146" s="5" t="s">
        <v>1063</v>
      </c>
      <c r="D146" s="6">
        <v>491099828</v>
      </c>
      <c r="E146" s="5" t="s">
        <v>78</v>
      </c>
      <c r="F146" s="5" t="s">
        <v>4</v>
      </c>
      <c r="G146" s="5" t="s">
        <v>3</v>
      </c>
      <c r="H146" s="2"/>
      <c r="I146" s="2">
        <v>46176</v>
      </c>
      <c r="J146" s="2">
        <v>46221</v>
      </c>
      <c r="K146" s="2">
        <v>46254</v>
      </c>
      <c r="L146" s="1"/>
      <c r="M146" s="1" t="s">
        <v>17</v>
      </c>
      <c r="N146" s="1"/>
      <c r="O146" s="4"/>
    </row>
    <row r="147" spans="1:15" ht="14.4" x14ac:dyDescent="0.3">
      <c r="A147" s="3">
        <v>47</v>
      </c>
      <c r="B147" s="22" t="s">
        <v>1062</v>
      </c>
      <c r="C147" s="5" t="s">
        <v>1061</v>
      </c>
      <c r="D147" s="6">
        <v>542623747</v>
      </c>
      <c r="E147" s="5" t="s">
        <v>256</v>
      </c>
      <c r="F147" s="5" t="s">
        <v>4</v>
      </c>
      <c r="G147" s="5" t="s">
        <v>3</v>
      </c>
      <c r="H147" s="2"/>
      <c r="I147" s="2">
        <v>46186</v>
      </c>
      <c r="J147" s="2">
        <v>46221</v>
      </c>
      <c r="K147" s="2" t="s">
        <v>1899</v>
      </c>
      <c r="L147" s="1"/>
      <c r="M147" s="1" t="s">
        <v>12</v>
      </c>
      <c r="N147" s="1"/>
      <c r="O147" s="4" t="s">
        <v>0</v>
      </c>
    </row>
    <row r="148" spans="1:15" ht="14.4" x14ac:dyDescent="0.3">
      <c r="A148" s="3">
        <v>48</v>
      </c>
      <c r="B148" s="8" t="s">
        <v>1060</v>
      </c>
      <c r="C148" s="5" t="s">
        <v>1059</v>
      </c>
      <c r="D148" s="6">
        <v>368244694</v>
      </c>
      <c r="E148" s="5" t="s">
        <v>466</v>
      </c>
      <c r="F148" s="5" t="s">
        <v>4</v>
      </c>
      <c r="G148" s="5" t="s">
        <v>3</v>
      </c>
      <c r="H148" s="2"/>
      <c r="I148" s="2"/>
      <c r="J148" s="2">
        <v>46221</v>
      </c>
      <c r="K148" s="2">
        <v>46258</v>
      </c>
      <c r="L148" s="1" t="s">
        <v>77</v>
      </c>
      <c r="M148" s="1" t="s">
        <v>12</v>
      </c>
      <c r="N148" s="1"/>
      <c r="O148" s="4"/>
    </row>
    <row r="149" spans="1:15" ht="14.4" x14ac:dyDescent="0.3">
      <c r="A149" s="3">
        <v>49</v>
      </c>
      <c r="B149" s="8" t="s">
        <v>1058</v>
      </c>
      <c r="C149" s="5" t="s">
        <v>1057</v>
      </c>
      <c r="D149" s="6">
        <v>497030410</v>
      </c>
      <c r="E149" s="5" t="s">
        <v>860</v>
      </c>
      <c r="F149" s="5" t="s">
        <v>9</v>
      </c>
      <c r="G149" s="5" t="s">
        <v>3</v>
      </c>
      <c r="H149" s="2">
        <v>46144</v>
      </c>
      <c r="I149" s="2"/>
      <c r="J149" s="2">
        <v>46221</v>
      </c>
      <c r="K149" s="2" t="s">
        <v>1899</v>
      </c>
      <c r="L149" s="1" t="s">
        <v>124</v>
      </c>
      <c r="M149" s="1" t="s">
        <v>17</v>
      </c>
      <c r="N149" s="1"/>
      <c r="O149" s="4"/>
    </row>
    <row r="150" spans="1:15" ht="14.4" x14ac:dyDescent="0.3">
      <c r="A150" s="3">
        <v>50</v>
      </c>
      <c r="B150" s="8" t="s">
        <v>1056</v>
      </c>
      <c r="C150" s="5" t="s">
        <v>1055</v>
      </c>
      <c r="D150" s="6">
        <v>430313389</v>
      </c>
      <c r="E150" s="5" t="s">
        <v>1054</v>
      </c>
      <c r="F150" s="5" t="s">
        <v>9</v>
      </c>
      <c r="G150" s="5" t="s">
        <v>3</v>
      </c>
      <c r="H150" s="2">
        <v>46149</v>
      </c>
      <c r="I150" s="2"/>
      <c r="J150" s="2">
        <v>46221</v>
      </c>
      <c r="K150" s="2" t="s">
        <v>1899</v>
      </c>
      <c r="L150" s="1" t="s">
        <v>20</v>
      </c>
      <c r="M150" s="1" t="s">
        <v>12</v>
      </c>
      <c r="N150" s="1"/>
      <c r="O150" s="4"/>
    </row>
    <row r="151" spans="1:15" ht="14.4" x14ac:dyDescent="0.3">
      <c r="A151" s="3">
        <v>51</v>
      </c>
      <c r="B151" s="8" t="s">
        <v>1053</v>
      </c>
      <c r="C151" s="5" t="s">
        <v>1052</v>
      </c>
      <c r="D151" s="6">
        <v>566545417</v>
      </c>
      <c r="E151" s="5" t="s">
        <v>115</v>
      </c>
      <c r="F151" s="5" t="s">
        <v>4</v>
      </c>
      <c r="G151" s="5" t="s">
        <v>3</v>
      </c>
      <c r="H151" s="2">
        <v>46154</v>
      </c>
      <c r="I151" s="2"/>
      <c r="J151" s="2">
        <v>46221</v>
      </c>
      <c r="K151" s="2" t="s">
        <v>1899</v>
      </c>
      <c r="L151" s="1" t="s">
        <v>77</v>
      </c>
      <c r="M151" s="1" t="s">
        <v>17</v>
      </c>
      <c r="N151" s="1"/>
      <c r="O151" s="4"/>
    </row>
    <row r="152" spans="1:15" ht="14.4" x14ac:dyDescent="0.3">
      <c r="A152" s="3">
        <v>52</v>
      </c>
      <c r="B152" s="8" t="s">
        <v>1051</v>
      </c>
      <c r="C152" s="5" t="s">
        <v>1050</v>
      </c>
      <c r="D152" s="6">
        <v>419329054</v>
      </c>
      <c r="E152" s="5" t="s">
        <v>192</v>
      </c>
      <c r="F152" s="5" t="s">
        <v>9</v>
      </c>
      <c r="G152" s="5" t="s">
        <v>3</v>
      </c>
      <c r="H152" s="2">
        <v>46160</v>
      </c>
      <c r="I152" s="2"/>
      <c r="J152" s="2">
        <v>46221</v>
      </c>
      <c r="K152" s="2">
        <v>46260</v>
      </c>
      <c r="L152" s="1" t="s">
        <v>20</v>
      </c>
      <c r="M152" s="1" t="s">
        <v>12</v>
      </c>
      <c r="N152" s="1"/>
      <c r="O152" s="4"/>
    </row>
    <row r="153" spans="1:15" ht="14.4" x14ac:dyDescent="0.3">
      <c r="A153" s="3">
        <v>53</v>
      </c>
      <c r="B153" s="8" t="s">
        <v>1049</v>
      </c>
      <c r="C153" s="5" t="s">
        <v>1048</v>
      </c>
      <c r="D153" s="6">
        <v>502936909</v>
      </c>
      <c r="E153" s="5" t="s">
        <v>857</v>
      </c>
      <c r="F153" s="5" t="s">
        <v>28</v>
      </c>
      <c r="G153" s="5" t="s">
        <v>3</v>
      </c>
      <c r="H153" s="2">
        <v>46171</v>
      </c>
      <c r="I153" s="2"/>
      <c r="J153" s="2">
        <v>46221</v>
      </c>
      <c r="K153" s="2" t="s">
        <v>1899</v>
      </c>
      <c r="L153" s="1" t="s">
        <v>27</v>
      </c>
      <c r="M153" s="1" t="s">
        <v>17</v>
      </c>
      <c r="N153" s="1"/>
      <c r="O153" s="4"/>
    </row>
    <row r="154" spans="1:15" ht="14.4" x14ac:dyDescent="0.3">
      <c r="A154" s="3">
        <v>54</v>
      </c>
      <c r="B154" s="8" t="s">
        <v>1047</v>
      </c>
      <c r="C154" s="5" t="s">
        <v>1046</v>
      </c>
      <c r="D154" s="6">
        <v>501891475</v>
      </c>
      <c r="E154" s="5" t="s">
        <v>691</v>
      </c>
      <c r="F154" s="5" t="s">
        <v>4</v>
      </c>
      <c r="G154" s="5" t="s">
        <v>3</v>
      </c>
      <c r="H154" s="2">
        <v>46172</v>
      </c>
      <c r="I154" s="2">
        <v>46202</v>
      </c>
      <c r="J154" s="2">
        <v>46221</v>
      </c>
      <c r="K154" s="2" t="s">
        <v>1899</v>
      </c>
      <c r="L154" s="1"/>
      <c r="M154" s="1" t="s">
        <v>17</v>
      </c>
      <c r="N154" s="1"/>
      <c r="O154" s="4"/>
    </row>
    <row r="155" spans="1:15" ht="14.4" x14ac:dyDescent="0.3">
      <c r="A155" s="3">
        <v>55</v>
      </c>
      <c r="B155" s="8" t="s">
        <v>1045</v>
      </c>
      <c r="C155" s="5" t="s">
        <v>1044</v>
      </c>
      <c r="D155" s="6">
        <v>575906228</v>
      </c>
      <c r="E155" s="5" t="s">
        <v>854</v>
      </c>
      <c r="F155" s="5" t="s">
        <v>4</v>
      </c>
      <c r="G155" s="5" t="s">
        <v>3</v>
      </c>
      <c r="H155" s="2"/>
      <c r="I155" s="2">
        <v>46176</v>
      </c>
      <c r="J155" s="2">
        <v>46221</v>
      </c>
      <c r="K155" s="2" t="s">
        <v>1899</v>
      </c>
      <c r="L155" s="1" t="s">
        <v>77</v>
      </c>
      <c r="M155" s="1" t="s">
        <v>17</v>
      </c>
      <c r="N155" s="1"/>
      <c r="O155" s="4"/>
    </row>
    <row r="156" spans="1:15" ht="14.4" x14ac:dyDescent="0.3">
      <c r="A156" s="3">
        <v>56</v>
      </c>
      <c r="B156" s="8" t="s">
        <v>1043</v>
      </c>
      <c r="C156" s="5" t="s">
        <v>1042</v>
      </c>
      <c r="D156" s="6">
        <v>487017908</v>
      </c>
      <c r="E156" s="5" t="s">
        <v>192</v>
      </c>
      <c r="F156" s="5" t="s">
        <v>9</v>
      </c>
      <c r="G156" s="5" t="s">
        <v>3</v>
      </c>
      <c r="H156" s="2"/>
      <c r="I156" s="2"/>
      <c r="J156" s="2">
        <v>46221</v>
      </c>
      <c r="K156" s="2">
        <v>46260</v>
      </c>
      <c r="L156" s="1" t="s">
        <v>20</v>
      </c>
      <c r="M156" s="1" t="s">
        <v>17</v>
      </c>
      <c r="N156" s="1"/>
      <c r="O156" s="4"/>
    </row>
    <row r="157" spans="1:15" ht="14.4" x14ac:dyDescent="0.3">
      <c r="A157" s="3">
        <v>57</v>
      </c>
      <c r="B157" s="8" t="s">
        <v>1041</v>
      </c>
      <c r="C157" s="5" t="s">
        <v>1040</v>
      </c>
      <c r="D157" s="6">
        <v>499058516</v>
      </c>
      <c r="E157" s="5" t="s">
        <v>1039</v>
      </c>
      <c r="F157" s="5" t="s">
        <v>36</v>
      </c>
      <c r="G157" s="5" t="s">
        <v>3</v>
      </c>
      <c r="H157" s="2"/>
      <c r="I157" s="2">
        <v>46185</v>
      </c>
      <c r="J157" s="2">
        <v>46221</v>
      </c>
      <c r="K157" s="2" t="s">
        <v>1899</v>
      </c>
      <c r="L157" s="1" t="s">
        <v>13</v>
      </c>
      <c r="M157" s="1" t="s">
        <v>12</v>
      </c>
      <c r="N157" s="1"/>
      <c r="O157" s="4"/>
    </row>
    <row r="158" spans="1:15" ht="14.4" x14ac:dyDescent="0.3">
      <c r="A158" s="3">
        <v>58</v>
      </c>
      <c r="B158" s="8" t="s">
        <v>1038</v>
      </c>
      <c r="C158" s="5" t="s">
        <v>1037</v>
      </c>
      <c r="D158" s="6">
        <v>432841725</v>
      </c>
      <c r="E158" s="5" t="s">
        <v>78</v>
      </c>
      <c r="F158" s="5" t="s">
        <v>4</v>
      </c>
      <c r="G158" s="5" t="s">
        <v>3</v>
      </c>
      <c r="H158" s="2">
        <v>46168</v>
      </c>
      <c r="I158" s="2">
        <v>46190</v>
      </c>
      <c r="J158" s="2">
        <v>46223</v>
      </c>
      <c r="K158" s="2">
        <v>46254</v>
      </c>
      <c r="L158" s="1" t="s">
        <v>2</v>
      </c>
      <c r="M158" s="1" t="s">
        <v>12</v>
      </c>
      <c r="N158" s="1"/>
      <c r="O158" s="4" t="s">
        <v>0</v>
      </c>
    </row>
    <row r="159" spans="1:15" ht="14.4" x14ac:dyDescent="0.3">
      <c r="A159" s="3">
        <v>59</v>
      </c>
      <c r="B159" s="8" t="s">
        <v>1036</v>
      </c>
      <c r="C159" s="5" t="s">
        <v>1035</v>
      </c>
      <c r="D159" s="6">
        <v>579595432</v>
      </c>
      <c r="E159" s="5" t="s">
        <v>814</v>
      </c>
      <c r="F159" s="5" t="s">
        <v>28</v>
      </c>
      <c r="G159" s="5" t="s">
        <v>3</v>
      </c>
      <c r="H159" s="2">
        <v>46150</v>
      </c>
      <c r="I159" s="2">
        <v>46196</v>
      </c>
      <c r="J159" s="2">
        <v>46223</v>
      </c>
      <c r="K159" s="2">
        <v>46261</v>
      </c>
      <c r="L159" s="1" t="s">
        <v>27</v>
      </c>
      <c r="M159" s="1" t="s">
        <v>17</v>
      </c>
      <c r="N159" s="1"/>
      <c r="O159" s="4" t="s">
        <v>0</v>
      </c>
    </row>
    <row r="160" spans="1:15" ht="14.4" x14ac:dyDescent="0.3">
      <c r="A160" s="3">
        <v>60</v>
      </c>
      <c r="B160" s="8" t="s">
        <v>1034</v>
      </c>
      <c r="C160" s="5" t="s">
        <v>1033</v>
      </c>
      <c r="D160" s="6">
        <v>410512211</v>
      </c>
      <c r="E160" s="5" t="s">
        <v>968</v>
      </c>
      <c r="F160" s="5" t="s">
        <v>4</v>
      </c>
      <c r="G160" s="5" t="s">
        <v>3</v>
      </c>
      <c r="H160" s="2">
        <v>46162</v>
      </c>
      <c r="I160" s="2">
        <v>46188</v>
      </c>
      <c r="J160" s="2">
        <v>46223</v>
      </c>
      <c r="K160" s="2">
        <v>46255</v>
      </c>
      <c r="L160" s="1" t="s">
        <v>77</v>
      </c>
      <c r="M160" s="1" t="s">
        <v>12</v>
      </c>
      <c r="N160" s="1"/>
      <c r="O160" s="4" t="s">
        <v>0</v>
      </c>
    </row>
    <row r="161" spans="1:15" ht="14.4" x14ac:dyDescent="0.3">
      <c r="A161" s="3">
        <v>61</v>
      </c>
      <c r="B161" s="8" t="s">
        <v>1032</v>
      </c>
      <c r="C161" s="5" t="s">
        <v>1031</v>
      </c>
      <c r="D161" s="6">
        <v>524906689</v>
      </c>
      <c r="E161" s="5" t="s">
        <v>586</v>
      </c>
      <c r="F161" s="5" t="s">
        <v>36</v>
      </c>
      <c r="G161" s="5" t="s">
        <v>3</v>
      </c>
      <c r="H161" s="2">
        <v>46147</v>
      </c>
      <c r="I161" s="2"/>
      <c r="J161" s="2">
        <v>46223</v>
      </c>
      <c r="K161" s="2" t="s">
        <v>1899</v>
      </c>
      <c r="L161" s="1" t="s">
        <v>13</v>
      </c>
      <c r="M161" s="1" t="s">
        <v>12</v>
      </c>
      <c r="N161" s="1"/>
      <c r="O161" s="4"/>
    </row>
    <row r="162" spans="1:15" ht="14.4" x14ac:dyDescent="0.3">
      <c r="A162" s="3">
        <v>62</v>
      </c>
      <c r="B162" s="8" t="s">
        <v>1030</v>
      </c>
      <c r="C162" s="5" t="s">
        <v>1029</v>
      </c>
      <c r="D162" s="6">
        <v>425219293</v>
      </c>
      <c r="E162" s="5" t="s">
        <v>1028</v>
      </c>
      <c r="F162" s="5" t="s">
        <v>28</v>
      </c>
      <c r="G162" s="5" t="s">
        <v>3</v>
      </c>
      <c r="H162" s="2">
        <v>46153</v>
      </c>
      <c r="I162" s="2">
        <v>46188</v>
      </c>
      <c r="J162" s="2">
        <v>46223</v>
      </c>
      <c r="K162" s="2" t="s">
        <v>1899</v>
      </c>
      <c r="L162" s="1" t="s">
        <v>27</v>
      </c>
      <c r="M162" s="1" t="s">
        <v>12</v>
      </c>
      <c r="N162" s="1"/>
      <c r="O162" s="4"/>
    </row>
    <row r="163" spans="1:15" ht="14.4" x14ac:dyDescent="0.3">
      <c r="A163" s="3">
        <v>63</v>
      </c>
      <c r="B163" s="8" t="s">
        <v>1027</v>
      </c>
      <c r="C163" s="5" t="s">
        <v>1026</v>
      </c>
      <c r="D163" s="6">
        <v>593222899</v>
      </c>
      <c r="E163" s="5" t="s">
        <v>1025</v>
      </c>
      <c r="F163" s="5" t="s">
        <v>28</v>
      </c>
      <c r="G163" s="5" t="s">
        <v>3</v>
      </c>
      <c r="H163" s="2"/>
      <c r="I163" s="2"/>
      <c r="J163" s="2">
        <v>46223</v>
      </c>
      <c r="K163" s="2" t="s">
        <v>1899</v>
      </c>
      <c r="L163" s="1" t="s">
        <v>27</v>
      </c>
      <c r="M163" s="1" t="s">
        <v>12</v>
      </c>
      <c r="N163" s="1"/>
      <c r="O163" s="4"/>
    </row>
    <row r="164" spans="1:15" ht="14.4" x14ac:dyDescent="0.3">
      <c r="A164" s="3">
        <v>64</v>
      </c>
      <c r="B164" s="8" t="s">
        <v>1024</v>
      </c>
      <c r="C164" s="5" t="s">
        <v>1023</v>
      </c>
      <c r="D164" s="6">
        <v>477275598</v>
      </c>
      <c r="E164" s="5" t="s">
        <v>586</v>
      </c>
      <c r="F164" s="5" t="s">
        <v>36</v>
      </c>
      <c r="G164" s="5" t="s">
        <v>3</v>
      </c>
      <c r="H164" s="2"/>
      <c r="I164" s="2">
        <v>46182</v>
      </c>
      <c r="J164" s="2">
        <v>46223</v>
      </c>
      <c r="K164" s="2" t="s">
        <v>1899</v>
      </c>
      <c r="L164" s="1" t="s">
        <v>13</v>
      </c>
      <c r="M164" s="1" t="s">
        <v>17</v>
      </c>
      <c r="N164" s="1"/>
      <c r="O164" s="4"/>
    </row>
    <row r="165" spans="1:15" ht="14.4" x14ac:dyDescent="0.3">
      <c r="A165" s="3">
        <v>65</v>
      </c>
      <c r="B165" s="8" t="s">
        <v>1022</v>
      </c>
      <c r="C165" s="5" t="s">
        <v>1021</v>
      </c>
      <c r="D165" s="6">
        <v>418032320</v>
      </c>
      <c r="E165" s="5" t="s">
        <v>192</v>
      </c>
      <c r="F165" s="5" t="s">
        <v>9</v>
      </c>
      <c r="G165" s="5" t="s">
        <v>3</v>
      </c>
      <c r="H165" s="2"/>
      <c r="I165" s="2"/>
      <c r="J165" s="2">
        <v>46223</v>
      </c>
      <c r="K165" s="2">
        <v>46261</v>
      </c>
      <c r="L165" s="1" t="s">
        <v>20</v>
      </c>
      <c r="M165" s="1" t="s">
        <v>12</v>
      </c>
      <c r="N165" s="1"/>
      <c r="O165" s="4"/>
    </row>
    <row r="166" spans="1:15" ht="14.4" x14ac:dyDescent="0.3">
      <c r="A166" s="3">
        <v>66</v>
      </c>
      <c r="B166" s="8" t="s">
        <v>1020</v>
      </c>
      <c r="C166" s="5" t="s">
        <v>1019</v>
      </c>
      <c r="D166" s="6">
        <v>459665016</v>
      </c>
      <c r="E166" s="5" t="s">
        <v>466</v>
      </c>
      <c r="F166" s="5" t="s">
        <v>4</v>
      </c>
      <c r="G166" s="5" t="s">
        <v>3</v>
      </c>
      <c r="H166" s="2"/>
      <c r="I166" s="2">
        <v>46175</v>
      </c>
      <c r="J166" s="2">
        <v>46223</v>
      </c>
      <c r="K166" s="2" t="s">
        <v>1899</v>
      </c>
      <c r="L166" s="1" t="s">
        <v>77</v>
      </c>
      <c r="M166" s="1" t="s">
        <v>12</v>
      </c>
      <c r="N166" s="1"/>
      <c r="O166" s="4"/>
    </row>
    <row r="167" spans="1:15" ht="14.4" x14ac:dyDescent="0.3">
      <c r="A167" s="3">
        <v>67</v>
      </c>
      <c r="B167" s="8" t="s">
        <v>1018</v>
      </c>
      <c r="C167" s="5" t="s">
        <v>1017</v>
      </c>
      <c r="D167" s="6">
        <v>273137805</v>
      </c>
      <c r="E167" s="5" t="s">
        <v>131</v>
      </c>
      <c r="F167" s="5" t="s">
        <v>9</v>
      </c>
      <c r="G167" s="5" t="s">
        <v>3</v>
      </c>
      <c r="H167" s="2"/>
      <c r="I167" s="2"/>
      <c r="J167" s="2">
        <v>46223</v>
      </c>
      <c r="K167" s="2" t="s">
        <v>1899</v>
      </c>
      <c r="L167" s="1" t="s">
        <v>124</v>
      </c>
      <c r="M167" s="1" t="s">
        <v>134</v>
      </c>
      <c r="N167" s="1"/>
      <c r="O167" s="4"/>
    </row>
    <row r="168" spans="1:15" ht="14.4" x14ac:dyDescent="0.3">
      <c r="A168" s="3">
        <v>68</v>
      </c>
      <c r="B168" s="8" t="s">
        <v>1016</v>
      </c>
      <c r="C168" s="5" t="s">
        <v>1015</v>
      </c>
      <c r="D168" s="6">
        <v>362846266</v>
      </c>
      <c r="E168" s="5" t="s">
        <v>756</v>
      </c>
      <c r="F168" s="5" t="s">
        <v>4</v>
      </c>
      <c r="G168" s="5" t="s">
        <v>3</v>
      </c>
      <c r="H168" s="2"/>
      <c r="I168" s="2">
        <v>46202</v>
      </c>
      <c r="J168" s="2">
        <v>46223</v>
      </c>
      <c r="K168" s="2" t="s">
        <v>1899</v>
      </c>
      <c r="L168" s="1"/>
      <c r="M168" s="1" t="s">
        <v>12</v>
      </c>
      <c r="N168" s="1"/>
      <c r="O168" s="4" t="s">
        <v>1014</v>
      </c>
    </row>
    <row r="169" spans="1:15" ht="14.4" x14ac:dyDescent="0.3">
      <c r="A169" s="3">
        <v>69</v>
      </c>
      <c r="B169" s="8" t="s">
        <v>1013</v>
      </c>
      <c r="C169" s="5" t="s">
        <v>1012</v>
      </c>
      <c r="D169" s="6">
        <v>433974164</v>
      </c>
      <c r="E169" s="5" t="s">
        <v>373</v>
      </c>
      <c r="F169" s="5" t="s">
        <v>4</v>
      </c>
      <c r="G169" s="5" t="s">
        <v>3</v>
      </c>
      <c r="H169" s="2"/>
      <c r="I169" s="2">
        <v>46202</v>
      </c>
      <c r="J169" s="2">
        <v>46223</v>
      </c>
      <c r="K169" s="2" t="s">
        <v>1899</v>
      </c>
      <c r="L169" s="1"/>
      <c r="M169" s="1" t="s">
        <v>12</v>
      </c>
      <c r="N169" s="1"/>
      <c r="O169" s="4"/>
    </row>
    <row r="170" spans="1:15" ht="14.4" x14ac:dyDescent="0.3">
      <c r="A170" s="3">
        <v>70</v>
      </c>
      <c r="B170" s="8" t="s">
        <v>1011</v>
      </c>
      <c r="C170" s="5" t="s">
        <v>1010</v>
      </c>
      <c r="D170" s="6">
        <v>495498449</v>
      </c>
      <c r="E170" s="5" t="s">
        <v>1009</v>
      </c>
      <c r="F170" s="5" t="s">
        <v>4</v>
      </c>
      <c r="G170" s="5" t="s">
        <v>3</v>
      </c>
      <c r="H170" s="2"/>
      <c r="I170" s="2">
        <v>46176</v>
      </c>
      <c r="J170" s="2">
        <v>46223</v>
      </c>
      <c r="K170" s="2" t="s">
        <v>1899</v>
      </c>
      <c r="L170" s="1" t="s">
        <v>77</v>
      </c>
      <c r="M170" s="1" t="s">
        <v>17</v>
      </c>
      <c r="N170" s="1"/>
      <c r="O170" s="4"/>
    </row>
    <row r="171" spans="1:15" ht="14.4" x14ac:dyDescent="0.3">
      <c r="A171" s="3">
        <v>71</v>
      </c>
      <c r="B171" s="8" t="s">
        <v>1008</v>
      </c>
      <c r="C171" s="5" t="s">
        <v>1007</v>
      </c>
      <c r="D171" s="6">
        <v>782002424</v>
      </c>
      <c r="E171" s="5" t="s">
        <v>1006</v>
      </c>
      <c r="F171" s="5" t="s">
        <v>28</v>
      </c>
      <c r="G171" s="5" t="s">
        <v>3</v>
      </c>
      <c r="H171" s="2"/>
      <c r="I171" s="2"/>
      <c r="J171" s="2">
        <v>46223</v>
      </c>
      <c r="K171" s="2" t="s">
        <v>1899</v>
      </c>
      <c r="L171" s="1" t="s">
        <v>27</v>
      </c>
      <c r="M171" s="1" t="s">
        <v>17</v>
      </c>
      <c r="N171" s="1"/>
      <c r="O171" s="4"/>
    </row>
    <row r="172" spans="1:15" ht="14.4" x14ac:dyDescent="0.3">
      <c r="A172" s="3">
        <v>72</v>
      </c>
      <c r="B172" s="8" t="s">
        <v>1005</v>
      </c>
      <c r="C172" s="5" t="s">
        <v>1004</v>
      </c>
      <c r="D172" s="6">
        <v>442861787</v>
      </c>
      <c r="E172" s="5" t="s">
        <v>131</v>
      </c>
      <c r="F172" s="5" t="s">
        <v>9</v>
      </c>
      <c r="G172" s="5" t="s">
        <v>3</v>
      </c>
      <c r="H172" s="2"/>
      <c r="I172" s="2"/>
      <c r="J172" s="2">
        <v>46223</v>
      </c>
      <c r="K172" s="2" t="s">
        <v>1899</v>
      </c>
      <c r="L172" s="1" t="s">
        <v>124</v>
      </c>
      <c r="M172" s="1" t="s">
        <v>12</v>
      </c>
      <c r="N172" s="1"/>
      <c r="O172" s="4"/>
    </row>
    <row r="173" spans="1:15" ht="14.4" x14ac:dyDescent="0.3">
      <c r="A173" s="3">
        <v>73</v>
      </c>
      <c r="B173" s="8" t="s">
        <v>1003</v>
      </c>
      <c r="C173" s="5" t="s">
        <v>1002</v>
      </c>
      <c r="D173" s="6">
        <v>410769025</v>
      </c>
      <c r="E173" s="5" t="s">
        <v>711</v>
      </c>
      <c r="F173" s="5" t="s">
        <v>48</v>
      </c>
      <c r="G173" s="5" t="s">
        <v>3</v>
      </c>
      <c r="H173" s="2"/>
      <c r="I173" s="2">
        <v>46178</v>
      </c>
      <c r="J173" s="2">
        <v>46223</v>
      </c>
      <c r="K173" s="2" t="s">
        <v>1899</v>
      </c>
      <c r="L173" s="1" t="s">
        <v>44</v>
      </c>
      <c r="M173" s="1" t="s">
        <v>12</v>
      </c>
      <c r="N173" s="1"/>
      <c r="O173" s="4"/>
    </row>
    <row r="174" spans="1:15" ht="14.4" x14ac:dyDescent="0.3">
      <c r="A174" s="3">
        <v>74</v>
      </c>
      <c r="B174" s="8" t="s">
        <v>1001</v>
      </c>
      <c r="C174" s="5" t="s">
        <v>1000</v>
      </c>
      <c r="D174" s="6">
        <v>373097171</v>
      </c>
      <c r="E174" s="5" t="s">
        <v>178</v>
      </c>
      <c r="F174" s="5" t="s">
        <v>28</v>
      </c>
      <c r="G174" s="5" t="s">
        <v>3</v>
      </c>
      <c r="H174" s="2"/>
      <c r="I174" s="2">
        <v>46178</v>
      </c>
      <c r="J174" s="2">
        <v>46223</v>
      </c>
      <c r="K174" s="2" t="s">
        <v>1899</v>
      </c>
      <c r="L174" s="1" t="s">
        <v>27</v>
      </c>
      <c r="M174" s="1" t="s">
        <v>12</v>
      </c>
      <c r="N174" s="1"/>
      <c r="O174" s="4"/>
    </row>
    <row r="175" spans="1:15" ht="14.4" x14ac:dyDescent="0.3">
      <c r="A175" s="3">
        <v>75</v>
      </c>
      <c r="B175" s="8" t="s">
        <v>999</v>
      </c>
      <c r="C175" s="5" t="s">
        <v>998</v>
      </c>
      <c r="D175" s="6">
        <v>594241729</v>
      </c>
      <c r="E175" s="5" t="s">
        <v>997</v>
      </c>
      <c r="F175" s="5" t="s">
        <v>4</v>
      </c>
      <c r="G175" s="5" t="s">
        <v>3</v>
      </c>
      <c r="H175" s="2">
        <v>46160</v>
      </c>
      <c r="I175" s="2">
        <v>46177</v>
      </c>
      <c r="J175" s="2">
        <v>46224</v>
      </c>
      <c r="K175" s="2">
        <v>46255</v>
      </c>
      <c r="L175" s="1" t="s">
        <v>2</v>
      </c>
      <c r="M175" s="1" t="s">
        <v>535</v>
      </c>
      <c r="N175" s="1"/>
      <c r="O175" s="4" t="s">
        <v>0</v>
      </c>
    </row>
    <row r="176" spans="1:15" ht="14.4" x14ac:dyDescent="0.3">
      <c r="A176" s="3">
        <v>76</v>
      </c>
      <c r="B176" s="8" t="s">
        <v>996</v>
      </c>
      <c r="C176" s="5" t="s">
        <v>995</v>
      </c>
      <c r="D176" s="6">
        <v>640409094</v>
      </c>
      <c r="E176" s="5" t="s">
        <v>805</v>
      </c>
      <c r="F176" s="5" t="s">
        <v>4</v>
      </c>
      <c r="G176" s="5" t="s">
        <v>3</v>
      </c>
      <c r="H176" s="2">
        <v>46149</v>
      </c>
      <c r="I176" s="2">
        <v>46191</v>
      </c>
      <c r="J176" s="2">
        <v>46224</v>
      </c>
      <c r="K176" s="2" t="s">
        <v>1899</v>
      </c>
      <c r="L176" s="1"/>
      <c r="M176" s="1" t="s">
        <v>17</v>
      </c>
      <c r="N176" s="1"/>
      <c r="O176" s="4"/>
    </row>
    <row r="177" spans="1:15" ht="14.4" x14ac:dyDescent="0.3">
      <c r="A177" s="3">
        <v>77</v>
      </c>
      <c r="B177" s="8" t="s">
        <v>994</v>
      </c>
      <c r="C177" s="5" t="s">
        <v>993</v>
      </c>
      <c r="D177" s="6">
        <v>542900177</v>
      </c>
      <c r="E177" s="5" t="s">
        <v>186</v>
      </c>
      <c r="F177" s="5" t="s">
        <v>36</v>
      </c>
      <c r="G177" s="5" t="s">
        <v>3</v>
      </c>
      <c r="H177" s="2">
        <v>46153</v>
      </c>
      <c r="I177" s="2"/>
      <c r="J177" s="2">
        <v>46224</v>
      </c>
      <c r="K177" s="2" t="s">
        <v>1899</v>
      </c>
      <c r="L177" s="1" t="s">
        <v>13</v>
      </c>
      <c r="M177" s="1" t="s">
        <v>17</v>
      </c>
      <c r="N177" s="1"/>
      <c r="O177" s="4"/>
    </row>
    <row r="178" spans="1:15" ht="14.4" x14ac:dyDescent="0.3">
      <c r="A178" s="3">
        <v>78</v>
      </c>
      <c r="B178" s="8" t="s">
        <v>992</v>
      </c>
      <c r="C178" s="5" t="s">
        <v>991</v>
      </c>
      <c r="D178" s="6">
        <v>389098855</v>
      </c>
      <c r="E178" s="5" t="s">
        <v>581</v>
      </c>
      <c r="F178" s="5" t="s">
        <v>32</v>
      </c>
      <c r="G178" s="5" t="s">
        <v>3</v>
      </c>
      <c r="H178" s="2">
        <v>46157</v>
      </c>
      <c r="I178" s="2"/>
      <c r="J178" s="2">
        <v>46224</v>
      </c>
      <c r="K178" s="2" t="s">
        <v>1899</v>
      </c>
      <c r="L178" s="1" t="s">
        <v>27</v>
      </c>
      <c r="M178" s="1" t="s">
        <v>17</v>
      </c>
      <c r="N178" s="1"/>
      <c r="O178" s="4"/>
    </row>
    <row r="179" spans="1:15" ht="14.4" x14ac:dyDescent="0.3">
      <c r="A179" s="3">
        <v>79</v>
      </c>
      <c r="B179" s="8" t="s">
        <v>990</v>
      </c>
      <c r="C179" s="5" t="s">
        <v>989</v>
      </c>
      <c r="D179" s="6">
        <v>505896161</v>
      </c>
      <c r="E179" s="5" t="s">
        <v>568</v>
      </c>
      <c r="F179" s="5" t="s">
        <v>32</v>
      </c>
      <c r="G179" s="5" t="s">
        <v>3</v>
      </c>
      <c r="H179" s="2">
        <v>46172</v>
      </c>
      <c r="I179" s="2">
        <v>46195</v>
      </c>
      <c r="J179" s="2">
        <v>46224</v>
      </c>
      <c r="K179" s="2" t="s">
        <v>1899</v>
      </c>
      <c r="L179" s="1" t="s">
        <v>27</v>
      </c>
      <c r="M179" s="1" t="s">
        <v>12</v>
      </c>
      <c r="N179" s="1"/>
      <c r="O179" s="4"/>
    </row>
    <row r="180" spans="1:15" ht="14.4" x14ac:dyDescent="0.3">
      <c r="A180" s="3">
        <v>80</v>
      </c>
      <c r="B180" s="8" t="s">
        <v>988</v>
      </c>
      <c r="C180" s="5" t="s">
        <v>987</v>
      </c>
      <c r="D180" s="6">
        <v>551002972</v>
      </c>
      <c r="E180" s="5" t="s">
        <v>986</v>
      </c>
      <c r="F180" s="5" t="s">
        <v>28</v>
      </c>
      <c r="G180" s="5" t="s">
        <v>3</v>
      </c>
      <c r="H180" s="2"/>
      <c r="I180" s="2"/>
      <c r="J180" s="2">
        <v>46224</v>
      </c>
      <c r="K180" s="2" t="s">
        <v>1899</v>
      </c>
      <c r="L180" s="1" t="s">
        <v>27</v>
      </c>
      <c r="M180" s="1" t="s">
        <v>17</v>
      </c>
      <c r="N180" s="1"/>
      <c r="O180" s="4"/>
    </row>
    <row r="181" spans="1:15" ht="14.4" x14ac:dyDescent="0.3">
      <c r="A181" s="3">
        <v>81</v>
      </c>
      <c r="B181" s="8" t="s">
        <v>985</v>
      </c>
      <c r="C181" s="5" t="s">
        <v>984</v>
      </c>
      <c r="D181" s="6">
        <v>391419645</v>
      </c>
      <c r="E181" s="5" t="s">
        <v>814</v>
      </c>
      <c r="F181" s="5" t="s">
        <v>28</v>
      </c>
      <c r="G181" s="5" t="s">
        <v>3</v>
      </c>
      <c r="H181" s="2"/>
      <c r="I181" s="2">
        <v>46198</v>
      </c>
      <c r="J181" s="2">
        <v>46224</v>
      </c>
      <c r="K181" s="2" t="s">
        <v>1899</v>
      </c>
      <c r="L181" s="1" t="s">
        <v>27</v>
      </c>
      <c r="M181" s="1" t="s">
        <v>12</v>
      </c>
      <c r="N181" s="1"/>
      <c r="O181" s="4"/>
    </row>
    <row r="182" spans="1:15" ht="14.4" x14ac:dyDescent="0.3">
      <c r="A182" s="3">
        <v>82</v>
      </c>
      <c r="B182" s="8" t="s">
        <v>983</v>
      </c>
      <c r="C182" s="5" t="s">
        <v>982</v>
      </c>
      <c r="D182" s="6">
        <v>456009153</v>
      </c>
      <c r="E182" s="5" t="s">
        <v>97</v>
      </c>
      <c r="F182" s="5" t="s">
        <v>48</v>
      </c>
      <c r="G182" s="5" t="s">
        <v>3</v>
      </c>
      <c r="H182" s="2"/>
      <c r="I182" s="2">
        <v>46175</v>
      </c>
      <c r="J182" s="2">
        <v>46224</v>
      </c>
      <c r="K182" s="2" t="s">
        <v>1899</v>
      </c>
      <c r="L182" s="1" t="s">
        <v>44</v>
      </c>
      <c r="M182" s="1" t="s">
        <v>12</v>
      </c>
      <c r="N182" s="1"/>
      <c r="O182" s="4"/>
    </row>
    <row r="183" spans="1:15" ht="14.4" x14ac:dyDescent="0.3">
      <c r="A183" s="3">
        <v>83</v>
      </c>
      <c r="B183" s="8" t="s">
        <v>981</v>
      </c>
      <c r="C183" s="5" t="s">
        <v>980</v>
      </c>
      <c r="D183" s="6">
        <v>560468956</v>
      </c>
      <c r="E183" s="5" t="s">
        <v>979</v>
      </c>
      <c r="F183" s="5" t="s">
        <v>9</v>
      </c>
      <c r="G183" s="5" t="s">
        <v>3</v>
      </c>
      <c r="H183" s="2">
        <v>46150</v>
      </c>
      <c r="I183" s="2">
        <v>46185</v>
      </c>
      <c r="J183" s="2">
        <v>46225</v>
      </c>
      <c r="K183" s="2">
        <v>46252</v>
      </c>
      <c r="L183" s="1" t="s">
        <v>20</v>
      </c>
      <c r="M183" s="1" t="s">
        <v>17</v>
      </c>
      <c r="N183" s="1"/>
      <c r="O183" s="4" t="s">
        <v>0</v>
      </c>
    </row>
    <row r="184" spans="1:15" ht="14.4" x14ac:dyDescent="0.3">
      <c r="A184" s="3">
        <v>84</v>
      </c>
      <c r="B184" s="8" t="s">
        <v>978</v>
      </c>
      <c r="C184" s="5" t="s">
        <v>977</v>
      </c>
      <c r="D184" s="6">
        <v>766226364</v>
      </c>
      <c r="E184" s="5" t="s">
        <v>131</v>
      </c>
      <c r="F184" s="5" t="s">
        <v>9</v>
      </c>
      <c r="G184" s="5" t="s">
        <v>3</v>
      </c>
      <c r="H184" s="2">
        <v>46153</v>
      </c>
      <c r="I184" s="2">
        <v>46195</v>
      </c>
      <c r="J184" s="2">
        <v>46225</v>
      </c>
      <c r="K184" s="2">
        <v>46253</v>
      </c>
      <c r="L184" s="1" t="s">
        <v>124</v>
      </c>
      <c r="M184" s="1" t="s">
        <v>535</v>
      </c>
      <c r="N184" s="1"/>
      <c r="O184" s="4" t="s">
        <v>0</v>
      </c>
    </row>
    <row r="185" spans="1:15" ht="14.4" x14ac:dyDescent="0.3">
      <c r="A185" s="3">
        <v>85</v>
      </c>
      <c r="B185" s="17" t="s">
        <v>976</v>
      </c>
      <c r="C185" s="5" t="s">
        <v>975</v>
      </c>
      <c r="D185" s="6">
        <v>387001034</v>
      </c>
      <c r="E185" s="5" t="s">
        <v>974</v>
      </c>
      <c r="F185" s="5" t="s">
        <v>28</v>
      </c>
      <c r="G185" s="5" t="s">
        <v>3</v>
      </c>
      <c r="H185" s="2"/>
      <c r="I185" s="2">
        <v>46190</v>
      </c>
      <c r="J185" s="2">
        <v>46225</v>
      </c>
      <c r="K185" s="2">
        <v>46253</v>
      </c>
      <c r="L185" s="1" t="s">
        <v>27</v>
      </c>
      <c r="M185" s="1" t="s">
        <v>12</v>
      </c>
      <c r="N185" s="1"/>
      <c r="O185" s="4" t="s">
        <v>973</v>
      </c>
    </row>
    <row r="186" spans="1:15" ht="14.4" x14ac:dyDescent="0.3">
      <c r="A186" s="3">
        <v>86</v>
      </c>
      <c r="B186" s="8" t="s">
        <v>972</v>
      </c>
      <c r="C186" s="5" t="s">
        <v>971</v>
      </c>
      <c r="D186" s="6">
        <v>434566754</v>
      </c>
      <c r="E186" s="5" t="s">
        <v>379</v>
      </c>
      <c r="F186" s="5" t="s">
        <v>4</v>
      </c>
      <c r="G186" s="5" t="s">
        <v>3</v>
      </c>
      <c r="H186" s="2"/>
      <c r="I186" s="2">
        <v>46181</v>
      </c>
      <c r="J186" s="2">
        <v>46225</v>
      </c>
      <c r="K186" s="2">
        <v>46254</v>
      </c>
      <c r="L186" s="1" t="s">
        <v>2</v>
      </c>
      <c r="M186" s="1" t="s">
        <v>12</v>
      </c>
      <c r="N186" s="1"/>
      <c r="O186" s="4" t="s">
        <v>0</v>
      </c>
    </row>
    <row r="187" spans="1:15" ht="14.4" x14ac:dyDescent="0.3">
      <c r="A187" s="3">
        <v>87</v>
      </c>
      <c r="B187" s="8" t="s">
        <v>970</v>
      </c>
      <c r="C187" s="5" t="s">
        <v>969</v>
      </c>
      <c r="D187" s="6">
        <v>627065658</v>
      </c>
      <c r="E187" s="5" t="s">
        <v>968</v>
      </c>
      <c r="F187" s="5" t="s">
        <v>4</v>
      </c>
      <c r="G187" s="5" t="s">
        <v>3</v>
      </c>
      <c r="H187" s="2">
        <v>46162</v>
      </c>
      <c r="I187" s="2">
        <v>46181</v>
      </c>
      <c r="J187" s="2">
        <v>46225</v>
      </c>
      <c r="K187" s="2">
        <v>46258</v>
      </c>
      <c r="L187" s="1" t="s">
        <v>2</v>
      </c>
      <c r="M187" s="1" t="s">
        <v>535</v>
      </c>
      <c r="N187" s="1"/>
      <c r="O187" s="4" t="s">
        <v>0</v>
      </c>
    </row>
    <row r="188" spans="1:15" ht="14.4" x14ac:dyDescent="0.3">
      <c r="A188" s="3">
        <v>88</v>
      </c>
      <c r="B188" s="8" t="s">
        <v>967</v>
      </c>
      <c r="C188" s="5" t="s">
        <v>966</v>
      </c>
      <c r="D188" s="6">
        <v>532443478</v>
      </c>
      <c r="E188" s="5" t="s">
        <v>246</v>
      </c>
      <c r="F188" s="5" t="s">
        <v>9</v>
      </c>
      <c r="G188" s="5" t="s">
        <v>3</v>
      </c>
      <c r="H188" s="2">
        <v>46164</v>
      </c>
      <c r="I188" s="2">
        <v>46188</v>
      </c>
      <c r="J188" s="2">
        <v>46225</v>
      </c>
      <c r="K188" s="2" t="s">
        <v>1899</v>
      </c>
      <c r="L188" s="1" t="s">
        <v>20</v>
      </c>
      <c r="M188" s="1" t="s">
        <v>12</v>
      </c>
      <c r="N188" s="1"/>
      <c r="O188" s="4"/>
    </row>
    <row r="189" spans="1:15" ht="14.4" x14ac:dyDescent="0.3">
      <c r="A189" s="3">
        <v>89</v>
      </c>
      <c r="B189" s="8" t="s">
        <v>964</v>
      </c>
      <c r="C189" s="5" t="s">
        <v>963</v>
      </c>
      <c r="D189" s="6">
        <v>438569217</v>
      </c>
      <c r="E189" s="5" t="s">
        <v>423</v>
      </c>
      <c r="F189" s="5" t="s">
        <v>48</v>
      </c>
      <c r="G189" s="5" t="s">
        <v>3</v>
      </c>
      <c r="H189" s="2">
        <v>46155</v>
      </c>
      <c r="I189" s="2">
        <v>46198</v>
      </c>
      <c r="J189" s="2">
        <v>46225</v>
      </c>
      <c r="K189" s="2" t="s">
        <v>1899</v>
      </c>
      <c r="L189" s="1" t="s">
        <v>44</v>
      </c>
      <c r="M189" s="1" t="s">
        <v>17</v>
      </c>
      <c r="N189" s="1"/>
      <c r="O189" s="4"/>
    </row>
    <row r="190" spans="1:15" ht="14.4" x14ac:dyDescent="0.3">
      <c r="A190" s="3">
        <v>90</v>
      </c>
      <c r="B190" s="8" t="s">
        <v>962</v>
      </c>
      <c r="C190" s="5" t="s">
        <v>961</v>
      </c>
      <c r="D190" s="6">
        <v>382694943</v>
      </c>
      <c r="E190" s="5" t="s">
        <v>395</v>
      </c>
      <c r="F190" s="5" t="s">
        <v>48</v>
      </c>
      <c r="G190" s="5" t="s">
        <v>3</v>
      </c>
      <c r="H190" s="2">
        <v>46161</v>
      </c>
      <c r="I190" s="2">
        <v>46195</v>
      </c>
      <c r="J190" s="2">
        <v>46225</v>
      </c>
      <c r="K190" s="2" t="s">
        <v>1899</v>
      </c>
      <c r="L190" s="1" t="s">
        <v>44</v>
      </c>
      <c r="M190" s="1" t="s">
        <v>12</v>
      </c>
      <c r="N190" s="1"/>
      <c r="O190" s="4"/>
    </row>
    <row r="191" spans="1:15" ht="14.4" x14ac:dyDescent="0.3">
      <c r="A191" s="3">
        <v>91</v>
      </c>
      <c r="B191" s="8" t="s">
        <v>960</v>
      </c>
      <c r="C191" s="5" t="s">
        <v>959</v>
      </c>
      <c r="D191" s="6">
        <v>755430672</v>
      </c>
      <c r="E191" s="5" t="s">
        <v>958</v>
      </c>
      <c r="F191" s="5" t="s">
        <v>90</v>
      </c>
      <c r="G191" s="5" t="s">
        <v>3</v>
      </c>
      <c r="H191" s="2">
        <v>46163</v>
      </c>
      <c r="I191" s="2">
        <v>46197</v>
      </c>
      <c r="J191" s="2">
        <v>46225</v>
      </c>
      <c r="K191" s="2" t="s">
        <v>1899</v>
      </c>
      <c r="L191" s="1" t="s">
        <v>13</v>
      </c>
      <c r="M191" s="1" t="s">
        <v>535</v>
      </c>
      <c r="N191" s="1"/>
      <c r="O191" s="4"/>
    </row>
    <row r="192" spans="1:15" ht="14.4" x14ac:dyDescent="0.3">
      <c r="A192" s="3">
        <v>92</v>
      </c>
      <c r="B192" s="8" t="s">
        <v>957</v>
      </c>
      <c r="C192" s="5" t="s">
        <v>956</v>
      </c>
      <c r="D192" s="6">
        <v>555428936</v>
      </c>
      <c r="E192" s="5" t="s">
        <v>175</v>
      </c>
      <c r="F192" s="5" t="s">
        <v>90</v>
      </c>
      <c r="G192" s="5" t="s">
        <v>3</v>
      </c>
      <c r="H192" s="2">
        <v>46165</v>
      </c>
      <c r="I192" s="2"/>
      <c r="J192" s="2">
        <v>46225</v>
      </c>
      <c r="K192" s="2" t="s">
        <v>1899</v>
      </c>
      <c r="L192" s="1" t="s">
        <v>13</v>
      </c>
      <c r="M192" s="1" t="s">
        <v>12</v>
      </c>
      <c r="N192" s="1"/>
      <c r="O192" s="4"/>
    </row>
    <row r="193" spans="1:15" ht="14.4" x14ac:dyDescent="0.3">
      <c r="A193" s="3">
        <v>93</v>
      </c>
      <c r="B193" s="8" t="s">
        <v>955</v>
      </c>
      <c r="C193" s="5" t="s">
        <v>954</v>
      </c>
      <c r="D193" s="6">
        <v>567553506</v>
      </c>
      <c r="E193" s="5" t="s">
        <v>953</v>
      </c>
      <c r="F193" s="5" t="s">
        <v>4</v>
      </c>
      <c r="G193" s="5" t="s">
        <v>3</v>
      </c>
      <c r="H193" s="2">
        <v>46172</v>
      </c>
      <c r="I193" s="2"/>
      <c r="J193" s="2">
        <v>46225</v>
      </c>
      <c r="K193" s="2" t="s">
        <v>1899</v>
      </c>
      <c r="L193" s="1" t="s">
        <v>20</v>
      </c>
      <c r="M193" s="1" t="s">
        <v>17</v>
      </c>
      <c r="N193" s="1"/>
      <c r="O193" s="4"/>
    </row>
    <row r="194" spans="1:15" ht="14.4" x14ac:dyDescent="0.3">
      <c r="A194" s="3">
        <v>94</v>
      </c>
      <c r="B194" s="8" t="s">
        <v>952</v>
      </c>
      <c r="C194" s="5" t="s">
        <v>951</v>
      </c>
      <c r="D194" s="6">
        <v>548559958</v>
      </c>
      <c r="E194" s="5" t="s">
        <v>282</v>
      </c>
      <c r="F194" s="5" t="s">
        <v>28</v>
      </c>
      <c r="G194" s="5" t="s">
        <v>3</v>
      </c>
      <c r="H194" s="2"/>
      <c r="I194" s="2"/>
      <c r="J194" s="2">
        <v>46225</v>
      </c>
      <c r="K194" s="2" t="s">
        <v>1899</v>
      </c>
      <c r="L194" s="1" t="s">
        <v>27</v>
      </c>
      <c r="M194" s="1" t="s">
        <v>535</v>
      </c>
      <c r="N194" s="1"/>
      <c r="O194" s="4"/>
    </row>
    <row r="195" spans="1:15" ht="14.4" x14ac:dyDescent="0.3">
      <c r="A195" s="3">
        <v>95</v>
      </c>
      <c r="B195" s="8" t="s">
        <v>950</v>
      </c>
      <c r="C195" s="5" t="s">
        <v>949</v>
      </c>
      <c r="D195" s="6">
        <v>354546000</v>
      </c>
      <c r="E195" s="5" t="s">
        <v>379</v>
      </c>
      <c r="F195" s="5" t="s">
        <v>4</v>
      </c>
      <c r="G195" s="5" t="s">
        <v>3</v>
      </c>
      <c r="H195" s="2"/>
      <c r="I195" s="2">
        <v>46181</v>
      </c>
      <c r="J195" s="2">
        <v>46225</v>
      </c>
      <c r="K195" s="2">
        <v>46254</v>
      </c>
      <c r="L195" s="1" t="s">
        <v>2</v>
      </c>
      <c r="M195" s="1" t="s">
        <v>12</v>
      </c>
      <c r="N195" s="1"/>
      <c r="O195" s="4"/>
    </row>
    <row r="196" spans="1:15" ht="14.4" x14ac:dyDescent="0.3">
      <c r="A196" s="3">
        <v>96</v>
      </c>
      <c r="B196" s="8" t="s">
        <v>948</v>
      </c>
      <c r="C196" s="5" t="s">
        <v>947</v>
      </c>
      <c r="D196" s="6">
        <v>498438794</v>
      </c>
      <c r="E196" s="5" t="s">
        <v>837</v>
      </c>
      <c r="F196" s="5" t="s">
        <v>4</v>
      </c>
      <c r="G196" s="5" t="s">
        <v>3</v>
      </c>
      <c r="H196" s="2"/>
      <c r="I196" s="2">
        <v>46175</v>
      </c>
      <c r="J196" s="21">
        <v>46226</v>
      </c>
      <c r="K196" s="2">
        <v>46253</v>
      </c>
      <c r="L196" s="1"/>
      <c r="M196" s="1" t="s">
        <v>17</v>
      </c>
      <c r="N196" s="1"/>
      <c r="O196" s="4" t="s">
        <v>0</v>
      </c>
    </row>
    <row r="197" spans="1:15" ht="14.4" x14ac:dyDescent="0.3">
      <c r="A197" s="3">
        <v>97</v>
      </c>
      <c r="B197" s="8" t="s">
        <v>946</v>
      </c>
      <c r="C197" s="5" t="s">
        <v>945</v>
      </c>
      <c r="D197" s="6">
        <v>502086184</v>
      </c>
      <c r="E197" s="5" t="s">
        <v>733</v>
      </c>
      <c r="F197" s="5" t="s">
        <v>4</v>
      </c>
      <c r="G197" s="5" t="s">
        <v>3</v>
      </c>
      <c r="H197" s="2">
        <v>46158</v>
      </c>
      <c r="I197" s="2">
        <v>46193</v>
      </c>
      <c r="J197" s="21">
        <v>46226</v>
      </c>
      <c r="K197" s="2">
        <v>46254</v>
      </c>
      <c r="L197" s="1"/>
      <c r="M197" s="1" t="s">
        <v>12</v>
      </c>
      <c r="N197" s="1"/>
      <c r="O197" s="4" t="s">
        <v>0</v>
      </c>
    </row>
    <row r="198" spans="1:15" ht="14.4" x14ac:dyDescent="0.3">
      <c r="A198" s="3">
        <v>98</v>
      </c>
      <c r="B198" s="8" t="s">
        <v>944</v>
      </c>
      <c r="C198" s="5" t="s">
        <v>943</v>
      </c>
      <c r="D198" s="6">
        <v>393747026</v>
      </c>
      <c r="E198" s="5" t="s">
        <v>756</v>
      </c>
      <c r="F198" s="5" t="s">
        <v>4</v>
      </c>
      <c r="G198" s="5" t="s">
        <v>3</v>
      </c>
      <c r="H198" s="2">
        <v>46172</v>
      </c>
      <c r="I198" s="2">
        <v>46191</v>
      </c>
      <c r="J198" s="21">
        <v>46226</v>
      </c>
      <c r="K198" s="2">
        <v>46254</v>
      </c>
      <c r="L198" s="1"/>
      <c r="M198" s="1" t="s">
        <v>12</v>
      </c>
      <c r="N198" s="1"/>
      <c r="O198" s="4" t="s">
        <v>0</v>
      </c>
    </row>
    <row r="199" spans="1:15" ht="14.4" x14ac:dyDescent="0.3">
      <c r="A199" s="3">
        <v>99</v>
      </c>
      <c r="B199" s="8" t="s">
        <v>942</v>
      </c>
      <c r="C199" s="5" t="s">
        <v>941</v>
      </c>
      <c r="D199" s="6">
        <v>428925357</v>
      </c>
      <c r="E199" s="5" t="s">
        <v>5</v>
      </c>
      <c r="F199" s="5" t="s">
        <v>4</v>
      </c>
      <c r="G199" s="5" t="s">
        <v>3</v>
      </c>
      <c r="H199" s="2"/>
      <c r="I199" s="2">
        <v>46175</v>
      </c>
      <c r="J199" s="21">
        <v>46226</v>
      </c>
      <c r="K199" s="2">
        <v>46254</v>
      </c>
      <c r="L199" s="1"/>
      <c r="M199" s="1" t="s">
        <v>12</v>
      </c>
      <c r="N199" s="1"/>
      <c r="O199" s="4" t="s">
        <v>0</v>
      </c>
    </row>
    <row r="200" spans="1:15" ht="14.4" x14ac:dyDescent="0.3">
      <c r="A200" s="3">
        <v>100</v>
      </c>
      <c r="B200" s="8" t="s">
        <v>940</v>
      </c>
      <c r="C200" s="5" t="s">
        <v>939</v>
      </c>
      <c r="D200" s="6">
        <v>569379179</v>
      </c>
      <c r="E200" s="5" t="s">
        <v>938</v>
      </c>
      <c r="F200" s="5" t="s">
        <v>48</v>
      </c>
      <c r="G200" s="5" t="s">
        <v>3</v>
      </c>
      <c r="H200" s="2">
        <v>46158</v>
      </c>
      <c r="I200" s="2">
        <v>46197</v>
      </c>
      <c r="J200" s="2">
        <v>46226</v>
      </c>
      <c r="K200" s="2" t="s">
        <v>1899</v>
      </c>
      <c r="L200" s="1" t="s">
        <v>44</v>
      </c>
      <c r="M200" s="1" t="s">
        <v>17</v>
      </c>
      <c r="N200" s="1"/>
      <c r="O200" s="4"/>
    </row>
    <row r="201" spans="1:15" ht="14.4" x14ac:dyDescent="0.3">
      <c r="A201" s="3">
        <v>101</v>
      </c>
      <c r="B201" s="8" t="s">
        <v>937</v>
      </c>
      <c r="C201" s="5" t="s">
        <v>936</v>
      </c>
      <c r="D201" s="6">
        <v>433757860</v>
      </c>
      <c r="E201" s="5" t="s">
        <v>935</v>
      </c>
      <c r="F201" s="5" t="s">
        <v>48</v>
      </c>
      <c r="G201" s="5" t="s">
        <v>3</v>
      </c>
      <c r="H201" s="2">
        <v>46161</v>
      </c>
      <c r="I201" s="2">
        <v>46195</v>
      </c>
      <c r="J201" s="2">
        <v>46226</v>
      </c>
      <c r="K201" s="2" t="s">
        <v>1899</v>
      </c>
      <c r="L201" s="1" t="s">
        <v>44</v>
      </c>
      <c r="M201" s="1" t="s">
        <v>17</v>
      </c>
      <c r="N201" s="1"/>
      <c r="O201" s="4"/>
    </row>
    <row r="202" spans="1:15" ht="14.4" x14ac:dyDescent="0.3">
      <c r="A202" s="3">
        <v>102</v>
      </c>
      <c r="B202" s="8" t="s">
        <v>934</v>
      </c>
      <c r="C202" s="5" t="s">
        <v>933</v>
      </c>
      <c r="D202" s="6">
        <v>370143448</v>
      </c>
      <c r="E202" s="5" t="s">
        <v>932</v>
      </c>
      <c r="F202" s="5" t="s">
        <v>90</v>
      </c>
      <c r="G202" s="5" t="s">
        <v>3</v>
      </c>
      <c r="H202" s="2">
        <v>46162</v>
      </c>
      <c r="I202" s="2">
        <v>46198</v>
      </c>
      <c r="J202" s="2">
        <v>46226</v>
      </c>
      <c r="K202" s="2" t="s">
        <v>1899</v>
      </c>
      <c r="L202" s="1" t="s">
        <v>13</v>
      </c>
      <c r="M202" s="1" t="s">
        <v>12</v>
      </c>
      <c r="N202" s="1"/>
      <c r="O202" s="4"/>
    </row>
    <row r="203" spans="1:15" ht="14.4" x14ac:dyDescent="0.3">
      <c r="A203" s="3">
        <v>103</v>
      </c>
      <c r="B203" s="8" t="s">
        <v>931</v>
      </c>
      <c r="C203" s="5" t="s">
        <v>930</v>
      </c>
      <c r="D203" s="6">
        <v>452002796</v>
      </c>
      <c r="E203" s="5" t="s">
        <v>929</v>
      </c>
      <c r="F203" s="5" t="s">
        <v>90</v>
      </c>
      <c r="G203" s="5" t="s">
        <v>3</v>
      </c>
      <c r="H203" s="2">
        <v>46164</v>
      </c>
      <c r="I203" s="2">
        <v>46200</v>
      </c>
      <c r="J203" s="2">
        <v>46226</v>
      </c>
      <c r="K203" s="2" t="s">
        <v>1899</v>
      </c>
      <c r="L203" s="1" t="s">
        <v>13</v>
      </c>
      <c r="M203" s="1" t="s">
        <v>17</v>
      </c>
      <c r="N203" s="1"/>
      <c r="O203" s="4"/>
    </row>
    <row r="204" spans="1:15" ht="14.4" x14ac:dyDescent="0.3">
      <c r="A204" s="3">
        <v>104</v>
      </c>
      <c r="B204" s="8" t="s">
        <v>928</v>
      </c>
      <c r="C204" s="5" t="s">
        <v>927</v>
      </c>
      <c r="D204" s="6">
        <v>490677146</v>
      </c>
      <c r="E204" s="5" t="s">
        <v>926</v>
      </c>
      <c r="F204" s="5" t="s">
        <v>90</v>
      </c>
      <c r="G204" s="5" t="s">
        <v>3</v>
      </c>
      <c r="H204" s="2">
        <v>46171</v>
      </c>
      <c r="I204" s="2">
        <v>46200</v>
      </c>
      <c r="J204" s="2">
        <v>46226</v>
      </c>
      <c r="K204" s="2" t="s">
        <v>1899</v>
      </c>
      <c r="L204" s="1" t="s">
        <v>13</v>
      </c>
      <c r="M204" s="1" t="s">
        <v>12</v>
      </c>
      <c r="N204" s="1"/>
      <c r="O204" s="4"/>
    </row>
    <row r="205" spans="1:15" ht="14.4" x14ac:dyDescent="0.3">
      <c r="A205" s="3">
        <v>105</v>
      </c>
      <c r="B205" s="8" t="s">
        <v>925</v>
      </c>
      <c r="C205" s="5" t="s">
        <v>924</v>
      </c>
      <c r="D205" s="6">
        <v>478803965</v>
      </c>
      <c r="E205" s="5" t="s">
        <v>436</v>
      </c>
      <c r="F205" s="5" t="s">
        <v>28</v>
      </c>
      <c r="G205" s="5" t="s">
        <v>3</v>
      </c>
      <c r="H205" s="2"/>
      <c r="I205" s="2">
        <v>46191</v>
      </c>
      <c r="J205" s="2">
        <v>46226</v>
      </c>
      <c r="K205" s="2" t="s">
        <v>1899</v>
      </c>
      <c r="L205" s="1" t="s">
        <v>27</v>
      </c>
      <c r="M205" s="1" t="s">
        <v>12</v>
      </c>
      <c r="N205" s="1"/>
      <c r="O205" s="4"/>
    </row>
    <row r="206" spans="1:15" ht="14.4" x14ac:dyDescent="0.3">
      <c r="A206" s="3">
        <v>106</v>
      </c>
      <c r="B206" s="8" t="s">
        <v>923</v>
      </c>
      <c r="C206" s="5" t="s">
        <v>922</v>
      </c>
      <c r="D206" s="6">
        <v>444662391</v>
      </c>
      <c r="E206" s="5" t="s">
        <v>921</v>
      </c>
      <c r="F206" s="5" t="s">
        <v>28</v>
      </c>
      <c r="G206" s="5" t="s">
        <v>3</v>
      </c>
      <c r="H206" s="2"/>
      <c r="I206" s="2">
        <v>46199</v>
      </c>
      <c r="J206" s="2">
        <v>46226</v>
      </c>
      <c r="K206" s="2" t="s">
        <v>1899</v>
      </c>
      <c r="L206" s="1" t="s">
        <v>27</v>
      </c>
      <c r="M206" s="1" t="s">
        <v>12</v>
      </c>
      <c r="N206" s="1"/>
      <c r="O206" s="4"/>
    </row>
    <row r="207" spans="1:15" ht="14.4" x14ac:dyDescent="0.3">
      <c r="A207" s="3">
        <v>107</v>
      </c>
      <c r="B207" s="8" t="s">
        <v>920</v>
      </c>
      <c r="C207" s="5" t="s">
        <v>919</v>
      </c>
      <c r="D207" s="6">
        <v>452224356</v>
      </c>
      <c r="E207" s="5" t="s">
        <v>918</v>
      </c>
      <c r="F207" s="5" t="s">
        <v>90</v>
      </c>
      <c r="G207" s="5" t="s">
        <v>3</v>
      </c>
      <c r="H207" s="2"/>
      <c r="I207" s="2"/>
      <c r="J207" s="2">
        <v>46226</v>
      </c>
      <c r="K207" s="2" t="s">
        <v>1899</v>
      </c>
      <c r="L207" s="1" t="s">
        <v>13</v>
      </c>
      <c r="M207" s="1" t="s">
        <v>12</v>
      </c>
      <c r="N207" s="1"/>
      <c r="O207" s="4"/>
    </row>
    <row r="208" spans="1:15" ht="14.4" x14ac:dyDescent="0.3">
      <c r="A208" s="3">
        <v>108</v>
      </c>
      <c r="B208" s="8" t="s">
        <v>917</v>
      </c>
      <c r="C208" s="5" t="s">
        <v>916</v>
      </c>
      <c r="D208" s="6">
        <v>429589873</v>
      </c>
      <c r="E208" s="5" t="s">
        <v>915</v>
      </c>
      <c r="F208" s="5" t="s">
        <v>4</v>
      </c>
      <c r="G208" s="5" t="s">
        <v>3</v>
      </c>
      <c r="H208" s="2">
        <v>46167</v>
      </c>
      <c r="I208" s="2">
        <v>46193</v>
      </c>
      <c r="J208" s="2">
        <v>46227</v>
      </c>
      <c r="K208" s="2">
        <v>46252</v>
      </c>
      <c r="L208" s="1" t="s">
        <v>77</v>
      </c>
      <c r="M208" s="1" t="s">
        <v>17</v>
      </c>
      <c r="N208" s="1"/>
      <c r="O208" s="4" t="s">
        <v>0</v>
      </c>
    </row>
    <row r="209" spans="1:15" ht="14.4" x14ac:dyDescent="0.3">
      <c r="A209" s="3">
        <v>109</v>
      </c>
      <c r="B209" s="8" t="s">
        <v>914</v>
      </c>
      <c r="C209" s="5" t="s">
        <v>913</v>
      </c>
      <c r="D209" s="6">
        <v>307835274</v>
      </c>
      <c r="E209" s="5" t="s">
        <v>912</v>
      </c>
      <c r="F209" s="5" t="s">
        <v>4</v>
      </c>
      <c r="G209" s="5" t="s">
        <v>3</v>
      </c>
      <c r="H209" s="2">
        <v>46167</v>
      </c>
      <c r="I209" s="2">
        <v>46193</v>
      </c>
      <c r="J209" s="2">
        <v>46227</v>
      </c>
      <c r="K209" s="2">
        <v>46252</v>
      </c>
      <c r="L209" s="1" t="s">
        <v>77</v>
      </c>
      <c r="M209" s="1" t="s">
        <v>12</v>
      </c>
      <c r="N209" s="1"/>
      <c r="O209" s="4" t="s">
        <v>0</v>
      </c>
    </row>
    <row r="210" spans="1:15" ht="14.4" x14ac:dyDescent="0.3">
      <c r="A210" s="3">
        <v>110</v>
      </c>
      <c r="B210" s="8" t="s">
        <v>911</v>
      </c>
      <c r="C210" s="5" t="s">
        <v>910</v>
      </c>
      <c r="D210" s="6">
        <v>397322548</v>
      </c>
      <c r="E210" s="5" t="s">
        <v>909</v>
      </c>
      <c r="F210" s="5" t="s">
        <v>9</v>
      </c>
      <c r="G210" s="5" t="s">
        <v>3</v>
      </c>
      <c r="H210" s="2"/>
      <c r="I210" s="2"/>
      <c r="J210" s="2">
        <v>46227</v>
      </c>
      <c r="K210" s="2" t="s">
        <v>1899</v>
      </c>
      <c r="L210" s="1" t="s">
        <v>20</v>
      </c>
      <c r="M210" s="1" t="s">
        <v>12</v>
      </c>
      <c r="N210" s="1"/>
      <c r="O210" s="4"/>
    </row>
    <row r="211" spans="1:15" ht="14.4" x14ac:dyDescent="0.3">
      <c r="A211" s="3">
        <v>111</v>
      </c>
      <c r="B211" s="8" t="s">
        <v>908</v>
      </c>
      <c r="C211" s="5" t="s">
        <v>907</v>
      </c>
      <c r="D211" s="6">
        <v>352280012</v>
      </c>
      <c r="E211" s="5" t="s">
        <v>207</v>
      </c>
      <c r="F211" s="5" t="s">
        <v>28</v>
      </c>
      <c r="G211" s="5" t="s">
        <v>3</v>
      </c>
      <c r="H211" s="2"/>
      <c r="I211" s="2">
        <v>46178</v>
      </c>
      <c r="J211" s="2">
        <v>46227</v>
      </c>
      <c r="K211" s="2">
        <v>46253</v>
      </c>
      <c r="L211" s="1" t="s">
        <v>27</v>
      </c>
      <c r="M211" s="1" t="s">
        <v>12</v>
      </c>
      <c r="N211" s="1"/>
      <c r="O211" s="4"/>
    </row>
    <row r="212" spans="1:15" ht="14.4" x14ac:dyDescent="0.3">
      <c r="A212" s="3">
        <v>112</v>
      </c>
      <c r="B212" s="8" t="s">
        <v>906</v>
      </c>
      <c r="C212" s="5" t="s">
        <v>905</v>
      </c>
      <c r="D212" s="6">
        <v>351740569</v>
      </c>
      <c r="E212" s="5" t="s">
        <v>78</v>
      </c>
      <c r="F212" s="5" t="s">
        <v>4</v>
      </c>
      <c r="G212" s="5" t="s">
        <v>3</v>
      </c>
      <c r="H212" s="2">
        <v>46161</v>
      </c>
      <c r="I212" s="2">
        <v>46191</v>
      </c>
      <c r="J212" s="2">
        <v>46227</v>
      </c>
      <c r="K212" s="2">
        <v>46254</v>
      </c>
      <c r="L212" s="1"/>
      <c r="M212" s="1" t="s">
        <v>12</v>
      </c>
      <c r="N212" s="1"/>
      <c r="O212" s="4" t="s">
        <v>0</v>
      </c>
    </row>
    <row r="213" spans="1:15" ht="14.4" x14ac:dyDescent="0.3">
      <c r="A213" s="3">
        <v>113</v>
      </c>
      <c r="B213" s="8" t="s">
        <v>904</v>
      </c>
      <c r="C213" s="5" t="s">
        <v>903</v>
      </c>
      <c r="D213" s="6">
        <v>455812386</v>
      </c>
      <c r="E213" s="5" t="s">
        <v>902</v>
      </c>
      <c r="F213" s="5" t="s">
        <v>32</v>
      </c>
      <c r="G213" s="5" t="s">
        <v>3</v>
      </c>
      <c r="H213" s="2">
        <v>46157</v>
      </c>
      <c r="I213" s="2">
        <v>46181</v>
      </c>
      <c r="J213" s="2">
        <v>46227</v>
      </c>
      <c r="K213" s="2">
        <v>46254</v>
      </c>
      <c r="L213" s="1" t="s">
        <v>27</v>
      </c>
      <c r="M213" s="1" t="s">
        <v>17</v>
      </c>
      <c r="N213" s="1"/>
      <c r="O213" s="4" t="s">
        <v>0</v>
      </c>
    </row>
    <row r="214" spans="1:15" ht="14.4" x14ac:dyDescent="0.3">
      <c r="A214" s="3">
        <v>114</v>
      </c>
      <c r="B214" s="8" t="s">
        <v>901</v>
      </c>
      <c r="C214" s="5" t="s">
        <v>900</v>
      </c>
      <c r="D214" s="6">
        <v>546150638</v>
      </c>
      <c r="E214" s="5" t="s">
        <v>860</v>
      </c>
      <c r="F214" s="5" t="s">
        <v>9</v>
      </c>
      <c r="G214" s="5" t="s">
        <v>3</v>
      </c>
      <c r="H214" s="2"/>
      <c r="I214" s="2"/>
      <c r="J214" s="2">
        <v>46227</v>
      </c>
      <c r="K214" s="2">
        <v>46255</v>
      </c>
      <c r="L214" s="1" t="s">
        <v>124</v>
      </c>
      <c r="M214" s="1" t="s">
        <v>17</v>
      </c>
      <c r="N214" s="1"/>
      <c r="O214" s="4" t="s">
        <v>0</v>
      </c>
    </row>
    <row r="215" spans="1:15" ht="14.4" x14ac:dyDescent="0.3">
      <c r="A215" s="3">
        <v>115</v>
      </c>
      <c r="B215" s="8" t="s">
        <v>899</v>
      </c>
      <c r="C215" s="5" t="s">
        <v>898</v>
      </c>
      <c r="D215" s="6">
        <v>526766129</v>
      </c>
      <c r="E215" s="5" t="s">
        <v>897</v>
      </c>
      <c r="F215" s="5" t="s">
        <v>58</v>
      </c>
      <c r="G215" s="5" t="s">
        <v>3</v>
      </c>
      <c r="H215" s="2">
        <v>46150</v>
      </c>
      <c r="I215" s="2"/>
      <c r="J215" s="2">
        <v>46227</v>
      </c>
      <c r="K215" s="2" t="s">
        <v>1899</v>
      </c>
      <c r="L215" s="1" t="s">
        <v>27</v>
      </c>
      <c r="M215" s="1" t="s">
        <v>12</v>
      </c>
      <c r="N215" s="1"/>
      <c r="O215" s="4"/>
    </row>
    <row r="216" spans="1:15" ht="14.4" x14ac:dyDescent="0.3">
      <c r="A216" s="3">
        <v>116</v>
      </c>
      <c r="B216" s="8" t="s">
        <v>896</v>
      </c>
      <c r="C216" s="5" t="s">
        <v>895</v>
      </c>
      <c r="D216" s="6">
        <v>380776765</v>
      </c>
      <c r="E216" s="5" t="s">
        <v>894</v>
      </c>
      <c r="F216" s="5" t="s">
        <v>90</v>
      </c>
      <c r="G216" s="5" t="s">
        <v>3</v>
      </c>
      <c r="H216" s="2">
        <v>46151</v>
      </c>
      <c r="I216" s="2">
        <v>46197</v>
      </c>
      <c r="J216" s="2">
        <v>46227</v>
      </c>
      <c r="K216" s="2" t="s">
        <v>1899</v>
      </c>
      <c r="L216" s="1" t="s">
        <v>13</v>
      </c>
      <c r="M216" s="1" t="s">
        <v>12</v>
      </c>
      <c r="N216" s="1"/>
      <c r="O216" s="4"/>
    </row>
    <row r="217" spans="1:15" ht="14.4" x14ac:dyDescent="0.3">
      <c r="A217" s="3">
        <v>117</v>
      </c>
      <c r="B217" s="8" t="s">
        <v>893</v>
      </c>
      <c r="C217" s="5" t="s">
        <v>892</v>
      </c>
      <c r="D217" s="6">
        <v>356886907</v>
      </c>
      <c r="E217" s="5" t="s">
        <v>891</v>
      </c>
      <c r="F217" s="5" t="s">
        <v>48</v>
      </c>
      <c r="G217" s="5" t="s">
        <v>3</v>
      </c>
      <c r="H217" s="2">
        <v>46153</v>
      </c>
      <c r="I217" s="2">
        <v>46199</v>
      </c>
      <c r="J217" s="2">
        <v>46227</v>
      </c>
      <c r="K217" s="2" t="s">
        <v>1899</v>
      </c>
      <c r="L217" s="1" t="s">
        <v>44</v>
      </c>
      <c r="M217" s="1" t="s">
        <v>12</v>
      </c>
      <c r="N217" s="1"/>
      <c r="O217" s="4"/>
    </row>
    <row r="218" spans="1:15" ht="14.4" x14ac:dyDescent="0.3">
      <c r="A218" s="3">
        <v>118</v>
      </c>
      <c r="B218" s="8" t="s">
        <v>890</v>
      </c>
      <c r="C218" s="5" t="s">
        <v>889</v>
      </c>
      <c r="D218" s="6">
        <v>426091008</v>
      </c>
      <c r="E218" s="5" t="s">
        <v>888</v>
      </c>
      <c r="F218" s="5" t="s">
        <v>48</v>
      </c>
      <c r="G218" s="5" t="s">
        <v>3</v>
      </c>
      <c r="H218" s="2">
        <v>46154</v>
      </c>
      <c r="I218" s="2">
        <v>46199</v>
      </c>
      <c r="J218" s="2">
        <v>46227</v>
      </c>
      <c r="K218" s="2" t="s">
        <v>1899</v>
      </c>
      <c r="L218" s="1" t="s">
        <v>44</v>
      </c>
      <c r="M218" s="1" t="s">
        <v>12</v>
      </c>
      <c r="N218" s="1"/>
      <c r="O218" s="4" t="s">
        <v>887</v>
      </c>
    </row>
    <row r="219" spans="1:15" ht="14.4" x14ac:dyDescent="0.3">
      <c r="A219" s="3">
        <v>119</v>
      </c>
      <c r="B219" s="8" t="s">
        <v>886</v>
      </c>
      <c r="C219" s="5" t="s">
        <v>885</v>
      </c>
      <c r="D219" s="6">
        <v>461714754</v>
      </c>
      <c r="E219" s="5" t="s">
        <v>884</v>
      </c>
      <c r="F219" s="5" t="s">
        <v>90</v>
      </c>
      <c r="G219" s="5" t="s">
        <v>3</v>
      </c>
      <c r="H219" s="2">
        <v>46162</v>
      </c>
      <c r="I219" s="2">
        <v>46199</v>
      </c>
      <c r="J219" s="2">
        <v>46227</v>
      </c>
      <c r="K219" s="2" t="s">
        <v>1899</v>
      </c>
      <c r="L219" s="1" t="s">
        <v>13</v>
      </c>
      <c r="M219" s="1" t="s">
        <v>12</v>
      </c>
      <c r="N219" s="1"/>
      <c r="O219" s="4"/>
    </row>
    <row r="220" spans="1:15" ht="14.4" x14ac:dyDescent="0.3">
      <c r="A220" s="3">
        <v>120</v>
      </c>
      <c r="B220" s="8" t="s">
        <v>883</v>
      </c>
      <c r="C220" s="5" t="s">
        <v>882</v>
      </c>
      <c r="D220" s="6">
        <v>427973904</v>
      </c>
      <c r="E220" s="5" t="s">
        <v>237</v>
      </c>
      <c r="F220" s="5" t="s">
        <v>90</v>
      </c>
      <c r="G220" s="5" t="s">
        <v>3</v>
      </c>
      <c r="H220" s="2">
        <v>46162</v>
      </c>
      <c r="I220" s="2">
        <v>46199</v>
      </c>
      <c r="J220" s="2">
        <v>46227</v>
      </c>
      <c r="K220" s="2" t="s">
        <v>1899</v>
      </c>
      <c r="L220" s="1" t="s">
        <v>13</v>
      </c>
      <c r="M220" s="1" t="s">
        <v>12</v>
      </c>
      <c r="N220" s="1"/>
      <c r="O220" s="4"/>
    </row>
    <row r="221" spans="1:15" ht="14.4" x14ac:dyDescent="0.3">
      <c r="A221" s="3">
        <v>121</v>
      </c>
      <c r="B221" s="8" t="s">
        <v>881</v>
      </c>
      <c r="C221" s="5" t="s">
        <v>880</v>
      </c>
      <c r="D221" s="6">
        <v>541110896</v>
      </c>
      <c r="E221" s="5" t="s">
        <v>879</v>
      </c>
      <c r="F221" s="5" t="s">
        <v>4</v>
      </c>
      <c r="G221" s="5" t="s">
        <v>3</v>
      </c>
      <c r="H221" s="2"/>
      <c r="I221" s="2"/>
      <c r="J221" s="2">
        <v>46227</v>
      </c>
      <c r="K221" s="2" t="s">
        <v>1899</v>
      </c>
      <c r="L221" s="1" t="s">
        <v>77</v>
      </c>
      <c r="M221" s="1" t="s">
        <v>17</v>
      </c>
      <c r="N221" s="1"/>
      <c r="O221" s="4"/>
    </row>
    <row r="222" spans="1:15" ht="14.4" x14ac:dyDescent="0.3">
      <c r="A222" s="3">
        <v>122</v>
      </c>
      <c r="B222" s="8" t="s">
        <v>878</v>
      </c>
      <c r="C222" s="5" t="s">
        <v>877</v>
      </c>
      <c r="D222" s="6">
        <v>485399922</v>
      </c>
      <c r="E222" s="5" t="s">
        <v>876</v>
      </c>
      <c r="F222" s="5" t="s">
        <v>90</v>
      </c>
      <c r="G222" s="5" t="s">
        <v>3</v>
      </c>
      <c r="H222" s="2"/>
      <c r="I222" s="2">
        <v>46198</v>
      </c>
      <c r="J222" s="2">
        <v>46227</v>
      </c>
      <c r="K222" s="2" t="s">
        <v>1899</v>
      </c>
      <c r="L222" s="1" t="s">
        <v>13</v>
      </c>
      <c r="M222" s="1" t="s">
        <v>12</v>
      </c>
      <c r="N222" s="1"/>
      <c r="O222" s="4"/>
    </row>
    <row r="223" spans="1:15" ht="14.4" x14ac:dyDescent="0.3">
      <c r="A223" s="3">
        <v>123</v>
      </c>
      <c r="B223" s="8" t="s">
        <v>875</v>
      </c>
      <c r="C223" s="5" t="s">
        <v>874</v>
      </c>
      <c r="D223" s="6">
        <v>611371707</v>
      </c>
      <c r="E223" s="5" t="s">
        <v>873</v>
      </c>
      <c r="F223" s="5" t="s">
        <v>9</v>
      </c>
      <c r="G223" s="5" t="s">
        <v>3</v>
      </c>
      <c r="H223" s="2"/>
      <c r="I223" s="2"/>
      <c r="J223" s="2">
        <v>46227</v>
      </c>
      <c r="K223" s="2" t="s">
        <v>1899</v>
      </c>
      <c r="L223" s="1" t="s">
        <v>20</v>
      </c>
      <c r="M223" s="1" t="s">
        <v>12</v>
      </c>
      <c r="N223" s="1"/>
      <c r="O223" s="4"/>
    </row>
    <row r="224" spans="1:15" ht="14.4" x14ac:dyDescent="0.3">
      <c r="A224" s="3">
        <v>124</v>
      </c>
      <c r="B224" s="8" t="s">
        <v>872</v>
      </c>
      <c r="C224" s="5" t="s">
        <v>871</v>
      </c>
      <c r="D224" s="6">
        <v>535283214</v>
      </c>
      <c r="E224" s="5" t="s">
        <v>870</v>
      </c>
      <c r="F224" s="5" t="s">
        <v>9</v>
      </c>
      <c r="G224" s="5" t="s">
        <v>3</v>
      </c>
      <c r="H224" s="2">
        <v>46144</v>
      </c>
      <c r="I224" s="2"/>
      <c r="J224" s="2">
        <v>46228</v>
      </c>
      <c r="K224" s="2" t="s">
        <v>1899</v>
      </c>
      <c r="L224" s="1" t="s">
        <v>20</v>
      </c>
      <c r="M224" s="1" t="s">
        <v>17</v>
      </c>
      <c r="N224" s="1"/>
      <c r="O224" s="4"/>
    </row>
    <row r="225" spans="1:15" ht="14.4" x14ac:dyDescent="0.3">
      <c r="A225" s="3">
        <v>125</v>
      </c>
      <c r="B225" s="8" t="s">
        <v>869</v>
      </c>
      <c r="C225" s="5" t="s">
        <v>868</v>
      </c>
      <c r="D225" s="6">
        <v>557887253</v>
      </c>
      <c r="E225" s="5" t="s">
        <v>210</v>
      </c>
      <c r="F225" s="5" t="s">
        <v>9</v>
      </c>
      <c r="G225" s="5" t="s">
        <v>3</v>
      </c>
      <c r="H225" s="2">
        <v>46163</v>
      </c>
      <c r="I225" s="2"/>
      <c r="J225" s="2">
        <v>46228</v>
      </c>
      <c r="K225" s="2">
        <v>46262</v>
      </c>
      <c r="L225" s="1" t="s">
        <v>124</v>
      </c>
      <c r="M225" s="1" t="s">
        <v>535</v>
      </c>
      <c r="N225" s="1"/>
      <c r="O225" s="4"/>
    </row>
    <row r="226" spans="1:15" ht="14.4" x14ac:dyDescent="0.3">
      <c r="A226" s="3">
        <v>126</v>
      </c>
      <c r="B226" s="8" t="s">
        <v>867</v>
      </c>
      <c r="C226" s="5" t="s">
        <v>866</v>
      </c>
      <c r="D226" s="6">
        <v>479710828</v>
      </c>
      <c r="E226" s="5" t="s">
        <v>503</v>
      </c>
      <c r="F226" s="5" t="s">
        <v>90</v>
      </c>
      <c r="G226" s="5" t="s">
        <v>3</v>
      </c>
      <c r="H226" s="2">
        <v>46163</v>
      </c>
      <c r="I226" s="2">
        <v>46197</v>
      </c>
      <c r="J226" s="2">
        <v>46228</v>
      </c>
      <c r="K226" s="2" t="s">
        <v>1899</v>
      </c>
      <c r="L226" s="1" t="s">
        <v>13</v>
      </c>
      <c r="M226" s="1" t="s">
        <v>12</v>
      </c>
      <c r="N226" s="1"/>
      <c r="O226" s="4"/>
    </row>
    <row r="227" spans="1:15" ht="14.4" x14ac:dyDescent="0.3">
      <c r="A227" s="3">
        <v>127</v>
      </c>
      <c r="B227" s="8" t="s">
        <v>865</v>
      </c>
      <c r="C227" s="5" t="s">
        <v>864</v>
      </c>
      <c r="D227" s="6">
        <v>505531609</v>
      </c>
      <c r="E227" s="5" t="s">
        <v>863</v>
      </c>
      <c r="F227" s="5" t="s">
        <v>48</v>
      </c>
      <c r="G227" s="5" t="s">
        <v>3</v>
      </c>
      <c r="H227" s="2">
        <v>46165</v>
      </c>
      <c r="I227" s="2">
        <v>46179</v>
      </c>
      <c r="J227" s="2">
        <v>46228</v>
      </c>
      <c r="K227" s="2" t="s">
        <v>1899</v>
      </c>
      <c r="L227" s="1" t="s">
        <v>44</v>
      </c>
      <c r="M227" s="1" t="s">
        <v>17</v>
      </c>
      <c r="N227" s="1"/>
      <c r="O227" s="4"/>
    </row>
    <row r="228" spans="1:15" ht="14.4" x14ac:dyDescent="0.3">
      <c r="A228" s="3">
        <v>128</v>
      </c>
      <c r="B228" s="8" t="s">
        <v>862</v>
      </c>
      <c r="C228" s="5" t="s">
        <v>861</v>
      </c>
      <c r="D228" s="6">
        <v>523270433</v>
      </c>
      <c r="E228" s="5" t="s">
        <v>860</v>
      </c>
      <c r="F228" s="5" t="s">
        <v>9</v>
      </c>
      <c r="G228" s="5" t="s">
        <v>3</v>
      </c>
      <c r="H228" s="2"/>
      <c r="I228" s="2"/>
      <c r="J228" s="2">
        <v>46228</v>
      </c>
      <c r="K228" s="2" t="s">
        <v>1899</v>
      </c>
      <c r="L228" s="1" t="s">
        <v>124</v>
      </c>
      <c r="M228" s="1" t="s">
        <v>17</v>
      </c>
      <c r="N228" s="1"/>
      <c r="O228" s="4"/>
    </row>
    <row r="229" spans="1:15" ht="14.4" x14ac:dyDescent="0.3">
      <c r="A229" s="3">
        <v>129</v>
      </c>
      <c r="B229" s="8" t="s">
        <v>859</v>
      </c>
      <c r="C229" s="5" t="s">
        <v>858</v>
      </c>
      <c r="D229" s="6">
        <v>380509653</v>
      </c>
      <c r="E229" s="5" t="s">
        <v>857</v>
      </c>
      <c r="F229" s="5" t="s">
        <v>28</v>
      </c>
      <c r="G229" s="5" t="s">
        <v>3</v>
      </c>
      <c r="H229" s="2"/>
      <c r="I229" s="2">
        <v>46191</v>
      </c>
      <c r="J229" s="2">
        <v>46228</v>
      </c>
      <c r="K229" s="2" t="s">
        <v>1899</v>
      </c>
      <c r="L229" s="1" t="s">
        <v>27</v>
      </c>
      <c r="M229" s="1" t="s">
        <v>12</v>
      </c>
      <c r="N229" s="1"/>
      <c r="O229" s="4"/>
    </row>
    <row r="230" spans="1:15" ht="14.4" x14ac:dyDescent="0.3">
      <c r="A230" s="3">
        <v>130</v>
      </c>
      <c r="B230" s="8" t="s">
        <v>856</v>
      </c>
      <c r="C230" s="5" t="s">
        <v>855</v>
      </c>
      <c r="D230" s="6">
        <v>455714530</v>
      </c>
      <c r="E230" s="5" t="s">
        <v>854</v>
      </c>
      <c r="F230" s="5" t="s">
        <v>4</v>
      </c>
      <c r="G230" s="5" t="s">
        <v>3</v>
      </c>
      <c r="H230" s="2"/>
      <c r="I230" s="2"/>
      <c r="J230" s="2">
        <v>46228</v>
      </c>
      <c r="K230" s="2" t="s">
        <v>1899</v>
      </c>
      <c r="L230" s="1" t="s">
        <v>77</v>
      </c>
      <c r="M230" s="1" t="s">
        <v>17</v>
      </c>
      <c r="N230" s="1"/>
      <c r="O230" s="4"/>
    </row>
    <row r="231" spans="1:15" ht="14.4" x14ac:dyDescent="0.3">
      <c r="A231" s="3">
        <v>131</v>
      </c>
      <c r="B231" s="8" t="s">
        <v>853</v>
      </c>
      <c r="C231" s="5" t="s">
        <v>852</v>
      </c>
      <c r="D231" s="6">
        <v>501348739</v>
      </c>
      <c r="E231" s="5" t="s">
        <v>851</v>
      </c>
      <c r="F231" s="5" t="s">
        <v>4</v>
      </c>
      <c r="G231" s="5" t="s">
        <v>3</v>
      </c>
      <c r="H231" s="2"/>
      <c r="I231" s="2"/>
      <c r="J231" s="2">
        <v>46228</v>
      </c>
      <c r="K231" s="2" t="s">
        <v>1899</v>
      </c>
      <c r="L231" s="1" t="s">
        <v>77</v>
      </c>
      <c r="M231" s="1" t="s">
        <v>17</v>
      </c>
      <c r="N231" s="1"/>
      <c r="O231" s="4"/>
    </row>
    <row r="232" spans="1:15" ht="14.4" x14ac:dyDescent="0.3">
      <c r="A232" s="3">
        <v>132</v>
      </c>
      <c r="B232" s="8" t="s">
        <v>850</v>
      </c>
      <c r="C232" s="5" t="s">
        <v>849</v>
      </c>
      <c r="D232" s="6">
        <v>422844989</v>
      </c>
      <c r="E232" s="5" t="s">
        <v>413</v>
      </c>
      <c r="F232" s="5" t="s">
        <v>28</v>
      </c>
      <c r="G232" s="5" t="s">
        <v>3</v>
      </c>
      <c r="H232" s="2"/>
      <c r="I232" s="2">
        <v>46183</v>
      </c>
      <c r="J232" s="2">
        <v>46228</v>
      </c>
      <c r="K232" s="2" t="s">
        <v>1899</v>
      </c>
      <c r="L232" s="1" t="s">
        <v>27</v>
      </c>
      <c r="M232" s="1" t="s">
        <v>12</v>
      </c>
      <c r="N232" s="1"/>
      <c r="O232" s="4"/>
    </row>
    <row r="233" spans="1:15" ht="14.4" x14ac:dyDescent="0.3">
      <c r="A233" s="3">
        <v>133</v>
      </c>
      <c r="B233" s="8" t="s">
        <v>848</v>
      </c>
      <c r="C233" s="5" t="s">
        <v>847</v>
      </c>
      <c r="D233" s="6">
        <v>513043454</v>
      </c>
      <c r="E233" s="5" t="s">
        <v>846</v>
      </c>
      <c r="F233" s="5" t="s">
        <v>90</v>
      </c>
      <c r="G233" s="5" t="s">
        <v>3</v>
      </c>
      <c r="H233" s="2"/>
      <c r="I233" s="2"/>
      <c r="J233" s="2">
        <v>46228</v>
      </c>
      <c r="K233" s="2" t="s">
        <v>1899</v>
      </c>
      <c r="L233" s="1" t="s">
        <v>13</v>
      </c>
      <c r="M233" s="1" t="s">
        <v>12</v>
      </c>
      <c r="N233" s="1"/>
      <c r="O233" s="4"/>
    </row>
    <row r="234" spans="1:15" ht="14.4" x14ac:dyDescent="0.3">
      <c r="A234" s="3">
        <v>134</v>
      </c>
      <c r="B234" s="8" t="s">
        <v>845</v>
      </c>
      <c r="C234" s="5" t="s">
        <v>844</v>
      </c>
      <c r="D234" s="6">
        <v>550407361</v>
      </c>
      <c r="E234" s="5" t="s">
        <v>843</v>
      </c>
      <c r="F234" s="5" t="s">
        <v>9</v>
      </c>
      <c r="G234" s="5" t="s">
        <v>3</v>
      </c>
      <c r="H234" s="2"/>
      <c r="I234" s="2"/>
      <c r="J234" s="2">
        <v>46228</v>
      </c>
      <c r="K234" s="2" t="s">
        <v>1899</v>
      </c>
      <c r="L234" s="1" t="s">
        <v>20</v>
      </c>
      <c r="M234" s="1" t="s">
        <v>17</v>
      </c>
      <c r="N234" s="1"/>
      <c r="O234" s="4"/>
    </row>
    <row r="235" spans="1:15" ht="14.4" x14ac:dyDescent="0.3">
      <c r="A235" s="3">
        <v>135</v>
      </c>
      <c r="B235" s="8" t="s">
        <v>842</v>
      </c>
      <c r="C235" s="5" t="s">
        <v>841</v>
      </c>
      <c r="D235" s="6">
        <v>494825568</v>
      </c>
      <c r="E235" s="5" t="s">
        <v>840</v>
      </c>
      <c r="F235" s="5" t="s">
        <v>28</v>
      </c>
      <c r="G235" s="5" t="s">
        <v>3</v>
      </c>
      <c r="H235" s="2">
        <v>46167</v>
      </c>
      <c r="I235" s="2">
        <v>46191</v>
      </c>
      <c r="J235" s="2">
        <v>46230</v>
      </c>
      <c r="K235" s="2">
        <v>46252</v>
      </c>
      <c r="L235" s="1" t="s">
        <v>27</v>
      </c>
      <c r="M235" s="1" t="s">
        <v>17</v>
      </c>
      <c r="N235" s="1"/>
      <c r="O235" s="4" t="s">
        <v>0</v>
      </c>
    </row>
    <row r="236" spans="1:15" ht="14.4" x14ac:dyDescent="0.3">
      <c r="A236" s="3">
        <v>136</v>
      </c>
      <c r="B236" s="8" t="s">
        <v>839</v>
      </c>
      <c r="C236" s="5" t="s">
        <v>838</v>
      </c>
      <c r="D236" s="6">
        <v>360812099</v>
      </c>
      <c r="E236" s="5" t="s">
        <v>837</v>
      </c>
      <c r="F236" s="5" t="s">
        <v>4</v>
      </c>
      <c r="G236" s="5" t="s">
        <v>3</v>
      </c>
      <c r="H236" s="2">
        <v>46154</v>
      </c>
      <c r="I236" s="2"/>
      <c r="J236" s="2">
        <v>46230</v>
      </c>
      <c r="K236" s="2" t="s">
        <v>1899</v>
      </c>
      <c r="L236" s="1"/>
      <c r="M236" s="1" t="s">
        <v>12</v>
      </c>
      <c r="N236" s="1"/>
      <c r="O236" s="4"/>
    </row>
    <row r="237" spans="1:15" ht="14.4" x14ac:dyDescent="0.3">
      <c r="A237" s="3">
        <v>137</v>
      </c>
      <c r="B237" s="8" t="s">
        <v>836</v>
      </c>
      <c r="C237" s="5" t="s">
        <v>835</v>
      </c>
      <c r="D237" s="6">
        <v>296490835</v>
      </c>
      <c r="E237" s="5" t="s">
        <v>186</v>
      </c>
      <c r="F237" s="5" t="s">
        <v>36</v>
      </c>
      <c r="G237" s="5" t="s">
        <v>3</v>
      </c>
      <c r="H237" s="2">
        <v>46150</v>
      </c>
      <c r="I237" s="2">
        <v>46203</v>
      </c>
      <c r="J237" s="2">
        <v>46230</v>
      </c>
      <c r="K237" s="2">
        <v>46254</v>
      </c>
      <c r="L237" s="1" t="s">
        <v>13</v>
      </c>
      <c r="M237" s="1" t="s">
        <v>12</v>
      </c>
      <c r="N237" s="1"/>
      <c r="O237" s="4"/>
    </row>
    <row r="238" spans="1:15" ht="14.4" x14ac:dyDescent="0.3">
      <c r="A238" s="3">
        <v>138</v>
      </c>
      <c r="B238" s="8" t="s">
        <v>834</v>
      </c>
      <c r="C238" s="5" t="s">
        <v>833</v>
      </c>
      <c r="D238" s="6">
        <v>484258001</v>
      </c>
      <c r="E238" s="5" t="s">
        <v>756</v>
      </c>
      <c r="F238" s="5" t="s">
        <v>4</v>
      </c>
      <c r="G238" s="5" t="s">
        <v>3</v>
      </c>
      <c r="H238" s="2">
        <v>46165</v>
      </c>
      <c r="I238" s="2">
        <v>46199</v>
      </c>
      <c r="J238" s="2">
        <v>46230</v>
      </c>
      <c r="K238" s="2">
        <v>46256</v>
      </c>
      <c r="L238" s="1" t="s">
        <v>2</v>
      </c>
      <c r="M238" s="1" t="s">
        <v>17</v>
      </c>
      <c r="N238" s="1"/>
      <c r="O238" s="4" t="s">
        <v>0</v>
      </c>
    </row>
    <row r="239" spans="1:15" ht="14.4" x14ac:dyDescent="0.3">
      <c r="A239" s="3">
        <v>139</v>
      </c>
      <c r="B239" s="8" t="s">
        <v>831</v>
      </c>
      <c r="C239" s="5" t="s">
        <v>830</v>
      </c>
      <c r="D239" s="6">
        <v>429761811</v>
      </c>
      <c r="E239" s="5" t="s">
        <v>829</v>
      </c>
      <c r="F239" s="5" t="s">
        <v>4</v>
      </c>
      <c r="G239" s="5" t="s">
        <v>3</v>
      </c>
      <c r="H239" s="2">
        <v>46171</v>
      </c>
      <c r="I239" s="2">
        <v>46185</v>
      </c>
      <c r="J239" s="2">
        <v>46230</v>
      </c>
      <c r="K239" s="2">
        <v>46256</v>
      </c>
      <c r="L239" s="1" t="s">
        <v>2</v>
      </c>
      <c r="M239" s="1" t="s">
        <v>12</v>
      </c>
      <c r="N239" s="1"/>
      <c r="O239" s="4" t="s">
        <v>0</v>
      </c>
    </row>
    <row r="240" spans="1:15" ht="14.4" x14ac:dyDescent="0.3">
      <c r="A240" s="3">
        <v>140</v>
      </c>
      <c r="B240" s="8" t="s">
        <v>828</v>
      </c>
      <c r="C240" s="5" t="s">
        <v>827</v>
      </c>
      <c r="D240" s="6">
        <v>491407090</v>
      </c>
      <c r="E240" s="5" t="s">
        <v>826</v>
      </c>
      <c r="F240" s="5" t="s">
        <v>48</v>
      </c>
      <c r="G240" s="5" t="s">
        <v>3</v>
      </c>
      <c r="H240" s="2">
        <v>46150</v>
      </c>
      <c r="I240" s="2">
        <v>46196</v>
      </c>
      <c r="J240" s="2">
        <v>46230</v>
      </c>
      <c r="K240" s="2" t="s">
        <v>1899</v>
      </c>
      <c r="L240" s="1" t="s">
        <v>44</v>
      </c>
      <c r="M240" s="1" t="s">
        <v>12</v>
      </c>
      <c r="N240" s="1"/>
      <c r="O240" s="4"/>
    </row>
    <row r="241" spans="1:15" ht="14.4" x14ac:dyDescent="0.3">
      <c r="A241" s="3">
        <v>141</v>
      </c>
      <c r="B241" s="8" t="s">
        <v>825</v>
      </c>
      <c r="C241" s="5" t="s">
        <v>824</v>
      </c>
      <c r="D241" s="6">
        <v>540354263</v>
      </c>
      <c r="E241" s="5" t="s">
        <v>823</v>
      </c>
      <c r="F241" s="5" t="s">
        <v>28</v>
      </c>
      <c r="G241" s="5" t="s">
        <v>3</v>
      </c>
      <c r="H241" s="2"/>
      <c r="I241" s="2"/>
      <c r="J241" s="2">
        <v>46230</v>
      </c>
      <c r="K241" s="2" t="s">
        <v>1899</v>
      </c>
      <c r="L241" s="1" t="s">
        <v>27</v>
      </c>
      <c r="M241" s="1" t="s">
        <v>535</v>
      </c>
      <c r="N241" s="1"/>
      <c r="O241" s="4"/>
    </row>
    <row r="242" spans="1:15" ht="14.4" x14ac:dyDescent="0.3">
      <c r="A242" s="3">
        <v>142</v>
      </c>
      <c r="B242" s="8" t="s">
        <v>822</v>
      </c>
      <c r="C242" s="5" t="s">
        <v>821</v>
      </c>
      <c r="D242" s="6">
        <v>692751298</v>
      </c>
      <c r="E242" s="5" t="s">
        <v>820</v>
      </c>
      <c r="F242" s="5" t="s">
        <v>9</v>
      </c>
      <c r="G242" s="5" t="s">
        <v>3</v>
      </c>
      <c r="H242" s="2"/>
      <c r="I242" s="2"/>
      <c r="J242" s="2">
        <v>46230</v>
      </c>
      <c r="K242" s="2" t="s">
        <v>1899</v>
      </c>
      <c r="L242" s="1" t="s">
        <v>20</v>
      </c>
      <c r="M242" s="1" t="s">
        <v>17</v>
      </c>
      <c r="N242" s="1"/>
      <c r="O242" s="4"/>
    </row>
    <row r="243" spans="1:15" ht="14.4" x14ac:dyDescent="0.3">
      <c r="A243" s="3">
        <v>143</v>
      </c>
      <c r="B243" s="8" t="s">
        <v>819</v>
      </c>
      <c r="C243" s="5" t="s">
        <v>818</v>
      </c>
      <c r="D243" s="6">
        <v>546575286</v>
      </c>
      <c r="E243" s="5" t="s">
        <v>817</v>
      </c>
      <c r="F243" s="5" t="s">
        <v>28</v>
      </c>
      <c r="G243" s="5" t="s">
        <v>3</v>
      </c>
      <c r="H243" s="2"/>
      <c r="I243" s="2"/>
      <c r="J243" s="2">
        <v>46230</v>
      </c>
      <c r="K243" s="2" t="s">
        <v>1899</v>
      </c>
      <c r="L243" s="1" t="s">
        <v>27</v>
      </c>
      <c r="M243" s="1" t="s">
        <v>12</v>
      </c>
      <c r="N243" s="1"/>
      <c r="O243" s="4"/>
    </row>
    <row r="244" spans="1:15" ht="14.4" x14ac:dyDescent="0.3">
      <c r="A244" s="3">
        <v>144</v>
      </c>
      <c r="B244" s="8" t="s">
        <v>816</v>
      </c>
      <c r="C244" s="5" t="s">
        <v>815</v>
      </c>
      <c r="D244" s="6">
        <v>374497362</v>
      </c>
      <c r="E244" s="5" t="s">
        <v>814</v>
      </c>
      <c r="F244" s="5" t="s">
        <v>28</v>
      </c>
      <c r="G244" s="5" t="s">
        <v>3</v>
      </c>
      <c r="H244" s="2"/>
      <c r="I244" s="2">
        <v>46199</v>
      </c>
      <c r="J244" s="2">
        <v>46230</v>
      </c>
      <c r="K244" s="2" t="s">
        <v>1899</v>
      </c>
      <c r="L244" s="1" t="s">
        <v>27</v>
      </c>
      <c r="M244" s="1" t="s">
        <v>12</v>
      </c>
      <c r="N244" s="1"/>
      <c r="O244" s="4"/>
    </row>
    <row r="245" spans="1:15" ht="14.4" x14ac:dyDescent="0.3">
      <c r="A245" s="3">
        <v>145</v>
      </c>
      <c r="B245" s="8" t="s">
        <v>813</v>
      </c>
      <c r="C245" s="5" t="s">
        <v>812</v>
      </c>
      <c r="D245" s="6">
        <v>531902507</v>
      </c>
      <c r="E245" s="5" t="s">
        <v>210</v>
      </c>
      <c r="F245" s="5" t="s">
        <v>9</v>
      </c>
      <c r="G245" s="5" t="s">
        <v>3</v>
      </c>
      <c r="H245" s="2"/>
      <c r="I245" s="2"/>
      <c r="J245" s="2">
        <v>46230</v>
      </c>
      <c r="K245" s="2" t="s">
        <v>1899</v>
      </c>
      <c r="L245" s="1" t="s">
        <v>124</v>
      </c>
      <c r="M245" s="1" t="s">
        <v>17</v>
      </c>
      <c r="N245" s="1"/>
      <c r="O245" s="4"/>
    </row>
    <row r="246" spans="1:15" ht="14.4" x14ac:dyDescent="0.3">
      <c r="A246" s="3">
        <v>146</v>
      </c>
      <c r="B246" s="8" t="s">
        <v>811</v>
      </c>
      <c r="C246" s="5" t="s">
        <v>810</v>
      </c>
      <c r="D246" s="6">
        <v>544877412</v>
      </c>
      <c r="E246" s="5" t="s">
        <v>192</v>
      </c>
      <c r="F246" s="5" t="s">
        <v>9</v>
      </c>
      <c r="G246" s="5" t="s">
        <v>3</v>
      </c>
      <c r="H246" s="2">
        <v>46158</v>
      </c>
      <c r="I246" s="2">
        <v>46185</v>
      </c>
      <c r="J246" s="2">
        <v>46231</v>
      </c>
      <c r="K246" s="2">
        <v>46255</v>
      </c>
      <c r="L246" s="1" t="s">
        <v>20</v>
      </c>
      <c r="M246" s="1" t="s">
        <v>12</v>
      </c>
      <c r="N246" s="1"/>
      <c r="O246" s="4" t="s">
        <v>0</v>
      </c>
    </row>
    <row r="247" spans="1:15" ht="14.4" x14ac:dyDescent="0.3">
      <c r="A247" s="3">
        <v>147</v>
      </c>
      <c r="B247" s="8" t="s">
        <v>809</v>
      </c>
      <c r="C247" s="5" t="s">
        <v>808</v>
      </c>
      <c r="D247" s="6">
        <v>509891386</v>
      </c>
      <c r="E247" s="5" t="s">
        <v>776</v>
      </c>
      <c r="F247" s="5" t="s">
        <v>4</v>
      </c>
      <c r="G247" s="5" t="s">
        <v>3</v>
      </c>
      <c r="H247" s="2">
        <v>46170</v>
      </c>
      <c r="I247" s="2">
        <v>46196</v>
      </c>
      <c r="J247" s="2">
        <v>46231</v>
      </c>
      <c r="K247" s="2">
        <v>46255</v>
      </c>
      <c r="L247" s="1" t="s">
        <v>2</v>
      </c>
      <c r="M247" s="1" t="s">
        <v>12</v>
      </c>
      <c r="N247" s="1"/>
      <c r="O247" s="4" t="s">
        <v>0</v>
      </c>
    </row>
    <row r="248" spans="1:15" ht="14.4" x14ac:dyDescent="0.3">
      <c r="A248" s="3">
        <v>148</v>
      </c>
      <c r="B248" s="17" t="s">
        <v>807</v>
      </c>
      <c r="C248" s="5" t="s">
        <v>806</v>
      </c>
      <c r="D248" s="6">
        <v>351386383</v>
      </c>
      <c r="E248" s="5" t="s">
        <v>805</v>
      </c>
      <c r="F248" s="5" t="s">
        <v>4</v>
      </c>
      <c r="G248" s="5" t="s">
        <v>3</v>
      </c>
      <c r="H248" s="2">
        <v>46171</v>
      </c>
      <c r="I248" s="2">
        <v>46198</v>
      </c>
      <c r="J248" s="2">
        <v>46231</v>
      </c>
      <c r="K248" s="2">
        <v>46256</v>
      </c>
      <c r="L248" s="1" t="s">
        <v>2</v>
      </c>
      <c r="M248" s="1" t="s">
        <v>12</v>
      </c>
      <c r="N248" s="1"/>
      <c r="O248" s="4" t="s">
        <v>0</v>
      </c>
    </row>
    <row r="249" spans="1:15" ht="14.4" x14ac:dyDescent="0.3">
      <c r="A249" s="3">
        <v>149</v>
      </c>
      <c r="B249" s="8" t="s">
        <v>804</v>
      </c>
      <c r="C249" s="5" t="s">
        <v>803</v>
      </c>
      <c r="D249" s="6">
        <v>617848736</v>
      </c>
      <c r="E249" s="5" t="s">
        <v>167</v>
      </c>
      <c r="F249" s="5" t="s">
        <v>9</v>
      </c>
      <c r="G249" s="5" t="s">
        <v>3</v>
      </c>
      <c r="H249" s="2">
        <v>46157</v>
      </c>
      <c r="I249" s="2">
        <v>46176</v>
      </c>
      <c r="J249" s="2">
        <v>46231</v>
      </c>
      <c r="K249" s="2">
        <v>46258</v>
      </c>
      <c r="L249" s="1" t="s">
        <v>124</v>
      </c>
      <c r="M249" s="1" t="s">
        <v>17</v>
      </c>
      <c r="N249" s="1"/>
      <c r="O249" s="4" t="s">
        <v>0</v>
      </c>
    </row>
    <row r="250" spans="1:15" ht="14.4" x14ac:dyDescent="0.3">
      <c r="A250" s="3">
        <v>150</v>
      </c>
      <c r="B250" s="8" t="s">
        <v>802</v>
      </c>
      <c r="C250" s="5" t="s">
        <v>801</v>
      </c>
      <c r="D250" s="6">
        <v>405889642</v>
      </c>
      <c r="E250" s="5" t="s">
        <v>164</v>
      </c>
      <c r="F250" s="5" t="s">
        <v>9</v>
      </c>
      <c r="G250" s="5" t="s">
        <v>3</v>
      </c>
      <c r="H250" s="2">
        <v>46155</v>
      </c>
      <c r="I250" s="2"/>
      <c r="J250" s="2">
        <v>46231</v>
      </c>
      <c r="K250" s="2" t="s">
        <v>1899</v>
      </c>
      <c r="L250" s="1" t="s">
        <v>20</v>
      </c>
      <c r="M250" s="1" t="s">
        <v>342</v>
      </c>
      <c r="N250" s="1"/>
      <c r="O250" s="4"/>
    </row>
    <row r="251" spans="1:15" ht="14.4" x14ac:dyDescent="0.3">
      <c r="A251" s="3">
        <v>151</v>
      </c>
      <c r="B251" s="8" t="s">
        <v>800</v>
      </c>
      <c r="C251" s="5" t="s">
        <v>799</v>
      </c>
      <c r="D251" s="6">
        <v>601939684</v>
      </c>
      <c r="E251" s="5" t="s">
        <v>798</v>
      </c>
      <c r="F251" s="5" t="s">
        <v>32</v>
      </c>
      <c r="G251" s="5" t="s">
        <v>3</v>
      </c>
      <c r="H251" s="2">
        <v>46167</v>
      </c>
      <c r="I251" s="2"/>
      <c r="J251" s="2">
        <v>46231</v>
      </c>
      <c r="K251" s="2" t="s">
        <v>1899</v>
      </c>
      <c r="L251" s="1" t="s">
        <v>27</v>
      </c>
      <c r="M251" s="1" t="s">
        <v>12</v>
      </c>
      <c r="N251" s="1"/>
      <c r="O251" s="4"/>
    </row>
    <row r="252" spans="1:15" ht="14.4" x14ac:dyDescent="0.3">
      <c r="A252" s="3">
        <v>152</v>
      </c>
      <c r="B252" s="8" t="s">
        <v>797</v>
      </c>
      <c r="C252" s="5" t="s">
        <v>796</v>
      </c>
      <c r="D252" s="6">
        <v>409724341</v>
      </c>
      <c r="E252" s="5" t="s">
        <v>795</v>
      </c>
      <c r="F252" s="5" t="s">
        <v>4</v>
      </c>
      <c r="G252" s="5" t="s">
        <v>3</v>
      </c>
      <c r="H252" s="2"/>
      <c r="I252" s="2">
        <v>46178</v>
      </c>
      <c r="J252" s="2">
        <v>46231</v>
      </c>
      <c r="K252" s="2" t="s">
        <v>1899</v>
      </c>
      <c r="L252" s="1"/>
      <c r="M252" s="1" t="s">
        <v>12</v>
      </c>
      <c r="N252" s="1"/>
      <c r="O252" s="4"/>
    </row>
    <row r="253" spans="1:15" ht="14.4" x14ac:dyDescent="0.3">
      <c r="A253" s="3">
        <v>153</v>
      </c>
      <c r="B253" s="8" t="s">
        <v>794</v>
      </c>
      <c r="C253" s="5" t="s">
        <v>793</v>
      </c>
      <c r="D253" s="6">
        <v>470874858</v>
      </c>
      <c r="E253" s="5" t="s">
        <v>164</v>
      </c>
      <c r="F253" s="5" t="s">
        <v>9</v>
      </c>
      <c r="G253" s="5" t="s">
        <v>3</v>
      </c>
      <c r="H253" s="2"/>
      <c r="I253" s="2">
        <v>46181</v>
      </c>
      <c r="J253" s="2">
        <v>46231</v>
      </c>
      <c r="K253" s="2" t="s">
        <v>1899</v>
      </c>
      <c r="L253" s="1" t="s">
        <v>20</v>
      </c>
      <c r="M253" s="1" t="s">
        <v>12</v>
      </c>
      <c r="N253" s="1"/>
      <c r="O253" s="4"/>
    </row>
    <row r="254" spans="1:15" ht="14.4" x14ac:dyDescent="0.3">
      <c r="A254" s="3">
        <v>154</v>
      </c>
      <c r="B254" s="8" t="s">
        <v>792</v>
      </c>
      <c r="C254" s="5" t="s">
        <v>791</v>
      </c>
      <c r="D254" s="6">
        <v>487693143</v>
      </c>
      <c r="E254" s="5" t="s">
        <v>192</v>
      </c>
      <c r="F254" s="5" t="s">
        <v>9</v>
      </c>
      <c r="G254" s="5" t="s">
        <v>3</v>
      </c>
      <c r="H254" s="2"/>
      <c r="I254" s="2">
        <v>46195</v>
      </c>
      <c r="J254" s="2">
        <v>46231</v>
      </c>
      <c r="K254" s="2" t="s">
        <v>1899</v>
      </c>
      <c r="L254" s="1" t="s">
        <v>20</v>
      </c>
      <c r="M254" s="1" t="s">
        <v>12</v>
      </c>
      <c r="N254" s="1"/>
      <c r="O254" s="4"/>
    </row>
    <row r="255" spans="1:15" ht="14.4" x14ac:dyDescent="0.3">
      <c r="A255" s="3">
        <v>155</v>
      </c>
      <c r="B255" s="8" t="s">
        <v>790</v>
      </c>
      <c r="C255" s="5" t="s">
        <v>789</v>
      </c>
      <c r="D255" s="6">
        <v>361585173</v>
      </c>
      <c r="E255" s="5" t="s">
        <v>788</v>
      </c>
      <c r="F255" s="5" t="s">
        <v>28</v>
      </c>
      <c r="G255" s="5" t="s">
        <v>3</v>
      </c>
      <c r="H255" s="2"/>
      <c r="I255" s="2">
        <v>46198</v>
      </c>
      <c r="J255" s="2">
        <v>46231</v>
      </c>
      <c r="K255" s="2" t="s">
        <v>1899</v>
      </c>
      <c r="L255" s="1" t="s">
        <v>27</v>
      </c>
      <c r="M255" s="1" t="s">
        <v>12</v>
      </c>
      <c r="N255" s="1"/>
      <c r="O255" s="4"/>
    </row>
    <row r="256" spans="1:15" ht="14.4" x14ac:dyDescent="0.3">
      <c r="A256" s="3">
        <v>156</v>
      </c>
      <c r="B256" s="8" t="s">
        <v>787</v>
      </c>
      <c r="C256" s="5" t="s">
        <v>786</v>
      </c>
      <c r="D256" s="6">
        <v>458549351</v>
      </c>
      <c r="E256" s="5" t="s">
        <v>663</v>
      </c>
      <c r="F256" s="5" t="s">
        <v>9</v>
      </c>
      <c r="G256" s="5" t="s">
        <v>3</v>
      </c>
      <c r="H256" s="2">
        <v>46150</v>
      </c>
      <c r="I256" s="2">
        <v>46193</v>
      </c>
      <c r="J256" s="2">
        <v>46232</v>
      </c>
      <c r="K256" s="2">
        <v>46261</v>
      </c>
      <c r="L256" s="1" t="s">
        <v>20</v>
      </c>
      <c r="M256" s="1" t="s">
        <v>17</v>
      </c>
      <c r="N256" s="1"/>
      <c r="O256" s="4" t="s">
        <v>0</v>
      </c>
    </row>
    <row r="257" spans="1:15" ht="14.4" x14ac:dyDescent="0.3">
      <c r="A257" s="3">
        <v>157</v>
      </c>
      <c r="B257" s="8" t="s">
        <v>785</v>
      </c>
      <c r="C257" s="5" t="s">
        <v>784</v>
      </c>
      <c r="D257" s="6">
        <v>486453164</v>
      </c>
      <c r="E257" s="5" t="s">
        <v>309</v>
      </c>
      <c r="F257" s="5" t="s">
        <v>4</v>
      </c>
      <c r="G257" s="5" t="s">
        <v>3</v>
      </c>
      <c r="H257" s="2">
        <v>46170</v>
      </c>
      <c r="I257" s="2">
        <v>46198</v>
      </c>
      <c r="J257" s="2">
        <v>46232</v>
      </c>
      <c r="K257" s="2">
        <v>46256</v>
      </c>
      <c r="L257" s="1" t="s">
        <v>2</v>
      </c>
      <c r="M257" s="1" t="s">
        <v>12</v>
      </c>
      <c r="N257" s="1"/>
      <c r="O257" s="4" t="s">
        <v>0</v>
      </c>
    </row>
    <row r="258" spans="1:15" ht="14.4" x14ac:dyDescent="0.3">
      <c r="A258" s="3">
        <v>158</v>
      </c>
      <c r="B258" s="8" t="s">
        <v>783</v>
      </c>
      <c r="C258" s="5" t="s">
        <v>782</v>
      </c>
      <c r="D258" s="6">
        <v>649318676</v>
      </c>
      <c r="E258" s="5" t="s">
        <v>691</v>
      </c>
      <c r="F258" s="5" t="s">
        <v>4</v>
      </c>
      <c r="G258" s="5" t="s">
        <v>3</v>
      </c>
      <c r="H258" s="2">
        <v>46150</v>
      </c>
      <c r="I258" s="2">
        <v>46196</v>
      </c>
      <c r="J258" s="2">
        <v>46232</v>
      </c>
      <c r="K258" s="2">
        <v>46258</v>
      </c>
      <c r="L258" s="1" t="s">
        <v>2</v>
      </c>
      <c r="M258" s="1" t="s">
        <v>535</v>
      </c>
      <c r="N258" s="1"/>
      <c r="O258" s="4" t="s">
        <v>0</v>
      </c>
    </row>
    <row r="259" spans="1:15" ht="14.4" x14ac:dyDescent="0.3">
      <c r="A259" s="3">
        <v>159</v>
      </c>
      <c r="B259" s="17" t="s">
        <v>781</v>
      </c>
      <c r="C259" s="5" t="s">
        <v>780</v>
      </c>
      <c r="D259" s="6">
        <v>734643967</v>
      </c>
      <c r="E259" s="5" t="s">
        <v>779</v>
      </c>
      <c r="F259" s="5" t="s">
        <v>9</v>
      </c>
      <c r="G259" s="5" t="s">
        <v>3</v>
      </c>
      <c r="H259" s="2">
        <v>46163</v>
      </c>
      <c r="I259" s="2">
        <v>46197</v>
      </c>
      <c r="J259" s="2">
        <v>46232</v>
      </c>
      <c r="K259" s="2">
        <v>46260</v>
      </c>
      <c r="L259" s="1" t="s">
        <v>20</v>
      </c>
      <c r="M259" s="1" t="s">
        <v>535</v>
      </c>
      <c r="N259" s="1"/>
      <c r="O259" s="4" t="s">
        <v>0</v>
      </c>
    </row>
    <row r="260" spans="1:15" ht="14.4" x14ac:dyDescent="0.3">
      <c r="A260" s="3">
        <v>160</v>
      </c>
      <c r="B260" s="8" t="s">
        <v>778</v>
      </c>
      <c r="C260" s="5" t="s">
        <v>777</v>
      </c>
      <c r="D260" s="6">
        <v>647064777</v>
      </c>
      <c r="E260" s="5" t="s">
        <v>776</v>
      </c>
      <c r="F260" s="5" t="s">
        <v>4</v>
      </c>
      <c r="G260" s="5" t="s">
        <v>3</v>
      </c>
      <c r="H260" s="2">
        <v>46163</v>
      </c>
      <c r="I260" s="2">
        <v>46195</v>
      </c>
      <c r="J260" s="2">
        <v>46232</v>
      </c>
      <c r="K260" s="2" t="s">
        <v>1899</v>
      </c>
      <c r="L260" s="1" t="s">
        <v>20</v>
      </c>
      <c r="M260" s="1" t="s">
        <v>535</v>
      </c>
      <c r="N260" s="1"/>
      <c r="O260" s="4"/>
    </row>
    <row r="261" spans="1:15" ht="14.4" x14ac:dyDescent="0.3">
      <c r="A261" s="3">
        <v>161</v>
      </c>
      <c r="B261" s="8" t="s">
        <v>775</v>
      </c>
      <c r="C261" s="5" t="s">
        <v>774</v>
      </c>
      <c r="D261" s="6">
        <v>386720000</v>
      </c>
      <c r="E261" s="5" t="s">
        <v>322</v>
      </c>
      <c r="F261" s="5" t="s">
        <v>28</v>
      </c>
      <c r="G261" s="5" t="s">
        <v>3</v>
      </c>
      <c r="H261" s="2">
        <v>46147</v>
      </c>
      <c r="I261" s="2">
        <v>46199</v>
      </c>
      <c r="J261" s="2">
        <v>46232</v>
      </c>
      <c r="K261" s="2" t="s">
        <v>1899</v>
      </c>
      <c r="L261" s="1" t="s">
        <v>27</v>
      </c>
      <c r="M261" s="1" t="s">
        <v>12</v>
      </c>
      <c r="N261" s="1"/>
      <c r="O261" s="4"/>
    </row>
    <row r="262" spans="1:15" ht="14.4" x14ac:dyDescent="0.3">
      <c r="A262" s="3">
        <v>162</v>
      </c>
      <c r="B262" s="8" t="s">
        <v>773</v>
      </c>
      <c r="C262" s="5" t="s">
        <v>772</v>
      </c>
      <c r="D262" s="6">
        <v>713974003</v>
      </c>
      <c r="E262" s="5" t="s">
        <v>24</v>
      </c>
      <c r="F262" s="5" t="s">
        <v>9</v>
      </c>
      <c r="G262" s="5" t="s">
        <v>3</v>
      </c>
      <c r="H262" s="2">
        <v>46148</v>
      </c>
      <c r="I262" s="2"/>
      <c r="J262" s="2">
        <v>46232</v>
      </c>
      <c r="K262" s="2">
        <v>46262</v>
      </c>
      <c r="L262" s="1" t="s">
        <v>20</v>
      </c>
      <c r="M262" s="1" t="s">
        <v>535</v>
      </c>
      <c r="N262" s="1"/>
      <c r="O262" s="4"/>
    </row>
    <row r="263" spans="1:15" ht="14.4" x14ac:dyDescent="0.3">
      <c r="A263" s="3">
        <v>163</v>
      </c>
      <c r="B263" s="8" t="s">
        <v>771</v>
      </c>
      <c r="C263" s="5" t="s">
        <v>770</v>
      </c>
      <c r="D263" s="6">
        <v>545068315</v>
      </c>
      <c r="E263" s="5" t="s">
        <v>207</v>
      </c>
      <c r="F263" s="5" t="s">
        <v>28</v>
      </c>
      <c r="G263" s="5" t="s">
        <v>3</v>
      </c>
      <c r="H263" s="2">
        <v>46163</v>
      </c>
      <c r="I263" s="2"/>
      <c r="J263" s="2">
        <v>46232</v>
      </c>
      <c r="K263" s="2" t="s">
        <v>1899</v>
      </c>
      <c r="L263" s="1" t="s">
        <v>27</v>
      </c>
      <c r="M263" s="1" t="s">
        <v>17</v>
      </c>
      <c r="N263" s="1"/>
      <c r="O263" s="4"/>
    </row>
    <row r="264" spans="1:15" ht="14.4" x14ac:dyDescent="0.3">
      <c r="A264" s="3">
        <v>164</v>
      </c>
      <c r="B264" s="8" t="s">
        <v>769</v>
      </c>
      <c r="C264" s="5" t="s">
        <v>768</v>
      </c>
      <c r="D264" s="6">
        <v>424354292</v>
      </c>
      <c r="E264" s="5" t="s">
        <v>178</v>
      </c>
      <c r="F264" s="5" t="s">
        <v>28</v>
      </c>
      <c r="G264" s="5" t="s">
        <v>3</v>
      </c>
      <c r="H264" s="2">
        <v>46168</v>
      </c>
      <c r="I264" s="2"/>
      <c r="J264" s="2">
        <v>46232</v>
      </c>
      <c r="K264" s="2" t="s">
        <v>1899</v>
      </c>
      <c r="L264" s="1" t="s">
        <v>27</v>
      </c>
      <c r="M264" s="1" t="s">
        <v>17</v>
      </c>
      <c r="N264" s="1"/>
      <c r="O264" s="4"/>
    </row>
    <row r="265" spans="1:15" ht="14.4" x14ac:dyDescent="0.3">
      <c r="A265" s="3">
        <v>165</v>
      </c>
      <c r="B265" s="8" t="s">
        <v>767</v>
      </c>
      <c r="C265" s="5" t="s">
        <v>766</v>
      </c>
      <c r="D265" s="6">
        <v>728359735</v>
      </c>
      <c r="E265" s="5" t="s">
        <v>592</v>
      </c>
      <c r="F265" s="5" t="s">
        <v>48</v>
      </c>
      <c r="G265" s="5" t="s">
        <v>3</v>
      </c>
      <c r="H265" s="2">
        <v>46171</v>
      </c>
      <c r="I265" s="2"/>
      <c r="J265" s="2">
        <v>46232</v>
      </c>
      <c r="K265" s="2" t="s">
        <v>1899</v>
      </c>
      <c r="L265" s="1" t="s">
        <v>44</v>
      </c>
      <c r="M265" s="1" t="s">
        <v>535</v>
      </c>
      <c r="N265" s="1"/>
      <c r="O265" s="4"/>
    </row>
    <row r="266" spans="1:15" ht="14.4" x14ac:dyDescent="0.3">
      <c r="A266" s="3">
        <v>166</v>
      </c>
      <c r="B266" s="8" t="s">
        <v>765</v>
      </c>
      <c r="C266" s="5" t="s">
        <v>764</v>
      </c>
      <c r="D266" s="6">
        <v>429074113</v>
      </c>
      <c r="E266" s="5" t="s">
        <v>763</v>
      </c>
      <c r="F266" s="5" t="s">
        <v>28</v>
      </c>
      <c r="G266" s="5" t="s">
        <v>3</v>
      </c>
      <c r="H266" s="2"/>
      <c r="I266" s="2">
        <v>46188</v>
      </c>
      <c r="J266" s="2">
        <v>46232</v>
      </c>
      <c r="K266" s="2" t="s">
        <v>1899</v>
      </c>
      <c r="L266" s="1" t="s">
        <v>27</v>
      </c>
      <c r="M266" s="1" t="s">
        <v>12</v>
      </c>
      <c r="N266" s="1"/>
      <c r="O266" s="4"/>
    </row>
    <row r="267" spans="1:15" ht="14.4" x14ac:dyDescent="0.3">
      <c r="A267" s="3">
        <v>167</v>
      </c>
      <c r="B267" s="8" t="s">
        <v>762</v>
      </c>
      <c r="C267" s="5" t="s">
        <v>761</v>
      </c>
      <c r="D267" s="6">
        <v>383728282</v>
      </c>
      <c r="E267" s="5" t="s">
        <v>153</v>
      </c>
      <c r="F267" s="5" t="s">
        <v>9</v>
      </c>
      <c r="G267" s="5" t="s">
        <v>3</v>
      </c>
      <c r="H267" s="2"/>
      <c r="I267" s="2">
        <v>46176</v>
      </c>
      <c r="J267" s="2">
        <v>46232</v>
      </c>
      <c r="K267" s="2" t="s">
        <v>1899</v>
      </c>
      <c r="L267" s="1" t="s">
        <v>124</v>
      </c>
      <c r="M267" s="1" t="s">
        <v>12</v>
      </c>
      <c r="N267" s="1"/>
      <c r="O267" s="4"/>
    </row>
    <row r="268" spans="1:15" ht="14.4" x14ac:dyDescent="0.3">
      <c r="A268" s="3">
        <v>168</v>
      </c>
      <c r="B268" s="8" t="s">
        <v>760</v>
      </c>
      <c r="C268" s="5" t="s">
        <v>759</v>
      </c>
      <c r="D268" s="6">
        <v>405704539</v>
      </c>
      <c r="E268" s="5" t="s">
        <v>131</v>
      </c>
      <c r="F268" s="5" t="s">
        <v>9</v>
      </c>
      <c r="G268" s="5" t="s">
        <v>3</v>
      </c>
      <c r="H268" s="2">
        <v>46157</v>
      </c>
      <c r="I268" s="2"/>
      <c r="J268" s="2">
        <v>46233</v>
      </c>
      <c r="K268" s="2">
        <v>46252</v>
      </c>
      <c r="L268" s="1" t="s">
        <v>124</v>
      </c>
      <c r="M268" s="1" t="s">
        <v>17</v>
      </c>
      <c r="N268" s="1"/>
      <c r="O268" s="4"/>
    </row>
    <row r="269" spans="1:15" ht="14.4" x14ac:dyDescent="0.3">
      <c r="A269" s="3">
        <v>169</v>
      </c>
      <c r="B269" s="10" t="s">
        <v>758</v>
      </c>
      <c r="C269" s="5" t="s">
        <v>757</v>
      </c>
      <c r="D269" s="6">
        <v>385540773</v>
      </c>
      <c r="E269" s="5" t="s">
        <v>756</v>
      </c>
      <c r="F269" s="5" t="s">
        <v>4</v>
      </c>
      <c r="G269" s="5" t="s">
        <v>3</v>
      </c>
      <c r="H269" s="2">
        <v>46170</v>
      </c>
      <c r="I269" s="2">
        <v>46203</v>
      </c>
      <c r="J269" s="2">
        <v>46233</v>
      </c>
      <c r="K269" s="2">
        <v>46254</v>
      </c>
      <c r="L269" s="1"/>
      <c r="M269" s="1" t="s">
        <v>17</v>
      </c>
      <c r="N269" s="1"/>
      <c r="O269" s="4" t="s">
        <v>0</v>
      </c>
    </row>
    <row r="270" spans="1:15" ht="14.4" x14ac:dyDescent="0.3">
      <c r="A270" s="3">
        <v>170</v>
      </c>
      <c r="B270" s="8" t="s">
        <v>755</v>
      </c>
      <c r="C270" s="5" t="s">
        <v>754</v>
      </c>
      <c r="D270" s="6">
        <v>397750142</v>
      </c>
      <c r="E270" s="5" t="s">
        <v>641</v>
      </c>
      <c r="F270" s="5" t="s">
        <v>40</v>
      </c>
      <c r="G270" s="5" t="s">
        <v>3</v>
      </c>
      <c r="H270" s="2">
        <v>46161</v>
      </c>
      <c r="I270" s="2">
        <v>46182</v>
      </c>
      <c r="J270" s="2">
        <v>46233</v>
      </c>
      <c r="K270" s="2">
        <v>46255</v>
      </c>
      <c r="L270" s="1" t="s">
        <v>27</v>
      </c>
      <c r="M270" s="1" t="s">
        <v>12</v>
      </c>
      <c r="N270" s="1"/>
      <c r="O270" s="4"/>
    </row>
    <row r="271" spans="1:15" ht="14.4" x14ac:dyDescent="0.3">
      <c r="A271" s="3">
        <v>171</v>
      </c>
      <c r="B271" s="8" t="s">
        <v>753</v>
      </c>
      <c r="C271" s="5" t="s">
        <v>751</v>
      </c>
      <c r="D271" s="6">
        <v>395367607</v>
      </c>
      <c r="E271" s="5" t="s">
        <v>115</v>
      </c>
      <c r="F271" s="5" t="s">
        <v>4</v>
      </c>
      <c r="G271" s="5" t="s">
        <v>3</v>
      </c>
      <c r="H271" s="2"/>
      <c r="I271" s="2">
        <v>46188</v>
      </c>
      <c r="J271" s="2">
        <v>46233</v>
      </c>
      <c r="K271" s="2">
        <v>46256</v>
      </c>
      <c r="L271" s="1" t="s">
        <v>20</v>
      </c>
      <c r="M271" s="1" t="s">
        <v>12</v>
      </c>
      <c r="N271" s="1"/>
      <c r="O271" s="4" t="s">
        <v>0</v>
      </c>
    </row>
    <row r="272" spans="1:15" ht="14.4" x14ac:dyDescent="0.3">
      <c r="A272" s="3">
        <v>172</v>
      </c>
      <c r="B272" s="17" t="s">
        <v>752</v>
      </c>
      <c r="C272" s="5" t="s">
        <v>751</v>
      </c>
      <c r="D272" s="6">
        <v>567681937</v>
      </c>
      <c r="E272" s="5" t="s">
        <v>198</v>
      </c>
      <c r="F272" s="5" t="s">
        <v>9</v>
      </c>
      <c r="G272" s="5" t="s">
        <v>3</v>
      </c>
      <c r="H272" s="2">
        <v>46172</v>
      </c>
      <c r="I272" s="2"/>
      <c r="J272" s="2">
        <v>46233</v>
      </c>
      <c r="K272" s="2">
        <v>46254</v>
      </c>
      <c r="L272" s="1" t="s">
        <v>20</v>
      </c>
      <c r="M272" s="1" t="s">
        <v>12</v>
      </c>
      <c r="N272" s="1"/>
      <c r="O272" s="4" t="s">
        <v>0</v>
      </c>
    </row>
    <row r="273" spans="1:15" ht="14.4" x14ac:dyDescent="0.3">
      <c r="A273" s="3">
        <v>173</v>
      </c>
      <c r="B273" s="8" t="s">
        <v>750</v>
      </c>
      <c r="C273" s="5" t="s">
        <v>749</v>
      </c>
      <c r="D273" s="6">
        <v>472509631</v>
      </c>
      <c r="E273" s="5" t="s">
        <v>748</v>
      </c>
      <c r="F273" s="5" t="s">
        <v>48</v>
      </c>
      <c r="G273" s="5" t="s">
        <v>3</v>
      </c>
      <c r="H273" s="2">
        <v>46146</v>
      </c>
      <c r="I273" s="2">
        <v>46196</v>
      </c>
      <c r="J273" s="2">
        <v>46233</v>
      </c>
      <c r="K273" s="2">
        <v>46253</v>
      </c>
      <c r="L273" s="1" t="s">
        <v>44</v>
      </c>
      <c r="M273" s="1" t="s">
        <v>12</v>
      </c>
      <c r="N273" s="1"/>
      <c r="O273" s="4"/>
    </row>
    <row r="274" spans="1:15" ht="14.4" x14ac:dyDescent="0.3">
      <c r="A274" s="3">
        <v>174</v>
      </c>
      <c r="B274" s="8" t="s">
        <v>747</v>
      </c>
      <c r="C274" s="5" t="s">
        <v>746</v>
      </c>
      <c r="D274" s="6">
        <v>454208668</v>
      </c>
      <c r="E274" s="5" t="s">
        <v>745</v>
      </c>
      <c r="F274" s="5" t="s">
        <v>36</v>
      </c>
      <c r="G274" s="5" t="s">
        <v>3</v>
      </c>
      <c r="H274" s="2">
        <v>46148</v>
      </c>
      <c r="I274" s="2"/>
      <c r="J274" s="2">
        <v>46233</v>
      </c>
      <c r="K274" s="2" t="s">
        <v>1899</v>
      </c>
      <c r="L274" s="1" t="s">
        <v>13</v>
      </c>
      <c r="M274" s="1" t="s">
        <v>12</v>
      </c>
      <c r="N274" s="1"/>
      <c r="O274" s="4"/>
    </row>
    <row r="275" spans="1:15" ht="14.4" x14ac:dyDescent="0.3">
      <c r="A275" s="3">
        <v>175</v>
      </c>
      <c r="B275" s="8" t="s">
        <v>744</v>
      </c>
      <c r="C275" s="5" t="s">
        <v>743</v>
      </c>
      <c r="D275" s="6">
        <v>473760796</v>
      </c>
      <c r="E275" s="5" t="s">
        <v>742</v>
      </c>
      <c r="F275" s="5" t="s">
        <v>48</v>
      </c>
      <c r="G275" s="5" t="s">
        <v>3</v>
      </c>
      <c r="H275" s="2">
        <v>46148</v>
      </c>
      <c r="I275" s="2"/>
      <c r="J275" s="2">
        <v>46233</v>
      </c>
      <c r="K275" s="2" t="s">
        <v>1899</v>
      </c>
      <c r="L275" s="1" t="s">
        <v>44</v>
      </c>
      <c r="M275" s="1" t="s">
        <v>12</v>
      </c>
      <c r="N275" s="1"/>
      <c r="O275" s="4"/>
    </row>
    <row r="276" spans="1:15" ht="14.4" x14ac:dyDescent="0.3">
      <c r="A276" s="3">
        <v>176</v>
      </c>
      <c r="B276" s="8" t="s">
        <v>741</v>
      </c>
      <c r="C276" s="5" t="s">
        <v>740</v>
      </c>
      <c r="D276" s="6">
        <v>378475712</v>
      </c>
      <c r="E276" s="5" t="s">
        <v>691</v>
      </c>
      <c r="F276" s="5" t="s">
        <v>4</v>
      </c>
      <c r="G276" s="5" t="s">
        <v>3</v>
      </c>
      <c r="H276" s="2">
        <v>46148</v>
      </c>
      <c r="I276" s="2"/>
      <c r="J276" s="2">
        <v>46233</v>
      </c>
      <c r="K276" s="2" t="s">
        <v>1899</v>
      </c>
      <c r="L276" s="1"/>
      <c r="M276" s="1" t="s">
        <v>12</v>
      </c>
      <c r="N276" s="1"/>
      <c r="O276" s="4"/>
    </row>
    <row r="277" spans="1:15" ht="14.4" x14ac:dyDescent="0.3">
      <c r="A277" s="3">
        <v>177</v>
      </c>
      <c r="B277" s="8" t="s">
        <v>739</v>
      </c>
      <c r="C277" s="5" t="s">
        <v>738</v>
      </c>
      <c r="D277" s="6">
        <v>351143570</v>
      </c>
      <c r="E277" s="5" t="s">
        <v>140</v>
      </c>
      <c r="F277" s="5" t="s">
        <v>9</v>
      </c>
      <c r="G277" s="5" t="s">
        <v>3</v>
      </c>
      <c r="H277" s="2">
        <v>46161</v>
      </c>
      <c r="I277" s="2">
        <v>46202</v>
      </c>
      <c r="J277" s="2">
        <v>46233</v>
      </c>
      <c r="K277" s="2">
        <v>46254</v>
      </c>
      <c r="L277" s="1" t="s">
        <v>20</v>
      </c>
      <c r="M277" s="1" t="s">
        <v>12</v>
      </c>
      <c r="N277" s="1"/>
      <c r="O277" s="4"/>
    </row>
    <row r="278" spans="1:15" ht="14.4" x14ac:dyDescent="0.3">
      <c r="A278" s="3">
        <v>178</v>
      </c>
      <c r="B278" s="8" t="s">
        <v>737</v>
      </c>
      <c r="C278" s="5" t="s">
        <v>736</v>
      </c>
      <c r="D278" s="6">
        <v>529800995</v>
      </c>
      <c r="E278" s="5" t="s">
        <v>178</v>
      </c>
      <c r="F278" s="5" t="s">
        <v>28</v>
      </c>
      <c r="G278" s="5" t="s">
        <v>3</v>
      </c>
      <c r="H278" s="2">
        <v>46163</v>
      </c>
      <c r="I278" s="2"/>
      <c r="J278" s="2">
        <v>46233</v>
      </c>
      <c r="K278" s="2" t="s">
        <v>1899</v>
      </c>
      <c r="L278" s="1" t="s">
        <v>27</v>
      </c>
      <c r="M278" s="1" t="s">
        <v>17</v>
      </c>
      <c r="N278" s="1"/>
      <c r="O278" s="4"/>
    </row>
    <row r="279" spans="1:15" ht="14.4" x14ac:dyDescent="0.3">
      <c r="A279" s="3">
        <v>179</v>
      </c>
      <c r="B279" s="10" t="s">
        <v>735</v>
      </c>
      <c r="C279" s="5" t="s">
        <v>734</v>
      </c>
      <c r="D279" s="6">
        <v>477716744</v>
      </c>
      <c r="E279" s="5" t="s">
        <v>733</v>
      </c>
      <c r="F279" s="5" t="s">
        <v>4</v>
      </c>
      <c r="G279" s="5" t="s">
        <v>3</v>
      </c>
      <c r="H279" s="2">
        <v>46170</v>
      </c>
      <c r="I279" s="2"/>
      <c r="J279" s="2">
        <v>46233</v>
      </c>
      <c r="K279" s="2" t="s">
        <v>1899</v>
      </c>
      <c r="L279" s="1"/>
      <c r="M279" s="1" t="s">
        <v>17</v>
      </c>
      <c r="N279" s="1"/>
      <c r="O279" s="4"/>
    </row>
    <row r="280" spans="1:15" ht="14.4" x14ac:dyDescent="0.3">
      <c r="A280" s="3">
        <v>180</v>
      </c>
      <c r="B280" s="8" t="s">
        <v>732</v>
      </c>
      <c r="C280" s="5" t="s">
        <v>731</v>
      </c>
      <c r="D280" s="6">
        <v>519956116</v>
      </c>
      <c r="E280" s="5" t="s">
        <v>691</v>
      </c>
      <c r="F280" s="5" t="s">
        <v>4</v>
      </c>
      <c r="G280" s="5" t="s">
        <v>3</v>
      </c>
      <c r="H280" s="2">
        <v>46171</v>
      </c>
      <c r="I280" s="2"/>
      <c r="J280" s="2">
        <v>46233</v>
      </c>
      <c r="K280" s="2" t="s">
        <v>1899</v>
      </c>
      <c r="L280" s="1"/>
      <c r="M280" s="1" t="s">
        <v>12</v>
      </c>
      <c r="N280" s="1"/>
      <c r="O280" s="4"/>
    </row>
    <row r="281" spans="1:15" ht="14.4" x14ac:dyDescent="0.3">
      <c r="A281" s="3">
        <v>181</v>
      </c>
      <c r="B281" s="8" t="s">
        <v>730</v>
      </c>
      <c r="C281" s="5" t="s">
        <v>729</v>
      </c>
      <c r="D281" s="6">
        <v>536413629</v>
      </c>
      <c r="E281" s="5" t="s">
        <v>728</v>
      </c>
      <c r="F281" s="5" t="s">
        <v>40</v>
      </c>
      <c r="G281" s="5" t="s">
        <v>3</v>
      </c>
      <c r="H281" s="2">
        <v>46171</v>
      </c>
      <c r="I281" s="2">
        <v>46192</v>
      </c>
      <c r="J281" s="2">
        <v>46233</v>
      </c>
      <c r="K281" s="2" t="s">
        <v>1899</v>
      </c>
      <c r="L281" s="1" t="s">
        <v>27</v>
      </c>
      <c r="M281" s="1" t="s">
        <v>17</v>
      </c>
      <c r="N281" s="1"/>
      <c r="O281" s="4"/>
    </row>
    <row r="282" spans="1:15" ht="14.4" x14ac:dyDescent="0.3">
      <c r="A282" s="3">
        <v>182</v>
      </c>
      <c r="B282" s="8" t="s">
        <v>727</v>
      </c>
      <c r="C282" s="5" t="s">
        <v>726</v>
      </c>
      <c r="D282" s="6">
        <v>538582601</v>
      </c>
      <c r="E282" s="5" t="s">
        <v>725</v>
      </c>
      <c r="F282" s="5" t="s">
        <v>4</v>
      </c>
      <c r="G282" s="5" t="s">
        <v>3</v>
      </c>
      <c r="H282" s="2"/>
      <c r="I282" s="2">
        <v>46183</v>
      </c>
      <c r="J282" s="2">
        <v>46233</v>
      </c>
      <c r="K282" s="2" t="s">
        <v>1899</v>
      </c>
      <c r="L282" s="1"/>
      <c r="M282" s="1" t="s">
        <v>17</v>
      </c>
      <c r="N282" s="1"/>
      <c r="O282" s="4"/>
    </row>
    <row r="283" spans="1:15" ht="14.4" x14ac:dyDescent="0.3">
      <c r="A283" s="3">
        <v>183</v>
      </c>
      <c r="B283" s="8" t="s">
        <v>724</v>
      </c>
      <c r="C283" s="5" t="s">
        <v>723</v>
      </c>
      <c r="D283" s="6">
        <v>455466097</v>
      </c>
      <c r="E283" s="5" t="s">
        <v>691</v>
      </c>
      <c r="F283" s="5" t="s">
        <v>4</v>
      </c>
      <c r="G283" s="5" t="s">
        <v>3</v>
      </c>
      <c r="H283" s="2"/>
      <c r="I283" s="2">
        <v>46178</v>
      </c>
      <c r="J283" s="2">
        <v>46233</v>
      </c>
      <c r="K283" s="2" t="s">
        <v>1899</v>
      </c>
      <c r="L283" s="1"/>
      <c r="M283" s="1" t="s">
        <v>12</v>
      </c>
      <c r="N283" s="1"/>
      <c r="O283" s="4"/>
    </row>
    <row r="284" spans="1:15" ht="14.4" x14ac:dyDescent="0.3">
      <c r="A284" s="3">
        <v>184</v>
      </c>
      <c r="B284" s="8" t="s">
        <v>722</v>
      </c>
      <c r="C284" s="5" t="s">
        <v>721</v>
      </c>
      <c r="D284" s="6">
        <v>452289260</v>
      </c>
      <c r="E284" s="5" t="s">
        <v>256</v>
      </c>
      <c r="F284" s="5" t="s">
        <v>4</v>
      </c>
      <c r="G284" s="5" t="s">
        <v>3</v>
      </c>
      <c r="H284" s="2">
        <v>46144</v>
      </c>
      <c r="I284" s="2"/>
      <c r="J284" s="2">
        <v>46234</v>
      </c>
      <c r="K284" s="2" t="s">
        <v>1899</v>
      </c>
      <c r="L284" s="1"/>
      <c r="M284" s="1" t="s">
        <v>12</v>
      </c>
      <c r="N284" s="1"/>
      <c r="O284" s="4"/>
    </row>
    <row r="285" spans="1:15" ht="14.4" x14ac:dyDescent="0.3">
      <c r="A285" s="3">
        <v>185</v>
      </c>
      <c r="B285" s="8" t="s">
        <v>720</v>
      </c>
      <c r="C285" s="5" t="s">
        <v>719</v>
      </c>
      <c r="D285" s="6">
        <v>519835865</v>
      </c>
      <c r="E285" s="5" t="s">
        <v>718</v>
      </c>
      <c r="F285" s="5" t="s">
        <v>4</v>
      </c>
      <c r="G285" s="5" t="s">
        <v>3</v>
      </c>
      <c r="H285" s="2">
        <v>46147</v>
      </c>
      <c r="I285" s="2"/>
      <c r="J285" s="2">
        <v>46234</v>
      </c>
      <c r="K285" s="2" t="s">
        <v>1899</v>
      </c>
      <c r="L285" s="1"/>
      <c r="M285" s="1" t="s">
        <v>12</v>
      </c>
      <c r="N285" s="1"/>
      <c r="O285" s="4"/>
    </row>
    <row r="286" spans="1:15" ht="14.4" x14ac:dyDescent="0.3">
      <c r="A286" s="3">
        <v>186</v>
      </c>
      <c r="B286" s="8" t="s">
        <v>717</v>
      </c>
      <c r="C286" s="5" t="s">
        <v>716</v>
      </c>
      <c r="D286" s="6">
        <v>730740165</v>
      </c>
      <c r="E286" s="5" t="s">
        <v>167</v>
      </c>
      <c r="F286" s="5" t="s">
        <v>9</v>
      </c>
      <c r="G286" s="5" t="s">
        <v>3</v>
      </c>
      <c r="H286" s="2">
        <v>46148</v>
      </c>
      <c r="I286" s="2"/>
      <c r="J286" s="2">
        <v>46234</v>
      </c>
      <c r="K286" s="2" t="s">
        <v>1899</v>
      </c>
      <c r="L286" s="1" t="s">
        <v>124</v>
      </c>
      <c r="M286" s="1" t="s">
        <v>535</v>
      </c>
      <c r="N286" s="1"/>
      <c r="O286" s="19" t="s">
        <v>539</v>
      </c>
    </row>
    <row r="287" spans="1:15" ht="14.4" x14ac:dyDescent="0.3">
      <c r="A287" s="3">
        <v>187</v>
      </c>
      <c r="B287" s="8" t="s">
        <v>715</v>
      </c>
      <c r="C287" s="5" t="s">
        <v>714</v>
      </c>
      <c r="D287" s="6">
        <v>397370366</v>
      </c>
      <c r="E287" s="5" t="s">
        <v>691</v>
      </c>
      <c r="F287" s="5" t="s">
        <v>4</v>
      </c>
      <c r="G287" s="5" t="s">
        <v>3</v>
      </c>
      <c r="H287" s="2">
        <v>46150</v>
      </c>
      <c r="I287" s="2">
        <v>46199</v>
      </c>
      <c r="J287" s="2">
        <v>46234</v>
      </c>
      <c r="K287" s="2" t="s">
        <v>1899</v>
      </c>
      <c r="L287" s="1"/>
      <c r="M287" s="1" t="s">
        <v>12</v>
      </c>
      <c r="N287" s="1"/>
      <c r="O287" s="4"/>
    </row>
    <row r="288" spans="1:15" ht="14.4" x14ac:dyDescent="0.3">
      <c r="A288" s="3">
        <v>188</v>
      </c>
      <c r="B288" s="8" t="s">
        <v>713</v>
      </c>
      <c r="C288" s="5" t="s">
        <v>712</v>
      </c>
      <c r="D288" s="6">
        <v>497396561</v>
      </c>
      <c r="E288" s="5" t="s">
        <v>711</v>
      </c>
      <c r="F288" s="5" t="s">
        <v>48</v>
      </c>
      <c r="G288" s="5" t="s">
        <v>3</v>
      </c>
      <c r="H288" s="2">
        <v>46151</v>
      </c>
      <c r="I288" s="2">
        <v>46178</v>
      </c>
      <c r="J288" s="2">
        <v>46234</v>
      </c>
      <c r="K288" s="2" t="s">
        <v>1899</v>
      </c>
      <c r="L288" s="1" t="s">
        <v>44</v>
      </c>
      <c r="M288" s="1" t="s">
        <v>12</v>
      </c>
      <c r="N288" s="1"/>
      <c r="O288" s="4"/>
    </row>
    <row r="289" spans="1:15" ht="14.4" x14ac:dyDescent="0.3">
      <c r="A289" s="3">
        <v>189</v>
      </c>
      <c r="B289" s="8" t="s">
        <v>710</v>
      </c>
      <c r="C289" s="5" t="s">
        <v>709</v>
      </c>
      <c r="D289" s="6">
        <v>556502719</v>
      </c>
      <c r="E289" s="5" t="s">
        <v>708</v>
      </c>
      <c r="F289" s="5" t="s">
        <v>9</v>
      </c>
      <c r="G289" s="5" t="s">
        <v>3</v>
      </c>
      <c r="H289" s="2">
        <v>46153</v>
      </c>
      <c r="I289" s="2"/>
      <c r="J289" s="2">
        <v>46234</v>
      </c>
      <c r="K289" s="2" t="s">
        <v>1899</v>
      </c>
      <c r="L289" s="1" t="s">
        <v>13</v>
      </c>
      <c r="M289" s="1" t="s">
        <v>17</v>
      </c>
      <c r="N289" s="1"/>
      <c r="O289" s="4"/>
    </row>
    <row r="290" spans="1:15" ht="14.4" x14ac:dyDescent="0.3">
      <c r="A290" s="3">
        <v>190</v>
      </c>
      <c r="B290" s="8" t="s">
        <v>707</v>
      </c>
      <c r="C290" s="5" t="s">
        <v>706</v>
      </c>
      <c r="D290" s="6">
        <v>629671619</v>
      </c>
      <c r="E290" s="5" t="s">
        <v>705</v>
      </c>
      <c r="F290" s="5" t="s">
        <v>9</v>
      </c>
      <c r="G290" s="5" t="s">
        <v>3</v>
      </c>
      <c r="H290" s="2">
        <v>46154</v>
      </c>
      <c r="I290" s="2"/>
      <c r="J290" s="2">
        <v>46234</v>
      </c>
      <c r="K290" s="2">
        <v>46261</v>
      </c>
      <c r="L290" s="1" t="s">
        <v>124</v>
      </c>
      <c r="M290" s="1" t="s">
        <v>535</v>
      </c>
      <c r="N290" s="1"/>
      <c r="O290" s="4"/>
    </row>
    <row r="291" spans="1:15" ht="14.4" x14ac:dyDescent="0.3">
      <c r="A291" s="3">
        <v>191</v>
      </c>
      <c r="B291" s="8" t="s">
        <v>704</v>
      </c>
      <c r="C291" s="5" t="s">
        <v>703</v>
      </c>
      <c r="D291" s="6">
        <v>420682857</v>
      </c>
      <c r="E291" s="5" t="s">
        <v>5</v>
      </c>
      <c r="F291" s="5" t="s">
        <v>4</v>
      </c>
      <c r="G291" s="5" t="s">
        <v>3</v>
      </c>
      <c r="H291" s="2">
        <v>46154</v>
      </c>
      <c r="I291" s="2"/>
      <c r="J291" s="2">
        <v>46234</v>
      </c>
      <c r="K291" s="2" t="s">
        <v>1899</v>
      </c>
      <c r="L291" s="1"/>
      <c r="M291" s="1" t="s">
        <v>17</v>
      </c>
      <c r="N291" s="1"/>
      <c r="O291" s="4"/>
    </row>
    <row r="292" spans="1:15" ht="14.4" x14ac:dyDescent="0.3">
      <c r="A292" s="3">
        <v>192</v>
      </c>
      <c r="B292" s="8" t="s">
        <v>702</v>
      </c>
      <c r="C292" s="5" t="s">
        <v>701</v>
      </c>
      <c r="D292" s="6">
        <v>680871552</v>
      </c>
      <c r="E292" s="5" t="s">
        <v>700</v>
      </c>
      <c r="F292" s="5" t="s">
        <v>36</v>
      </c>
      <c r="G292" s="5" t="s">
        <v>3</v>
      </c>
      <c r="H292" s="2">
        <v>46170</v>
      </c>
      <c r="I292" s="2"/>
      <c r="J292" s="2">
        <v>46234</v>
      </c>
      <c r="K292" s="2" t="s">
        <v>1899</v>
      </c>
      <c r="L292" s="1" t="s">
        <v>13</v>
      </c>
      <c r="M292" s="1" t="s">
        <v>12</v>
      </c>
      <c r="N292" s="1"/>
      <c r="O292" s="4"/>
    </row>
    <row r="293" spans="1:15" ht="14.4" x14ac:dyDescent="0.3">
      <c r="A293" s="3">
        <v>193</v>
      </c>
      <c r="B293" s="8" t="s">
        <v>699</v>
      </c>
      <c r="C293" s="5" t="s">
        <v>698</v>
      </c>
      <c r="D293" s="6">
        <v>157946931</v>
      </c>
      <c r="E293" s="5" t="s">
        <v>260</v>
      </c>
      <c r="F293" s="5" t="s">
        <v>9</v>
      </c>
      <c r="G293" s="5" t="s">
        <v>3</v>
      </c>
      <c r="H293" s="2">
        <v>46171</v>
      </c>
      <c r="I293" s="2">
        <v>46184</v>
      </c>
      <c r="J293" s="2">
        <v>46234</v>
      </c>
      <c r="K293" s="2" t="s">
        <v>1899</v>
      </c>
      <c r="L293" s="1" t="s">
        <v>124</v>
      </c>
      <c r="M293" s="1" t="s">
        <v>342</v>
      </c>
      <c r="N293" s="1"/>
      <c r="O293" s="4" t="s">
        <v>697</v>
      </c>
    </row>
    <row r="294" spans="1:15" ht="14.4" x14ac:dyDescent="0.3">
      <c r="A294" s="3">
        <v>194</v>
      </c>
      <c r="B294" s="8" t="s">
        <v>696</v>
      </c>
      <c r="C294" s="5" t="s">
        <v>695</v>
      </c>
      <c r="D294" s="6">
        <v>504427725</v>
      </c>
      <c r="E294" s="5" t="s">
        <v>694</v>
      </c>
      <c r="F294" s="5" t="s">
        <v>36</v>
      </c>
      <c r="G294" s="5" t="s">
        <v>3</v>
      </c>
      <c r="H294" s="2"/>
      <c r="I294" s="2">
        <v>46179</v>
      </c>
      <c r="J294" s="2">
        <v>46234</v>
      </c>
      <c r="K294" s="2" t="s">
        <v>1899</v>
      </c>
      <c r="L294" s="1" t="s">
        <v>13</v>
      </c>
      <c r="M294" s="1" t="s">
        <v>12</v>
      </c>
      <c r="N294" s="1"/>
      <c r="O294" s="4"/>
    </row>
    <row r="295" spans="1:15" ht="14.4" x14ac:dyDescent="0.3">
      <c r="A295" s="3">
        <v>195</v>
      </c>
      <c r="B295" s="8" t="s">
        <v>693</v>
      </c>
      <c r="C295" s="5" t="s">
        <v>692</v>
      </c>
      <c r="D295" s="6">
        <v>469865122</v>
      </c>
      <c r="E295" s="5" t="s">
        <v>691</v>
      </c>
      <c r="F295" s="5" t="s">
        <v>4</v>
      </c>
      <c r="G295" s="5" t="s">
        <v>3</v>
      </c>
      <c r="H295" s="2"/>
      <c r="I295" s="2">
        <v>46178</v>
      </c>
      <c r="J295" s="2">
        <v>46234</v>
      </c>
      <c r="K295" s="2" t="s">
        <v>1899</v>
      </c>
      <c r="L295" s="1"/>
      <c r="M295" s="1" t="s">
        <v>12</v>
      </c>
      <c r="N295" s="1"/>
      <c r="O295" s="4"/>
    </row>
    <row r="296" spans="1:15" ht="14.4" x14ac:dyDescent="0.3">
      <c r="A296" s="3">
        <v>196</v>
      </c>
      <c r="B296" s="8" t="s">
        <v>690</v>
      </c>
      <c r="C296" s="5" t="s">
        <v>689</v>
      </c>
      <c r="D296" s="6">
        <v>470219978</v>
      </c>
      <c r="E296" s="5" t="s">
        <v>688</v>
      </c>
      <c r="F296" s="5" t="s">
        <v>28</v>
      </c>
      <c r="G296" s="5" t="s">
        <v>3</v>
      </c>
      <c r="H296" s="2"/>
      <c r="I296" s="2">
        <v>46188</v>
      </c>
      <c r="J296" s="2">
        <v>46234</v>
      </c>
      <c r="K296" s="2" t="s">
        <v>1899</v>
      </c>
      <c r="L296" s="1" t="s">
        <v>27</v>
      </c>
      <c r="M296" s="1" t="s">
        <v>17</v>
      </c>
      <c r="N296" s="1"/>
      <c r="O296" s="4"/>
    </row>
    <row r="297" spans="1:15" ht="14.4" x14ac:dyDescent="0.3">
      <c r="A297" s="3">
        <v>197</v>
      </c>
      <c r="B297" s="8" t="s">
        <v>687</v>
      </c>
      <c r="C297" s="5" t="s">
        <v>686</v>
      </c>
      <c r="D297" s="6">
        <v>625751607</v>
      </c>
      <c r="E297" s="5" t="s">
        <v>103</v>
      </c>
      <c r="F297" s="5" t="s">
        <v>28</v>
      </c>
      <c r="G297" s="5" t="s">
        <v>3</v>
      </c>
      <c r="H297" s="2"/>
      <c r="I297" s="2">
        <v>46198</v>
      </c>
      <c r="J297" s="2">
        <v>46234</v>
      </c>
      <c r="K297" s="2" t="s">
        <v>1899</v>
      </c>
      <c r="L297" s="1" t="s">
        <v>27</v>
      </c>
      <c r="M297" s="1" t="s">
        <v>17</v>
      </c>
      <c r="N297" s="1"/>
      <c r="O297" s="4"/>
    </row>
    <row r="298" spans="1:15" ht="14.4" x14ac:dyDescent="0.3">
      <c r="A298" s="3">
        <v>1</v>
      </c>
      <c r="B298" s="8" t="s">
        <v>672</v>
      </c>
      <c r="C298" s="5" t="s">
        <v>671</v>
      </c>
      <c r="D298" s="6">
        <v>572096262</v>
      </c>
      <c r="E298" s="5" t="s">
        <v>231</v>
      </c>
      <c r="F298" s="5" t="s">
        <v>48</v>
      </c>
      <c r="G298" s="5" t="s">
        <v>3</v>
      </c>
      <c r="H298" s="2">
        <v>46149</v>
      </c>
      <c r="I298" s="2">
        <v>46197</v>
      </c>
      <c r="J298" s="2"/>
      <c r="K298" s="2">
        <v>46254</v>
      </c>
      <c r="L298" s="1" t="s">
        <v>44</v>
      </c>
      <c r="M298" s="1" t="s">
        <v>535</v>
      </c>
      <c r="N298" s="1"/>
      <c r="O298" s="4"/>
    </row>
    <row r="299" spans="1:15" ht="14.4" x14ac:dyDescent="0.3">
      <c r="A299" s="3">
        <v>2</v>
      </c>
      <c r="B299" s="8" t="s">
        <v>670</v>
      </c>
      <c r="C299" s="5" t="s">
        <v>669</v>
      </c>
      <c r="D299" s="6">
        <v>446307024</v>
      </c>
      <c r="E299" s="5" t="s">
        <v>668</v>
      </c>
      <c r="F299" s="5" t="s">
        <v>32</v>
      </c>
      <c r="G299" s="5" t="s">
        <v>3</v>
      </c>
      <c r="H299" s="2">
        <v>46167</v>
      </c>
      <c r="I299" s="2"/>
      <c r="J299" s="2"/>
      <c r="K299" s="2">
        <v>46254</v>
      </c>
      <c r="L299" s="1" t="s">
        <v>27</v>
      </c>
      <c r="M299" s="1" t="s">
        <v>12</v>
      </c>
      <c r="N299" s="1"/>
      <c r="O299" s="4"/>
    </row>
    <row r="300" spans="1:15" ht="14.4" x14ac:dyDescent="0.3">
      <c r="A300" s="3">
        <v>4</v>
      </c>
      <c r="B300" s="8" t="s">
        <v>665</v>
      </c>
      <c r="C300" s="5" t="s">
        <v>664</v>
      </c>
      <c r="D300" s="6">
        <v>497082442</v>
      </c>
      <c r="E300" s="5" t="s">
        <v>663</v>
      </c>
      <c r="F300" s="5" t="s">
        <v>9</v>
      </c>
      <c r="G300" s="5" t="s">
        <v>3</v>
      </c>
      <c r="H300" s="2"/>
      <c r="I300" s="2">
        <v>46185</v>
      </c>
      <c r="J300" s="2"/>
      <c r="K300" s="2" t="s">
        <v>1899</v>
      </c>
      <c r="L300" s="1" t="s">
        <v>20</v>
      </c>
      <c r="M300" s="1" t="s">
        <v>12</v>
      </c>
      <c r="N300" s="1"/>
      <c r="O300" s="4"/>
    </row>
    <row r="301" spans="1:15" ht="14.4" x14ac:dyDescent="0.3">
      <c r="A301" s="3">
        <v>5</v>
      </c>
      <c r="B301" s="8" t="s">
        <v>662</v>
      </c>
      <c r="C301" s="5" t="s">
        <v>661</v>
      </c>
      <c r="D301" s="6">
        <v>411031869</v>
      </c>
      <c r="E301" s="5" t="s">
        <v>660</v>
      </c>
      <c r="F301" s="5" t="s">
        <v>40</v>
      </c>
      <c r="G301" s="5" t="s">
        <v>3</v>
      </c>
      <c r="H301" s="2">
        <v>46149</v>
      </c>
      <c r="I301" s="2">
        <v>46192</v>
      </c>
      <c r="J301" s="2"/>
      <c r="K301" s="2">
        <v>46255</v>
      </c>
      <c r="L301" s="1" t="s">
        <v>27</v>
      </c>
      <c r="M301" s="1" t="s">
        <v>12</v>
      </c>
      <c r="N301" s="1"/>
      <c r="O301" s="4"/>
    </row>
    <row r="302" spans="1:15" ht="14.4" x14ac:dyDescent="0.3">
      <c r="A302" s="3">
        <v>6</v>
      </c>
      <c r="B302" s="11" t="s">
        <v>659</v>
      </c>
      <c r="C302" s="5" t="s">
        <v>658</v>
      </c>
      <c r="D302" s="6">
        <v>447140418</v>
      </c>
      <c r="E302" s="5" t="s">
        <v>536</v>
      </c>
      <c r="F302" s="5" t="s">
        <v>4</v>
      </c>
      <c r="G302" s="5" t="s">
        <v>3</v>
      </c>
      <c r="H302" s="2">
        <v>46167</v>
      </c>
      <c r="I302" s="2">
        <v>46190</v>
      </c>
      <c r="J302" s="2"/>
      <c r="K302" s="2">
        <v>46255</v>
      </c>
      <c r="L302" s="1" t="s">
        <v>2</v>
      </c>
      <c r="M302" s="1" t="s">
        <v>12</v>
      </c>
      <c r="N302" s="1"/>
      <c r="O302" s="4" t="s">
        <v>0</v>
      </c>
    </row>
    <row r="303" spans="1:15" ht="14.4" x14ac:dyDescent="0.3">
      <c r="A303" s="3">
        <v>7</v>
      </c>
      <c r="B303" s="8" t="s">
        <v>657</v>
      </c>
      <c r="C303" s="5" t="s">
        <v>656</v>
      </c>
      <c r="D303" s="6">
        <v>603491324</v>
      </c>
      <c r="E303" s="5" t="s">
        <v>306</v>
      </c>
      <c r="F303" s="5" t="s">
        <v>48</v>
      </c>
      <c r="G303" s="5" t="s">
        <v>3</v>
      </c>
      <c r="H303" s="2">
        <v>46162</v>
      </c>
      <c r="I303" s="2">
        <v>46181</v>
      </c>
      <c r="J303" s="2"/>
      <c r="K303" s="2">
        <v>46255</v>
      </c>
      <c r="L303" s="1" t="s">
        <v>44</v>
      </c>
      <c r="M303" s="1" t="s">
        <v>17</v>
      </c>
      <c r="N303" s="1"/>
      <c r="O303" s="4"/>
    </row>
    <row r="304" spans="1:15" ht="14.4" x14ac:dyDescent="0.3">
      <c r="A304" s="3">
        <v>10</v>
      </c>
      <c r="B304" s="17" t="s">
        <v>649</v>
      </c>
      <c r="C304" s="5" t="s">
        <v>648</v>
      </c>
      <c r="D304" s="6">
        <v>447870645</v>
      </c>
      <c r="E304" s="5" t="s">
        <v>647</v>
      </c>
      <c r="F304" s="5" t="s">
        <v>4</v>
      </c>
      <c r="G304" s="5" t="s">
        <v>3</v>
      </c>
      <c r="H304" s="2">
        <v>46153</v>
      </c>
      <c r="I304" s="2"/>
      <c r="J304" s="2"/>
      <c r="K304" s="2">
        <v>46255</v>
      </c>
      <c r="L304" s="1" t="s">
        <v>2</v>
      </c>
      <c r="M304" s="1" t="s">
        <v>12</v>
      </c>
      <c r="N304" s="1"/>
      <c r="O304" s="4"/>
    </row>
    <row r="305" spans="1:15" ht="14.4" x14ac:dyDescent="0.3">
      <c r="A305" s="3">
        <v>11</v>
      </c>
      <c r="B305" s="8" t="s">
        <v>646</v>
      </c>
      <c r="C305" s="5" t="s">
        <v>645</v>
      </c>
      <c r="D305" s="6">
        <v>375227174</v>
      </c>
      <c r="E305" s="5" t="s">
        <v>644</v>
      </c>
      <c r="F305" s="5" t="s">
        <v>36</v>
      </c>
      <c r="G305" s="5" t="s">
        <v>3</v>
      </c>
      <c r="H305" s="2"/>
      <c r="I305" s="2">
        <v>46196</v>
      </c>
      <c r="J305" s="2"/>
      <c r="K305" s="2">
        <v>46256</v>
      </c>
      <c r="L305" s="1" t="s">
        <v>13</v>
      </c>
      <c r="M305" s="1" t="s">
        <v>12</v>
      </c>
      <c r="N305" s="1"/>
      <c r="O305" s="4"/>
    </row>
    <row r="306" spans="1:15" ht="14.4" x14ac:dyDescent="0.3">
      <c r="A306" s="3">
        <v>15</v>
      </c>
      <c r="B306" s="8" t="s">
        <v>635</v>
      </c>
      <c r="C306" s="5" t="s">
        <v>634</v>
      </c>
      <c r="D306" s="6">
        <v>623771332</v>
      </c>
      <c r="E306" s="5" t="s">
        <v>452</v>
      </c>
      <c r="F306" s="5" t="s">
        <v>36</v>
      </c>
      <c r="G306" s="5" t="s">
        <v>3</v>
      </c>
      <c r="H306" s="2">
        <v>46161</v>
      </c>
      <c r="I306" s="2"/>
      <c r="J306" s="2"/>
      <c r="K306" s="2">
        <v>46258</v>
      </c>
      <c r="L306" s="1" t="s">
        <v>13</v>
      </c>
      <c r="M306" s="1" t="s">
        <v>17</v>
      </c>
      <c r="N306" s="1"/>
      <c r="O306" s="4"/>
    </row>
    <row r="307" spans="1:15" ht="14.4" x14ac:dyDescent="0.3">
      <c r="A307" s="3">
        <v>16</v>
      </c>
      <c r="B307" s="8" t="s">
        <v>633</v>
      </c>
      <c r="C307" s="5" t="s">
        <v>632</v>
      </c>
      <c r="D307" s="6">
        <v>516583273</v>
      </c>
      <c r="E307" s="5" t="s">
        <v>192</v>
      </c>
      <c r="F307" s="5" t="s">
        <v>9</v>
      </c>
      <c r="G307" s="5" t="s">
        <v>3</v>
      </c>
      <c r="H307" s="2"/>
      <c r="I307" s="2">
        <v>46176</v>
      </c>
      <c r="J307" s="2"/>
      <c r="K307" s="2">
        <v>46261</v>
      </c>
      <c r="L307" s="1" t="s">
        <v>20</v>
      </c>
      <c r="M307" s="1" t="s">
        <v>17</v>
      </c>
      <c r="N307" s="1"/>
      <c r="O307" s="4"/>
    </row>
    <row r="308" spans="1:15" ht="14.4" x14ac:dyDescent="0.3">
      <c r="A308" s="3">
        <v>17</v>
      </c>
      <c r="B308" s="8" t="s">
        <v>631</v>
      </c>
      <c r="C308" s="5" t="s">
        <v>630</v>
      </c>
      <c r="D308" s="6">
        <v>625900570</v>
      </c>
      <c r="E308" s="5" t="s">
        <v>629</v>
      </c>
      <c r="F308" s="5" t="s">
        <v>40</v>
      </c>
      <c r="G308" s="5" t="s">
        <v>3</v>
      </c>
      <c r="H308" s="2"/>
      <c r="I308" s="2">
        <v>46177</v>
      </c>
      <c r="J308" s="2"/>
      <c r="K308" s="2">
        <v>46258</v>
      </c>
      <c r="L308" s="1" t="s">
        <v>27</v>
      </c>
      <c r="M308" s="1" t="s">
        <v>17</v>
      </c>
      <c r="N308" s="1"/>
      <c r="O308" s="4"/>
    </row>
    <row r="309" spans="1:15" ht="14.4" x14ac:dyDescent="0.3">
      <c r="A309" s="3">
        <v>18</v>
      </c>
      <c r="B309" s="8" t="s">
        <v>628</v>
      </c>
      <c r="C309" s="5" t="s">
        <v>627</v>
      </c>
      <c r="D309" s="6">
        <v>516243557</v>
      </c>
      <c r="E309" s="5" t="s">
        <v>626</v>
      </c>
      <c r="F309" s="5" t="s">
        <v>36</v>
      </c>
      <c r="G309" s="5" t="s">
        <v>3</v>
      </c>
      <c r="H309" s="2"/>
      <c r="I309" s="2">
        <v>46175</v>
      </c>
      <c r="J309" s="2"/>
      <c r="K309" s="2">
        <v>46258</v>
      </c>
      <c r="L309" s="1" t="s">
        <v>13</v>
      </c>
      <c r="M309" s="1" t="s">
        <v>12</v>
      </c>
      <c r="N309" s="1"/>
      <c r="O309" s="4"/>
    </row>
    <row r="310" spans="1:15" ht="14.4" x14ac:dyDescent="0.3">
      <c r="A310" s="3">
        <v>19</v>
      </c>
      <c r="B310" s="8" t="s">
        <v>625</v>
      </c>
      <c r="C310" s="5" t="s">
        <v>624</v>
      </c>
      <c r="D310" s="6">
        <v>575328815</v>
      </c>
      <c r="E310" s="5" t="s">
        <v>623</v>
      </c>
      <c r="F310" s="5" t="s">
        <v>36</v>
      </c>
      <c r="G310" s="5" t="s">
        <v>3</v>
      </c>
      <c r="H310" s="2">
        <v>46158</v>
      </c>
      <c r="I310" s="2">
        <v>46202</v>
      </c>
      <c r="J310" s="2"/>
      <c r="K310" s="2">
        <v>46265</v>
      </c>
      <c r="L310" s="1" t="s">
        <v>13</v>
      </c>
      <c r="M310" s="1" t="s">
        <v>17</v>
      </c>
      <c r="N310" s="1"/>
      <c r="O310" s="4"/>
    </row>
    <row r="311" spans="1:15" ht="14.4" x14ac:dyDescent="0.3">
      <c r="A311" s="3">
        <v>20</v>
      </c>
      <c r="B311" s="8" t="s">
        <v>622</v>
      </c>
      <c r="C311" s="5" t="s">
        <v>621</v>
      </c>
      <c r="D311" s="6">
        <v>508507043</v>
      </c>
      <c r="E311" s="5" t="s">
        <v>620</v>
      </c>
      <c r="F311" s="5" t="s">
        <v>48</v>
      </c>
      <c r="G311" s="5" t="s">
        <v>3</v>
      </c>
      <c r="H311" s="2">
        <v>46160</v>
      </c>
      <c r="I311" s="2">
        <v>46202</v>
      </c>
      <c r="J311" s="2"/>
      <c r="K311" s="2" t="s">
        <v>1899</v>
      </c>
      <c r="L311" s="1" t="s">
        <v>44</v>
      </c>
      <c r="M311" s="1" t="s">
        <v>17</v>
      </c>
      <c r="N311" s="1"/>
      <c r="O311" s="4"/>
    </row>
    <row r="312" spans="1:15" ht="14.4" x14ac:dyDescent="0.3">
      <c r="A312" s="3">
        <v>21</v>
      </c>
      <c r="B312" s="8" t="s">
        <v>619</v>
      </c>
      <c r="C312" s="5" t="s">
        <v>618</v>
      </c>
      <c r="D312" s="6">
        <v>600530996</v>
      </c>
      <c r="E312" s="5" t="s">
        <v>617</v>
      </c>
      <c r="F312" s="5" t="s">
        <v>9</v>
      </c>
      <c r="G312" s="5" t="s">
        <v>3</v>
      </c>
      <c r="H312" s="2"/>
      <c r="I312" s="2"/>
      <c r="J312" s="2"/>
      <c r="K312" s="2">
        <v>46258</v>
      </c>
      <c r="L312" s="1" t="s">
        <v>20</v>
      </c>
      <c r="M312" s="1" t="s">
        <v>12</v>
      </c>
      <c r="N312" s="1" t="s">
        <v>616</v>
      </c>
      <c r="O312" s="4"/>
    </row>
    <row r="313" spans="1:15" ht="14.4" x14ac:dyDescent="0.3">
      <c r="A313" s="3">
        <v>22</v>
      </c>
      <c r="B313" s="17" t="s">
        <v>615</v>
      </c>
      <c r="C313" s="5" t="s">
        <v>614</v>
      </c>
      <c r="D313" s="6">
        <v>464428656</v>
      </c>
      <c r="E313" s="5" t="s">
        <v>613</v>
      </c>
      <c r="F313" s="5" t="s">
        <v>90</v>
      </c>
      <c r="G313" s="5" t="s">
        <v>3</v>
      </c>
      <c r="H313" s="2">
        <v>46151</v>
      </c>
      <c r="I313" s="2">
        <v>46193</v>
      </c>
      <c r="J313" s="2"/>
      <c r="K313" s="2" t="s">
        <v>1899</v>
      </c>
      <c r="L313" s="1" t="s">
        <v>13</v>
      </c>
      <c r="M313" s="1" t="s">
        <v>12</v>
      </c>
      <c r="N313" s="1"/>
      <c r="O313" s="4" t="s">
        <v>495</v>
      </c>
    </row>
    <row r="314" spans="1:15" ht="14.4" x14ac:dyDescent="0.3">
      <c r="A314" s="3">
        <v>23</v>
      </c>
      <c r="B314" s="8" t="s">
        <v>612</v>
      </c>
      <c r="C314" s="5" t="s">
        <v>611</v>
      </c>
      <c r="D314" s="6">
        <v>588596599</v>
      </c>
      <c r="E314" s="5" t="s">
        <v>610</v>
      </c>
      <c r="F314" s="5" t="s">
        <v>32</v>
      </c>
      <c r="G314" s="5" t="s">
        <v>3</v>
      </c>
      <c r="H314" s="2">
        <v>46144</v>
      </c>
      <c r="I314" s="2">
        <v>46186</v>
      </c>
      <c r="J314" s="2"/>
      <c r="K314" s="2">
        <v>46263</v>
      </c>
      <c r="L314" s="1" t="s">
        <v>27</v>
      </c>
      <c r="M314" s="1" t="s">
        <v>17</v>
      </c>
      <c r="N314" s="1"/>
      <c r="O314" s="4"/>
    </row>
    <row r="315" spans="1:15" ht="14.4" x14ac:dyDescent="0.3">
      <c r="A315" s="3">
        <v>25</v>
      </c>
      <c r="B315" s="8" t="s">
        <v>606</v>
      </c>
      <c r="C315" s="5" t="s">
        <v>605</v>
      </c>
      <c r="D315" s="6">
        <v>460704427</v>
      </c>
      <c r="E315" s="5" t="s">
        <v>508</v>
      </c>
      <c r="F315" s="5" t="s">
        <v>4</v>
      </c>
      <c r="G315" s="5" t="s">
        <v>3</v>
      </c>
      <c r="H315" s="2">
        <v>46170</v>
      </c>
      <c r="I315" s="2">
        <v>46190</v>
      </c>
      <c r="J315" s="2" t="s">
        <v>507</v>
      </c>
      <c r="K315" s="2" t="s">
        <v>1899</v>
      </c>
      <c r="L315" s="1" t="s">
        <v>2</v>
      </c>
      <c r="M315" s="1" t="s">
        <v>12</v>
      </c>
      <c r="N315" s="1"/>
      <c r="O315" s="4"/>
    </row>
    <row r="316" spans="1:15" ht="14.4" x14ac:dyDescent="0.3">
      <c r="A316" s="3">
        <v>26</v>
      </c>
      <c r="B316" s="8" t="s">
        <v>604</v>
      </c>
      <c r="C316" s="5" t="s">
        <v>603</v>
      </c>
      <c r="D316" s="6">
        <v>575256474</v>
      </c>
      <c r="E316" s="5" t="s">
        <v>131</v>
      </c>
      <c r="F316" s="5" t="s">
        <v>9</v>
      </c>
      <c r="G316" s="5" t="s">
        <v>3</v>
      </c>
      <c r="H316" s="2">
        <v>46162</v>
      </c>
      <c r="I316" s="2">
        <v>46196</v>
      </c>
      <c r="J316" s="2"/>
      <c r="K316" s="2" t="s">
        <v>1899</v>
      </c>
      <c r="L316" s="1" t="s">
        <v>124</v>
      </c>
      <c r="M316" s="1" t="s">
        <v>17</v>
      </c>
      <c r="N316" s="1"/>
      <c r="O316" s="4"/>
    </row>
    <row r="317" spans="1:15" ht="14.4" x14ac:dyDescent="0.3">
      <c r="A317" s="3">
        <v>27</v>
      </c>
      <c r="B317" s="8" t="s">
        <v>602</v>
      </c>
      <c r="C317" s="5" t="s">
        <v>601</v>
      </c>
      <c r="D317" s="6">
        <v>586791190</v>
      </c>
      <c r="E317" s="5" t="s">
        <v>600</v>
      </c>
      <c r="F317" s="5" t="s">
        <v>58</v>
      </c>
      <c r="G317" s="5" t="s">
        <v>3</v>
      </c>
      <c r="H317" s="2">
        <v>46148</v>
      </c>
      <c r="I317" s="2">
        <v>46197</v>
      </c>
      <c r="J317" s="2"/>
      <c r="K317" s="2" t="s">
        <v>1899</v>
      </c>
      <c r="L317" s="1" t="s">
        <v>27</v>
      </c>
      <c r="M317" s="1" t="s">
        <v>17</v>
      </c>
      <c r="N317" s="1"/>
      <c r="O317" s="4"/>
    </row>
    <row r="318" spans="1:15" ht="14.4" x14ac:dyDescent="0.3">
      <c r="A318" s="3">
        <v>28</v>
      </c>
      <c r="B318" s="8" t="s">
        <v>599</v>
      </c>
      <c r="C318" s="5" t="s">
        <v>598</v>
      </c>
      <c r="D318" s="6">
        <v>677431026</v>
      </c>
      <c r="E318" s="5" t="s">
        <v>597</v>
      </c>
      <c r="F318" s="5" t="s">
        <v>36</v>
      </c>
      <c r="G318" s="5" t="s">
        <v>3</v>
      </c>
      <c r="H318" s="2">
        <v>46154</v>
      </c>
      <c r="I318" s="2">
        <v>46183</v>
      </c>
      <c r="J318" s="2"/>
      <c r="K318" s="2" t="s">
        <v>1899</v>
      </c>
      <c r="L318" s="1" t="s">
        <v>13</v>
      </c>
      <c r="M318" s="1" t="s">
        <v>17</v>
      </c>
      <c r="N318" s="1"/>
      <c r="O318" s="4"/>
    </row>
    <row r="319" spans="1:15" ht="14.4" x14ac:dyDescent="0.3">
      <c r="A319" s="3">
        <v>29</v>
      </c>
      <c r="B319" s="8" t="s">
        <v>596</v>
      </c>
      <c r="C319" s="5" t="s">
        <v>595</v>
      </c>
      <c r="D319" s="6">
        <v>518774998</v>
      </c>
      <c r="E319" s="5" t="s">
        <v>159</v>
      </c>
      <c r="F319" s="5" t="s">
        <v>32</v>
      </c>
      <c r="G319" s="5" t="s">
        <v>3</v>
      </c>
      <c r="H319" s="2">
        <v>46158</v>
      </c>
      <c r="I319" s="2">
        <v>46195</v>
      </c>
      <c r="J319" s="2"/>
      <c r="K319" s="2" t="s">
        <v>1899</v>
      </c>
      <c r="L319" s="1" t="s">
        <v>27</v>
      </c>
      <c r="M319" s="1" t="s">
        <v>17</v>
      </c>
      <c r="N319" s="1"/>
      <c r="O319" s="4"/>
    </row>
    <row r="320" spans="1:15" ht="14.4" x14ac:dyDescent="0.3">
      <c r="A320" s="3">
        <v>30</v>
      </c>
      <c r="B320" s="8" t="s">
        <v>594</v>
      </c>
      <c r="C320" s="5" t="s">
        <v>593</v>
      </c>
      <c r="D320" s="6">
        <v>428875375</v>
      </c>
      <c r="E320" s="5" t="s">
        <v>592</v>
      </c>
      <c r="F320" s="5" t="s">
        <v>48</v>
      </c>
      <c r="G320" s="5" t="s">
        <v>3</v>
      </c>
      <c r="H320" s="2">
        <v>46161</v>
      </c>
      <c r="I320" s="2">
        <v>46199</v>
      </c>
      <c r="J320" s="2"/>
      <c r="K320" s="2" t="s">
        <v>1899</v>
      </c>
      <c r="L320" s="1" t="s">
        <v>44</v>
      </c>
      <c r="M320" s="1" t="s">
        <v>12</v>
      </c>
      <c r="N320" s="1"/>
      <c r="O320" s="4" t="s">
        <v>591</v>
      </c>
    </row>
    <row r="321" spans="1:15" ht="14.4" x14ac:dyDescent="0.3">
      <c r="A321" s="3">
        <v>31</v>
      </c>
      <c r="B321" s="8" t="s">
        <v>590</v>
      </c>
      <c r="C321" s="5" t="s">
        <v>589</v>
      </c>
      <c r="D321" s="6">
        <v>616864230</v>
      </c>
      <c r="E321" s="5" t="s">
        <v>24</v>
      </c>
      <c r="F321" s="5" t="s">
        <v>9</v>
      </c>
      <c r="G321" s="5" t="s">
        <v>3</v>
      </c>
      <c r="H321" s="2">
        <v>46161</v>
      </c>
      <c r="I321" s="2">
        <v>46190</v>
      </c>
      <c r="J321" s="2"/>
      <c r="K321" s="2" t="s">
        <v>1899</v>
      </c>
      <c r="L321" s="1" t="s">
        <v>20</v>
      </c>
      <c r="M321" s="1" t="s">
        <v>17</v>
      </c>
      <c r="N321" s="1"/>
      <c r="O321" s="4"/>
    </row>
    <row r="322" spans="1:15" ht="14.4" x14ac:dyDescent="0.3">
      <c r="A322" s="3">
        <v>32</v>
      </c>
      <c r="B322" s="8" t="s">
        <v>588</v>
      </c>
      <c r="C322" s="5" t="s">
        <v>587</v>
      </c>
      <c r="D322" s="6">
        <v>516774244</v>
      </c>
      <c r="E322" s="5" t="s">
        <v>586</v>
      </c>
      <c r="F322" s="5" t="s">
        <v>36</v>
      </c>
      <c r="G322" s="5" t="s">
        <v>3</v>
      </c>
      <c r="H322" s="2">
        <v>46161</v>
      </c>
      <c r="I322" s="2">
        <v>46195</v>
      </c>
      <c r="J322" s="2"/>
      <c r="K322" s="2" t="s">
        <v>1899</v>
      </c>
      <c r="L322" s="1" t="s">
        <v>13</v>
      </c>
      <c r="M322" s="1" t="s">
        <v>17</v>
      </c>
      <c r="N322" s="1"/>
      <c r="O322" s="4"/>
    </row>
    <row r="323" spans="1:15" ht="14.4" x14ac:dyDescent="0.3">
      <c r="A323" s="3">
        <v>33</v>
      </c>
      <c r="B323" s="8" t="s">
        <v>585</v>
      </c>
      <c r="C323" s="5" t="s">
        <v>584</v>
      </c>
      <c r="D323" s="6">
        <v>560543481</v>
      </c>
      <c r="E323" s="5" t="s">
        <v>581</v>
      </c>
      <c r="F323" s="5" t="s">
        <v>32</v>
      </c>
      <c r="G323" s="5" t="s">
        <v>3</v>
      </c>
      <c r="H323" s="2">
        <v>46162</v>
      </c>
      <c r="I323" s="2">
        <v>46196</v>
      </c>
      <c r="J323" s="2"/>
      <c r="K323" s="2" t="s">
        <v>1899</v>
      </c>
      <c r="L323" s="1" t="s">
        <v>27</v>
      </c>
      <c r="M323" s="1" t="s">
        <v>17</v>
      </c>
      <c r="N323" s="1"/>
      <c r="O323" s="4"/>
    </row>
    <row r="324" spans="1:15" ht="14.4" x14ac:dyDescent="0.3">
      <c r="A324" s="3">
        <v>34</v>
      </c>
      <c r="B324" s="8" t="s">
        <v>583</v>
      </c>
      <c r="C324" s="5" t="s">
        <v>582</v>
      </c>
      <c r="D324" s="6">
        <v>679624774</v>
      </c>
      <c r="E324" s="5" t="s">
        <v>581</v>
      </c>
      <c r="F324" s="5" t="s">
        <v>32</v>
      </c>
      <c r="G324" s="5" t="s">
        <v>3</v>
      </c>
      <c r="H324" s="2">
        <v>46162</v>
      </c>
      <c r="I324" s="2">
        <v>46196</v>
      </c>
      <c r="J324" s="2"/>
      <c r="K324" s="2" t="s">
        <v>1899</v>
      </c>
      <c r="L324" s="1" t="s">
        <v>27</v>
      </c>
      <c r="M324" s="1" t="s">
        <v>17</v>
      </c>
      <c r="N324" s="1"/>
      <c r="O324" s="4"/>
    </row>
    <row r="325" spans="1:15" ht="14.4" x14ac:dyDescent="0.3">
      <c r="A325" s="3">
        <v>35</v>
      </c>
      <c r="B325" s="8" t="s">
        <v>580</v>
      </c>
      <c r="C325" s="5" t="s">
        <v>579</v>
      </c>
      <c r="D325" s="6">
        <v>613568744</v>
      </c>
      <c r="E325" s="5" t="s">
        <v>578</v>
      </c>
      <c r="F325" s="5" t="s">
        <v>40</v>
      </c>
      <c r="G325" s="5" t="s">
        <v>3</v>
      </c>
      <c r="H325" s="2">
        <v>46164</v>
      </c>
      <c r="I325" s="2">
        <v>46185</v>
      </c>
      <c r="J325" s="2"/>
      <c r="K325" s="2">
        <v>46262</v>
      </c>
      <c r="L325" s="1" t="s">
        <v>27</v>
      </c>
      <c r="M325" s="1" t="s">
        <v>12</v>
      </c>
      <c r="N325" s="1"/>
      <c r="O325" s="4"/>
    </row>
    <row r="326" spans="1:15" ht="14.4" x14ac:dyDescent="0.3">
      <c r="A326" s="3">
        <v>36</v>
      </c>
      <c r="B326" s="8" t="s">
        <v>577</v>
      </c>
      <c r="C326" s="5" t="s">
        <v>576</v>
      </c>
      <c r="D326" s="6">
        <v>652203158</v>
      </c>
      <c r="E326" s="5" t="s">
        <v>575</v>
      </c>
      <c r="F326" s="5" t="s">
        <v>40</v>
      </c>
      <c r="G326" s="5" t="s">
        <v>3</v>
      </c>
      <c r="H326" s="2">
        <v>46164</v>
      </c>
      <c r="I326" s="2">
        <v>46185</v>
      </c>
      <c r="J326" s="2"/>
      <c r="K326" s="2">
        <v>46262</v>
      </c>
      <c r="L326" s="1" t="s">
        <v>27</v>
      </c>
      <c r="M326" s="1" t="s">
        <v>17</v>
      </c>
      <c r="N326" s="1"/>
      <c r="O326" s="4"/>
    </row>
    <row r="327" spans="1:15" ht="14.4" x14ac:dyDescent="0.3">
      <c r="A327" s="3">
        <v>37</v>
      </c>
      <c r="B327" s="8" t="s">
        <v>574</v>
      </c>
      <c r="C327" s="5" t="s">
        <v>573</v>
      </c>
      <c r="D327" s="6">
        <v>474061662</v>
      </c>
      <c r="E327" s="5" t="s">
        <v>426</v>
      </c>
      <c r="F327" s="5" t="s">
        <v>9</v>
      </c>
      <c r="G327" s="5" t="s">
        <v>3</v>
      </c>
      <c r="H327" s="2">
        <v>46164</v>
      </c>
      <c r="I327" s="2">
        <v>46202</v>
      </c>
      <c r="J327" s="2"/>
      <c r="K327" s="2" t="s">
        <v>1899</v>
      </c>
      <c r="L327" s="1" t="s">
        <v>124</v>
      </c>
      <c r="M327" s="1" t="s">
        <v>17</v>
      </c>
      <c r="N327" s="1"/>
      <c r="O327" s="4"/>
    </row>
    <row r="328" spans="1:15" ht="14.4" x14ac:dyDescent="0.3">
      <c r="A328" s="3">
        <v>38</v>
      </c>
      <c r="B328" s="9" t="s">
        <v>572</v>
      </c>
      <c r="C328" s="5" t="s">
        <v>571</v>
      </c>
      <c r="D328" s="6">
        <v>647396403</v>
      </c>
      <c r="E328" s="5" t="s">
        <v>268</v>
      </c>
      <c r="F328" s="5" t="s">
        <v>4</v>
      </c>
      <c r="G328" s="5" t="s">
        <v>3</v>
      </c>
      <c r="H328" s="2">
        <v>46164</v>
      </c>
      <c r="I328" s="2">
        <v>46199</v>
      </c>
      <c r="J328" s="2"/>
      <c r="K328" s="2" t="s">
        <v>1899</v>
      </c>
      <c r="L328" s="1" t="s">
        <v>2</v>
      </c>
      <c r="M328" s="1" t="s">
        <v>17</v>
      </c>
      <c r="N328" s="1"/>
      <c r="O328" s="4"/>
    </row>
    <row r="329" spans="1:15" ht="14.4" x14ac:dyDescent="0.3">
      <c r="A329" s="3">
        <v>39</v>
      </c>
      <c r="B329" s="8" t="s">
        <v>570</v>
      </c>
      <c r="C329" s="5" t="s">
        <v>569</v>
      </c>
      <c r="D329" s="6">
        <v>580762009</v>
      </c>
      <c r="E329" s="5" t="s">
        <v>568</v>
      </c>
      <c r="F329" s="5" t="s">
        <v>32</v>
      </c>
      <c r="G329" s="5" t="s">
        <v>3</v>
      </c>
      <c r="H329" s="2">
        <v>46167</v>
      </c>
      <c r="I329" s="2">
        <v>46198</v>
      </c>
      <c r="J329" s="2"/>
      <c r="K329" s="2" t="s">
        <v>1899</v>
      </c>
      <c r="L329" s="1" t="s">
        <v>27</v>
      </c>
      <c r="M329" s="1" t="s">
        <v>17</v>
      </c>
      <c r="N329" s="1"/>
      <c r="O329" s="4"/>
    </row>
    <row r="330" spans="1:15" ht="14.4" x14ac:dyDescent="0.3">
      <c r="A330" s="3">
        <v>40</v>
      </c>
      <c r="B330" s="8" t="s">
        <v>567</v>
      </c>
      <c r="C330" s="5" t="s">
        <v>566</v>
      </c>
      <c r="D330" s="6">
        <v>548815109</v>
      </c>
      <c r="E330" s="5" t="s">
        <v>565</v>
      </c>
      <c r="F330" s="5" t="s">
        <v>28</v>
      </c>
      <c r="G330" s="5" t="s">
        <v>3</v>
      </c>
      <c r="H330" s="2">
        <v>46168</v>
      </c>
      <c r="I330" s="2">
        <v>46183</v>
      </c>
      <c r="J330" s="2"/>
      <c r="K330" s="2" t="s">
        <v>1899</v>
      </c>
      <c r="L330" s="1" t="s">
        <v>27</v>
      </c>
      <c r="M330" s="1" t="s">
        <v>17</v>
      </c>
      <c r="N330" s="1"/>
      <c r="O330" s="4"/>
    </row>
    <row r="331" spans="1:15" ht="14.4" x14ac:dyDescent="0.3">
      <c r="A331" s="3">
        <v>41</v>
      </c>
      <c r="B331" s="8" t="s">
        <v>564</v>
      </c>
      <c r="C331" s="5" t="s">
        <v>563</v>
      </c>
      <c r="D331" s="6">
        <v>614169977</v>
      </c>
      <c r="E331" s="5" t="s">
        <v>562</v>
      </c>
      <c r="F331" s="5" t="s">
        <v>48</v>
      </c>
      <c r="G331" s="5" t="s">
        <v>3</v>
      </c>
      <c r="H331" s="2">
        <v>46168</v>
      </c>
      <c r="I331" s="2">
        <v>46186</v>
      </c>
      <c r="J331" s="2"/>
      <c r="K331" s="2" t="s">
        <v>1899</v>
      </c>
      <c r="L331" s="1" t="s">
        <v>44</v>
      </c>
      <c r="M331" s="1" t="s">
        <v>17</v>
      </c>
      <c r="N331" s="1"/>
      <c r="O331" s="4"/>
    </row>
    <row r="332" spans="1:15" ht="14.4" x14ac:dyDescent="0.3">
      <c r="A332" s="3">
        <v>42</v>
      </c>
      <c r="B332" s="8" t="s">
        <v>561</v>
      </c>
      <c r="C332" s="5" t="s">
        <v>560</v>
      </c>
      <c r="D332" s="6">
        <v>481917106</v>
      </c>
      <c r="E332" s="5" t="s">
        <v>84</v>
      </c>
      <c r="F332" s="5" t="s">
        <v>28</v>
      </c>
      <c r="G332" s="5" t="s">
        <v>3</v>
      </c>
      <c r="H332" s="2">
        <v>46170</v>
      </c>
      <c r="I332" s="2">
        <v>46200</v>
      </c>
      <c r="J332" s="2"/>
      <c r="K332" s="2" t="s">
        <v>1899</v>
      </c>
      <c r="L332" s="1" t="s">
        <v>27</v>
      </c>
      <c r="M332" s="1" t="s">
        <v>17</v>
      </c>
      <c r="N332" s="1"/>
      <c r="O332" s="4"/>
    </row>
    <row r="333" spans="1:15" ht="14.4" x14ac:dyDescent="0.3">
      <c r="A333" s="3">
        <v>43</v>
      </c>
      <c r="B333" s="11" t="s">
        <v>559</v>
      </c>
      <c r="C333" s="5" t="s">
        <v>558</v>
      </c>
      <c r="D333" s="6">
        <v>601738947</v>
      </c>
      <c r="E333" s="5" t="s">
        <v>198</v>
      </c>
      <c r="F333" s="5" t="s">
        <v>9</v>
      </c>
      <c r="G333" s="5" t="s">
        <v>3</v>
      </c>
      <c r="H333" s="2">
        <v>46171</v>
      </c>
      <c r="I333" s="2">
        <v>46202</v>
      </c>
      <c r="J333" s="2"/>
      <c r="K333" s="2" t="s">
        <v>1899</v>
      </c>
      <c r="L333" s="1" t="s">
        <v>20</v>
      </c>
      <c r="M333" s="1" t="s">
        <v>17</v>
      </c>
      <c r="N333" s="1"/>
      <c r="O333" s="4"/>
    </row>
    <row r="334" spans="1:15" ht="14.4" x14ac:dyDescent="0.3">
      <c r="A334" s="3">
        <v>44</v>
      </c>
      <c r="B334" s="8" t="s">
        <v>557</v>
      </c>
      <c r="C334" s="5" t="s">
        <v>556</v>
      </c>
      <c r="D334" s="6">
        <v>606335478</v>
      </c>
      <c r="E334" s="5" t="s">
        <v>41</v>
      </c>
      <c r="F334" s="5" t="s">
        <v>40</v>
      </c>
      <c r="G334" s="5" t="s">
        <v>3</v>
      </c>
      <c r="H334" s="2">
        <v>46171</v>
      </c>
      <c r="I334" s="2">
        <v>46203</v>
      </c>
      <c r="J334" s="2"/>
      <c r="K334" s="2" t="s">
        <v>1899</v>
      </c>
      <c r="L334" s="1" t="s">
        <v>27</v>
      </c>
      <c r="M334" s="1" t="s">
        <v>17</v>
      </c>
      <c r="N334" s="1"/>
      <c r="O334" s="4"/>
    </row>
    <row r="335" spans="1:15" ht="14.4" x14ac:dyDescent="0.3">
      <c r="A335" s="3">
        <v>45</v>
      </c>
      <c r="B335" s="8" t="s">
        <v>555</v>
      </c>
      <c r="C335" s="5" t="s">
        <v>554</v>
      </c>
      <c r="D335" s="6">
        <v>609081580</v>
      </c>
      <c r="E335" s="5" t="s">
        <v>5</v>
      </c>
      <c r="F335" s="5" t="s">
        <v>4</v>
      </c>
      <c r="G335" s="5" t="s">
        <v>3</v>
      </c>
      <c r="H335" s="2"/>
      <c r="I335" s="2">
        <v>46182</v>
      </c>
      <c r="J335" s="2"/>
      <c r="K335" s="2" t="s">
        <v>1899</v>
      </c>
      <c r="L335" s="1" t="s">
        <v>2</v>
      </c>
      <c r="M335" s="1" t="s">
        <v>17</v>
      </c>
      <c r="N335" s="1"/>
      <c r="O335" s="4"/>
    </row>
    <row r="336" spans="1:15" ht="14.4" x14ac:dyDescent="0.3">
      <c r="A336" s="3">
        <v>46</v>
      </c>
      <c r="B336" s="8" t="s">
        <v>553</v>
      </c>
      <c r="C336" s="5" t="s">
        <v>552</v>
      </c>
      <c r="D336" s="6">
        <v>558953281</v>
      </c>
      <c r="E336" s="5" t="s">
        <v>336</v>
      </c>
      <c r="F336" s="5" t="s">
        <v>9</v>
      </c>
      <c r="G336" s="5" t="s">
        <v>3</v>
      </c>
      <c r="H336" s="2"/>
      <c r="I336" s="2">
        <v>46200</v>
      </c>
      <c r="J336" s="2"/>
      <c r="K336" s="2" t="s">
        <v>1899</v>
      </c>
      <c r="L336" s="1" t="s">
        <v>13</v>
      </c>
      <c r="M336" s="1" t="s">
        <v>12</v>
      </c>
      <c r="N336" s="1"/>
      <c r="O336" s="4"/>
    </row>
    <row r="337" spans="1:15" ht="14.4" x14ac:dyDescent="0.3">
      <c r="A337" s="3">
        <v>47</v>
      </c>
      <c r="B337" s="8" t="s">
        <v>550</v>
      </c>
      <c r="C337" s="5" t="s">
        <v>549</v>
      </c>
      <c r="D337" s="6">
        <v>409525371</v>
      </c>
      <c r="E337" s="5" t="s">
        <v>373</v>
      </c>
      <c r="F337" s="5" t="s">
        <v>4</v>
      </c>
      <c r="G337" s="5" t="s">
        <v>3</v>
      </c>
      <c r="H337" s="2"/>
      <c r="I337" s="2">
        <v>46177</v>
      </c>
      <c r="J337" s="2"/>
      <c r="K337" s="2" t="s">
        <v>1899</v>
      </c>
      <c r="L337" s="1" t="s">
        <v>2</v>
      </c>
      <c r="M337" s="1" t="s">
        <v>12</v>
      </c>
      <c r="N337" s="1"/>
      <c r="O337" s="4"/>
    </row>
    <row r="338" spans="1:15" ht="14.4" x14ac:dyDescent="0.3">
      <c r="A338" s="3">
        <v>48</v>
      </c>
      <c r="B338" s="8" t="s">
        <v>548</v>
      </c>
      <c r="C338" s="5" t="s">
        <v>547</v>
      </c>
      <c r="D338" s="6">
        <v>413849188</v>
      </c>
      <c r="E338" s="5" t="s">
        <v>256</v>
      </c>
      <c r="F338" s="5" t="s">
        <v>4</v>
      </c>
      <c r="G338" s="5" t="s">
        <v>3</v>
      </c>
      <c r="H338" s="2"/>
      <c r="I338" s="2">
        <v>46179</v>
      </c>
      <c r="J338" s="2"/>
      <c r="K338" s="2" t="s">
        <v>1899</v>
      </c>
      <c r="L338" s="1" t="s">
        <v>2</v>
      </c>
      <c r="M338" s="1" t="s">
        <v>12</v>
      </c>
      <c r="N338" s="1"/>
      <c r="O338" s="4"/>
    </row>
    <row r="339" spans="1:15" ht="14.4" x14ac:dyDescent="0.3">
      <c r="A339" s="3">
        <v>49</v>
      </c>
      <c r="B339" s="8" t="s">
        <v>546</v>
      </c>
      <c r="C339" s="5" t="s">
        <v>545</v>
      </c>
      <c r="D339" s="6">
        <v>816312507</v>
      </c>
      <c r="E339" s="5" t="s">
        <v>544</v>
      </c>
      <c r="F339" s="5" t="s">
        <v>9</v>
      </c>
      <c r="G339" s="5" t="s">
        <v>3</v>
      </c>
      <c r="H339" s="2"/>
      <c r="I339" s="2">
        <v>46184</v>
      </c>
      <c r="J339" s="2"/>
      <c r="K339" s="2">
        <v>46260</v>
      </c>
      <c r="L339" s="1" t="s">
        <v>124</v>
      </c>
      <c r="M339" s="1" t="s">
        <v>535</v>
      </c>
      <c r="N339" s="1"/>
      <c r="O339" s="4"/>
    </row>
    <row r="340" spans="1:15" ht="14.4" x14ac:dyDescent="0.3">
      <c r="A340" s="3">
        <v>50</v>
      </c>
      <c r="B340" s="8" t="s">
        <v>543</v>
      </c>
      <c r="C340" s="5" t="s">
        <v>542</v>
      </c>
      <c r="D340" s="6">
        <v>447126375</v>
      </c>
      <c r="E340" s="5" t="s">
        <v>461</v>
      </c>
      <c r="F340" s="5" t="s">
        <v>28</v>
      </c>
      <c r="G340" s="5" t="s">
        <v>3</v>
      </c>
      <c r="H340" s="2"/>
      <c r="I340" s="2">
        <v>46182</v>
      </c>
      <c r="J340" s="2"/>
      <c r="K340" s="2">
        <v>46261</v>
      </c>
      <c r="L340" s="1" t="s">
        <v>27</v>
      </c>
      <c r="M340" s="1" t="s">
        <v>17</v>
      </c>
      <c r="N340" s="1"/>
      <c r="O340" s="4"/>
    </row>
    <row r="341" spans="1:15" ht="14.4" x14ac:dyDescent="0.3">
      <c r="A341" s="3">
        <v>51</v>
      </c>
      <c r="B341" s="8" t="s">
        <v>541</v>
      </c>
      <c r="C341" s="5" t="s">
        <v>540</v>
      </c>
      <c r="D341" s="6">
        <v>687075120</v>
      </c>
      <c r="E341" s="5" t="s">
        <v>426</v>
      </c>
      <c r="F341" s="5" t="s">
        <v>9</v>
      </c>
      <c r="G341" s="5" t="s">
        <v>3</v>
      </c>
      <c r="H341" s="2"/>
      <c r="I341" s="2">
        <v>46183</v>
      </c>
      <c r="J341" s="2"/>
      <c r="K341" s="2" t="s">
        <v>1899</v>
      </c>
      <c r="L341" s="1" t="s">
        <v>124</v>
      </c>
      <c r="M341" s="1" t="s">
        <v>535</v>
      </c>
      <c r="N341" s="1"/>
      <c r="O341" s="19" t="s">
        <v>539</v>
      </c>
    </row>
    <row r="342" spans="1:15" ht="14.4" x14ac:dyDescent="0.3">
      <c r="A342" s="3">
        <v>52</v>
      </c>
      <c r="B342" s="8" t="s">
        <v>538</v>
      </c>
      <c r="C342" s="5" t="s">
        <v>537</v>
      </c>
      <c r="D342" s="6">
        <v>610951359</v>
      </c>
      <c r="E342" s="5" t="s">
        <v>536</v>
      </c>
      <c r="F342" s="5" t="s">
        <v>4</v>
      </c>
      <c r="G342" s="5" t="s">
        <v>3</v>
      </c>
      <c r="H342" s="2"/>
      <c r="I342" s="2">
        <v>46183</v>
      </c>
      <c r="J342" s="2"/>
      <c r="K342" s="2" t="s">
        <v>1899</v>
      </c>
      <c r="L342" s="1" t="s">
        <v>2</v>
      </c>
      <c r="M342" s="1" t="s">
        <v>535</v>
      </c>
      <c r="N342" s="1"/>
      <c r="O342" s="4"/>
    </row>
    <row r="343" spans="1:15" ht="14.4" x14ac:dyDescent="0.3">
      <c r="A343" s="3">
        <v>53</v>
      </c>
      <c r="B343" s="8" t="s">
        <v>534</v>
      </c>
      <c r="C343" s="5" t="s">
        <v>533</v>
      </c>
      <c r="D343" s="6">
        <v>531269532</v>
      </c>
      <c r="E343" s="5" t="s">
        <v>508</v>
      </c>
      <c r="F343" s="5" t="s">
        <v>4</v>
      </c>
      <c r="G343" s="5" t="s">
        <v>3</v>
      </c>
      <c r="H343" s="2"/>
      <c r="I343" s="2">
        <v>46200</v>
      </c>
      <c r="J343" s="2"/>
      <c r="K343" s="2" t="s">
        <v>1899</v>
      </c>
      <c r="L343" s="1" t="s">
        <v>2</v>
      </c>
      <c r="M343" s="1" t="s">
        <v>12</v>
      </c>
      <c r="N343" s="1"/>
      <c r="O343" s="4"/>
    </row>
    <row r="344" spans="1:15" ht="14.4" x14ac:dyDescent="0.3">
      <c r="A344" s="3">
        <v>54</v>
      </c>
      <c r="B344" s="8" t="s">
        <v>532</v>
      </c>
      <c r="C344" s="5" t="s">
        <v>531</v>
      </c>
      <c r="D344" s="6">
        <v>544736376</v>
      </c>
      <c r="E344" s="5" t="s">
        <v>178</v>
      </c>
      <c r="F344" s="5" t="s">
        <v>28</v>
      </c>
      <c r="G344" s="5" t="s">
        <v>3</v>
      </c>
      <c r="H344" s="2"/>
      <c r="I344" s="2">
        <v>46193</v>
      </c>
      <c r="J344" s="2"/>
      <c r="K344" s="2" t="s">
        <v>1899</v>
      </c>
      <c r="L344" s="1" t="s">
        <v>27</v>
      </c>
      <c r="M344" s="1" t="s">
        <v>17</v>
      </c>
      <c r="N344" s="1"/>
      <c r="O344" s="4"/>
    </row>
    <row r="345" spans="1:15" ht="14.4" x14ac:dyDescent="0.3">
      <c r="A345" s="3">
        <v>55</v>
      </c>
      <c r="B345" s="8" t="s">
        <v>530</v>
      </c>
      <c r="C345" s="5" t="s">
        <v>529</v>
      </c>
      <c r="D345" s="6">
        <v>572418495</v>
      </c>
      <c r="E345" s="5" t="s">
        <v>528</v>
      </c>
      <c r="F345" s="5" t="s">
        <v>9</v>
      </c>
      <c r="G345" s="5" t="s">
        <v>3</v>
      </c>
      <c r="H345" s="2"/>
      <c r="I345" s="2">
        <v>46203</v>
      </c>
      <c r="J345" s="2"/>
      <c r="K345" s="2" t="s">
        <v>1899</v>
      </c>
      <c r="L345" s="1" t="s">
        <v>20</v>
      </c>
      <c r="M345" s="1" t="s">
        <v>17</v>
      </c>
      <c r="N345" s="1"/>
      <c r="O345" s="4"/>
    </row>
    <row r="346" spans="1:15" ht="14.4" x14ac:dyDescent="0.3">
      <c r="A346" s="3">
        <v>56</v>
      </c>
      <c r="B346" s="8" t="s">
        <v>527</v>
      </c>
      <c r="C346" s="5" t="s">
        <v>526</v>
      </c>
      <c r="D346" s="6">
        <v>494075954</v>
      </c>
      <c r="E346" s="5" t="s">
        <v>210</v>
      </c>
      <c r="F346" s="5" t="s">
        <v>9</v>
      </c>
      <c r="G346" s="5" t="s">
        <v>3</v>
      </c>
      <c r="H346" s="2"/>
      <c r="I346" s="2">
        <v>46178</v>
      </c>
      <c r="J346" s="2"/>
      <c r="K346" s="2" t="s">
        <v>1899</v>
      </c>
      <c r="L346" s="1" t="s">
        <v>124</v>
      </c>
      <c r="M346" s="1" t="s">
        <v>12</v>
      </c>
      <c r="N346" s="1"/>
      <c r="O346" s="4"/>
    </row>
    <row r="347" spans="1:15" ht="14.4" x14ac:dyDescent="0.3">
      <c r="A347" s="3">
        <v>57</v>
      </c>
      <c r="B347" s="8" t="s">
        <v>525</v>
      </c>
      <c r="C347" s="5" t="s">
        <v>524</v>
      </c>
      <c r="D347" s="6">
        <v>480081830</v>
      </c>
      <c r="E347" s="5" t="s">
        <v>523</v>
      </c>
      <c r="F347" s="5" t="s">
        <v>4</v>
      </c>
      <c r="G347" s="5" t="s">
        <v>3</v>
      </c>
      <c r="H347" s="2"/>
      <c r="I347" s="2">
        <v>46179</v>
      </c>
      <c r="J347" s="2"/>
      <c r="K347" s="2" t="s">
        <v>1899</v>
      </c>
      <c r="L347" s="1" t="s">
        <v>2</v>
      </c>
      <c r="M347" s="1" t="s">
        <v>12</v>
      </c>
      <c r="N347" s="1"/>
      <c r="O347" s="4"/>
    </row>
    <row r="348" spans="1:15" ht="14.4" x14ac:dyDescent="0.3">
      <c r="A348" s="3">
        <v>58</v>
      </c>
      <c r="B348" s="17" t="s">
        <v>522</v>
      </c>
      <c r="C348" s="5" t="s">
        <v>521</v>
      </c>
      <c r="D348" s="6">
        <v>669601087</v>
      </c>
      <c r="E348" s="5" t="s">
        <v>192</v>
      </c>
      <c r="F348" s="5" t="s">
        <v>9</v>
      </c>
      <c r="G348" s="5" t="s">
        <v>3</v>
      </c>
      <c r="H348" s="2"/>
      <c r="I348" s="2">
        <v>46203</v>
      </c>
      <c r="J348" s="2"/>
      <c r="K348" s="2">
        <v>46261</v>
      </c>
      <c r="L348" s="1" t="s">
        <v>20</v>
      </c>
      <c r="M348" s="1" t="s">
        <v>17</v>
      </c>
      <c r="N348" s="1"/>
      <c r="O348" s="4"/>
    </row>
    <row r="349" spans="1:15" ht="14.4" x14ac:dyDescent="0.3">
      <c r="A349" s="3">
        <v>59</v>
      </c>
      <c r="B349" s="8" t="s">
        <v>520</v>
      </c>
      <c r="C349" s="5" t="s">
        <v>519</v>
      </c>
      <c r="D349" s="6">
        <v>485336585</v>
      </c>
      <c r="E349" s="5" t="s">
        <v>125</v>
      </c>
      <c r="F349" s="5" t="s">
        <v>9</v>
      </c>
      <c r="G349" s="5" t="s">
        <v>3</v>
      </c>
      <c r="H349" s="2"/>
      <c r="I349" s="2">
        <v>46182</v>
      </c>
      <c r="J349" s="2"/>
      <c r="K349" s="2" t="s">
        <v>1899</v>
      </c>
      <c r="L349" s="1" t="s">
        <v>124</v>
      </c>
      <c r="M349" s="1" t="s">
        <v>17</v>
      </c>
      <c r="N349" s="1"/>
      <c r="O349" s="4"/>
    </row>
    <row r="350" spans="1:15" ht="14.4" x14ac:dyDescent="0.3">
      <c r="A350" s="3">
        <v>60</v>
      </c>
      <c r="B350" s="8" t="s">
        <v>518</v>
      </c>
      <c r="C350" s="5" t="s">
        <v>517</v>
      </c>
      <c r="D350" s="6">
        <v>591048042</v>
      </c>
      <c r="E350" s="5" t="s">
        <v>516</v>
      </c>
      <c r="F350" s="5" t="s">
        <v>40</v>
      </c>
      <c r="G350" s="5" t="s">
        <v>3</v>
      </c>
      <c r="H350" s="2"/>
      <c r="I350" s="2">
        <v>46202</v>
      </c>
      <c r="J350" s="2"/>
      <c r="K350" s="2" t="s">
        <v>1899</v>
      </c>
      <c r="L350" s="1" t="s">
        <v>27</v>
      </c>
      <c r="M350" s="1" t="s">
        <v>17</v>
      </c>
      <c r="N350" s="1"/>
      <c r="O350" s="4"/>
    </row>
    <row r="351" spans="1:15" ht="14.4" x14ac:dyDescent="0.3">
      <c r="A351" s="3">
        <v>61</v>
      </c>
      <c r="B351" s="8" t="s">
        <v>515</v>
      </c>
      <c r="C351" s="5" t="s">
        <v>514</v>
      </c>
      <c r="D351" s="6">
        <v>431318150</v>
      </c>
      <c r="E351" s="5" t="s">
        <v>103</v>
      </c>
      <c r="F351" s="5" t="s">
        <v>28</v>
      </c>
      <c r="G351" s="5" t="s">
        <v>3</v>
      </c>
      <c r="H351" s="2"/>
      <c r="I351" s="2">
        <v>46199</v>
      </c>
      <c r="J351" s="2"/>
      <c r="K351" s="2">
        <v>46260</v>
      </c>
      <c r="L351" s="1" t="s">
        <v>27</v>
      </c>
      <c r="M351" s="1" t="s">
        <v>17</v>
      </c>
      <c r="N351" s="1"/>
      <c r="O351" s="4"/>
    </row>
    <row r="352" spans="1:15" ht="14.4" x14ac:dyDescent="0.3">
      <c r="A352" s="3">
        <v>62</v>
      </c>
      <c r="B352" s="17" t="s">
        <v>513</v>
      </c>
      <c r="C352" s="5" t="s">
        <v>512</v>
      </c>
      <c r="D352" s="6">
        <v>510641718</v>
      </c>
      <c r="E352" s="5" t="s">
        <v>511</v>
      </c>
      <c r="F352" s="5" t="s">
        <v>36</v>
      </c>
      <c r="G352" s="5" t="s">
        <v>3</v>
      </c>
      <c r="H352" s="2"/>
      <c r="I352" s="2">
        <v>46203</v>
      </c>
      <c r="J352" s="2"/>
      <c r="K352" s="2" t="s">
        <v>1899</v>
      </c>
      <c r="L352" s="1" t="s">
        <v>13</v>
      </c>
      <c r="M352" s="1" t="s">
        <v>17</v>
      </c>
      <c r="N352" s="1"/>
      <c r="O352" s="4"/>
    </row>
    <row r="353" spans="1:15" ht="14.4" x14ac:dyDescent="0.3">
      <c r="A353" s="3"/>
      <c r="B353" s="17" t="s">
        <v>494</v>
      </c>
      <c r="C353" s="5" t="s">
        <v>493</v>
      </c>
      <c r="D353" s="6">
        <v>501348739</v>
      </c>
      <c r="E353" s="5" t="s">
        <v>492</v>
      </c>
      <c r="F353" s="5" t="s">
        <v>4</v>
      </c>
      <c r="G353" s="5" t="s">
        <v>3</v>
      </c>
      <c r="H353" s="18" t="s">
        <v>491</v>
      </c>
      <c r="I353" s="2"/>
      <c r="J353" s="2"/>
      <c r="K353" s="2">
        <v>46260</v>
      </c>
      <c r="L353" s="1"/>
      <c r="M353" s="1"/>
      <c r="N353" s="1"/>
      <c r="O353" s="4"/>
    </row>
    <row r="354" spans="1:15" ht="14.4" x14ac:dyDescent="0.3">
      <c r="A354" s="3"/>
      <c r="B354" s="17" t="s">
        <v>490</v>
      </c>
      <c r="C354" s="5" t="s">
        <v>489</v>
      </c>
      <c r="D354" s="5" t="s">
        <v>488</v>
      </c>
      <c r="E354" s="5"/>
      <c r="F354" s="5"/>
      <c r="G354" s="5" t="s">
        <v>3</v>
      </c>
      <c r="H354" s="5" t="s">
        <v>487</v>
      </c>
      <c r="I354" s="2"/>
      <c r="J354" s="2"/>
      <c r="K354" s="2">
        <v>46260</v>
      </c>
      <c r="L354" s="1"/>
      <c r="M354" s="1"/>
      <c r="N354" s="1"/>
      <c r="O354" s="4"/>
    </row>
    <row r="355" spans="1:15" ht="14.4" x14ac:dyDescent="0.3">
      <c r="A355" s="3"/>
      <c r="B355" s="17" t="s">
        <v>486</v>
      </c>
      <c r="C355" s="5" t="s">
        <v>485</v>
      </c>
      <c r="D355" s="5" t="s">
        <v>484</v>
      </c>
      <c r="E355" s="5"/>
      <c r="F355" s="5"/>
      <c r="G355" s="5" t="s">
        <v>3</v>
      </c>
      <c r="H355" s="5" t="s">
        <v>483</v>
      </c>
      <c r="I355" s="2"/>
      <c r="J355" s="2"/>
      <c r="K355" s="2" t="s">
        <v>1899</v>
      </c>
      <c r="L355" s="1"/>
      <c r="M355" s="1"/>
      <c r="N355" s="1"/>
      <c r="O355" s="4"/>
    </row>
    <row r="356" spans="1:15" ht="14.4" x14ac:dyDescent="0.3">
      <c r="A356" s="3"/>
      <c r="B356" s="17" t="s">
        <v>482</v>
      </c>
      <c r="C356" s="5" t="s">
        <v>481</v>
      </c>
      <c r="D356" s="5" t="s">
        <v>480</v>
      </c>
      <c r="E356" s="5"/>
      <c r="F356" s="5"/>
      <c r="G356" s="5" t="s">
        <v>3</v>
      </c>
      <c r="H356" s="5" t="s">
        <v>479</v>
      </c>
      <c r="I356" s="2"/>
      <c r="J356" s="2"/>
      <c r="K356" s="2" t="s">
        <v>1899</v>
      </c>
      <c r="L356" s="1"/>
      <c r="M356" s="1"/>
      <c r="N356" s="1"/>
      <c r="O356" s="4"/>
    </row>
    <row r="357" spans="1:15" ht="14.4" x14ac:dyDescent="0.3">
      <c r="A357" s="3"/>
      <c r="B357" s="8" t="s">
        <v>478</v>
      </c>
      <c r="C357" s="5" t="s">
        <v>477</v>
      </c>
      <c r="D357" s="5" t="s">
        <v>476</v>
      </c>
      <c r="E357" s="5"/>
      <c r="F357" s="5"/>
      <c r="G357" s="5" t="s">
        <v>3</v>
      </c>
      <c r="H357" s="5" t="s">
        <v>475</v>
      </c>
      <c r="I357" s="2"/>
      <c r="J357" s="2"/>
      <c r="K357" s="2" t="s">
        <v>1899</v>
      </c>
      <c r="L357" s="1"/>
      <c r="M357" s="1"/>
      <c r="N357" s="1"/>
      <c r="O357" s="4"/>
    </row>
    <row r="358" spans="1:15" ht="14.4" x14ac:dyDescent="0.3">
      <c r="A358" s="3" t="e">
        <f>1+#REF!</f>
        <v>#REF!</v>
      </c>
      <c r="B358" s="7" t="s">
        <v>7</v>
      </c>
      <c r="C358" s="5" t="s">
        <v>6</v>
      </c>
      <c r="D358" s="6">
        <v>452714200</v>
      </c>
      <c r="E358" s="5" t="s">
        <v>5</v>
      </c>
      <c r="F358" s="5" t="s">
        <v>4</v>
      </c>
      <c r="G358" s="5" t="s">
        <v>3</v>
      </c>
      <c r="H358" s="2">
        <v>46164</v>
      </c>
      <c r="I358" s="2">
        <v>46193</v>
      </c>
      <c r="J358" s="2">
        <v>46217</v>
      </c>
      <c r="K358" s="2" t="str">
        <f>IFERROR(VLOOKUP(B358,#REF!,4,0),"")</f>
        <v/>
      </c>
      <c r="L358" s="1" t="s">
        <v>2</v>
      </c>
      <c r="M358" s="1" t="e">
        <v>#N/A</v>
      </c>
      <c r="N358" s="1"/>
      <c r="O358" s="4" t="s">
        <v>0</v>
      </c>
    </row>
    <row r="359" spans="1:15" ht="14.4" hidden="1" x14ac:dyDescent="0.3">
      <c r="B359" s="8" t="s">
        <v>254</v>
      </c>
      <c r="C359" s="5" t="s">
        <v>253</v>
      </c>
      <c r="D359" s="5"/>
      <c r="E359" s="5" t="s">
        <v>252</v>
      </c>
      <c r="F359" s="5" t="s">
        <v>40</v>
      </c>
      <c r="G359" s="5" t="s">
        <v>8</v>
      </c>
      <c r="H359" s="2"/>
      <c r="I359" s="2">
        <v>46182</v>
      </c>
      <c r="J359" s="2"/>
      <c r="K359" s="2" t="str">
        <f>IFERROR(VLOOKUP(B359,#REF!,4,0),"")</f>
        <v/>
      </c>
      <c r="L359" s="1" t="s">
        <v>27</v>
      </c>
      <c r="M359" s="1" t="s">
        <v>12</v>
      </c>
    </row>
    <row r="360" spans="1:15" ht="14.4" hidden="1" x14ac:dyDescent="0.3">
      <c r="B360" s="8" t="s">
        <v>251</v>
      </c>
      <c r="C360" s="5" t="s">
        <v>250</v>
      </c>
      <c r="D360" s="5"/>
      <c r="E360" s="5" t="s">
        <v>249</v>
      </c>
      <c r="F360" s="5" t="s">
        <v>28</v>
      </c>
      <c r="G360" s="5" t="s">
        <v>8</v>
      </c>
      <c r="H360" s="2"/>
      <c r="I360" s="2">
        <v>46175</v>
      </c>
      <c r="J360" s="2"/>
      <c r="K360" s="2" t="str">
        <f>IFERROR(VLOOKUP(B360,#REF!,4,0),"")</f>
        <v/>
      </c>
      <c r="L360" s="1" t="s">
        <v>27</v>
      </c>
      <c r="M360" s="1" t="s">
        <v>12</v>
      </c>
    </row>
    <row r="361" spans="1:15" ht="14.4" hidden="1" x14ac:dyDescent="0.3">
      <c r="B361" s="8" t="s">
        <v>248</v>
      </c>
      <c r="C361" s="5" t="s">
        <v>247</v>
      </c>
      <c r="D361" s="5"/>
      <c r="E361" s="5" t="s">
        <v>246</v>
      </c>
      <c r="F361" s="5" t="s">
        <v>9</v>
      </c>
      <c r="G361" s="5" t="s">
        <v>8</v>
      </c>
      <c r="H361" s="2"/>
      <c r="I361" s="2">
        <v>46188</v>
      </c>
      <c r="J361" s="2"/>
      <c r="K361" s="2" t="str">
        <f>IFERROR(VLOOKUP(B361,#REF!,4,0),"")</f>
        <v/>
      </c>
      <c r="L361" s="1" t="s">
        <v>20</v>
      </c>
      <c r="M361" s="1" t="s">
        <v>12</v>
      </c>
    </row>
    <row r="362" spans="1:15" ht="14.4" hidden="1" x14ac:dyDescent="0.3">
      <c r="B362" s="8" t="s">
        <v>245</v>
      </c>
      <c r="C362" s="5" t="s">
        <v>244</v>
      </c>
      <c r="D362" s="5"/>
      <c r="E362" s="5" t="s">
        <v>243</v>
      </c>
      <c r="F362" s="5" t="s">
        <v>48</v>
      </c>
      <c r="G362" s="5" t="s">
        <v>8</v>
      </c>
      <c r="H362" s="2">
        <v>46161</v>
      </c>
      <c r="I362" s="2">
        <v>46199</v>
      </c>
      <c r="J362" s="2"/>
      <c r="K362" s="2" t="str">
        <f>IFERROR(VLOOKUP(B362,#REF!,4,0),"")</f>
        <v/>
      </c>
      <c r="L362" s="1" t="s">
        <v>44</v>
      </c>
      <c r="M362" s="1" t="s">
        <v>17</v>
      </c>
    </row>
    <row r="363" spans="1:15" ht="14.4" hidden="1" x14ac:dyDescent="0.3">
      <c r="B363" s="8" t="s">
        <v>242</v>
      </c>
      <c r="C363" s="5" t="s">
        <v>241</v>
      </c>
      <c r="D363" s="5"/>
      <c r="E363" s="5" t="s">
        <v>240</v>
      </c>
      <c r="F363" s="5" t="s">
        <v>48</v>
      </c>
      <c r="G363" s="5" t="s">
        <v>8</v>
      </c>
      <c r="H363" s="2">
        <v>46170</v>
      </c>
      <c r="I363" s="2">
        <v>46193</v>
      </c>
      <c r="J363" s="2"/>
      <c r="K363" s="2" t="str">
        <f>IFERROR(VLOOKUP(B363,#REF!,4,0),"")</f>
        <v/>
      </c>
      <c r="L363" s="1" t="s">
        <v>44</v>
      </c>
      <c r="M363" s="1" t="s">
        <v>12</v>
      </c>
    </row>
    <row r="364" spans="1:15" ht="14.4" hidden="1" x14ac:dyDescent="0.3">
      <c r="B364" s="8" t="s">
        <v>239</v>
      </c>
      <c r="C364" s="5" t="s">
        <v>238</v>
      </c>
      <c r="D364" s="5"/>
      <c r="E364" s="5" t="s">
        <v>237</v>
      </c>
      <c r="F364" s="5" t="s">
        <v>90</v>
      </c>
      <c r="G364" s="5" t="s">
        <v>8</v>
      </c>
      <c r="H364" s="2">
        <v>46164</v>
      </c>
      <c r="I364" s="2">
        <v>46198</v>
      </c>
      <c r="J364" s="2"/>
      <c r="K364" s="2" t="str">
        <f>IFERROR(VLOOKUP(B364,#REF!,4,0),"")</f>
        <v/>
      </c>
      <c r="L364" s="1" t="s">
        <v>13</v>
      </c>
      <c r="M364" s="1" t="s">
        <v>12</v>
      </c>
    </row>
    <row r="365" spans="1:15" ht="14.4" hidden="1" x14ac:dyDescent="0.3">
      <c r="B365" s="8" t="s">
        <v>236</v>
      </c>
      <c r="C365" s="5" t="s">
        <v>235</v>
      </c>
      <c r="D365" s="5"/>
      <c r="E365" s="5" t="s">
        <v>234</v>
      </c>
      <c r="F365" s="5" t="s">
        <v>48</v>
      </c>
      <c r="G365" s="5" t="s">
        <v>8</v>
      </c>
      <c r="H365" s="2"/>
      <c r="I365" s="2">
        <v>46192</v>
      </c>
      <c r="J365" s="2"/>
      <c r="K365" s="2" t="str">
        <f>IFERROR(VLOOKUP(B365,#REF!,4,0),"")</f>
        <v/>
      </c>
      <c r="L365" s="1" t="s">
        <v>44</v>
      </c>
      <c r="M365" s="1" t="s">
        <v>12</v>
      </c>
    </row>
    <row r="366" spans="1:15" ht="14.4" hidden="1" x14ac:dyDescent="0.3">
      <c r="B366" s="8" t="s">
        <v>233</v>
      </c>
      <c r="C366" s="5" t="s">
        <v>232</v>
      </c>
      <c r="D366" s="5"/>
      <c r="E366" s="5" t="s">
        <v>231</v>
      </c>
      <c r="F366" s="5" t="s">
        <v>48</v>
      </c>
      <c r="G366" s="5" t="s">
        <v>8</v>
      </c>
      <c r="H366" s="2">
        <v>46146</v>
      </c>
      <c r="I366" s="2">
        <v>46177</v>
      </c>
      <c r="J366" s="2"/>
      <c r="K366" s="2" t="str">
        <f>IFERROR(VLOOKUP(B366,#REF!,4,0),"")</f>
        <v/>
      </c>
      <c r="L366" s="1" t="s">
        <v>44</v>
      </c>
      <c r="M366" s="1" t="s">
        <v>17</v>
      </c>
    </row>
    <row r="367" spans="1:15" ht="14.4" hidden="1" x14ac:dyDescent="0.3">
      <c r="B367" s="8" t="s">
        <v>230</v>
      </c>
      <c r="C367" s="5" t="s">
        <v>229</v>
      </c>
      <c r="D367" s="5"/>
      <c r="E367" s="5" t="s">
        <v>228</v>
      </c>
      <c r="F367" s="5" t="s">
        <v>90</v>
      </c>
      <c r="G367" s="5" t="s">
        <v>8</v>
      </c>
      <c r="H367" s="2">
        <v>46164</v>
      </c>
      <c r="I367" s="2">
        <v>46199</v>
      </c>
      <c r="J367" s="2"/>
      <c r="K367" s="2" t="str">
        <f>IFERROR(VLOOKUP(B367,#REF!,4,0),"")</f>
        <v/>
      </c>
      <c r="L367" s="1" t="s">
        <v>13</v>
      </c>
      <c r="M367" s="1" t="s">
        <v>12</v>
      </c>
    </row>
    <row r="368" spans="1:15" ht="14.4" hidden="1" x14ac:dyDescent="0.3">
      <c r="B368" s="8" t="s">
        <v>227</v>
      </c>
      <c r="C368" s="5" t="s">
        <v>226</v>
      </c>
      <c r="D368" s="5"/>
      <c r="E368" s="5" t="s">
        <v>225</v>
      </c>
      <c r="F368" s="5" t="s">
        <v>28</v>
      </c>
      <c r="G368" s="5" t="s">
        <v>8</v>
      </c>
      <c r="H368" s="2"/>
      <c r="I368" s="2">
        <v>46184</v>
      </c>
      <c r="J368" s="2"/>
      <c r="K368" s="2" t="str">
        <f>IFERROR(VLOOKUP(B368,#REF!,4,0),"")</f>
        <v/>
      </c>
      <c r="L368" s="1" t="s">
        <v>27</v>
      </c>
      <c r="M368" s="1" t="s">
        <v>12</v>
      </c>
    </row>
    <row r="369" spans="2:13" ht="14.4" hidden="1" x14ac:dyDescent="0.3">
      <c r="B369" s="8" t="s">
        <v>224</v>
      </c>
      <c r="C369" s="5" t="s">
        <v>223</v>
      </c>
      <c r="D369" s="5"/>
      <c r="E369" s="5" t="s">
        <v>222</v>
      </c>
      <c r="F369" s="5" t="s">
        <v>28</v>
      </c>
      <c r="G369" s="5" t="s">
        <v>8</v>
      </c>
      <c r="H369" s="2"/>
      <c r="I369" s="2">
        <v>46175</v>
      </c>
      <c r="J369" s="2"/>
      <c r="K369" s="2" t="str">
        <f>IFERROR(VLOOKUP(B369,#REF!,4,0),"")</f>
        <v/>
      </c>
      <c r="L369" s="1" t="s">
        <v>27</v>
      </c>
      <c r="M369" s="1" t="s">
        <v>12</v>
      </c>
    </row>
    <row r="370" spans="2:13" ht="14.4" hidden="1" x14ac:dyDescent="0.3">
      <c r="B370" s="8" t="s">
        <v>221</v>
      </c>
      <c r="C370" s="5" t="s">
        <v>220</v>
      </c>
      <c r="D370" s="5"/>
      <c r="E370" s="5" t="s">
        <v>219</v>
      </c>
      <c r="F370" s="5" t="s">
        <v>28</v>
      </c>
      <c r="G370" s="5" t="s">
        <v>8</v>
      </c>
      <c r="H370" s="2"/>
      <c r="I370" s="2">
        <v>46175</v>
      </c>
      <c r="J370" s="2"/>
      <c r="K370" s="2" t="str">
        <f>IFERROR(VLOOKUP(B370,#REF!,4,0),"")</f>
        <v/>
      </c>
      <c r="L370" s="1" t="s">
        <v>27</v>
      </c>
      <c r="M370" s="1" t="s">
        <v>12</v>
      </c>
    </row>
    <row r="371" spans="2:13" ht="14.4" hidden="1" x14ac:dyDescent="0.3">
      <c r="B371" s="8" t="s">
        <v>217</v>
      </c>
      <c r="C371" s="5" t="s">
        <v>216</v>
      </c>
      <c r="D371" s="5"/>
      <c r="E371" s="5" t="s">
        <v>215</v>
      </c>
      <c r="F371" s="5" t="s">
        <v>32</v>
      </c>
      <c r="G371" s="5" t="s">
        <v>8</v>
      </c>
      <c r="H371" s="2"/>
      <c r="I371" s="2">
        <v>46181</v>
      </c>
      <c r="J371" s="2"/>
      <c r="K371" s="2" t="str">
        <f>IFERROR(VLOOKUP(B371,#REF!,4,0),"")</f>
        <v/>
      </c>
      <c r="L371" s="1" t="s">
        <v>27</v>
      </c>
      <c r="M371" s="1" t="s">
        <v>17</v>
      </c>
    </row>
    <row r="372" spans="2:13" ht="14.4" hidden="1" x14ac:dyDescent="0.3">
      <c r="B372" s="8" t="s">
        <v>214</v>
      </c>
      <c r="C372" s="5" t="s">
        <v>213</v>
      </c>
      <c r="D372" s="5"/>
      <c r="E372" s="5" t="s">
        <v>210</v>
      </c>
      <c r="F372" s="5" t="s">
        <v>9</v>
      </c>
      <c r="G372" s="5" t="s">
        <v>8</v>
      </c>
      <c r="H372" s="2"/>
      <c r="I372" s="2">
        <v>46181</v>
      </c>
      <c r="J372" s="2"/>
      <c r="K372" s="2" t="str">
        <f>IFERROR(VLOOKUP(B372,#REF!,4,0),"")</f>
        <v/>
      </c>
      <c r="L372" s="1" t="s">
        <v>124</v>
      </c>
      <c r="M372" s="1" t="s">
        <v>12</v>
      </c>
    </row>
    <row r="373" spans="2:13" ht="14.4" hidden="1" x14ac:dyDescent="0.3">
      <c r="B373" s="8" t="s">
        <v>212</v>
      </c>
      <c r="C373" s="5" t="s">
        <v>211</v>
      </c>
      <c r="D373" s="5"/>
      <c r="E373" s="5" t="s">
        <v>210</v>
      </c>
      <c r="F373" s="5" t="s">
        <v>9</v>
      </c>
      <c r="G373" s="5" t="s">
        <v>8</v>
      </c>
      <c r="H373" s="2"/>
      <c r="I373" s="2">
        <v>46177</v>
      </c>
      <c r="J373" s="2"/>
      <c r="K373" s="2" t="str">
        <f>IFERROR(VLOOKUP(B373,#REF!,4,0),"")</f>
        <v/>
      </c>
      <c r="L373" s="1" t="s">
        <v>124</v>
      </c>
      <c r="M373" s="1" t="s">
        <v>12</v>
      </c>
    </row>
    <row r="374" spans="2:13" ht="14.4" hidden="1" x14ac:dyDescent="0.3">
      <c r="B374" s="8" t="s">
        <v>209</v>
      </c>
      <c r="C374" s="5" t="s">
        <v>208</v>
      </c>
      <c r="D374" s="5"/>
      <c r="E374" s="5" t="s">
        <v>207</v>
      </c>
      <c r="F374" s="5" t="s">
        <v>28</v>
      </c>
      <c r="G374" s="5" t="s">
        <v>8</v>
      </c>
      <c r="H374" s="2"/>
      <c r="I374" s="2">
        <v>46178</v>
      </c>
      <c r="J374" s="2"/>
      <c r="K374" s="2" t="str">
        <f>IFERROR(VLOOKUP(B374,#REF!,4,0),"")</f>
        <v/>
      </c>
      <c r="L374" s="1" t="s">
        <v>27</v>
      </c>
      <c r="M374" s="1" t="s">
        <v>17</v>
      </c>
    </row>
    <row r="375" spans="2:13" ht="14.4" hidden="1" x14ac:dyDescent="0.3">
      <c r="B375" s="8" t="s">
        <v>206</v>
      </c>
      <c r="C375" s="5" t="s">
        <v>205</v>
      </c>
      <c r="D375" s="5"/>
      <c r="E375" s="5" t="s">
        <v>204</v>
      </c>
      <c r="F375" s="5" t="s">
        <v>36</v>
      </c>
      <c r="G375" s="5" t="s">
        <v>8</v>
      </c>
      <c r="H375" s="2">
        <v>46160</v>
      </c>
      <c r="I375" s="2">
        <v>46191</v>
      </c>
      <c r="J375" s="2"/>
      <c r="K375" s="2" t="str">
        <f>IFERROR(VLOOKUP(B375,#REF!,4,0),"")</f>
        <v/>
      </c>
      <c r="L375" s="1" t="s">
        <v>13</v>
      </c>
      <c r="M375" s="1" t="s">
        <v>17</v>
      </c>
    </row>
    <row r="376" spans="2:13" ht="14.4" hidden="1" x14ac:dyDescent="0.3">
      <c r="B376" s="8" t="s">
        <v>203</v>
      </c>
      <c r="C376" s="5" t="s">
        <v>202</v>
      </c>
      <c r="D376" s="5"/>
      <c r="E376" s="5" t="s">
        <v>201</v>
      </c>
      <c r="F376" s="5" t="s">
        <v>36</v>
      </c>
      <c r="G376" s="5" t="s">
        <v>8</v>
      </c>
      <c r="H376" s="2">
        <v>46168</v>
      </c>
      <c r="I376" s="2">
        <v>46196</v>
      </c>
      <c r="J376" s="2"/>
      <c r="K376" s="2" t="str">
        <f>IFERROR(VLOOKUP(B376,#REF!,4,0),"")</f>
        <v/>
      </c>
      <c r="L376" s="1" t="s">
        <v>13</v>
      </c>
      <c r="M376" s="1" t="s">
        <v>17</v>
      </c>
    </row>
    <row r="377" spans="2:13" ht="14.4" hidden="1" x14ac:dyDescent="0.3">
      <c r="B377" s="8" t="s">
        <v>200</v>
      </c>
      <c r="C377" s="5" t="s">
        <v>199</v>
      </c>
      <c r="D377" s="5"/>
      <c r="E377" s="5" t="s">
        <v>198</v>
      </c>
      <c r="F377" s="5" t="s">
        <v>9</v>
      </c>
      <c r="G377" s="5" t="s">
        <v>8</v>
      </c>
      <c r="H377" s="2">
        <v>46160</v>
      </c>
      <c r="I377" s="2">
        <v>46184</v>
      </c>
      <c r="J377" s="2"/>
      <c r="K377" s="2" t="str">
        <f>IFERROR(VLOOKUP(B377,#REF!,4,0),"")</f>
        <v/>
      </c>
      <c r="L377" s="1" t="s">
        <v>20</v>
      </c>
      <c r="M377" s="1" t="s">
        <v>12</v>
      </c>
    </row>
    <row r="378" spans="2:13" ht="14.4" hidden="1" x14ac:dyDescent="0.3">
      <c r="B378" s="8" t="s">
        <v>197</v>
      </c>
      <c r="C378" s="5" t="s">
        <v>196</v>
      </c>
      <c r="D378" s="5"/>
      <c r="E378" s="5" t="s">
        <v>195</v>
      </c>
      <c r="F378" s="5" t="s">
        <v>9</v>
      </c>
      <c r="G378" s="5" t="s">
        <v>8</v>
      </c>
      <c r="H378" s="2"/>
      <c r="I378" s="2">
        <v>46175</v>
      </c>
      <c r="J378" s="2"/>
      <c r="K378" s="2" t="str">
        <f>IFERROR(VLOOKUP(B378,#REF!,4,0),"")</f>
        <v/>
      </c>
      <c r="L378" s="1" t="s">
        <v>20</v>
      </c>
      <c r="M378" s="1" t="s">
        <v>12</v>
      </c>
    </row>
    <row r="379" spans="2:13" ht="14.4" hidden="1" x14ac:dyDescent="0.3">
      <c r="B379" s="8" t="s">
        <v>194</v>
      </c>
      <c r="C379" s="5" t="s">
        <v>193</v>
      </c>
      <c r="D379" s="5"/>
      <c r="E379" s="5" t="s">
        <v>192</v>
      </c>
      <c r="F379" s="5" t="s">
        <v>9</v>
      </c>
      <c r="G379" s="5" t="s">
        <v>8</v>
      </c>
      <c r="H379" s="2"/>
      <c r="I379" s="2">
        <v>46199</v>
      </c>
      <c r="J379" s="2"/>
      <c r="K379" s="2" t="str">
        <f>IFERROR(VLOOKUP(B379,#REF!,4,0),"")</f>
        <v/>
      </c>
      <c r="L379" s="1" t="s">
        <v>20</v>
      </c>
      <c r="M379" s="1" t="s">
        <v>12</v>
      </c>
    </row>
    <row r="380" spans="2:13" ht="14.4" hidden="1" x14ac:dyDescent="0.3">
      <c r="B380" s="8" t="s">
        <v>191</v>
      </c>
      <c r="C380" s="5" t="s">
        <v>190</v>
      </c>
      <c r="D380" s="5"/>
      <c r="E380" s="5" t="s">
        <v>189</v>
      </c>
      <c r="F380" s="5" t="s">
        <v>4</v>
      </c>
      <c r="G380" s="5" t="s">
        <v>8</v>
      </c>
      <c r="H380" s="2"/>
      <c r="I380" s="2">
        <v>46176</v>
      </c>
      <c r="J380" s="2"/>
      <c r="K380" s="2" t="str">
        <f>IFERROR(VLOOKUP(B380,#REF!,4,0),"")</f>
        <v/>
      </c>
      <c r="L380" s="1" t="s">
        <v>2</v>
      </c>
      <c r="M380" s="1" t="s">
        <v>12</v>
      </c>
    </row>
    <row r="381" spans="2:13" ht="14.4" hidden="1" x14ac:dyDescent="0.3">
      <c r="B381" s="8" t="s">
        <v>188</v>
      </c>
      <c r="C381" s="5" t="s">
        <v>187</v>
      </c>
      <c r="D381" s="5"/>
      <c r="E381" s="5" t="s">
        <v>186</v>
      </c>
      <c r="F381" s="5" t="s">
        <v>36</v>
      </c>
      <c r="G381" s="5" t="s">
        <v>8</v>
      </c>
      <c r="H381" s="2">
        <v>46150</v>
      </c>
      <c r="I381" s="2">
        <v>46188</v>
      </c>
      <c r="J381" s="2"/>
      <c r="K381" s="2" t="str">
        <f>IFERROR(VLOOKUP(B381,#REF!,4,0),"")</f>
        <v/>
      </c>
      <c r="L381" s="1" t="s">
        <v>13</v>
      </c>
      <c r="M381" s="1" t="s">
        <v>17</v>
      </c>
    </row>
    <row r="382" spans="2:13" ht="14.4" hidden="1" x14ac:dyDescent="0.3">
      <c r="B382" s="8" t="s">
        <v>185</v>
      </c>
      <c r="C382" s="5" t="s">
        <v>184</v>
      </c>
      <c r="D382" s="5"/>
      <c r="E382" s="5" t="s">
        <v>183</v>
      </c>
      <c r="F382" s="5" t="s">
        <v>9</v>
      </c>
      <c r="G382" s="5" t="s">
        <v>8</v>
      </c>
      <c r="H382" s="2"/>
      <c r="I382" s="2">
        <v>46178</v>
      </c>
      <c r="J382" s="2"/>
      <c r="K382" s="2" t="str">
        <f>IFERROR(VLOOKUP(B382,#REF!,4,0),"")</f>
        <v/>
      </c>
      <c r="L382" s="1" t="s">
        <v>20</v>
      </c>
      <c r="M382" s="1" t="s">
        <v>12</v>
      </c>
    </row>
    <row r="383" spans="2:13" ht="14.4" hidden="1" x14ac:dyDescent="0.3">
      <c r="B383" s="8" t="s">
        <v>182</v>
      </c>
      <c r="C383" s="5" t="s">
        <v>181</v>
      </c>
      <c r="D383" s="5"/>
      <c r="E383" s="5" t="s">
        <v>178</v>
      </c>
      <c r="F383" s="5" t="s">
        <v>28</v>
      </c>
      <c r="G383" s="5" t="s">
        <v>8</v>
      </c>
      <c r="H383" s="2"/>
      <c r="I383" s="2">
        <v>46190</v>
      </c>
      <c r="J383" s="2"/>
      <c r="K383" s="2" t="str">
        <f>IFERROR(VLOOKUP(B383,#REF!,4,0),"")</f>
        <v/>
      </c>
      <c r="L383" s="1" t="s">
        <v>27</v>
      </c>
      <c r="M383" s="1" t="s">
        <v>12</v>
      </c>
    </row>
    <row r="384" spans="2:13" ht="14.4" hidden="1" x14ac:dyDescent="0.3">
      <c r="B384" s="8" t="s">
        <v>180</v>
      </c>
      <c r="C384" s="5" t="s">
        <v>179</v>
      </c>
      <c r="D384" s="5"/>
      <c r="E384" s="5" t="s">
        <v>178</v>
      </c>
      <c r="F384" s="5" t="s">
        <v>28</v>
      </c>
      <c r="G384" s="5" t="s">
        <v>8</v>
      </c>
      <c r="H384" s="2"/>
      <c r="I384" s="2">
        <v>46175</v>
      </c>
      <c r="J384" s="2"/>
      <c r="K384" s="2" t="str">
        <f>IFERROR(VLOOKUP(B384,#REF!,4,0),"")</f>
        <v/>
      </c>
      <c r="L384" s="1" t="s">
        <v>27</v>
      </c>
      <c r="M384" s="1" t="s">
        <v>12</v>
      </c>
    </row>
    <row r="385" spans="2:13" ht="14.4" hidden="1" x14ac:dyDescent="0.3">
      <c r="B385" s="8" t="s">
        <v>177</v>
      </c>
      <c r="C385" s="5" t="s">
        <v>176</v>
      </c>
      <c r="D385" s="5"/>
      <c r="E385" s="5" t="s">
        <v>175</v>
      </c>
      <c r="F385" s="5" t="s">
        <v>90</v>
      </c>
      <c r="G385" s="5" t="s">
        <v>8</v>
      </c>
      <c r="H385" s="2">
        <v>46165</v>
      </c>
      <c r="I385" s="2">
        <v>46198</v>
      </c>
      <c r="J385" s="2"/>
      <c r="K385" s="2" t="str">
        <f>IFERROR(VLOOKUP(B385,#REF!,4,0),"")</f>
        <v/>
      </c>
      <c r="L385" s="1" t="s">
        <v>13</v>
      </c>
      <c r="M385" s="1" t="s">
        <v>17</v>
      </c>
    </row>
    <row r="386" spans="2:13" ht="14.4" hidden="1" x14ac:dyDescent="0.3">
      <c r="B386" s="8" t="s">
        <v>174</v>
      </c>
      <c r="C386" s="5" t="s">
        <v>173</v>
      </c>
      <c r="D386" s="5"/>
      <c r="E386" s="5" t="s">
        <v>172</v>
      </c>
      <c r="F386" s="5" t="s">
        <v>48</v>
      </c>
      <c r="G386" s="5" t="s">
        <v>8</v>
      </c>
      <c r="H386" s="2"/>
      <c r="I386" s="2">
        <v>46184</v>
      </c>
      <c r="J386" s="2"/>
      <c r="K386" s="2" t="str">
        <f>IFERROR(VLOOKUP(B386,#REF!,4,0),"")</f>
        <v/>
      </c>
      <c r="L386" s="1" t="s">
        <v>44</v>
      </c>
      <c r="M386" s="1" t="s">
        <v>17</v>
      </c>
    </row>
    <row r="387" spans="2:13" ht="14.4" hidden="1" x14ac:dyDescent="0.3">
      <c r="B387" s="8" t="s">
        <v>171</v>
      </c>
      <c r="C387" s="5" t="s">
        <v>170</v>
      </c>
      <c r="D387" s="5"/>
      <c r="E387" s="5" t="s">
        <v>167</v>
      </c>
      <c r="F387" s="5" t="s">
        <v>9</v>
      </c>
      <c r="G387" s="5" t="s">
        <v>8</v>
      </c>
      <c r="H387" s="2"/>
      <c r="I387" s="2">
        <v>46177</v>
      </c>
      <c r="J387" s="2"/>
      <c r="K387" s="2" t="str">
        <f>IFERROR(VLOOKUP(B387,#REF!,4,0),"")</f>
        <v/>
      </c>
      <c r="L387" s="1" t="s">
        <v>124</v>
      </c>
      <c r="M387" s="1" t="s">
        <v>12</v>
      </c>
    </row>
    <row r="388" spans="2:13" ht="14.4" hidden="1" x14ac:dyDescent="0.3">
      <c r="B388" s="13" t="s">
        <v>169</v>
      </c>
      <c r="C388" s="5" t="s">
        <v>168</v>
      </c>
      <c r="D388" s="5"/>
      <c r="E388" s="5" t="s">
        <v>167</v>
      </c>
      <c r="F388" s="5" t="s">
        <v>9</v>
      </c>
      <c r="G388" s="5" t="s">
        <v>8</v>
      </c>
      <c r="H388" s="2"/>
      <c r="I388" s="2">
        <v>46183</v>
      </c>
      <c r="J388" s="2"/>
      <c r="K388" s="2" t="str">
        <f>IFERROR(VLOOKUP(B388,#REF!,4,0),"")</f>
        <v/>
      </c>
      <c r="L388" s="1" t="s">
        <v>124</v>
      </c>
      <c r="M388" s="1" t="s">
        <v>12</v>
      </c>
    </row>
    <row r="389" spans="2:13" ht="14.4" hidden="1" x14ac:dyDescent="0.3">
      <c r="B389" s="8" t="s">
        <v>166</v>
      </c>
      <c r="C389" s="5" t="s">
        <v>165</v>
      </c>
      <c r="D389" s="5"/>
      <c r="E389" s="5" t="s">
        <v>164</v>
      </c>
      <c r="F389" s="5" t="s">
        <v>9</v>
      </c>
      <c r="G389" s="5" t="s">
        <v>8</v>
      </c>
      <c r="H389" s="2"/>
      <c r="I389" s="2">
        <v>46181</v>
      </c>
      <c r="J389" s="2"/>
      <c r="K389" s="2" t="str">
        <f>IFERROR(VLOOKUP(B389,#REF!,4,0),"")</f>
        <v/>
      </c>
      <c r="L389" s="1" t="s">
        <v>20</v>
      </c>
      <c r="M389" s="1" t="s">
        <v>17</v>
      </c>
    </row>
    <row r="390" spans="2:13" ht="14.4" hidden="1" x14ac:dyDescent="0.3">
      <c r="B390" s="8" t="s">
        <v>163</v>
      </c>
      <c r="C390" s="5" t="s">
        <v>162</v>
      </c>
      <c r="D390" s="5"/>
      <c r="E390" s="5" t="s">
        <v>159</v>
      </c>
      <c r="F390" s="5" t="s">
        <v>32</v>
      </c>
      <c r="G390" s="5" t="s">
        <v>8</v>
      </c>
      <c r="H390" s="2"/>
      <c r="I390" s="2">
        <v>46176</v>
      </c>
      <c r="J390" s="2"/>
      <c r="K390" s="2" t="str">
        <f>IFERROR(VLOOKUP(B390,#REF!,4,0),"")</f>
        <v/>
      </c>
      <c r="L390" s="1" t="s">
        <v>27</v>
      </c>
      <c r="M390" s="1" t="s">
        <v>12</v>
      </c>
    </row>
    <row r="391" spans="2:13" ht="14.4" hidden="1" x14ac:dyDescent="0.3">
      <c r="B391" s="8" t="s">
        <v>161</v>
      </c>
      <c r="C391" s="5" t="s">
        <v>160</v>
      </c>
      <c r="D391" s="5"/>
      <c r="E391" s="5" t="s">
        <v>159</v>
      </c>
      <c r="F391" s="5" t="s">
        <v>32</v>
      </c>
      <c r="G391" s="5" t="s">
        <v>8</v>
      </c>
      <c r="H391" s="2"/>
      <c r="I391" s="2">
        <v>46176</v>
      </c>
      <c r="J391" s="2"/>
      <c r="K391" s="2" t="str">
        <f>IFERROR(VLOOKUP(B391,#REF!,4,0),"")</f>
        <v/>
      </c>
      <c r="L391" s="1" t="s">
        <v>27</v>
      </c>
      <c r="M391" s="1" t="s">
        <v>12</v>
      </c>
    </row>
    <row r="392" spans="2:13" ht="14.4" hidden="1" x14ac:dyDescent="0.3">
      <c r="B392" s="8" t="s">
        <v>158</v>
      </c>
      <c r="C392" s="5" t="s">
        <v>157</v>
      </c>
      <c r="D392" s="5"/>
      <c r="E392" s="5" t="s">
        <v>156</v>
      </c>
      <c r="F392" s="5" t="s">
        <v>32</v>
      </c>
      <c r="G392" s="5" t="s">
        <v>8</v>
      </c>
      <c r="H392" s="2"/>
      <c r="I392" s="2">
        <v>46176</v>
      </c>
      <c r="J392" s="2"/>
      <c r="K392" s="2" t="str">
        <f>IFERROR(VLOOKUP(B392,#REF!,4,0),"")</f>
        <v/>
      </c>
      <c r="L392" s="1" t="s">
        <v>27</v>
      </c>
      <c r="M392" s="1" t="s">
        <v>12</v>
      </c>
    </row>
    <row r="393" spans="2:13" ht="14.4" hidden="1" x14ac:dyDescent="0.3">
      <c r="B393" s="8" t="s">
        <v>155</v>
      </c>
      <c r="C393" s="5" t="s">
        <v>154</v>
      </c>
      <c r="D393" s="5"/>
      <c r="E393" s="5" t="s">
        <v>153</v>
      </c>
      <c r="F393" s="5" t="s">
        <v>9</v>
      </c>
      <c r="G393" s="5" t="s">
        <v>8</v>
      </c>
      <c r="H393" s="2"/>
      <c r="I393" s="2">
        <v>46191</v>
      </c>
      <c r="J393" s="2"/>
      <c r="K393" s="2" t="str">
        <f>IFERROR(VLOOKUP(B393,#REF!,4,0),"")</f>
        <v/>
      </c>
      <c r="L393" s="1" t="s">
        <v>124</v>
      </c>
      <c r="M393" s="1" t="s">
        <v>17</v>
      </c>
    </row>
    <row r="394" spans="2:13" ht="14.4" hidden="1" x14ac:dyDescent="0.3">
      <c r="B394" s="8" t="s">
        <v>152</v>
      </c>
      <c r="C394" s="5" t="s">
        <v>151</v>
      </c>
      <c r="D394" s="5"/>
      <c r="E394" s="5" t="s">
        <v>150</v>
      </c>
      <c r="F394" s="5" t="s">
        <v>28</v>
      </c>
      <c r="G394" s="5" t="s">
        <v>8</v>
      </c>
      <c r="H394" s="2"/>
      <c r="I394" s="2">
        <v>46175</v>
      </c>
      <c r="J394" s="2"/>
      <c r="K394" s="2" t="str">
        <f>IFERROR(VLOOKUP(B394,#REF!,4,0),"")</f>
        <v/>
      </c>
      <c r="L394" s="1" t="s">
        <v>27</v>
      </c>
      <c r="M394" s="1" t="s">
        <v>17</v>
      </c>
    </row>
    <row r="395" spans="2:13" ht="14.4" hidden="1" x14ac:dyDescent="0.3">
      <c r="B395" s="9" t="s">
        <v>149</v>
      </c>
      <c r="C395" s="5" t="s">
        <v>148</v>
      </c>
      <c r="D395" s="5"/>
      <c r="E395" s="5" t="s">
        <v>147</v>
      </c>
      <c r="F395" s="5" t="s">
        <v>36</v>
      </c>
      <c r="G395" s="5" t="s">
        <v>8</v>
      </c>
      <c r="H395" s="2"/>
      <c r="I395" s="2">
        <v>46184</v>
      </c>
      <c r="J395" s="2"/>
      <c r="K395" s="2" t="str">
        <f>IFERROR(VLOOKUP(B395,#REF!,4,0),"")</f>
        <v/>
      </c>
      <c r="L395" s="1" t="s">
        <v>13</v>
      </c>
      <c r="M395" s="1" t="s">
        <v>12</v>
      </c>
    </row>
    <row r="396" spans="2:13" ht="14.4" hidden="1" x14ac:dyDescent="0.3">
      <c r="B396" s="8" t="s">
        <v>145</v>
      </c>
      <c r="C396" s="5" t="s">
        <v>144</v>
      </c>
      <c r="D396" s="5"/>
      <c r="E396" s="12" t="s">
        <v>143</v>
      </c>
      <c r="F396" s="5" t="s">
        <v>48</v>
      </c>
      <c r="G396" s="5" t="s">
        <v>8</v>
      </c>
      <c r="H396" s="2"/>
      <c r="I396" s="2">
        <v>46184</v>
      </c>
      <c r="J396" s="2"/>
      <c r="K396" s="2" t="str">
        <f>IFERROR(VLOOKUP(B396,#REF!,4,0),"")</f>
        <v/>
      </c>
      <c r="L396" s="1" t="s">
        <v>44</v>
      </c>
      <c r="M396" s="1" t="s">
        <v>12</v>
      </c>
    </row>
    <row r="397" spans="2:13" ht="14.4" hidden="1" x14ac:dyDescent="0.3">
      <c r="B397" s="8" t="s">
        <v>142</v>
      </c>
      <c r="C397" s="5" t="s">
        <v>141</v>
      </c>
      <c r="D397" s="5"/>
      <c r="E397" s="5" t="s">
        <v>140</v>
      </c>
      <c r="F397" s="5" t="s">
        <v>9</v>
      </c>
      <c r="G397" s="5" t="s">
        <v>8</v>
      </c>
      <c r="H397" s="2"/>
      <c r="I397" s="2">
        <v>46181</v>
      </c>
      <c r="J397" s="2"/>
      <c r="K397" s="2" t="str">
        <f>IFERROR(VLOOKUP(B397,#REF!,4,0),"")</f>
        <v/>
      </c>
      <c r="L397" s="1" t="s">
        <v>20</v>
      </c>
      <c r="M397" s="1" t="s">
        <v>12</v>
      </c>
    </row>
    <row r="398" spans="2:13" ht="14.4" hidden="1" x14ac:dyDescent="0.3">
      <c r="B398" s="8" t="s">
        <v>139</v>
      </c>
      <c r="C398" s="5" t="s">
        <v>138</v>
      </c>
      <c r="D398" s="5"/>
      <c r="E398" s="5" t="s">
        <v>137</v>
      </c>
      <c r="F398" s="5" t="s">
        <v>9</v>
      </c>
      <c r="G398" s="5" t="s">
        <v>8</v>
      </c>
      <c r="H398" s="2"/>
      <c r="I398" s="2">
        <v>46179</v>
      </c>
      <c r="J398" s="2"/>
      <c r="K398" s="2" t="str">
        <f>IFERROR(VLOOKUP(B398,#REF!,4,0),"")</f>
        <v/>
      </c>
      <c r="L398" s="1" t="s">
        <v>20</v>
      </c>
      <c r="M398" s="1" t="s">
        <v>17</v>
      </c>
    </row>
    <row r="399" spans="2:13" ht="14.4" hidden="1" x14ac:dyDescent="0.3">
      <c r="B399" s="8" t="s">
        <v>136</v>
      </c>
      <c r="C399" s="5" t="s">
        <v>135</v>
      </c>
      <c r="D399" s="5"/>
      <c r="E399" s="5" t="s">
        <v>131</v>
      </c>
      <c r="F399" s="5" t="s">
        <v>9</v>
      </c>
      <c r="G399" s="5" t="s">
        <v>8</v>
      </c>
      <c r="H399" s="2"/>
      <c r="I399" s="2">
        <v>46185</v>
      </c>
      <c r="J399" s="2"/>
      <c r="K399" s="2" t="str">
        <f>IFERROR(VLOOKUP(B399,#REF!,4,0),"")</f>
        <v/>
      </c>
      <c r="L399" s="1" t="s">
        <v>124</v>
      </c>
      <c r="M399" s="1" t="s">
        <v>134</v>
      </c>
    </row>
    <row r="400" spans="2:13" ht="14.4" hidden="1" x14ac:dyDescent="0.3">
      <c r="B400" s="8" t="s">
        <v>133</v>
      </c>
      <c r="C400" s="5" t="s">
        <v>132</v>
      </c>
      <c r="D400" s="5"/>
      <c r="E400" s="5" t="s">
        <v>131</v>
      </c>
      <c r="F400" s="5" t="s">
        <v>9</v>
      </c>
      <c r="G400" s="5" t="s">
        <v>8</v>
      </c>
      <c r="H400" s="2"/>
      <c r="I400" s="2">
        <v>46178</v>
      </c>
      <c r="J400" s="2"/>
      <c r="K400" s="2" t="str">
        <f>IFERROR(VLOOKUP(B400,#REF!,4,0),"")</f>
        <v/>
      </c>
      <c r="L400" s="1" t="s">
        <v>124</v>
      </c>
      <c r="M400" s="1" t="s">
        <v>12</v>
      </c>
    </row>
    <row r="401" spans="2:13" ht="14.4" hidden="1" x14ac:dyDescent="0.3">
      <c r="B401" s="8" t="s">
        <v>130</v>
      </c>
      <c r="C401" s="5" t="s">
        <v>129</v>
      </c>
      <c r="D401" s="5"/>
      <c r="E401" s="5" t="s">
        <v>128</v>
      </c>
      <c r="F401" s="5" t="s">
        <v>36</v>
      </c>
      <c r="G401" s="5" t="s">
        <v>8</v>
      </c>
      <c r="H401" s="2"/>
      <c r="I401" s="2">
        <v>46178</v>
      </c>
      <c r="J401" s="2"/>
      <c r="K401" s="2" t="str">
        <f>IFERROR(VLOOKUP(B401,#REF!,4,0),"")</f>
        <v/>
      </c>
      <c r="L401" s="1" t="s">
        <v>13</v>
      </c>
      <c r="M401" s="1" t="s">
        <v>12</v>
      </c>
    </row>
    <row r="402" spans="2:13" ht="14.4" hidden="1" x14ac:dyDescent="0.3">
      <c r="B402" s="8" t="s">
        <v>127</v>
      </c>
      <c r="C402" s="5" t="s">
        <v>126</v>
      </c>
      <c r="D402" s="5"/>
      <c r="E402" s="5" t="s">
        <v>125</v>
      </c>
      <c r="F402" s="5" t="s">
        <v>9</v>
      </c>
      <c r="G402" s="5" t="s">
        <v>8</v>
      </c>
      <c r="H402" s="2"/>
      <c r="I402" s="2">
        <v>46178</v>
      </c>
      <c r="J402" s="2"/>
      <c r="K402" s="2" t="str">
        <f>IFERROR(VLOOKUP(B402,#REF!,4,0),"")</f>
        <v/>
      </c>
      <c r="L402" s="1" t="s">
        <v>124</v>
      </c>
      <c r="M402" s="1" t="s">
        <v>12</v>
      </c>
    </row>
    <row r="403" spans="2:13" ht="14.4" hidden="1" x14ac:dyDescent="0.3">
      <c r="B403" s="11" t="s">
        <v>123</v>
      </c>
      <c r="C403" s="5" t="s">
        <v>122</v>
      </c>
      <c r="D403" s="5"/>
      <c r="E403" s="5" t="s">
        <v>121</v>
      </c>
      <c r="F403" s="5" t="s">
        <v>9</v>
      </c>
      <c r="G403" s="5" t="s">
        <v>8</v>
      </c>
      <c r="H403" s="2"/>
      <c r="I403" s="2">
        <v>46177</v>
      </c>
      <c r="J403" s="2"/>
      <c r="K403" s="2" t="str">
        <f>IFERROR(VLOOKUP(B403,#REF!,4,0),"")</f>
        <v/>
      </c>
      <c r="L403" s="1" t="s">
        <v>20</v>
      </c>
      <c r="M403" s="1" t="s">
        <v>12</v>
      </c>
    </row>
    <row r="404" spans="2:13" ht="14.4" hidden="1" x14ac:dyDescent="0.3">
      <c r="B404" s="10" t="s">
        <v>120</v>
      </c>
      <c r="C404" s="5" t="s">
        <v>119</v>
      </c>
      <c r="D404" s="5"/>
      <c r="E404" s="5" t="s">
        <v>118</v>
      </c>
      <c r="F404" s="5" t="s">
        <v>40</v>
      </c>
      <c r="G404" s="5" t="s">
        <v>8</v>
      </c>
      <c r="H404" s="2">
        <v>46165</v>
      </c>
      <c r="I404" s="2">
        <v>46179</v>
      </c>
      <c r="J404" s="2"/>
      <c r="K404" s="2" t="str">
        <f>IFERROR(VLOOKUP(B404,#REF!,4,0),"")</f>
        <v/>
      </c>
      <c r="L404" s="1" t="s">
        <v>27</v>
      </c>
      <c r="M404" s="1" t="s">
        <v>17</v>
      </c>
    </row>
    <row r="405" spans="2:13" ht="14.4" hidden="1" x14ac:dyDescent="0.3">
      <c r="B405" s="8" t="s">
        <v>117</v>
      </c>
      <c r="C405" s="5" t="s">
        <v>116</v>
      </c>
      <c r="D405" s="5"/>
      <c r="E405" s="5" t="s">
        <v>115</v>
      </c>
      <c r="F405" s="5" t="s">
        <v>4</v>
      </c>
      <c r="G405" s="5" t="s">
        <v>8</v>
      </c>
      <c r="H405" s="2">
        <v>46165</v>
      </c>
      <c r="I405" s="2">
        <v>46199</v>
      </c>
      <c r="J405" s="2"/>
      <c r="K405" s="2" t="str">
        <f>IFERROR(VLOOKUP(B405,#REF!,4,0),"")</f>
        <v/>
      </c>
      <c r="L405" s="1" t="s">
        <v>2</v>
      </c>
      <c r="M405" s="1" t="s">
        <v>17</v>
      </c>
    </row>
    <row r="406" spans="2:13" ht="14.4" hidden="1" x14ac:dyDescent="0.3">
      <c r="B406" s="8" t="s">
        <v>114</v>
      </c>
      <c r="C406" s="5" t="s">
        <v>113</v>
      </c>
      <c r="D406" s="5"/>
      <c r="E406" s="5" t="s">
        <v>112</v>
      </c>
      <c r="F406" s="5" t="s">
        <v>36</v>
      </c>
      <c r="G406" s="5" t="s">
        <v>8</v>
      </c>
      <c r="H406" s="2"/>
      <c r="I406" s="2">
        <v>46178</v>
      </c>
      <c r="J406" s="2"/>
      <c r="K406" s="2" t="str">
        <f>IFERROR(VLOOKUP(B406,#REF!,4,0),"")</f>
        <v/>
      </c>
      <c r="L406" s="1" t="s">
        <v>13</v>
      </c>
      <c r="M406" s="1" t="s">
        <v>12</v>
      </c>
    </row>
    <row r="407" spans="2:13" ht="14.4" hidden="1" x14ac:dyDescent="0.3">
      <c r="B407" s="8" t="s">
        <v>111</v>
      </c>
      <c r="C407" s="5" t="s">
        <v>110</v>
      </c>
      <c r="D407" s="5"/>
      <c r="E407" s="5" t="s">
        <v>109</v>
      </c>
      <c r="F407" s="5" t="s">
        <v>48</v>
      </c>
      <c r="G407" s="5" t="s">
        <v>8</v>
      </c>
      <c r="H407" s="2"/>
      <c r="I407" s="2">
        <v>46183</v>
      </c>
      <c r="J407" s="2"/>
      <c r="K407" s="2" t="str">
        <f>IFERROR(VLOOKUP(B407,#REF!,4,0),"")</f>
        <v/>
      </c>
      <c r="L407" s="1" t="s">
        <v>44</v>
      </c>
      <c r="M407" s="1" t="s">
        <v>12</v>
      </c>
    </row>
    <row r="408" spans="2:13" ht="14.4" hidden="1" x14ac:dyDescent="0.3">
      <c r="B408" s="8" t="s">
        <v>108</v>
      </c>
      <c r="C408" s="5" t="s">
        <v>107</v>
      </c>
      <c r="D408" s="5"/>
      <c r="E408" s="5" t="s">
        <v>106</v>
      </c>
      <c r="F408" s="5" t="s">
        <v>90</v>
      </c>
      <c r="G408" s="5" t="s">
        <v>8</v>
      </c>
      <c r="H408" s="2"/>
      <c r="I408" s="2">
        <v>46193</v>
      </c>
      <c r="J408" s="2"/>
      <c r="K408" s="2" t="str">
        <f>IFERROR(VLOOKUP(B408,#REF!,4,0),"")</f>
        <v/>
      </c>
      <c r="L408" s="1" t="s">
        <v>13</v>
      </c>
      <c r="M408" s="1" t="s">
        <v>12</v>
      </c>
    </row>
    <row r="409" spans="2:13" ht="14.4" hidden="1" x14ac:dyDescent="0.3">
      <c r="B409" s="8" t="s">
        <v>105</v>
      </c>
      <c r="C409" s="5" t="s">
        <v>104</v>
      </c>
      <c r="D409" s="5"/>
      <c r="E409" s="5" t="s">
        <v>103</v>
      </c>
      <c r="F409" s="5" t="s">
        <v>28</v>
      </c>
      <c r="G409" s="5" t="s">
        <v>8</v>
      </c>
      <c r="H409" s="2"/>
      <c r="I409" s="2">
        <v>46184</v>
      </c>
      <c r="J409" s="2"/>
      <c r="K409" s="2" t="str">
        <f>IFERROR(VLOOKUP(B409,#REF!,4,0),"")</f>
        <v/>
      </c>
      <c r="L409" s="1" t="s">
        <v>27</v>
      </c>
      <c r="M409" s="1" t="s">
        <v>12</v>
      </c>
    </row>
    <row r="410" spans="2:13" ht="14.4" hidden="1" x14ac:dyDescent="0.3">
      <c r="B410" s="8" t="s">
        <v>102</v>
      </c>
      <c r="C410" s="5" t="s">
        <v>101</v>
      </c>
      <c r="D410" s="5"/>
      <c r="E410" s="5" t="s">
        <v>100</v>
      </c>
      <c r="F410" s="5" t="s">
        <v>48</v>
      </c>
      <c r="G410" s="5" t="s">
        <v>8</v>
      </c>
      <c r="H410" s="2">
        <v>46148</v>
      </c>
      <c r="I410" s="2">
        <v>46196</v>
      </c>
      <c r="J410" s="2"/>
      <c r="K410" s="2" t="str">
        <f>IFERROR(VLOOKUP(B410,#REF!,4,0),"")</f>
        <v/>
      </c>
      <c r="L410" s="1" t="s">
        <v>44</v>
      </c>
      <c r="M410" s="1" t="s">
        <v>12</v>
      </c>
    </row>
    <row r="411" spans="2:13" ht="14.4" hidden="1" x14ac:dyDescent="0.3">
      <c r="B411" s="8" t="s">
        <v>99</v>
      </c>
      <c r="C411" s="5" t="s">
        <v>98</v>
      </c>
      <c r="D411" s="5"/>
      <c r="E411" s="5" t="s">
        <v>97</v>
      </c>
      <c r="F411" s="5" t="s">
        <v>48</v>
      </c>
      <c r="G411" s="5" t="s">
        <v>8</v>
      </c>
      <c r="H411" s="2"/>
      <c r="I411" s="2">
        <v>46195</v>
      </c>
      <c r="J411" s="2"/>
      <c r="K411" s="2" t="str">
        <f>IFERROR(VLOOKUP(B411,#REF!,4,0),"")</f>
        <v/>
      </c>
      <c r="L411" s="1" t="s">
        <v>44</v>
      </c>
      <c r="M411" s="1" t="s">
        <v>17</v>
      </c>
    </row>
    <row r="412" spans="2:13" ht="14.4" hidden="1" x14ac:dyDescent="0.3">
      <c r="B412" s="8" t="s">
        <v>96</v>
      </c>
      <c r="C412" s="5" t="s">
        <v>95</v>
      </c>
      <c r="D412" s="5"/>
      <c r="E412" s="5" t="s">
        <v>94</v>
      </c>
      <c r="F412" s="5" t="s">
        <v>4</v>
      </c>
      <c r="G412" s="5" t="s">
        <v>8</v>
      </c>
      <c r="H412" s="2"/>
      <c r="I412" s="2">
        <v>46184</v>
      </c>
      <c r="J412" s="2"/>
      <c r="K412" s="2" t="str">
        <f>IFERROR(VLOOKUP(B412,#REF!,4,0),"")</f>
        <v/>
      </c>
      <c r="L412" s="1" t="s">
        <v>2</v>
      </c>
      <c r="M412" s="1" t="s">
        <v>12</v>
      </c>
    </row>
    <row r="413" spans="2:13" ht="14.4" hidden="1" x14ac:dyDescent="0.3">
      <c r="B413" s="8" t="s">
        <v>93</v>
      </c>
      <c r="C413" s="5" t="s">
        <v>92</v>
      </c>
      <c r="D413" s="5"/>
      <c r="E413" s="5" t="s">
        <v>91</v>
      </c>
      <c r="F413" s="5" t="s">
        <v>90</v>
      </c>
      <c r="G413" s="5" t="s">
        <v>8</v>
      </c>
      <c r="H413" s="2"/>
      <c r="I413" s="2">
        <v>46199</v>
      </c>
      <c r="J413" s="2"/>
      <c r="K413" s="2" t="str">
        <f>IFERROR(VLOOKUP(B413,#REF!,4,0),"")</f>
        <v/>
      </c>
      <c r="L413" s="1" t="s">
        <v>44</v>
      </c>
      <c r="M413" s="1" t="s">
        <v>12</v>
      </c>
    </row>
    <row r="414" spans="2:13" ht="14.4" hidden="1" x14ac:dyDescent="0.3">
      <c r="B414" s="10" t="s">
        <v>89</v>
      </c>
      <c r="C414" s="5" t="s">
        <v>88</v>
      </c>
      <c r="D414" s="5"/>
      <c r="E414" s="5" t="s">
        <v>87</v>
      </c>
      <c r="F414" s="5" t="s">
        <v>48</v>
      </c>
      <c r="G414" s="5" t="s">
        <v>8</v>
      </c>
      <c r="H414" s="2">
        <v>46168</v>
      </c>
      <c r="I414" s="2">
        <v>46188</v>
      </c>
      <c r="J414" s="2"/>
      <c r="K414" s="2" t="str">
        <f>IFERROR(VLOOKUP(B414,#REF!,4,0),"")</f>
        <v/>
      </c>
      <c r="L414" s="1" t="s">
        <v>44</v>
      </c>
      <c r="M414" s="1" t="s">
        <v>17</v>
      </c>
    </row>
    <row r="415" spans="2:13" ht="14.4" hidden="1" x14ac:dyDescent="0.3">
      <c r="B415" s="8" t="s">
        <v>86</v>
      </c>
      <c r="C415" s="5" t="s">
        <v>85</v>
      </c>
      <c r="D415" s="5"/>
      <c r="E415" s="5" t="s">
        <v>84</v>
      </c>
      <c r="F415" s="5" t="s">
        <v>28</v>
      </c>
      <c r="G415" s="5" t="s">
        <v>8</v>
      </c>
      <c r="H415" s="2"/>
      <c r="I415" s="2">
        <v>46178</v>
      </c>
      <c r="J415" s="2"/>
      <c r="K415" s="2" t="str">
        <f>IFERROR(VLOOKUP(B415,#REF!,4,0),"")</f>
        <v/>
      </c>
      <c r="L415" s="1" t="s">
        <v>77</v>
      </c>
      <c r="M415" s="1" t="s">
        <v>12</v>
      </c>
    </row>
    <row r="416" spans="2:13" ht="14.4" hidden="1" x14ac:dyDescent="0.3">
      <c r="B416" s="8" t="s">
        <v>83</v>
      </c>
      <c r="C416" s="5" t="s">
        <v>82</v>
      </c>
      <c r="D416" s="5"/>
      <c r="E416" s="5" t="s">
        <v>81</v>
      </c>
      <c r="F416" s="5" t="s">
        <v>36</v>
      </c>
      <c r="G416" s="5" t="s">
        <v>8</v>
      </c>
      <c r="H416" s="2"/>
      <c r="I416" s="2">
        <v>46177</v>
      </c>
      <c r="J416" s="2"/>
      <c r="K416" s="2" t="str">
        <f>IFERROR(VLOOKUP(B416,#REF!,4,0),"")</f>
        <v/>
      </c>
      <c r="L416" s="1" t="s">
        <v>13</v>
      </c>
      <c r="M416" s="1" t="s">
        <v>12</v>
      </c>
    </row>
    <row r="417" spans="2:13" ht="14.4" hidden="1" x14ac:dyDescent="0.3">
      <c r="B417" s="8" t="s">
        <v>80</v>
      </c>
      <c r="C417" s="5" t="s">
        <v>79</v>
      </c>
      <c r="D417" s="5"/>
      <c r="E417" s="5" t="s">
        <v>78</v>
      </c>
      <c r="F417" s="5" t="s">
        <v>4</v>
      </c>
      <c r="G417" s="5" t="s">
        <v>8</v>
      </c>
      <c r="H417" s="2"/>
      <c r="I417" s="2">
        <v>46176</v>
      </c>
      <c r="J417" s="2"/>
      <c r="K417" s="2" t="str">
        <f>IFERROR(VLOOKUP(B417,#REF!,4,0),"")</f>
        <v/>
      </c>
      <c r="L417" s="1" t="s">
        <v>77</v>
      </c>
      <c r="M417" s="1" t="s">
        <v>12</v>
      </c>
    </row>
    <row r="418" spans="2:13" ht="14.4" hidden="1" x14ac:dyDescent="0.3">
      <c r="B418" s="8" t="s">
        <v>76</v>
      </c>
      <c r="C418" s="5" t="s">
        <v>75</v>
      </c>
      <c r="D418" s="5"/>
      <c r="E418" s="5" t="s">
        <v>74</v>
      </c>
      <c r="F418" s="5" t="s">
        <v>48</v>
      </c>
      <c r="G418" s="5" t="s">
        <v>8</v>
      </c>
      <c r="H418" s="2"/>
      <c r="I418" s="2">
        <v>46176</v>
      </c>
      <c r="J418" s="2"/>
      <c r="K418" s="2" t="str">
        <f>IFERROR(VLOOKUP(B418,#REF!,4,0),"")</f>
        <v/>
      </c>
      <c r="L418" s="1" t="s">
        <v>44</v>
      </c>
      <c r="M418" s="1" t="s">
        <v>12</v>
      </c>
    </row>
    <row r="419" spans="2:13" ht="14.4" hidden="1" x14ac:dyDescent="0.3">
      <c r="B419" s="8" t="s">
        <v>73</v>
      </c>
      <c r="C419" s="5" t="s">
        <v>72</v>
      </c>
      <c r="D419" s="5"/>
      <c r="E419" s="5" t="s">
        <v>71</v>
      </c>
      <c r="F419" s="5" t="s">
        <v>28</v>
      </c>
      <c r="G419" s="5" t="s">
        <v>8</v>
      </c>
      <c r="H419" s="2"/>
      <c r="I419" s="2">
        <v>46200</v>
      </c>
      <c r="J419" s="2"/>
      <c r="K419" s="2" t="str">
        <f>IFERROR(VLOOKUP(B419,#REF!,4,0),"")</f>
        <v/>
      </c>
      <c r="L419" s="1" t="s">
        <v>27</v>
      </c>
      <c r="M419" s="1" t="s">
        <v>12</v>
      </c>
    </row>
    <row r="420" spans="2:13" ht="14.4" hidden="1" x14ac:dyDescent="0.3">
      <c r="B420" s="8" t="s">
        <v>70</v>
      </c>
      <c r="C420" s="5" t="s">
        <v>69</v>
      </c>
      <c r="D420" s="5"/>
      <c r="E420" s="5" t="s">
        <v>68</v>
      </c>
      <c r="F420" s="5" t="s">
        <v>28</v>
      </c>
      <c r="G420" s="5" t="s">
        <v>8</v>
      </c>
      <c r="H420" s="2"/>
      <c r="I420" s="2">
        <v>46184</v>
      </c>
      <c r="J420" s="2"/>
      <c r="K420" s="2" t="str">
        <f>IFERROR(VLOOKUP(B420,#REF!,4,0),"")</f>
        <v/>
      </c>
      <c r="L420" s="1" t="s">
        <v>20</v>
      </c>
      <c r="M420" s="1" t="s">
        <v>12</v>
      </c>
    </row>
    <row r="421" spans="2:13" ht="14.4" hidden="1" x14ac:dyDescent="0.3">
      <c r="B421" s="8" t="s">
        <v>67</v>
      </c>
      <c r="C421" s="5" t="s">
        <v>66</v>
      </c>
      <c r="D421" s="5"/>
      <c r="E421" s="5" t="s">
        <v>65</v>
      </c>
      <c r="F421" s="5" t="s">
        <v>4</v>
      </c>
      <c r="G421" s="5" t="s">
        <v>8</v>
      </c>
      <c r="H421" s="2"/>
      <c r="I421" s="2">
        <v>46182</v>
      </c>
      <c r="J421" s="2"/>
      <c r="K421" s="2" t="str">
        <f>IFERROR(VLOOKUP(B421,#REF!,4,0),"")</f>
        <v/>
      </c>
      <c r="L421" s="1" t="s">
        <v>2</v>
      </c>
      <c r="M421" s="1" t="s">
        <v>12</v>
      </c>
    </row>
    <row r="422" spans="2:13" ht="14.4" hidden="1" x14ac:dyDescent="0.3">
      <c r="B422" s="8" t="s">
        <v>64</v>
      </c>
      <c r="C422" s="5" t="s">
        <v>63</v>
      </c>
      <c r="D422" s="5"/>
      <c r="E422" s="5" t="s">
        <v>62</v>
      </c>
      <c r="F422" s="5" t="s">
        <v>28</v>
      </c>
      <c r="G422" s="5" t="s">
        <v>8</v>
      </c>
      <c r="H422" s="2"/>
      <c r="I422" s="2">
        <v>46183</v>
      </c>
      <c r="J422" s="2"/>
      <c r="K422" s="2" t="str">
        <f>IFERROR(VLOOKUP(B422,#REF!,4,0),"")</f>
        <v/>
      </c>
      <c r="L422" s="1" t="s">
        <v>27</v>
      </c>
      <c r="M422" s="1" t="s">
        <v>17</v>
      </c>
    </row>
    <row r="423" spans="2:13" ht="14.4" hidden="1" x14ac:dyDescent="0.3">
      <c r="B423" s="8" t="s">
        <v>61</v>
      </c>
      <c r="C423" s="5" t="s">
        <v>60</v>
      </c>
      <c r="D423" s="5"/>
      <c r="E423" s="5" t="s">
        <v>59</v>
      </c>
      <c r="F423" s="5" t="s">
        <v>58</v>
      </c>
      <c r="G423" s="5" t="s">
        <v>8</v>
      </c>
      <c r="H423" s="2">
        <v>46170</v>
      </c>
      <c r="I423" s="2">
        <v>46197</v>
      </c>
      <c r="J423" s="2"/>
      <c r="K423" s="2" t="str">
        <f>IFERROR(VLOOKUP(B423,#REF!,4,0),"")</f>
        <v/>
      </c>
      <c r="L423" s="1" t="s">
        <v>27</v>
      </c>
      <c r="M423" s="1" t="s">
        <v>17</v>
      </c>
    </row>
    <row r="424" spans="2:13" ht="14.4" hidden="1" x14ac:dyDescent="0.3">
      <c r="B424" s="8" t="s">
        <v>57</v>
      </c>
      <c r="C424" s="5" t="s">
        <v>56</v>
      </c>
      <c r="D424" s="5"/>
      <c r="E424" s="5" t="s">
        <v>55</v>
      </c>
      <c r="F424" s="5" t="s">
        <v>9</v>
      </c>
      <c r="G424" s="5" t="s">
        <v>8</v>
      </c>
      <c r="H424" s="2"/>
      <c r="I424" s="2">
        <v>46190</v>
      </c>
      <c r="J424" s="2"/>
      <c r="K424" s="2" t="str">
        <f>IFERROR(VLOOKUP(B424,#REF!,4,0),"")</f>
        <v/>
      </c>
      <c r="L424" s="1" t="s">
        <v>27</v>
      </c>
      <c r="M424" s="1" t="s">
        <v>12</v>
      </c>
    </row>
    <row r="425" spans="2:13" ht="14.4" hidden="1" x14ac:dyDescent="0.3">
      <c r="B425" s="10" t="s">
        <v>54</v>
      </c>
      <c r="C425" s="5" t="s">
        <v>53</v>
      </c>
      <c r="D425" s="5"/>
      <c r="E425" s="5" t="s">
        <v>52</v>
      </c>
      <c r="F425" s="5" t="s">
        <v>40</v>
      </c>
      <c r="G425" s="5" t="s">
        <v>8</v>
      </c>
      <c r="H425" s="2">
        <v>46165</v>
      </c>
      <c r="I425" s="2">
        <v>46192</v>
      </c>
      <c r="J425" s="2"/>
      <c r="K425" s="2" t="str">
        <f>IFERROR(VLOOKUP(B425,#REF!,4,0),"")</f>
        <v/>
      </c>
      <c r="L425" s="1" t="s">
        <v>27</v>
      </c>
      <c r="M425" s="1" t="s">
        <v>12</v>
      </c>
    </row>
    <row r="426" spans="2:13" ht="14.4" hidden="1" x14ac:dyDescent="0.3">
      <c r="B426" s="8" t="s">
        <v>51</v>
      </c>
      <c r="C426" s="5" t="s">
        <v>50</v>
      </c>
      <c r="D426" s="5"/>
      <c r="E426" s="5" t="s">
        <v>49</v>
      </c>
      <c r="F426" s="5" t="s">
        <v>48</v>
      </c>
      <c r="G426" s="5" t="s">
        <v>8</v>
      </c>
      <c r="H426" s="2"/>
      <c r="I426" s="2">
        <v>46175</v>
      </c>
      <c r="J426" s="2"/>
      <c r="K426" s="2" t="str">
        <f>IFERROR(VLOOKUP(B426,#REF!,4,0),"")</f>
        <v/>
      </c>
      <c r="L426" s="1" t="s">
        <v>44</v>
      </c>
      <c r="M426" s="1" t="s">
        <v>17</v>
      </c>
    </row>
    <row r="427" spans="2:13" ht="14.4" hidden="1" x14ac:dyDescent="0.3">
      <c r="B427" s="8" t="s">
        <v>47</v>
      </c>
      <c r="C427" s="5" t="s">
        <v>46</v>
      </c>
      <c r="D427" s="5"/>
      <c r="E427" s="5" t="s">
        <v>45</v>
      </c>
      <c r="F427" s="5" t="s">
        <v>28</v>
      </c>
      <c r="G427" s="5" t="s">
        <v>8</v>
      </c>
      <c r="H427" s="2"/>
      <c r="I427" s="2">
        <v>46176</v>
      </c>
      <c r="J427" s="2"/>
      <c r="K427" s="2" t="str">
        <f>IFERROR(VLOOKUP(B427,#REF!,4,0),"")</f>
        <v/>
      </c>
      <c r="L427" s="1" t="s">
        <v>44</v>
      </c>
      <c r="M427" s="1" t="s">
        <v>17</v>
      </c>
    </row>
    <row r="428" spans="2:13" ht="14.4" hidden="1" x14ac:dyDescent="0.3">
      <c r="B428" s="8" t="s">
        <v>43</v>
      </c>
      <c r="C428" s="5" t="s">
        <v>42</v>
      </c>
      <c r="D428" s="5"/>
      <c r="E428" s="5" t="s">
        <v>41</v>
      </c>
      <c r="F428" s="5" t="s">
        <v>40</v>
      </c>
      <c r="G428" s="5" t="s">
        <v>8</v>
      </c>
      <c r="H428" s="2">
        <v>46171</v>
      </c>
      <c r="I428" s="2">
        <v>46203</v>
      </c>
      <c r="J428" s="2"/>
      <c r="K428" s="2" t="str">
        <f>IFERROR(VLOOKUP(B428,#REF!,4,0),"")</f>
        <v/>
      </c>
      <c r="L428" s="1" t="s">
        <v>27</v>
      </c>
      <c r="M428" s="1" t="s">
        <v>17</v>
      </c>
    </row>
    <row r="429" spans="2:13" ht="14.4" hidden="1" x14ac:dyDescent="0.3">
      <c r="B429" s="10" t="s">
        <v>39</v>
      </c>
      <c r="C429" s="5" t="s">
        <v>38</v>
      </c>
      <c r="D429" s="5"/>
      <c r="E429" s="5" t="s">
        <v>37</v>
      </c>
      <c r="F429" s="5" t="s">
        <v>36</v>
      </c>
      <c r="G429" s="5" t="s">
        <v>8</v>
      </c>
      <c r="H429" s="2"/>
      <c r="I429" s="2">
        <v>46178</v>
      </c>
      <c r="J429" s="2"/>
      <c r="K429" s="2" t="str">
        <f>IFERROR(VLOOKUP(B429,#REF!,4,0),"")</f>
        <v/>
      </c>
      <c r="L429" s="1" t="s">
        <v>13</v>
      </c>
      <c r="M429" s="1" t="s">
        <v>12</v>
      </c>
    </row>
    <row r="430" spans="2:13" ht="14.4" hidden="1" x14ac:dyDescent="0.3">
      <c r="B430" s="8" t="s">
        <v>35</v>
      </c>
      <c r="C430" s="5" t="s">
        <v>34</v>
      </c>
      <c r="D430" s="5"/>
      <c r="E430" s="5" t="s">
        <v>33</v>
      </c>
      <c r="F430" s="5" t="s">
        <v>32</v>
      </c>
      <c r="G430" s="5" t="s">
        <v>8</v>
      </c>
      <c r="H430" s="2"/>
      <c r="I430" s="2">
        <v>46182</v>
      </c>
      <c r="J430" s="2"/>
      <c r="K430" s="2" t="str">
        <f>IFERROR(VLOOKUP(B430,#REF!,4,0),"")</f>
        <v/>
      </c>
      <c r="L430" s="1" t="s">
        <v>27</v>
      </c>
      <c r="M430" s="1" t="s">
        <v>17</v>
      </c>
    </row>
    <row r="431" spans="2:13" ht="14.4" hidden="1" x14ac:dyDescent="0.3">
      <c r="B431" s="8" t="s">
        <v>31</v>
      </c>
      <c r="C431" s="5" t="s">
        <v>30</v>
      </c>
      <c r="D431" s="5"/>
      <c r="E431" s="5" t="s">
        <v>29</v>
      </c>
      <c r="F431" s="5" t="s">
        <v>28</v>
      </c>
      <c r="G431" s="5" t="s">
        <v>8</v>
      </c>
      <c r="H431" s="2"/>
      <c r="I431" s="2">
        <v>46183</v>
      </c>
      <c r="J431" s="2"/>
      <c r="K431" s="2" t="str">
        <f>IFERROR(VLOOKUP(B431,#REF!,4,0),"")</f>
        <v/>
      </c>
      <c r="L431" s="1" t="s">
        <v>27</v>
      </c>
      <c r="M431" s="1" t="s">
        <v>12</v>
      </c>
    </row>
    <row r="432" spans="2:13" ht="14.4" hidden="1" x14ac:dyDescent="0.3">
      <c r="B432" s="8" t="s">
        <v>26</v>
      </c>
      <c r="C432" s="5" t="s">
        <v>25</v>
      </c>
      <c r="D432" s="5"/>
      <c r="E432" s="5" t="s">
        <v>24</v>
      </c>
      <c r="F432" s="5" t="s">
        <v>9</v>
      </c>
      <c r="G432" s="5" t="s">
        <v>8</v>
      </c>
      <c r="H432" s="2"/>
      <c r="I432" s="2">
        <v>46181</v>
      </c>
      <c r="J432" s="2"/>
      <c r="K432" s="2" t="str">
        <f>IFERROR(VLOOKUP(B432,#REF!,4,0),"")</f>
        <v/>
      </c>
      <c r="L432" s="1" t="s">
        <v>20</v>
      </c>
      <c r="M432" s="1" t="s">
        <v>12</v>
      </c>
    </row>
    <row r="433" spans="2:13" ht="14.4" hidden="1" x14ac:dyDescent="0.3">
      <c r="B433" s="9" t="s">
        <v>23</v>
      </c>
      <c r="C433" s="5" t="s">
        <v>22</v>
      </c>
      <c r="D433" s="5"/>
      <c r="E433" s="5" t="s">
        <v>21</v>
      </c>
      <c r="F433" s="5" t="s">
        <v>9</v>
      </c>
      <c r="G433" s="5" t="s">
        <v>8</v>
      </c>
      <c r="H433" s="2">
        <v>46155</v>
      </c>
      <c r="I433" s="2">
        <v>46202</v>
      </c>
      <c r="J433" s="2"/>
      <c r="K433" s="2" t="str">
        <f>IFERROR(VLOOKUP(B433,#REF!,4,0),"")</f>
        <v/>
      </c>
      <c r="L433" s="1" t="s">
        <v>20</v>
      </c>
      <c r="M433" s="1" t="s">
        <v>12</v>
      </c>
    </row>
    <row r="434" spans="2:13" ht="14.4" hidden="1" x14ac:dyDescent="0.3">
      <c r="B434" s="8" t="s">
        <v>19</v>
      </c>
      <c r="C434" s="5" t="s">
        <v>18</v>
      </c>
      <c r="D434" s="5"/>
      <c r="E434" s="5" t="s">
        <v>14</v>
      </c>
      <c r="F434" s="5" t="s">
        <v>9</v>
      </c>
      <c r="G434" s="5" t="s">
        <v>8</v>
      </c>
      <c r="H434" s="2"/>
      <c r="I434" s="2">
        <v>46200</v>
      </c>
      <c r="J434" s="2"/>
      <c r="K434" s="2" t="str">
        <f>IFERROR(VLOOKUP(B434,#REF!,4,0),"")</f>
        <v/>
      </c>
      <c r="L434" s="1" t="s">
        <v>13</v>
      </c>
      <c r="M434" s="1" t="s">
        <v>17</v>
      </c>
    </row>
    <row r="435" spans="2:13" ht="14.4" hidden="1" x14ac:dyDescent="0.3">
      <c r="B435" s="8" t="s">
        <v>16</v>
      </c>
      <c r="C435" s="5" t="s">
        <v>15</v>
      </c>
      <c r="D435" s="5"/>
      <c r="E435" s="5" t="s">
        <v>14</v>
      </c>
      <c r="F435" s="5" t="s">
        <v>9</v>
      </c>
      <c r="G435" s="5" t="s">
        <v>8</v>
      </c>
      <c r="H435" s="2"/>
      <c r="I435" s="2">
        <v>46190</v>
      </c>
      <c r="J435" s="2"/>
      <c r="K435" s="2" t="str">
        <f>IFERROR(VLOOKUP(B435,#REF!,4,0),"")</f>
        <v/>
      </c>
      <c r="L435" s="1" t="s">
        <v>13</v>
      </c>
      <c r="M435" s="1" t="s">
        <v>12</v>
      </c>
    </row>
    <row r="436" spans="2:13" ht="14.4" hidden="1" x14ac:dyDescent="0.3">
      <c r="B436" s="8" t="s">
        <v>11</v>
      </c>
      <c r="C436" s="5" t="s">
        <v>10</v>
      </c>
      <c r="D436" s="5"/>
      <c r="E436" s="5" t="e">
        <v>#N/A</v>
      </c>
      <c r="F436" s="5" t="s">
        <v>9</v>
      </c>
      <c r="G436" s="5" t="s">
        <v>8</v>
      </c>
      <c r="H436" s="2"/>
      <c r="I436" s="2">
        <v>46198</v>
      </c>
      <c r="J436" s="2"/>
      <c r="K436" s="2" t="str">
        <f>IFERROR(VLOOKUP(B436,#REF!,4,0),"")</f>
        <v/>
      </c>
      <c r="L436" s="1" t="s">
        <v>2</v>
      </c>
      <c r="M436" s="1" t="e">
        <v>#N/A</v>
      </c>
    </row>
  </sheetData>
  <autoFilter ref="A3:O436" xr:uid="{00000000-0009-0000-0000-000002000000}">
    <filterColumn colId="6">
      <filters>
        <filter val="M"/>
      </filters>
    </filterColumn>
  </autoFilter>
  <conditionalFormatting sqref="B4:B80">
    <cfRule type="duplicateValues" dxfId="195" priority="6"/>
  </conditionalFormatting>
  <conditionalFormatting sqref="B358">
    <cfRule type="duplicateValues" dxfId="194" priority="5"/>
  </conditionalFormatting>
  <conditionalFormatting sqref="B373:B386 B388:B407">
    <cfRule type="colorScale" priority="2">
      <colorScale>
        <cfvo type="num" val="2"/>
        <cfvo type="num" val="3"/>
        <cfvo type="num" val="4"/>
        <color rgb="FFFFFF00"/>
        <color rgb="FFFF0000"/>
        <color rgb="FF00B0F0"/>
      </colorScale>
    </cfRule>
    <cfRule type="cellIs" dxfId="193" priority="3" stopIfTrue="1" operator="equal">
      <formula>"Sabtu"</formula>
    </cfRule>
    <cfRule type="cellIs" dxfId="192" priority="4" stopIfTrue="1" operator="equal">
      <formula>"Minggu"</formula>
    </cfRule>
  </conditionalFormatting>
  <conditionalFormatting sqref="B388:B407 B359:B386">
    <cfRule type="duplicateValues" dxfId="19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B5" sqref="B5:B10"/>
    </sheetView>
  </sheetViews>
  <sheetFormatPr defaultRowHeight="13.8" x14ac:dyDescent="0.3"/>
  <cols>
    <col min="1" max="1" width="18.5546875" bestFit="1" customWidth="1"/>
    <col min="2" max="2" width="6.5546875" customWidth="1"/>
  </cols>
  <sheetData>
    <row r="1" spans="1:3" x14ac:dyDescent="0.3">
      <c r="A1" s="39" t="s">
        <v>1903</v>
      </c>
      <c r="B1" t="s">
        <v>2017</v>
      </c>
    </row>
    <row r="3" spans="1:3" x14ac:dyDescent="0.3">
      <c r="A3" s="39" t="s">
        <v>2018</v>
      </c>
    </row>
    <row r="4" spans="1:3" x14ac:dyDescent="0.3">
      <c r="A4" s="39" t="s">
        <v>1905</v>
      </c>
      <c r="B4" t="s">
        <v>2019</v>
      </c>
    </row>
    <row r="5" spans="1:3" x14ac:dyDescent="0.3">
      <c r="A5" t="s">
        <v>1965</v>
      </c>
      <c r="B5">
        <v>10</v>
      </c>
      <c r="C5">
        <v>3</v>
      </c>
    </row>
    <row r="6" spans="1:3" x14ac:dyDescent="0.3">
      <c r="A6" t="s">
        <v>1947</v>
      </c>
      <c r="B6">
        <v>9</v>
      </c>
      <c r="C6">
        <v>3</v>
      </c>
    </row>
    <row r="7" spans="1:3" x14ac:dyDescent="0.3">
      <c r="A7" t="s">
        <v>1985</v>
      </c>
      <c r="B7">
        <v>10</v>
      </c>
      <c r="C7">
        <v>3</v>
      </c>
    </row>
    <row r="8" spans="1:3" x14ac:dyDescent="0.3">
      <c r="A8" t="s">
        <v>1911</v>
      </c>
      <c r="B8">
        <v>9</v>
      </c>
      <c r="C8">
        <v>3</v>
      </c>
    </row>
    <row r="9" spans="1:3" x14ac:dyDescent="0.3">
      <c r="A9" t="s">
        <v>1929</v>
      </c>
      <c r="B9">
        <v>9</v>
      </c>
      <c r="C9">
        <v>3</v>
      </c>
    </row>
    <row r="10" spans="1:3" x14ac:dyDescent="0.3">
      <c r="A10" t="s">
        <v>2005</v>
      </c>
      <c r="B10">
        <v>8</v>
      </c>
      <c r="C10">
        <v>3</v>
      </c>
    </row>
    <row r="11" spans="1:3" x14ac:dyDescent="0.3">
      <c r="A11" t="s">
        <v>2016</v>
      </c>
      <c r="B1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"/>
  <sheetViews>
    <sheetView workbookViewId="0">
      <selection activeCell="C1" sqref="C1"/>
    </sheetView>
  </sheetViews>
  <sheetFormatPr defaultRowHeight="13.8" x14ac:dyDescent="0.3"/>
  <cols>
    <col min="1" max="1" width="11" bestFit="1" customWidth="1"/>
    <col min="2" max="2" width="26.88671875" bestFit="1" customWidth="1"/>
    <col min="3" max="3" width="11" bestFit="1" customWidth="1"/>
    <col min="4" max="4" width="26.88671875" bestFit="1" customWidth="1"/>
    <col min="5" max="5" width="11" bestFit="1" customWidth="1"/>
    <col min="6" max="6" width="18.5546875" bestFit="1" customWidth="1"/>
    <col min="7" max="7" width="14.109375" bestFit="1" customWidth="1"/>
    <col min="8" max="8" width="26.33203125" bestFit="1" customWidth="1"/>
    <col min="11" max="11" width="11" bestFit="1" customWidth="1"/>
    <col min="12" max="12" width="13.44140625" customWidth="1"/>
    <col min="13" max="13" width="17.6640625" bestFit="1" customWidth="1"/>
    <col min="14" max="14" width="18.33203125" bestFit="1" customWidth="1"/>
    <col min="15" max="15" width="18.5546875" bestFit="1" customWidth="1"/>
    <col min="16" max="16" width="14.88671875" bestFit="1" customWidth="1"/>
    <col min="17" max="17" width="10.5546875" bestFit="1" customWidth="1"/>
  </cols>
  <sheetData>
    <row r="1" spans="1:18" ht="14.4" x14ac:dyDescent="0.3">
      <c r="A1" s="34" t="s">
        <v>1902</v>
      </c>
      <c r="B1" s="34" t="s">
        <v>1903</v>
      </c>
      <c r="C1" s="35" t="s">
        <v>1902</v>
      </c>
      <c r="D1" s="34" t="s">
        <v>1904</v>
      </c>
      <c r="E1" s="35" t="s">
        <v>1902</v>
      </c>
      <c r="F1" s="34" t="s">
        <v>1905</v>
      </c>
      <c r="G1" s="35" t="s">
        <v>5807</v>
      </c>
      <c r="H1" s="34" t="s">
        <v>5808</v>
      </c>
      <c r="K1" t="s">
        <v>5864</v>
      </c>
    </row>
    <row r="2" spans="1:18" x14ac:dyDescent="0.3">
      <c r="A2" s="36" t="s">
        <v>1906</v>
      </c>
      <c r="B2" s="37" t="s">
        <v>1907</v>
      </c>
      <c r="C2" s="38" t="s">
        <v>1908</v>
      </c>
      <c r="D2" s="37" t="s">
        <v>1909</v>
      </c>
      <c r="E2" s="38" t="s">
        <v>1910</v>
      </c>
      <c r="F2" s="37" t="s">
        <v>1911</v>
      </c>
      <c r="G2" s="37" t="s">
        <v>1899</v>
      </c>
      <c r="H2" s="37" t="s">
        <v>1899</v>
      </c>
      <c r="K2" t="s">
        <v>2241</v>
      </c>
      <c r="L2" t="s">
        <v>1965</v>
      </c>
      <c r="M2" t="s">
        <v>1947</v>
      </c>
      <c r="N2" t="s">
        <v>1985</v>
      </c>
      <c r="O2" t="s">
        <v>1911</v>
      </c>
      <c r="P2" t="s">
        <v>1929</v>
      </c>
      <c r="Q2" t="s">
        <v>2005</v>
      </c>
      <c r="R2" s="239" t="s">
        <v>2255</v>
      </c>
    </row>
    <row r="3" spans="1:18" x14ac:dyDescent="0.3">
      <c r="A3" s="36" t="s">
        <v>1912</v>
      </c>
      <c r="B3" s="37" t="s">
        <v>1913</v>
      </c>
      <c r="C3" s="38" t="s">
        <v>1908</v>
      </c>
      <c r="D3" s="37" t="s">
        <v>1909</v>
      </c>
      <c r="E3" s="38" t="s">
        <v>1910</v>
      </c>
      <c r="F3" s="37" t="s">
        <v>1911</v>
      </c>
      <c r="G3" s="37" t="s">
        <v>1899</v>
      </c>
      <c r="H3" s="37" t="s">
        <v>1899</v>
      </c>
      <c r="K3" t="s">
        <v>5863</v>
      </c>
      <c r="L3">
        <v>9</v>
      </c>
      <c r="M3">
        <v>9</v>
      </c>
      <c r="N3">
        <v>10</v>
      </c>
      <c r="O3">
        <v>10</v>
      </c>
      <c r="P3">
        <v>9</v>
      </c>
      <c r="Q3">
        <v>8</v>
      </c>
      <c r="R3">
        <f>SUM(L3:Q3)</f>
        <v>55</v>
      </c>
    </row>
    <row r="4" spans="1:18" x14ac:dyDescent="0.3">
      <c r="A4" s="36" t="s">
        <v>1914</v>
      </c>
      <c r="B4" s="37" t="s">
        <v>1915</v>
      </c>
      <c r="C4" s="38" t="s">
        <v>1908</v>
      </c>
      <c r="D4" s="37" t="s">
        <v>1909</v>
      </c>
      <c r="E4" s="38" t="s">
        <v>1910</v>
      </c>
      <c r="F4" s="37" t="s">
        <v>1911</v>
      </c>
      <c r="G4" s="37" t="s">
        <v>1899</v>
      </c>
      <c r="H4" s="37" t="s">
        <v>1899</v>
      </c>
      <c r="K4" t="s">
        <v>5861</v>
      </c>
      <c r="L4">
        <v>3</v>
      </c>
      <c r="M4">
        <v>3</v>
      </c>
      <c r="N4">
        <v>3</v>
      </c>
      <c r="O4">
        <v>3</v>
      </c>
      <c r="P4">
        <v>3</v>
      </c>
      <c r="Q4">
        <v>2</v>
      </c>
      <c r="R4">
        <f>SUM(L4:Q4)</f>
        <v>17</v>
      </c>
    </row>
    <row r="5" spans="1:18" x14ac:dyDescent="0.3">
      <c r="A5" s="38" t="s">
        <v>1908</v>
      </c>
      <c r="B5" s="37" t="s">
        <v>1909</v>
      </c>
      <c r="C5" s="38" t="s">
        <v>1908</v>
      </c>
      <c r="D5" s="37" t="s">
        <v>1909</v>
      </c>
      <c r="E5" s="38" t="s">
        <v>1910</v>
      </c>
      <c r="F5" s="37" t="s">
        <v>1911</v>
      </c>
      <c r="G5" s="37" t="s">
        <v>1899</v>
      </c>
      <c r="H5" s="37" t="s">
        <v>1899</v>
      </c>
      <c r="K5" t="s">
        <v>5862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f>SUM(L5:Q5)</f>
        <v>6</v>
      </c>
    </row>
    <row r="6" spans="1:18" x14ac:dyDescent="0.3">
      <c r="A6" s="36" t="s">
        <v>1916</v>
      </c>
      <c r="B6" s="37" t="s">
        <v>1917</v>
      </c>
      <c r="C6" s="38" t="s">
        <v>1918</v>
      </c>
      <c r="D6" s="37" t="s">
        <v>1919</v>
      </c>
      <c r="E6" s="38" t="s">
        <v>1910</v>
      </c>
      <c r="F6" s="37" t="s">
        <v>1911</v>
      </c>
      <c r="G6" s="37" t="s">
        <v>1899</v>
      </c>
      <c r="H6" s="37" t="s">
        <v>1899</v>
      </c>
    </row>
    <row r="7" spans="1:18" x14ac:dyDescent="0.3">
      <c r="A7" s="36" t="s">
        <v>1920</v>
      </c>
      <c r="B7" s="37" t="s">
        <v>1921</v>
      </c>
      <c r="C7" s="38" t="s">
        <v>1918</v>
      </c>
      <c r="D7" s="37" t="s">
        <v>1919</v>
      </c>
      <c r="E7" s="38" t="s">
        <v>1910</v>
      </c>
      <c r="F7" s="37" t="s">
        <v>1911</v>
      </c>
      <c r="G7" s="37" t="s">
        <v>1899</v>
      </c>
      <c r="H7" s="37" t="s">
        <v>1899</v>
      </c>
    </row>
    <row r="8" spans="1:18" x14ac:dyDescent="0.3">
      <c r="A8" s="36" t="s">
        <v>1922</v>
      </c>
      <c r="B8" s="37" t="s">
        <v>1923</v>
      </c>
      <c r="C8" s="38" t="s">
        <v>1918</v>
      </c>
      <c r="D8" s="37" t="s">
        <v>1919</v>
      </c>
      <c r="E8" s="38" t="s">
        <v>1910</v>
      </c>
      <c r="F8" s="37" t="s">
        <v>1911</v>
      </c>
      <c r="G8" s="37" t="s">
        <v>1899</v>
      </c>
      <c r="H8" s="37" t="s">
        <v>1899</v>
      </c>
    </row>
    <row r="9" spans="1:18" x14ac:dyDescent="0.3">
      <c r="A9" s="38" t="s">
        <v>1918</v>
      </c>
      <c r="B9" s="37" t="s">
        <v>1919</v>
      </c>
      <c r="C9" s="38" t="s">
        <v>1918</v>
      </c>
      <c r="D9" s="37" t="s">
        <v>1919</v>
      </c>
      <c r="E9" s="38" t="s">
        <v>1910</v>
      </c>
      <c r="F9" s="37" t="s">
        <v>1911</v>
      </c>
      <c r="G9" s="37" t="s">
        <v>1899</v>
      </c>
      <c r="H9" s="37" t="s">
        <v>1899</v>
      </c>
    </row>
    <row r="10" spans="1:18" x14ac:dyDescent="0.3">
      <c r="A10" s="38" t="s">
        <v>1910</v>
      </c>
      <c r="B10" s="37" t="s">
        <v>1911</v>
      </c>
      <c r="C10" s="38" t="s">
        <v>1910</v>
      </c>
      <c r="D10" s="37" t="s">
        <v>1911</v>
      </c>
      <c r="E10" s="38" t="s">
        <v>1910</v>
      </c>
      <c r="F10" s="37" t="s">
        <v>1911</v>
      </c>
      <c r="G10" s="37" t="s">
        <v>5809</v>
      </c>
      <c r="H10" s="37" t="s">
        <v>5810</v>
      </c>
    </row>
    <row r="11" spans="1:18" x14ac:dyDescent="0.3">
      <c r="A11" s="36" t="s">
        <v>1924</v>
      </c>
      <c r="B11" s="37" t="s">
        <v>1925</v>
      </c>
      <c r="C11" s="38" t="s">
        <v>1926</v>
      </c>
      <c r="D11" s="37" t="s">
        <v>1927</v>
      </c>
      <c r="E11" s="38" t="s">
        <v>1928</v>
      </c>
      <c r="F11" s="37" t="s">
        <v>1929</v>
      </c>
      <c r="G11" s="37" t="s">
        <v>1899</v>
      </c>
      <c r="H11" s="37" t="s">
        <v>1899</v>
      </c>
    </row>
    <row r="12" spans="1:18" x14ac:dyDescent="0.3">
      <c r="A12" s="36" t="s">
        <v>1930</v>
      </c>
      <c r="B12" s="37" t="s">
        <v>1931</v>
      </c>
      <c r="C12" s="38" t="s">
        <v>1926</v>
      </c>
      <c r="D12" s="37" t="s">
        <v>1927</v>
      </c>
      <c r="E12" s="38" t="s">
        <v>1928</v>
      </c>
      <c r="F12" s="37" t="s">
        <v>1929</v>
      </c>
      <c r="G12" s="37" t="s">
        <v>1899</v>
      </c>
      <c r="H12" s="37" t="s">
        <v>1899</v>
      </c>
    </row>
    <row r="13" spans="1:18" x14ac:dyDescent="0.3">
      <c r="A13" s="36" t="s">
        <v>1932</v>
      </c>
      <c r="B13" s="37" t="s">
        <v>1933</v>
      </c>
      <c r="C13" s="38" t="s">
        <v>1926</v>
      </c>
      <c r="D13" s="37" t="s">
        <v>1927</v>
      </c>
      <c r="E13" s="38" t="s">
        <v>1928</v>
      </c>
      <c r="F13" s="37" t="s">
        <v>1929</v>
      </c>
      <c r="G13" s="37" t="s">
        <v>1899</v>
      </c>
      <c r="H13" s="37" t="s">
        <v>1899</v>
      </c>
    </row>
    <row r="14" spans="1:18" x14ac:dyDescent="0.3">
      <c r="A14" s="38" t="s">
        <v>1926</v>
      </c>
      <c r="B14" s="37" t="s">
        <v>1927</v>
      </c>
      <c r="C14" s="38" t="s">
        <v>1926</v>
      </c>
      <c r="D14" s="37" t="s">
        <v>1927</v>
      </c>
      <c r="E14" s="38" t="s">
        <v>1928</v>
      </c>
      <c r="F14" s="37" t="s">
        <v>1929</v>
      </c>
      <c r="G14" s="37" t="s">
        <v>1899</v>
      </c>
      <c r="H14" s="37" t="s">
        <v>1899</v>
      </c>
    </row>
    <row r="15" spans="1:18" x14ac:dyDescent="0.3">
      <c r="A15" s="36" t="s">
        <v>1934</v>
      </c>
      <c r="B15" s="37" t="s">
        <v>1935</v>
      </c>
      <c r="C15" s="38" t="s">
        <v>1936</v>
      </c>
      <c r="D15" s="37" t="s">
        <v>1937</v>
      </c>
      <c r="E15" s="38" t="s">
        <v>1928</v>
      </c>
      <c r="F15" s="37" t="s">
        <v>1929</v>
      </c>
      <c r="G15" s="37" t="s">
        <v>1899</v>
      </c>
      <c r="H15" s="37" t="s">
        <v>1899</v>
      </c>
    </row>
    <row r="16" spans="1:18" x14ac:dyDescent="0.3">
      <c r="A16" s="36" t="s">
        <v>1938</v>
      </c>
      <c r="B16" s="37" t="s">
        <v>1939</v>
      </c>
      <c r="C16" s="38" t="s">
        <v>1936</v>
      </c>
      <c r="D16" s="37" t="s">
        <v>1937</v>
      </c>
      <c r="E16" s="38" t="s">
        <v>1928</v>
      </c>
      <c r="F16" s="37" t="s">
        <v>1929</v>
      </c>
      <c r="G16" s="37" t="s">
        <v>1899</v>
      </c>
      <c r="H16" s="37" t="s">
        <v>1899</v>
      </c>
    </row>
    <row r="17" spans="1:8" x14ac:dyDescent="0.3">
      <c r="A17" s="36" t="s">
        <v>1940</v>
      </c>
      <c r="B17" s="37" t="s">
        <v>1941</v>
      </c>
      <c r="C17" s="38" t="s">
        <v>1936</v>
      </c>
      <c r="D17" s="37" t="s">
        <v>1937</v>
      </c>
      <c r="E17" s="38" t="s">
        <v>1928</v>
      </c>
      <c r="F17" s="37" t="s">
        <v>1929</v>
      </c>
      <c r="G17" s="37" t="s">
        <v>5811</v>
      </c>
      <c r="H17" s="37" t="s">
        <v>36</v>
      </c>
    </row>
    <row r="18" spans="1:8" x14ac:dyDescent="0.3">
      <c r="A18" s="38" t="s">
        <v>1936</v>
      </c>
      <c r="B18" s="37" t="s">
        <v>1937</v>
      </c>
      <c r="C18" s="38" t="s">
        <v>1936</v>
      </c>
      <c r="D18" s="37" t="s">
        <v>1937</v>
      </c>
      <c r="E18" s="38" t="s">
        <v>1928</v>
      </c>
      <c r="F18" s="37" t="s">
        <v>1929</v>
      </c>
      <c r="G18" s="37" t="s">
        <v>1899</v>
      </c>
      <c r="H18" s="37" t="s">
        <v>1899</v>
      </c>
    </row>
    <row r="19" spans="1:8" x14ac:dyDescent="0.3">
      <c r="A19" s="38" t="s">
        <v>1928</v>
      </c>
      <c r="B19" s="37" t="s">
        <v>1929</v>
      </c>
      <c r="C19" s="38" t="s">
        <v>1928</v>
      </c>
      <c r="D19" s="37" t="s">
        <v>1929</v>
      </c>
      <c r="E19" s="38" t="s">
        <v>1928</v>
      </c>
      <c r="F19" s="37" t="s">
        <v>1929</v>
      </c>
      <c r="G19" s="37" t="s">
        <v>1899</v>
      </c>
      <c r="H19" s="37" t="s">
        <v>1899</v>
      </c>
    </row>
    <row r="20" spans="1:8" x14ac:dyDescent="0.3">
      <c r="A20" s="36" t="s">
        <v>1942</v>
      </c>
      <c r="B20" s="37" t="s">
        <v>1943</v>
      </c>
      <c r="C20" s="38" t="s">
        <v>1944</v>
      </c>
      <c r="D20" s="37" t="s">
        <v>1945</v>
      </c>
      <c r="E20" s="38" t="s">
        <v>1946</v>
      </c>
      <c r="F20" s="37" t="s">
        <v>1947</v>
      </c>
      <c r="G20" s="37" t="s">
        <v>5812</v>
      </c>
      <c r="H20" s="37" t="s">
        <v>5813</v>
      </c>
    </row>
    <row r="21" spans="1:8" x14ac:dyDescent="0.3">
      <c r="A21" s="36" t="s">
        <v>1948</v>
      </c>
      <c r="B21" s="37" t="s">
        <v>1949</v>
      </c>
      <c r="C21" s="38" t="s">
        <v>1944</v>
      </c>
      <c r="D21" s="37" t="s">
        <v>1945</v>
      </c>
      <c r="E21" s="38" t="s">
        <v>1946</v>
      </c>
      <c r="F21" s="37" t="s">
        <v>1947</v>
      </c>
      <c r="G21" s="37" t="s">
        <v>5814</v>
      </c>
      <c r="H21" s="37" t="s">
        <v>5815</v>
      </c>
    </row>
    <row r="22" spans="1:8" x14ac:dyDescent="0.3">
      <c r="A22" s="36" t="s">
        <v>1950</v>
      </c>
      <c r="B22" s="37" t="s">
        <v>1951</v>
      </c>
      <c r="C22" s="38" t="s">
        <v>1944</v>
      </c>
      <c r="D22" s="37" t="s">
        <v>1945</v>
      </c>
      <c r="E22" s="38" t="s">
        <v>1946</v>
      </c>
      <c r="F22" s="37" t="s">
        <v>1947</v>
      </c>
      <c r="G22" s="37" t="s">
        <v>3008</v>
      </c>
      <c r="H22" s="37" t="s">
        <v>1837</v>
      </c>
    </row>
    <row r="23" spans="1:8" x14ac:dyDescent="0.3">
      <c r="A23" s="38" t="s">
        <v>1944</v>
      </c>
      <c r="B23" s="37" t="s">
        <v>1945</v>
      </c>
      <c r="C23" s="38" t="s">
        <v>1944</v>
      </c>
      <c r="D23" s="37" t="s">
        <v>1945</v>
      </c>
      <c r="E23" s="38" t="s">
        <v>1946</v>
      </c>
      <c r="F23" s="37" t="s">
        <v>1947</v>
      </c>
      <c r="G23" s="37" t="s">
        <v>5816</v>
      </c>
      <c r="H23" s="37" t="s">
        <v>5817</v>
      </c>
    </row>
    <row r="24" spans="1:8" x14ac:dyDescent="0.3">
      <c r="A24" s="36" t="s">
        <v>1952</v>
      </c>
      <c r="B24" s="37" t="s">
        <v>1953</v>
      </c>
      <c r="C24" s="38" t="s">
        <v>1954</v>
      </c>
      <c r="D24" s="37" t="s">
        <v>1955</v>
      </c>
      <c r="E24" s="38" t="s">
        <v>1946</v>
      </c>
      <c r="F24" s="37" t="s">
        <v>1947</v>
      </c>
      <c r="G24" s="37" t="s">
        <v>5818</v>
      </c>
      <c r="H24" s="37" t="s">
        <v>5819</v>
      </c>
    </row>
    <row r="25" spans="1:8" x14ac:dyDescent="0.3">
      <c r="A25" s="36" t="s">
        <v>1956</v>
      </c>
      <c r="B25" s="37" t="s">
        <v>1957</v>
      </c>
      <c r="C25" s="38" t="s">
        <v>1954</v>
      </c>
      <c r="D25" s="37" t="s">
        <v>1955</v>
      </c>
      <c r="E25" s="38" t="s">
        <v>1946</v>
      </c>
      <c r="F25" s="37" t="s">
        <v>1947</v>
      </c>
      <c r="G25" s="37" t="s">
        <v>5820</v>
      </c>
      <c r="H25" s="37" t="s">
        <v>5821</v>
      </c>
    </row>
    <row r="26" spans="1:8" x14ac:dyDescent="0.3">
      <c r="A26" s="36" t="s">
        <v>1958</v>
      </c>
      <c r="B26" s="37" t="s">
        <v>1959</v>
      </c>
      <c r="C26" s="38" t="s">
        <v>1954</v>
      </c>
      <c r="D26" s="37" t="s">
        <v>1955</v>
      </c>
      <c r="E26" s="38" t="s">
        <v>1946</v>
      </c>
      <c r="F26" s="37" t="s">
        <v>1947</v>
      </c>
      <c r="G26" s="37" t="s">
        <v>5822</v>
      </c>
      <c r="H26" s="37" t="s">
        <v>5823</v>
      </c>
    </row>
    <row r="27" spans="1:8" x14ac:dyDescent="0.3">
      <c r="A27" s="38" t="s">
        <v>1954</v>
      </c>
      <c r="B27" s="37" t="s">
        <v>1955</v>
      </c>
      <c r="C27" s="38" t="s">
        <v>1954</v>
      </c>
      <c r="D27" s="37" t="s">
        <v>1955</v>
      </c>
      <c r="E27" s="38" t="s">
        <v>1946</v>
      </c>
      <c r="F27" s="37" t="s">
        <v>1947</v>
      </c>
      <c r="G27" s="37" t="s">
        <v>1899</v>
      </c>
      <c r="H27" s="37" t="s">
        <v>1899</v>
      </c>
    </row>
    <row r="28" spans="1:8" x14ac:dyDescent="0.3">
      <c r="A28" s="38" t="s">
        <v>1946</v>
      </c>
      <c r="B28" s="37" t="s">
        <v>1947</v>
      </c>
      <c r="C28" s="38" t="s">
        <v>1946</v>
      </c>
      <c r="D28" s="37" t="s">
        <v>1947</v>
      </c>
      <c r="E28" s="38" t="s">
        <v>1946</v>
      </c>
      <c r="F28" s="37" t="s">
        <v>1947</v>
      </c>
      <c r="G28" s="37" t="s">
        <v>5824</v>
      </c>
      <c r="H28" s="37" t="s">
        <v>178</v>
      </c>
    </row>
    <row r="29" spans="1:8" x14ac:dyDescent="0.3">
      <c r="A29" s="36" t="s">
        <v>1960</v>
      </c>
      <c r="B29" s="37" t="s">
        <v>1961</v>
      </c>
      <c r="C29" s="38" t="s">
        <v>1962</v>
      </c>
      <c r="D29" s="37" t="s">
        <v>1963</v>
      </c>
      <c r="E29" s="38" t="s">
        <v>1964</v>
      </c>
      <c r="F29" s="37" t="s">
        <v>1965</v>
      </c>
      <c r="G29" s="37" t="s">
        <v>5825</v>
      </c>
      <c r="H29" s="37" t="s">
        <v>5826</v>
      </c>
    </row>
    <row r="30" spans="1:8" x14ac:dyDescent="0.3">
      <c r="A30" s="36" t="s">
        <v>1966</v>
      </c>
      <c r="B30" s="37" t="s">
        <v>1967</v>
      </c>
      <c r="C30" s="38" t="s">
        <v>1962</v>
      </c>
      <c r="D30" s="37" t="s">
        <v>1963</v>
      </c>
      <c r="E30" s="38" t="s">
        <v>1964</v>
      </c>
      <c r="F30" s="37" t="s">
        <v>1965</v>
      </c>
      <c r="G30" s="37" t="s">
        <v>5827</v>
      </c>
      <c r="H30" s="37" t="s">
        <v>5826</v>
      </c>
    </row>
    <row r="31" spans="1:8" x14ac:dyDescent="0.3">
      <c r="A31" s="36" t="s">
        <v>1968</v>
      </c>
      <c r="B31" s="37" t="s">
        <v>1969</v>
      </c>
      <c r="C31" s="38" t="s">
        <v>1962</v>
      </c>
      <c r="D31" s="37" t="s">
        <v>1963</v>
      </c>
      <c r="E31" s="38" t="s">
        <v>1964</v>
      </c>
      <c r="F31" s="37" t="s">
        <v>1965</v>
      </c>
      <c r="G31" s="37" t="s">
        <v>5828</v>
      </c>
      <c r="H31" s="37" t="s">
        <v>5829</v>
      </c>
    </row>
    <row r="32" spans="1:8" x14ac:dyDescent="0.3">
      <c r="A32" s="36" t="s">
        <v>1970</v>
      </c>
      <c r="B32" s="37" t="s">
        <v>1971</v>
      </c>
      <c r="C32" s="38" t="s">
        <v>1962</v>
      </c>
      <c r="D32" s="37" t="s">
        <v>1963</v>
      </c>
      <c r="E32" s="38" t="s">
        <v>1964</v>
      </c>
      <c r="F32" s="37" t="s">
        <v>1965</v>
      </c>
      <c r="G32" s="37" t="s">
        <v>5830</v>
      </c>
      <c r="H32" s="37" t="s">
        <v>2996</v>
      </c>
    </row>
    <row r="33" spans="1:8" x14ac:dyDescent="0.3">
      <c r="A33" s="238" t="s">
        <v>1962</v>
      </c>
      <c r="B33" s="81" t="s">
        <v>1963</v>
      </c>
      <c r="C33" s="238" t="s">
        <v>1962</v>
      </c>
      <c r="D33" s="81" t="s">
        <v>1963</v>
      </c>
      <c r="E33" s="238" t="s">
        <v>1964</v>
      </c>
      <c r="F33" s="81" t="s">
        <v>1965</v>
      </c>
      <c r="G33" s="81" t="s">
        <v>1899</v>
      </c>
      <c r="H33" s="81" t="s">
        <v>1899</v>
      </c>
    </row>
    <row r="34" spans="1:8" x14ac:dyDescent="0.3">
      <c r="A34" s="36" t="s">
        <v>1972</v>
      </c>
      <c r="B34" s="37" t="s">
        <v>1973</v>
      </c>
      <c r="C34" s="38" t="s">
        <v>1974</v>
      </c>
      <c r="D34" s="37" t="s">
        <v>1975</v>
      </c>
      <c r="E34" s="38" t="s">
        <v>1964</v>
      </c>
      <c r="F34" s="37" t="s">
        <v>1965</v>
      </c>
      <c r="G34" s="37" t="s">
        <v>5831</v>
      </c>
      <c r="H34" s="37" t="s">
        <v>5826</v>
      </c>
    </row>
    <row r="35" spans="1:8" x14ac:dyDescent="0.3">
      <c r="A35" s="36" t="s">
        <v>1976</v>
      </c>
      <c r="B35" s="37" t="s">
        <v>1977</v>
      </c>
      <c r="C35" s="38" t="s">
        <v>1974</v>
      </c>
      <c r="D35" s="37" t="s">
        <v>1975</v>
      </c>
      <c r="E35" s="38" t="s">
        <v>1964</v>
      </c>
      <c r="F35" s="37" t="s">
        <v>1965</v>
      </c>
      <c r="G35" s="37" t="s">
        <v>5832</v>
      </c>
      <c r="H35" s="37" t="s">
        <v>5833</v>
      </c>
    </row>
    <row r="36" spans="1:8" x14ac:dyDescent="0.3">
      <c r="A36" s="36" t="s">
        <v>1978</v>
      </c>
      <c r="B36" s="37" t="s">
        <v>1979</v>
      </c>
      <c r="C36" s="38" t="s">
        <v>1974</v>
      </c>
      <c r="D36" s="37" t="s">
        <v>1975</v>
      </c>
      <c r="E36" s="38" t="s">
        <v>1964</v>
      </c>
      <c r="F36" s="37" t="s">
        <v>1965</v>
      </c>
      <c r="G36" s="37" t="s">
        <v>1899</v>
      </c>
      <c r="H36" s="37" t="s">
        <v>1899</v>
      </c>
    </row>
    <row r="37" spans="1:8" x14ac:dyDescent="0.3">
      <c r="A37" s="38" t="s">
        <v>1974</v>
      </c>
      <c r="B37" s="37" t="s">
        <v>1975</v>
      </c>
      <c r="C37" s="38" t="s">
        <v>1974</v>
      </c>
      <c r="D37" s="37" t="s">
        <v>1975</v>
      </c>
      <c r="E37" s="38" t="s">
        <v>1964</v>
      </c>
      <c r="F37" s="37" t="s">
        <v>1965</v>
      </c>
      <c r="G37" s="37" t="s">
        <v>5834</v>
      </c>
      <c r="H37" s="37" t="s">
        <v>36</v>
      </c>
    </row>
    <row r="38" spans="1:8" x14ac:dyDescent="0.3">
      <c r="A38" s="38" t="s">
        <v>1964</v>
      </c>
      <c r="B38" s="37" t="s">
        <v>1965</v>
      </c>
      <c r="C38" s="38" t="s">
        <v>1964</v>
      </c>
      <c r="D38" s="37" t="s">
        <v>1965</v>
      </c>
      <c r="E38" s="38" t="s">
        <v>1964</v>
      </c>
      <c r="F38" s="37" t="s">
        <v>1965</v>
      </c>
      <c r="G38" s="37" t="s">
        <v>5835</v>
      </c>
      <c r="H38" s="37" t="s">
        <v>5836</v>
      </c>
    </row>
    <row r="39" spans="1:8" x14ac:dyDescent="0.3">
      <c r="A39" s="36" t="s">
        <v>1980</v>
      </c>
      <c r="B39" s="37" t="s">
        <v>1981</v>
      </c>
      <c r="C39" s="38" t="s">
        <v>1982</v>
      </c>
      <c r="D39" s="37" t="s">
        <v>1983</v>
      </c>
      <c r="E39" s="38" t="s">
        <v>1984</v>
      </c>
      <c r="F39" s="37" t="s">
        <v>1985</v>
      </c>
      <c r="G39" s="37" t="s">
        <v>5837</v>
      </c>
      <c r="H39" s="37" t="s">
        <v>5838</v>
      </c>
    </row>
    <row r="40" spans="1:8" x14ac:dyDescent="0.3">
      <c r="A40" s="36" t="s">
        <v>1986</v>
      </c>
      <c r="B40" s="37" t="s">
        <v>1987</v>
      </c>
      <c r="C40" s="38" t="s">
        <v>1982</v>
      </c>
      <c r="D40" s="37" t="s">
        <v>1983</v>
      </c>
      <c r="E40" s="38" t="s">
        <v>1984</v>
      </c>
      <c r="F40" s="37" t="s">
        <v>1985</v>
      </c>
      <c r="G40" s="37" t="s">
        <v>5839</v>
      </c>
      <c r="H40" s="37" t="s">
        <v>5840</v>
      </c>
    </row>
    <row r="41" spans="1:8" x14ac:dyDescent="0.3">
      <c r="A41" s="36" t="s">
        <v>1988</v>
      </c>
      <c r="B41" s="37" t="s">
        <v>1989</v>
      </c>
      <c r="C41" s="38" t="s">
        <v>1982</v>
      </c>
      <c r="D41" s="37" t="s">
        <v>1983</v>
      </c>
      <c r="E41" s="38" t="s">
        <v>1984</v>
      </c>
      <c r="F41" s="37" t="s">
        <v>1985</v>
      </c>
      <c r="G41" s="37" t="s">
        <v>5841</v>
      </c>
      <c r="H41" s="37" t="s">
        <v>5842</v>
      </c>
    </row>
    <row r="42" spans="1:8" x14ac:dyDescent="0.3">
      <c r="A42" s="36" t="s">
        <v>1990</v>
      </c>
      <c r="B42" s="37" t="s">
        <v>1991</v>
      </c>
      <c r="C42" s="38" t="s">
        <v>1982</v>
      </c>
      <c r="D42" s="37" t="s">
        <v>1983</v>
      </c>
      <c r="E42" s="38" t="s">
        <v>1984</v>
      </c>
      <c r="F42" s="37" t="s">
        <v>1985</v>
      </c>
      <c r="G42" s="37" t="s">
        <v>5843</v>
      </c>
      <c r="H42" s="37" t="s">
        <v>5844</v>
      </c>
    </row>
    <row r="43" spans="1:8" x14ac:dyDescent="0.3">
      <c r="A43" s="38" t="s">
        <v>1982</v>
      </c>
      <c r="B43" s="37" t="s">
        <v>1983</v>
      </c>
      <c r="C43" s="38" t="s">
        <v>1982</v>
      </c>
      <c r="D43" s="37" t="s">
        <v>1983</v>
      </c>
      <c r="E43" s="38" t="s">
        <v>1984</v>
      </c>
      <c r="F43" s="37" t="s">
        <v>1985</v>
      </c>
      <c r="G43" s="37" t="s">
        <v>5845</v>
      </c>
      <c r="H43" s="37" t="s">
        <v>5846</v>
      </c>
    </row>
    <row r="44" spans="1:8" x14ac:dyDescent="0.3">
      <c r="A44" s="36" t="s">
        <v>1992</v>
      </c>
      <c r="B44" s="37" t="s">
        <v>1993</v>
      </c>
      <c r="C44" s="38" t="s">
        <v>1994</v>
      </c>
      <c r="D44" s="37" t="s">
        <v>1995</v>
      </c>
      <c r="E44" s="38" t="s">
        <v>1984</v>
      </c>
      <c r="F44" s="37" t="s">
        <v>1985</v>
      </c>
      <c r="G44" s="37" t="s">
        <v>5847</v>
      </c>
      <c r="H44" s="37" t="s">
        <v>5848</v>
      </c>
    </row>
    <row r="45" spans="1:8" x14ac:dyDescent="0.3">
      <c r="A45" s="36" t="s">
        <v>1996</v>
      </c>
      <c r="B45" s="37" t="s">
        <v>1997</v>
      </c>
      <c r="C45" s="38" t="s">
        <v>1994</v>
      </c>
      <c r="D45" s="37" t="s">
        <v>1995</v>
      </c>
      <c r="E45" s="38" t="s">
        <v>1984</v>
      </c>
      <c r="F45" s="37" t="s">
        <v>1985</v>
      </c>
      <c r="G45" s="37" t="s">
        <v>5849</v>
      </c>
      <c r="H45" s="37" t="s">
        <v>5850</v>
      </c>
    </row>
    <row r="46" spans="1:8" x14ac:dyDescent="0.3">
      <c r="A46" s="36" t="s">
        <v>1998</v>
      </c>
      <c r="B46" s="37" t="s">
        <v>1999</v>
      </c>
      <c r="C46" s="38" t="s">
        <v>1994</v>
      </c>
      <c r="D46" s="37" t="s">
        <v>1995</v>
      </c>
      <c r="E46" s="38" t="s">
        <v>1984</v>
      </c>
      <c r="F46" s="37" t="s">
        <v>1985</v>
      </c>
      <c r="G46" s="37" t="s">
        <v>5851</v>
      </c>
      <c r="H46" s="37" t="s">
        <v>5852</v>
      </c>
    </row>
    <row r="47" spans="1:8" x14ac:dyDescent="0.3">
      <c r="A47" s="38" t="s">
        <v>1994</v>
      </c>
      <c r="B47" s="37" t="s">
        <v>1995</v>
      </c>
      <c r="C47" s="38" t="s">
        <v>1994</v>
      </c>
      <c r="D47" s="37" t="s">
        <v>1995</v>
      </c>
      <c r="E47" s="38" t="s">
        <v>1984</v>
      </c>
      <c r="F47" s="37" t="s">
        <v>1985</v>
      </c>
      <c r="G47" s="37" t="s">
        <v>5853</v>
      </c>
      <c r="H47" s="37" t="s">
        <v>5854</v>
      </c>
    </row>
    <row r="48" spans="1:8" x14ac:dyDescent="0.3">
      <c r="A48" s="38" t="s">
        <v>1984</v>
      </c>
      <c r="B48" s="37" t="s">
        <v>1985</v>
      </c>
      <c r="C48" s="38" t="s">
        <v>1984</v>
      </c>
      <c r="D48" s="37" t="s">
        <v>1985</v>
      </c>
      <c r="E48" s="38" t="s">
        <v>1984</v>
      </c>
      <c r="F48" s="37" t="s">
        <v>1985</v>
      </c>
      <c r="G48" s="37" t="s">
        <v>5855</v>
      </c>
      <c r="H48" s="37" t="s">
        <v>5844</v>
      </c>
    </row>
    <row r="49" spans="1:8" x14ac:dyDescent="0.3">
      <c r="A49" s="36" t="s">
        <v>2000</v>
      </c>
      <c r="B49" s="37" t="s">
        <v>2001</v>
      </c>
      <c r="C49" s="38" t="s">
        <v>2002</v>
      </c>
      <c r="D49" s="37" t="s">
        <v>2003</v>
      </c>
      <c r="E49" s="38" t="s">
        <v>2004</v>
      </c>
      <c r="F49" s="37" t="s">
        <v>2005</v>
      </c>
      <c r="G49" s="37" t="s">
        <v>5856</v>
      </c>
      <c r="H49" s="37" t="s">
        <v>5857</v>
      </c>
    </row>
    <row r="50" spans="1:8" x14ac:dyDescent="0.3">
      <c r="A50" s="36" t="s">
        <v>2006</v>
      </c>
      <c r="B50" s="37" t="s">
        <v>2007</v>
      </c>
      <c r="C50" s="38" t="s">
        <v>2002</v>
      </c>
      <c r="D50" s="37" t="s">
        <v>2003</v>
      </c>
      <c r="E50" s="38" t="s">
        <v>2004</v>
      </c>
      <c r="F50" s="37" t="s">
        <v>2005</v>
      </c>
      <c r="G50" s="37" t="s">
        <v>1899</v>
      </c>
      <c r="H50" s="37" t="s">
        <v>1899</v>
      </c>
    </row>
    <row r="51" spans="1:8" x14ac:dyDescent="0.3">
      <c r="A51" s="38" t="s">
        <v>2002</v>
      </c>
      <c r="B51" s="37" t="s">
        <v>2003</v>
      </c>
      <c r="C51" s="38" t="s">
        <v>2002</v>
      </c>
      <c r="D51" s="37" t="s">
        <v>2003</v>
      </c>
      <c r="E51" s="38" t="s">
        <v>2004</v>
      </c>
      <c r="F51" s="37" t="s">
        <v>2005</v>
      </c>
      <c r="G51" s="37" t="s">
        <v>1899</v>
      </c>
      <c r="H51" s="37" t="s">
        <v>1899</v>
      </c>
    </row>
    <row r="52" spans="1:8" x14ac:dyDescent="0.3">
      <c r="A52" s="36" t="s">
        <v>2008</v>
      </c>
      <c r="B52" s="37" t="s">
        <v>2009</v>
      </c>
      <c r="C52" s="38" t="s">
        <v>2010</v>
      </c>
      <c r="D52" s="37" t="s">
        <v>2011</v>
      </c>
      <c r="E52" s="38" t="s">
        <v>2004</v>
      </c>
      <c r="F52" s="37" t="s">
        <v>2005</v>
      </c>
      <c r="G52" s="37" t="s">
        <v>1899</v>
      </c>
      <c r="H52" s="37" t="s">
        <v>1899</v>
      </c>
    </row>
    <row r="53" spans="1:8" x14ac:dyDescent="0.3">
      <c r="A53" s="36" t="s">
        <v>2012</v>
      </c>
      <c r="B53" s="37" t="s">
        <v>2013</v>
      </c>
      <c r="C53" s="38" t="s">
        <v>2010</v>
      </c>
      <c r="D53" s="37" t="s">
        <v>2011</v>
      </c>
      <c r="E53" s="38" t="s">
        <v>2004</v>
      </c>
      <c r="F53" s="37" t="s">
        <v>2005</v>
      </c>
      <c r="G53" s="37" t="s">
        <v>1899</v>
      </c>
      <c r="H53" s="37" t="s">
        <v>1899</v>
      </c>
    </row>
    <row r="54" spans="1:8" x14ac:dyDescent="0.3">
      <c r="A54" s="36" t="s">
        <v>2014</v>
      </c>
      <c r="B54" s="37" t="s">
        <v>2015</v>
      </c>
      <c r="C54" s="38" t="s">
        <v>2010</v>
      </c>
      <c r="D54" s="37" t="s">
        <v>2011</v>
      </c>
      <c r="E54" s="38" t="s">
        <v>2004</v>
      </c>
      <c r="F54" s="37" t="s">
        <v>2005</v>
      </c>
      <c r="G54" s="37" t="s">
        <v>1899</v>
      </c>
      <c r="H54" s="37" t="s">
        <v>1899</v>
      </c>
    </row>
    <row r="55" spans="1:8" x14ac:dyDescent="0.3">
      <c r="A55" s="38" t="s">
        <v>2010</v>
      </c>
      <c r="B55" s="37" t="s">
        <v>2011</v>
      </c>
      <c r="C55" s="38" t="s">
        <v>2010</v>
      </c>
      <c r="D55" s="37" t="s">
        <v>2011</v>
      </c>
      <c r="E55" s="38" t="s">
        <v>2004</v>
      </c>
      <c r="F55" s="37" t="s">
        <v>2005</v>
      </c>
      <c r="G55" s="37" t="s">
        <v>1899</v>
      </c>
      <c r="H55" s="37" t="s">
        <v>1899</v>
      </c>
    </row>
    <row r="56" spans="1:8" x14ac:dyDescent="0.3">
      <c r="A56" s="38" t="s">
        <v>2004</v>
      </c>
      <c r="B56" s="37" t="s">
        <v>2005</v>
      </c>
      <c r="C56" s="38" t="s">
        <v>2004</v>
      </c>
      <c r="D56" s="37" t="s">
        <v>2005</v>
      </c>
      <c r="E56" s="38" t="s">
        <v>2004</v>
      </c>
      <c r="F56" s="37" t="s">
        <v>2005</v>
      </c>
      <c r="G56" s="37" t="s">
        <v>1899</v>
      </c>
      <c r="H56" s="37" t="s">
        <v>1899</v>
      </c>
    </row>
    <row r="57" spans="1:8" x14ac:dyDescent="0.3">
      <c r="A57" s="37"/>
      <c r="B57" s="37" t="s">
        <v>5858</v>
      </c>
      <c r="C57" s="38" t="s">
        <v>1910</v>
      </c>
      <c r="D57" s="37" t="s">
        <v>1911</v>
      </c>
      <c r="E57" s="38" t="s">
        <v>1910</v>
      </c>
      <c r="F57" s="37" t="s">
        <v>1911</v>
      </c>
      <c r="G57" s="37" t="s">
        <v>5859</v>
      </c>
      <c r="H57" s="37" t="s">
        <v>5860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13"/>
  <sheetViews>
    <sheetView tabSelected="1" workbookViewId="0">
      <pane xSplit="3" ySplit="1" topLeftCell="E559" activePane="bottomRight" state="frozen"/>
      <selection pane="topRight" activeCell="D1" sqref="D1"/>
      <selection pane="bottomLeft" activeCell="A2" sqref="A2"/>
      <selection pane="bottomRight" activeCell="V568" sqref="V568"/>
    </sheetView>
  </sheetViews>
  <sheetFormatPr defaultRowHeight="13.8" x14ac:dyDescent="0.3"/>
  <cols>
    <col min="1" max="1" width="4" customWidth="1"/>
    <col min="2" max="2" width="6.44140625" bestFit="1" customWidth="1"/>
    <col min="3" max="3" width="43.6640625" customWidth="1"/>
    <col min="4" max="4" width="26.5546875" hidden="1" customWidth="1"/>
    <col min="5" max="5" width="19" customWidth="1"/>
    <col min="6" max="6" width="10" hidden="1" customWidth="1"/>
    <col min="7" max="7" width="5.44140625" hidden="1" customWidth="1"/>
    <col min="8" max="8" width="6.6640625" hidden="1" customWidth="1"/>
    <col min="9" max="9" width="8.44140625" hidden="1" customWidth="1"/>
    <col min="10" max="10" width="11.5546875" bestFit="1" customWidth="1"/>
    <col min="11" max="11" width="16" customWidth="1"/>
    <col min="12" max="12" width="9.44140625" hidden="1" customWidth="1"/>
    <col min="13" max="13" width="7.33203125" customWidth="1"/>
    <col min="14" max="14" width="9.5546875" hidden="1" customWidth="1"/>
    <col min="15" max="15" width="9.88671875" customWidth="1"/>
    <col min="16" max="16" width="9.44140625" customWidth="1"/>
    <col min="17" max="17" width="13.6640625" customWidth="1"/>
    <col min="18" max="18" width="15.44140625" customWidth="1"/>
    <col min="19" max="19" width="17" hidden="1" customWidth="1"/>
    <col min="20" max="20" width="15.44140625" hidden="1" customWidth="1"/>
    <col min="21" max="21" width="17.6640625" hidden="1" customWidth="1"/>
    <col min="22" max="22" width="15" bestFit="1" customWidth="1"/>
    <col min="23" max="23" width="9.33203125" bestFit="1" customWidth="1"/>
    <col min="26" max="26" width="14.6640625" bestFit="1" customWidth="1"/>
    <col min="27" max="27" width="4" customWidth="1"/>
    <col min="28" max="29" width="12" bestFit="1" customWidth="1"/>
    <col min="31" max="31" width="18.5546875" bestFit="1" customWidth="1"/>
    <col min="32" max="32" width="18.44140625" customWidth="1"/>
    <col min="36" max="36" width="14.6640625" bestFit="1" customWidth="1"/>
    <col min="37" max="37" width="15.109375" bestFit="1" customWidth="1"/>
  </cols>
  <sheetData>
    <row r="1" spans="1:37" x14ac:dyDescent="0.3">
      <c r="A1" s="87" t="s">
        <v>1894</v>
      </c>
      <c r="B1" s="87" t="s">
        <v>2099</v>
      </c>
      <c r="C1" s="87" t="s">
        <v>1903</v>
      </c>
      <c r="D1" s="87" t="s">
        <v>2261</v>
      </c>
      <c r="E1" s="87" t="s">
        <v>2260</v>
      </c>
      <c r="F1" s="87" t="s">
        <v>5693</v>
      </c>
      <c r="G1" s="87" t="s">
        <v>2812</v>
      </c>
      <c r="H1" s="87" t="s">
        <v>2032</v>
      </c>
      <c r="I1" s="87" t="s">
        <v>2100</v>
      </c>
      <c r="J1" s="87" t="s">
        <v>2097</v>
      </c>
      <c r="K1" s="87" t="s">
        <v>2915</v>
      </c>
      <c r="L1" s="87" t="s">
        <v>2101</v>
      </c>
      <c r="M1" s="88" t="s">
        <v>2083</v>
      </c>
      <c r="N1" s="88" t="s">
        <v>2240</v>
      </c>
      <c r="O1" s="88" t="s">
        <v>2095</v>
      </c>
      <c r="P1" s="88" t="s">
        <v>2096</v>
      </c>
      <c r="Q1" s="88" t="s">
        <v>2098</v>
      </c>
      <c r="R1" s="88" t="s">
        <v>2252</v>
      </c>
      <c r="S1" s="88" t="s">
        <v>2251</v>
      </c>
      <c r="T1" s="88" t="s">
        <v>2881</v>
      </c>
      <c r="U1" s="88" t="s">
        <v>2241</v>
      </c>
      <c r="V1" s="88" t="s">
        <v>1883</v>
      </c>
      <c r="W1" s="88" t="s">
        <v>2878</v>
      </c>
      <c r="X1" s="88" t="s">
        <v>1905</v>
      </c>
      <c r="AE1" t="s">
        <v>2259</v>
      </c>
    </row>
    <row r="2" spans="1:37" x14ac:dyDescent="0.3">
      <c r="A2" s="37">
        <v>1</v>
      </c>
      <c r="B2" s="76" t="s">
        <v>1472</v>
      </c>
      <c r="C2" s="76" t="s">
        <v>1471</v>
      </c>
      <c r="D2" s="76" t="s">
        <v>2264</v>
      </c>
      <c r="E2" s="77">
        <v>479482772</v>
      </c>
      <c r="F2" s="77">
        <v>2500000</v>
      </c>
      <c r="G2" s="77" t="s">
        <v>2817</v>
      </c>
      <c r="H2" s="77" t="s">
        <v>2818</v>
      </c>
      <c r="I2" s="76" t="s">
        <v>2102</v>
      </c>
      <c r="J2" s="76" t="s">
        <v>4</v>
      </c>
      <c r="K2" s="76" t="str">
        <f>VLOOKUP($B2,'WILL TOKO SEP'!A3:AK742,37,0)</f>
        <v>DENPASAR BARAT</v>
      </c>
      <c r="L2" s="76" t="s">
        <v>2104</v>
      </c>
      <c r="M2" s="37" t="s">
        <v>3</v>
      </c>
      <c r="N2" s="79">
        <v>46158</v>
      </c>
      <c r="O2" s="79">
        <v>46184</v>
      </c>
      <c r="P2" s="79">
        <v>46213</v>
      </c>
      <c r="Q2" s="79">
        <v>46248</v>
      </c>
      <c r="R2" s="79">
        <f>IFERROR(VLOOKUP($B2,JADWAL!$G$6:$J$690,4,0),"")</f>
        <v>46267</v>
      </c>
      <c r="S2" s="77">
        <f t="shared" ref="S2:S65" si="0">COUNTIF(N2:P2,"0")</f>
        <v>0</v>
      </c>
      <c r="T2" s="77"/>
      <c r="U2" s="37" t="s">
        <v>2242</v>
      </c>
      <c r="V2" s="37" t="s">
        <v>2078</v>
      </c>
      <c r="W2" s="37"/>
      <c r="X2" s="37" t="e">
        <v>#N/A</v>
      </c>
      <c r="Z2" t="s">
        <v>1900</v>
      </c>
      <c r="AA2">
        <v>26</v>
      </c>
      <c r="AB2" t="s">
        <v>2021</v>
      </c>
      <c r="AE2" s="89" t="s">
        <v>1905</v>
      </c>
      <c r="AF2" s="89" t="s">
        <v>2257</v>
      </c>
      <c r="AG2" s="89" t="s">
        <v>2253</v>
      </c>
      <c r="AH2" s="89" t="s">
        <v>2254</v>
      </c>
      <c r="AI2" s="89" t="s">
        <v>2255</v>
      </c>
      <c r="AJ2" s="89" t="s">
        <v>2256</v>
      </c>
      <c r="AK2" s="89" t="s">
        <v>2258</v>
      </c>
    </row>
    <row r="3" spans="1:37" x14ac:dyDescent="0.3">
      <c r="A3" s="37">
        <f>A2+1</f>
        <v>2</v>
      </c>
      <c r="B3" s="76" t="s">
        <v>720</v>
      </c>
      <c r="C3" s="76" t="s">
        <v>719</v>
      </c>
      <c r="D3" s="76" t="s">
        <v>2265</v>
      </c>
      <c r="E3" s="77">
        <v>507586793</v>
      </c>
      <c r="F3" s="77">
        <v>3500000</v>
      </c>
      <c r="G3" s="77" t="s">
        <v>2819</v>
      </c>
      <c r="H3" s="77" t="s">
        <v>2820</v>
      </c>
      <c r="I3" s="76" t="s">
        <v>2102</v>
      </c>
      <c r="J3" s="76" t="s">
        <v>4</v>
      </c>
      <c r="K3" s="76" t="str">
        <f>VLOOKUP($B3,'WILL TOKO SEP'!A4:AK743,37,0)</f>
        <v>DENPASAR BARAT</v>
      </c>
      <c r="L3" s="76" t="s">
        <v>2104</v>
      </c>
      <c r="M3" s="37" t="s">
        <v>3</v>
      </c>
      <c r="N3" s="79">
        <v>46147</v>
      </c>
      <c r="O3" s="78">
        <v>0</v>
      </c>
      <c r="P3" s="79">
        <v>46234</v>
      </c>
      <c r="Q3" s="78">
        <v>0</v>
      </c>
      <c r="R3" s="79">
        <f>IFERROR(VLOOKUP($B3,JADWAL!$G$6:$J$690,4,0),"")</f>
        <v>46268</v>
      </c>
      <c r="S3" s="77">
        <f t="shared" si="0"/>
        <v>1</v>
      </c>
      <c r="T3" s="77"/>
      <c r="U3" s="37" t="s">
        <v>2242</v>
      </c>
      <c r="V3" s="37" t="s">
        <v>2250</v>
      </c>
      <c r="W3" s="37"/>
      <c r="X3" s="37">
        <v>0</v>
      </c>
      <c r="Z3" t="s">
        <v>1901</v>
      </c>
      <c r="AA3">
        <v>433</v>
      </c>
      <c r="AB3">
        <f>AA3/AA2</f>
        <v>16.653846153846153</v>
      </c>
      <c r="AE3" t="s">
        <v>1965</v>
      </c>
      <c r="AF3">
        <v>10</v>
      </c>
      <c r="AG3">
        <v>3</v>
      </c>
      <c r="AH3">
        <v>2</v>
      </c>
      <c r="AI3">
        <f>AG3+AH3</f>
        <v>5</v>
      </c>
      <c r="AJ3">
        <f>AI3*4</f>
        <v>20</v>
      </c>
    </row>
    <row r="4" spans="1:37" x14ac:dyDescent="0.3">
      <c r="A4" s="37">
        <f t="shared" ref="A4:A67" si="1">A3+1</f>
        <v>3</v>
      </c>
      <c r="B4" s="76" t="s">
        <v>1227</v>
      </c>
      <c r="C4" s="76" t="s">
        <v>1226</v>
      </c>
      <c r="D4" s="76" t="s">
        <v>2266</v>
      </c>
      <c r="E4" s="77">
        <v>689951930</v>
      </c>
      <c r="F4" s="77">
        <v>4500000</v>
      </c>
      <c r="G4" s="77" t="s">
        <v>2821</v>
      </c>
      <c r="H4" s="77" t="s">
        <v>2822</v>
      </c>
      <c r="I4" s="76" t="s">
        <v>2102</v>
      </c>
      <c r="J4" s="76" t="s">
        <v>36</v>
      </c>
      <c r="K4" s="76" t="str">
        <f>VLOOKUP($B4,'WILL TOKO SEP'!A5:AK744,37,0)</f>
        <v>SELEMADEG TIMUR</v>
      </c>
      <c r="L4" s="76" t="s">
        <v>2104</v>
      </c>
      <c r="M4" s="37" t="s">
        <v>3</v>
      </c>
      <c r="N4" s="78">
        <v>0</v>
      </c>
      <c r="O4" s="78">
        <v>0</v>
      </c>
      <c r="P4" s="79">
        <v>46214</v>
      </c>
      <c r="Q4" s="78">
        <v>0</v>
      </c>
      <c r="R4" s="79" t="str">
        <f>IFERROR(VLOOKUP($B4,JADWAL!$G$6:$J$690,4,0),"")</f>
        <v/>
      </c>
      <c r="S4" s="77">
        <f t="shared" si="0"/>
        <v>2</v>
      </c>
      <c r="T4" s="77"/>
      <c r="U4" s="37" t="s">
        <v>2242</v>
      </c>
      <c r="V4" s="37" t="s">
        <v>2250</v>
      </c>
      <c r="W4" s="37"/>
      <c r="X4" s="37" t="s">
        <v>13</v>
      </c>
      <c r="Z4" t="s">
        <v>2020</v>
      </c>
      <c r="AA4">
        <v>55</v>
      </c>
      <c r="AB4">
        <v>17</v>
      </c>
      <c r="AC4">
        <f>AA4/AB4</f>
        <v>3.2352941176470589</v>
      </c>
      <c r="AE4" t="s">
        <v>1947</v>
      </c>
      <c r="AF4">
        <v>9</v>
      </c>
      <c r="AG4">
        <v>3</v>
      </c>
      <c r="AH4">
        <v>2</v>
      </c>
      <c r="AI4">
        <f t="shared" ref="AI4:AI9" si="2">AG4+AH4</f>
        <v>5</v>
      </c>
      <c r="AJ4">
        <f t="shared" ref="AJ4:AJ9" si="3">AI4*4</f>
        <v>20</v>
      </c>
    </row>
    <row r="5" spans="1:37" x14ac:dyDescent="0.3">
      <c r="A5" s="37">
        <f t="shared" si="1"/>
        <v>4</v>
      </c>
      <c r="B5" s="76" t="s">
        <v>1027</v>
      </c>
      <c r="C5" s="76" t="s">
        <v>1026</v>
      </c>
      <c r="D5" s="76" t="s">
        <v>5264</v>
      </c>
      <c r="E5" s="77">
        <v>552870410</v>
      </c>
      <c r="F5" s="77">
        <v>3000000</v>
      </c>
      <c r="G5" s="77" t="s">
        <v>2815</v>
      </c>
      <c r="H5" s="77" t="s">
        <v>2816</v>
      </c>
      <c r="I5" s="76" t="s">
        <v>2102</v>
      </c>
      <c r="J5" s="76" t="s">
        <v>28</v>
      </c>
      <c r="K5" s="76" t="str">
        <f>VLOOKUP($B5,'WILL TOKO SEP'!A6:AK745,37,0)</f>
        <v>UBUD</v>
      </c>
      <c r="L5" s="76" t="s">
        <v>2103</v>
      </c>
      <c r="M5" s="37" t="s">
        <v>3</v>
      </c>
      <c r="N5" s="78">
        <v>0</v>
      </c>
      <c r="O5" s="78">
        <v>0</v>
      </c>
      <c r="P5" s="79">
        <v>46223</v>
      </c>
      <c r="Q5" s="78">
        <v>0</v>
      </c>
      <c r="R5" s="79" t="str">
        <f>IFERROR(VLOOKUP($B5,JADWAL!$G$6:$J$690,4,0),"")</f>
        <v/>
      </c>
      <c r="S5" s="77">
        <f t="shared" si="0"/>
        <v>2</v>
      </c>
      <c r="T5" s="77"/>
      <c r="U5" s="37" t="s">
        <v>2242</v>
      </c>
      <c r="V5" s="37" t="s">
        <v>2250</v>
      </c>
      <c r="W5" s="37"/>
      <c r="X5" s="37" t="s">
        <v>27</v>
      </c>
      <c r="AE5" t="s">
        <v>1985</v>
      </c>
      <c r="AF5">
        <v>10</v>
      </c>
      <c r="AG5">
        <v>3</v>
      </c>
      <c r="AH5">
        <v>2</v>
      </c>
      <c r="AI5">
        <f t="shared" si="2"/>
        <v>5</v>
      </c>
      <c r="AJ5">
        <f t="shared" si="3"/>
        <v>20</v>
      </c>
    </row>
    <row r="6" spans="1:37" x14ac:dyDescent="0.3">
      <c r="A6" s="37">
        <f t="shared" si="1"/>
        <v>5</v>
      </c>
      <c r="B6" s="76" t="s">
        <v>797</v>
      </c>
      <c r="C6" s="76" t="s">
        <v>796</v>
      </c>
      <c r="D6" s="76" t="s">
        <v>2267</v>
      </c>
      <c r="E6" s="77">
        <v>422371082</v>
      </c>
      <c r="F6" s="77">
        <v>3000000</v>
      </c>
      <c r="G6" s="77" t="s">
        <v>2819</v>
      </c>
      <c r="H6" s="77" t="s">
        <v>2823</v>
      </c>
      <c r="I6" s="76" t="s">
        <v>2102</v>
      </c>
      <c r="J6" s="76" t="s">
        <v>4</v>
      </c>
      <c r="K6" s="76" t="str">
        <f>VLOOKUP($B6,'WILL TOKO SEP'!A7:AK746,37,0)</f>
        <v>DENPASAR BARAT</v>
      </c>
      <c r="L6" s="76" t="s">
        <v>2104</v>
      </c>
      <c r="M6" s="37" t="s">
        <v>3</v>
      </c>
      <c r="N6" s="78">
        <v>0</v>
      </c>
      <c r="O6" s="79">
        <v>46178</v>
      </c>
      <c r="P6" s="79">
        <v>46231</v>
      </c>
      <c r="Q6" s="78">
        <v>0</v>
      </c>
      <c r="R6" s="79" t="str">
        <f>IFERROR(VLOOKUP($B6,JADWAL!$G$6:$J$690,4,0),"")</f>
        <v/>
      </c>
      <c r="S6" s="77">
        <f t="shared" si="0"/>
        <v>1</v>
      </c>
      <c r="T6" s="77"/>
      <c r="U6" s="37" t="s">
        <v>2242</v>
      </c>
      <c r="V6" s="37" t="s">
        <v>2250</v>
      </c>
      <c r="W6" s="37"/>
      <c r="X6" s="37">
        <v>0</v>
      </c>
      <c r="AE6" t="s">
        <v>1911</v>
      </c>
      <c r="AF6">
        <v>9</v>
      </c>
      <c r="AG6">
        <v>3</v>
      </c>
      <c r="AH6">
        <v>2</v>
      </c>
      <c r="AI6">
        <f t="shared" si="2"/>
        <v>5</v>
      </c>
      <c r="AJ6">
        <f t="shared" si="3"/>
        <v>20</v>
      </c>
    </row>
    <row r="7" spans="1:37" x14ac:dyDescent="0.3">
      <c r="A7" s="37">
        <f t="shared" si="1"/>
        <v>6</v>
      </c>
      <c r="B7" s="76" t="s">
        <v>527</v>
      </c>
      <c r="C7" s="76" t="s">
        <v>526</v>
      </c>
      <c r="D7" s="76" t="s">
        <v>5315</v>
      </c>
      <c r="E7" s="77">
        <v>462389795</v>
      </c>
      <c r="F7" s="77">
        <v>2500000</v>
      </c>
      <c r="G7" s="77" t="s">
        <v>2813</v>
      </c>
      <c r="H7" s="77" t="s">
        <v>2824</v>
      </c>
      <c r="I7" s="76" t="s">
        <v>2102</v>
      </c>
      <c r="J7" s="76" t="s">
        <v>9</v>
      </c>
      <c r="K7" s="76" t="str">
        <f>VLOOKUP($B7,'WILL TOKO SEP'!A8:AK747,37,0)</f>
        <v>KUTA SELATAN</v>
      </c>
      <c r="L7" s="76" t="s">
        <v>2103</v>
      </c>
      <c r="M7" s="37" t="s">
        <v>3</v>
      </c>
      <c r="N7" s="78">
        <v>0</v>
      </c>
      <c r="O7" s="79">
        <v>46178</v>
      </c>
      <c r="P7" s="78">
        <v>0</v>
      </c>
      <c r="Q7" s="79">
        <v>46261</v>
      </c>
      <c r="R7" s="79">
        <f>IFERROR(VLOOKUP($B7,JADWAL!$G$6:$J$690,4,0),"")</f>
        <v>46268</v>
      </c>
      <c r="S7" s="77">
        <f t="shared" si="0"/>
        <v>2</v>
      </c>
      <c r="T7" s="77"/>
      <c r="U7" s="37" t="s">
        <v>2242</v>
      </c>
      <c r="V7" s="37" t="s">
        <v>2250</v>
      </c>
      <c r="W7" s="37"/>
      <c r="X7" s="37" t="s">
        <v>124</v>
      </c>
      <c r="AE7" t="s">
        <v>1929</v>
      </c>
      <c r="AF7">
        <v>9</v>
      </c>
      <c r="AG7">
        <v>3</v>
      </c>
      <c r="AH7">
        <v>2</v>
      </c>
      <c r="AI7">
        <f t="shared" si="2"/>
        <v>5</v>
      </c>
      <c r="AJ7">
        <f t="shared" si="3"/>
        <v>20</v>
      </c>
    </row>
    <row r="8" spans="1:37" x14ac:dyDescent="0.3">
      <c r="A8" s="37">
        <f t="shared" si="1"/>
        <v>7</v>
      </c>
      <c r="B8" s="76" t="s">
        <v>1669</v>
      </c>
      <c r="C8" s="76" t="s">
        <v>1668</v>
      </c>
      <c r="D8" s="76" t="s">
        <v>5524</v>
      </c>
      <c r="E8" s="77">
        <v>440733471</v>
      </c>
      <c r="F8" s="77">
        <v>2000000</v>
      </c>
      <c r="G8" s="77" t="s">
        <v>2825</v>
      </c>
      <c r="H8" s="77" t="s">
        <v>2826</v>
      </c>
      <c r="I8" s="76" t="s">
        <v>2102</v>
      </c>
      <c r="J8" s="76" t="s">
        <v>9</v>
      </c>
      <c r="K8" s="76" t="str">
        <f>VLOOKUP($B8,'WILL TOKO SEP'!A9:AK748,37,0)</f>
        <v>MENGWI</v>
      </c>
      <c r="L8" s="76" t="s">
        <v>2104</v>
      </c>
      <c r="M8" s="37" t="s">
        <v>3</v>
      </c>
      <c r="N8" s="79">
        <v>46165</v>
      </c>
      <c r="O8" s="79">
        <v>46190</v>
      </c>
      <c r="P8" s="79">
        <v>46212</v>
      </c>
      <c r="Q8" s="79">
        <v>46241</v>
      </c>
      <c r="R8" s="79" t="str">
        <f>IFERROR(VLOOKUP($B8,JADWAL!$G$6:$J$690,4,0),"")</f>
        <v/>
      </c>
      <c r="S8" s="77">
        <f t="shared" si="0"/>
        <v>0</v>
      </c>
      <c r="T8" s="77"/>
      <c r="U8" s="37" t="s">
        <v>2242</v>
      </c>
      <c r="V8" s="37" t="s">
        <v>2250</v>
      </c>
      <c r="W8" s="37"/>
      <c r="X8" s="37" t="e">
        <v>#N/A</v>
      </c>
      <c r="AE8" t="s">
        <v>2005</v>
      </c>
      <c r="AF8">
        <v>8</v>
      </c>
      <c r="AG8">
        <v>2</v>
      </c>
      <c r="AH8">
        <v>1</v>
      </c>
      <c r="AI8">
        <f t="shared" si="2"/>
        <v>3</v>
      </c>
      <c r="AJ8">
        <f t="shared" si="3"/>
        <v>12</v>
      </c>
    </row>
    <row r="9" spans="1:37" x14ac:dyDescent="0.3">
      <c r="A9" s="37">
        <f t="shared" si="1"/>
        <v>8</v>
      </c>
      <c r="B9" s="76" t="s">
        <v>1581</v>
      </c>
      <c r="C9" s="76" t="s">
        <v>1580</v>
      </c>
      <c r="D9" s="76" t="s">
        <v>2268</v>
      </c>
      <c r="E9" s="77">
        <v>392239030</v>
      </c>
      <c r="F9" s="77">
        <v>2000000</v>
      </c>
      <c r="G9" s="77" t="s">
        <v>2827</v>
      </c>
      <c r="H9" s="77" t="s">
        <v>2828</v>
      </c>
      <c r="I9" s="76" t="s">
        <v>2102</v>
      </c>
      <c r="J9" s="76" t="s">
        <v>48</v>
      </c>
      <c r="K9" s="76" t="str">
        <f>VLOOKUP($B9,'WILL TOKO SEP'!A10:AK749,37,0)</f>
        <v>BULELENG</v>
      </c>
      <c r="L9" s="76" t="s">
        <v>2104</v>
      </c>
      <c r="M9" s="37" t="s">
        <v>3</v>
      </c>
      <c r="N9" s="79">
        <v>46147</v>
      </c>
      <c r="O9" s="79">
        <v>46197</v>
      </c>
      <c r="P9" s="79">
        <v>46219</v>
      </c>
      <c r="Q9" s="79">
        <v>46245</v>
      </c>
      <c r="R9" s="79" t="str">
        <f>IFERROR(VLOOKUP($B9,JADWAL!$G$6:$J$690,4,0),"")</f>
        <v/>
      </c>
      <c r="S9" s="77">
        <f t="shared" si="0"/>
        <v>0</v>
      </c>
      <c r="T9" s="77"/>
      <c r="U9" s="37" t="s">
        <v>2242</v>
      </c>
      <c r="V9" s="37" t="s">
        <v>2250</v>
      </c>
      <c r="W9" s="37"/>
      <c r="X9" s="37" t="e">
        <v>#N/A</v>
      </c>
      <c r="AG9">
        <f>SUM(AG3:AG8)</f>
        <v>17</v>
      </c>
      <c r="AH9">
        <f>SUM(AH3:AH8)</f>
        <v>11</v>
      </c>
      <c r="AI9">
        <f t="shared" si="2"/>
        <v>28</v>
      </c>
      <c r="AJ9">
        <f t="shared" si="3"/>
        <v>112</v>
      </c>
      <c r="AK9">
        <f>AJ9*4</f>
        <v>448</v>
      </c>
    </row>
    <row r="10" spans="1:37" x14ac:dyDescent="0.3">
      <c r="A10" s="37">
        <f t="shared" si="1"/>
        <v>9</v>
      </c>
      <c r="B10" s="76" t="s">
        <v>532</v>
      </c>
      <c r="C10" s="76" t="s">
        <v>531</v>
      </c>
      <c r="D10" s="76" t="s">
        <v>2269</v>
      </c>
      <c r="E10" s="77">
        <v>506541486</v>
      </c>
      <c r="F10" s="77">
        <v>4000000</v>
      </c>
      <c r="G10" s="77" t="s">
        <v>2815</v>
      </c>
      <c r="H10" s="77" t="s">
        <v>2829</v>
      </c>
      <c r="I10" s="76" t="s">
        <v>2102</v>
      </c>
      <c r="J10" s="76" t="s">
        <v>28</v>
      </c>
      <c r="K10" s="76" t="str">
        <f>VLOOKUP($B10,'WILL TOKO SEP'!A11:AK750,37,0)</f>
        <v>GIANYAR</v>
      </c>
      <c r="L10" s="76" t="s">
        <v>2103</v>
      </c>
      <c r="M10" s="37" t="s">
        <v>3</v>
      </c>
      <c r="N10" s="78">
        <v>0</v>
      </c>
      <c r="O10" s="79">
        <v>46193</v>
      </c>
      <c r="P10" s="78">
        <v>0</v>
      </c>
      <c r="Q10" s="241">
        <v>0</v>
      </c>
      <c r="R10" s="79" t="str">
        <f>IFERROR(VLOOKUP($B10,JADWAL!$G$6:$J$690,4,0),"")</f>
        <v/>
      </c>
      <c r="S10" s="77">
        <f t="shared" si="0"/>
        <v>2</v>
      </c>
      <c r="T10" s="77"/>
      <c r="U10" s="37" t="s">
        <v>2242</v>
      </c>
      <c r="V10" s="37" t="s">
        <v>2250</v>
      </c>
      <c r="W10" s="37"/>
      <c r="X10" s="37" t="s">
        <v>27</v>
      </c>
    </row>
    <row r="11" spans="1:37" x14ac:dyDescent="0.3">
      <c r="A11" s="37">
        <f t="shared" si="1"/>
        <v>10</v>
      </c>
      <c r="B11" s="76" t="s">
        <v>1732</v>
      </c>
      <c r="C11" s="76" t="s">
        <v>1731</v>
      </c>
      <c r="D11" s="76" t="s">
        <v>2270</v>
      </c>
      <c r="E11" s="77">
        <v>438845947</v>
      </c>
      <c r="F11" s="77">
        <v>2000000</v>
      </c>
      <c r="G11" s="77" t="s">
        <v>2819</v>
      </c>
      <c r="H11" s="77" t="s">
        <v>2823</v>
      </c>
      <c r="I11" s="76" t="s">
        <v>2102</v>
      </c>
      <c r="J11" s="76" t="s">
        <v>9</v>
      </c>
      <c r="K11" s="76" t="str">
        <f>VLOOKUP($B11,'WILL TOKO SEP'!A12:AK751,37,0)</f>
        <v>KUTA UTARA</v>
      </c>
      <c r="L11" s="76" t="s">
        <v>2104</v>
      </c>
      <c r="M11" s="37" t="s">
        <v>3</v>
      </c>
      <c r="N11" s="79">
        <v>46158</v>
      </c>
      <c r="O11" s="79">
        <v>46188</v>
      </c>
      <c r="P11" s="79">
        <v>46224</v>
      </c>
      <c r="Q11" s="79">
        <v>46240</v>
      </c>
      <c r="R11" s="79">
        <f>IFERROR(VLOOKUP($B11,JADWAL!$G$6:$J$690,4,0),"")</f>
        <v>46269</v>
      </c>
      <c r="S11" s="77">
        <f t="shared" si="0"/>
        <v>0</v>
      </c>
      <c r="T11" s="77"/>
      <c r="U11" s="37" t="s">
        <v>2242</v>
      </c>
      <c r="V11" s="37" t="s">
        <v>2078</v>
      </c>
      <c r="W11" s="37"/>
      <c r="X11" s="37" t="e">
        <v>#N/A</v>
      </c>
    </row>
    <row r="12" spans="1:37" x14ac:dyDescent="0.3">
      <c r="A12" s="37">
        <f t="shared" si="1"/>
        <v>11</v>
      </c>
      <c r="B12" s="76" t="s">
        <v>1256</v>
      </c>
      <c r="C12" s="76" t="s">
        <v>1255</v>
      </c>
      <c r="D12" s="76" t="s">
        <v>5562</v>
      </c>
      <c r="E12" s="77">
        <v>472475414</v>
      </c>
      <c r="F12" s="77">
        <v>2000000</v>
      </c>
      <c r="G12" s="77" t="s">
        <v>2813</v>
      </c>
      <c r="H12" s="77" t="s">
        <v>2832</v>
      </c>
      <c r="I12" s="76" t="s">
        <v>2102</v>
      </c>
      <c r="J12" s="76" t="s">
        <v>9</v>
      </c>
      <c r="K12" s="76" t="str">
        <f>VLOOKUP($B12,'WILL TOKO SEP'!A13:AK752,37,0)</f>
        <v>KUTA SELATAN</v>
      </c>
      <c r="L12" s="76" t="s">
        <v>2104</v>
      </c>
      <c r="M12" s="37" t="s">
        <v>3</v>
      </c>
      <c r="N12" s="79">
        <v>46164</v>
      </c>
      <c r="O12" s="78">
        <v>0</v>
      </c>
      <c r="P12" s="79">
        <v>46213</v>
      </c>
      <c r="Q12" s="241">
        <v>0</v>
      </c>
      <c r="R12" s="79" t="str">
        <f>IFERROR(VLOOKUP($B12,JADWAL!$G$6:$J$690,4,0),"")</f>
        <v/>
      </c>
      <c r="S12" s="77">
        <f t="shared" si="0"/>
        <v>1</v>
      </c>
      <c r="T12" s="77"/>
      <c r="U12" s="37" t="s">
        <v>2242</v>
      </c>
      <c r="V12" s="37" t="s">
        <v>2250</v>
      </c>
      <c r="W12" s="37"/>
      <c r="X12" s="37" t="s">
        <v>124</v>
      </c>
    </row>
    <row r="13" spans="1:37" x14ac:dyDescent="0.3">
      <c r="A13" s="37">
        <f t="shared" si="1"/>
        <v>12</v>
      </c>
      <c r="B13" s="76" t="s">
        <v>1754</v>
      </c>
      <c r="C13" s="76" t="s">
        <v>1753</v>
      </c>
      <c r="D13" s="76" t="s">
        <v>2272</v>
      </c>
      <c r="E13" s="77">
        <v>396855644</v>
      </c>
      <c r="F13" s="77">
        <v>2500000</v>
      </c>
      <c r="G13" s="77" t="s">
        <v>2821</v>
      </c>
      <c r="H13" s="77" t="s">
        <v>2833</v>
      </c>
      <c r="I13" s="76" t="s">
        <v>2102</v>
      </c>
      <c r="J13" s="76" t="s">
        <v>36</v>
      </c>
      <c r="K13" s="76" t="str">
        <f>VLOOKUP($B13,'WILL TOKO SEP'!A14:AK753,37,0)</f>
        <v>TABANAN</v>
      </c>
      <c r="L13" s="76" t="s">
        <v>2104</v>
      </c>
      <c r="M13" s="37" t="s">
        <v>3</v>
      </c>
      <c r="N13" s="78">
        <v>0</v>
      </c>
      <c r="O13" s="79">
        <v>46182</v>
      </c>
      <c r="P13" s="78">
        <v>0</v>
      </c>
      <c r="Q13" s="79">
        <v>46239</v>
      </c>
      <c r="R13" s="79" t="str">
        <f>IFERROR(VLOOKUP($B13,JADWAL!$G$6:$J$690,4,0),"")</f>
        <v/>
      </c>
      <c r="S13" s="77">
        <f t="shared" si="0"/>
        <v>2</v>
      </c>
      <c r="T13" s="77"/>
      <c r="U13" s="37" t="s">
        <v>2242</v>
      </c>
      <c r="V13" s="37" t="s">
        <v>2250</v>
      </c>
      <c r="W13" s="37"/>
      <c r="X13" s="37" t="e">
        <v>#N/A</v>
      </c>
    </row>
    <row r="14" spans="1:37" x14ac:dyDescent="0.3">
      <c r="A14" s="37">
        <f t="shared" si="1"/>
        <v>13</v>
      </c>
      <c r="B14" s="76" t="s">
        <v>1318</v>
      </c>
      <c r="C14" s="76" t="s">
        <v>1317</v>
      </c>
      <c r="D14" s="76" t="s">
        <v>2273</v>
      </c>
      <c r="E14" s="77">
        <v>502637434</v>
      </c>
      <c r="F14" s="77">
        <v>2000000</v>
      </c>
      <c r="G14" s="77" t="s">
        <v>2834</v>
      </c>
      <c r="H14" s="77" t="s">
        <v>2835</v>
      </c>
      <c r="I14" s="76" t="s">
        <v>2102</v>
      </c>
      <c r="J14" s="76" t="s">
        <v>32</v>
      </c>
      <c r="K14" s="76" t="str">
        <f>VLOOKUP($B14,'WILL TOKO SEP'!A15:AK754,37,0)</f>
        <v>KINTAMANI</v>
      </c>
      <c r="L14" s="76" t="s">
        <v>2104</v>
      </c>
      <c r="M14" s="37" t="s">
        <v>3</v>
      </c>
      <c r="N14" s="79">
        <v>46170</v>
      </c>
      <c r="O14" s="79">
        <v>46198</v>
      </c>
      <c r="P14" s="79">
        <v>46210</v>
      </c>
      <c r="Q14" s="241">
        <v>0</v>
      </c>
      <c r="R14" s="79" t="str">
        <f>IFERROR(VLOOKUP($B14,JADWAL!$G$6:$J$690,4,0),"")</f>
        <v/>
      </c>
      <c r="S14" s="77">
        <f t="shared" si="0"/>
        <v>0</v>
      </c>
      <c r="T14" s="77"/>
      <c r="U14" s="37" t="s">
        <v>2242</v>
      </c>
      <c r="V14" s="37" t="s">
        <v>2250</v>
      </c>
      <c r="W14" s="37"/>
      <c r="X14" s="37" t="s">
        <v>27</v>
      </c>
    </row>
    <row r="15" spans="1:37" x14ac:dyDescent="0.3">
      <c r="A15" s="37">
        <f t="shared" si="1"/>
        <v>14</v>
      </c>
      <c r="B15" s="76" t="s">
        <v>1199</v>
      </c>
      <c r="C15" s="76" t="s">
        <v>1198</v>
      </c>
      <c r="D15" s="76" t="s">
        <v>2274</v>
      </c>
      <c r="E15" s="77">
        <v>439478960</v>
      </c>
      <c r="F15" s="77">
        <v>2000000</v>
      </c>
      <c r="G15" s="77" t="s">
        <v>2825</v>
      </c>
      <c r="H15" s="77" t="s">
        <v>2836</v>
      </c>
      <c r="I15" s="76" t="s">
        <v>2102</v>
      </c>
      <c r="J15" s="76" t="s">
        <v>36</v>
      </c>
      <c r="K15" s="76" t="str">
        <f>VLOOKUP($B15,'WILL TOKO SEP'!A16:AK755,37,0)</f>
        <v>BATURITI</v>
      </c>
      <c r="L15" s="76" t="s">
        <v>2104</v>
      </c>
      <c r="M15" s="37" t="s">
        <v>3</v>
      </c>
      <c r="N15" s="79">
        <v>46149</v>
      </c>
      <c r="O15" s="79">
        <v>46203</v>
      </c>
      <c r="P15" s="79">
        <v>46216</v>
      </c>
      <c r="Q15" s="241">
        <v>0</v>
      </c>
      <c r="R15" s="79">
        <f>IFERROR(VLOOKUP($B15,JADWAL!$G$6:$J$690,4,0),"")</f>
        <v>46267</v>
      </c>
      <c r="S15" s="77">
        <f t="shared" si="0"/>
        <v>0</v>
      </c>
      <c r="T15" s="77"/>
      <c r="U15" s="37" t="s">
        <v>2242</v>
      </c>
      <c r="V15" s="37" t="s">
        <v>2250</v>
      </c>
      <c r="W15" s="37"/>
      <c r="X15" s="37" t="s">
        <v>13</v>
      </c>
    </row>
    <row r="16" spans="1:37" x14ac:dyDescent="0.3">
      <c r="A16" s="37">
        <f t="shared" si="1"/>
        <v>15</v>
      </c>
      <c r="B16" s="76" t="s">
        <v>985</v>
      </c>
      <c r="C16" s="76" t="s">
        <v>984</v>
      </c>
      <c r="D16" s="76" t="s">
        <v>5338</v>
      </c>
      <c r="E16" s="77">
        <v>380513165</v>
      </c>
      <c r="F16" s="77">
        <v>2000000</v>
      </c>
      <c r="G16" s="77" t="s">
        <v>2815</v>
      </c>
      <c r="H16" s="77" t="s">
        <v>2816</v>
      </c>
      <c r="I16" s="76" t="s">
        <v>2102</v>
      </c>
      <c r="J16" s="76" t="s">
        <v>28</v>
      </c>
      <c r="K16" s="76" t="str">
        <f>VLOOKUP($B16,'WILL TOKO SEP'!A17:AK756,37,0)</f>
        <v>SUKAWATI</v>
      </c>
      <c r="L16" s="76" t="s">
        <v>2103</v>
      </c>
      <c r="M16" s="37" t="s">
        <v>3</v>
      </c>
      <c r="N16" s="78">
        <v>0</v>
      </c>
      <c r="O16" s="79">
        <v>46198</v>
      </c>
      <c r="P16" s="79">
        <v>46224</v>
      </c>
      <c r="Q16" s="241">
        <v>0</v>
      </c>
      <c r="R16" s="79" t="str">
        <f>IFERROR(VLOOKUP($B16,JADWAL!$G$6:$J$690,4,0),"")</f>
        <v/>
      </c>
      <c r="S16" s="77">
        <f t="shared" si="0"/>
        <v>1</v>
      </c>
      <c r="T16" s="77"/>
      <c r="U16" s="37" t="s">
        <v>2242</v>
      </c>
      <c r="V16" s="37" t="s">
        <v>2250</v>
      </c>
      <c r="W16" s="37"/>
      <c r="X16" s="37" t="s">
        <v>27</v>
      </c>
    </row>
    <row r="17" spans="1:24" x14ac:dyDescent="0.3">
      <c r="A17" s="37">
        <f t="shared" si="1"/>
        <v>16</v>
      </c>
      <c r="B17" s="76" t="s">
        <v>1768</v>
      </c>
      <c r="C17" s="76" t="s">
        <v>1767</v>
      </c>
      <c r="D17" s="76" t="s">
        <v>2276</v>
      </c>
      <c r="E17" s="77">
        <v>375174949</v>
      </c>
      <c r="F17" s="77">
        <v>2000000</v>
      </c>
      <c r="G17" s="77" t="s">
        <v>2817</v>
      </c>
      <c r="H17" s="77" t="s">
        <v>2818</v>
      </c>
      <c r="I17" s="76" t="s">
        <v>2102</v>
      </c>
      <c r="J17" s="76" t="s">
        <v>4</v>
      </c>
      <c r="K17" s="76" t="str">
        <f>VLOOKUP($B17,'WILL TOKO SEP'!A18:AK757,37,0)</f>
        <v>DENPASAR BARAT</v>
      </c>
      <c r="L17" s="76" t="s">
        <v>2104</v>
      </c>
      <c r="M17" s="37" t="s">
        <v>3</v>
      </c>
      <c r="N17" s="79">
        <v>46167</v>
      </c>
      <c r="O17" s="79">
        <v>46192</v>
      </c>
      <c r="P17" s="79">
        <v>46212</v>
      </c>
      <c r="Q17" s="79">
        <v>46239</v>
      </c>
      <c r="R17" s="79">
        <f>IFERROR(VLOOKUP($B17,JADWAL!$G$6:$J$690,4,0),"")</f>
        <v>46267</v>
      </c>
      <c r="S17" s="77">
        <f t="shared" si="0"/>
        <v>0</v>
      </c>
      <c r="T17" s="77"/>
      <c r="U17" s="37" t="s">
        <v>2242</v>
      </c>
      <c r="V17" s="37" t="s">
        <v>2078</v>
      </c>
      <c r="W17" s="37"/>
      <c r="X17" s="37" t="e">
        <v>#N/A</v>
      </c>
    </row>
    <row r="18" spans="1:24" x14ac:dyDescent="0.3">
      <c r="A18" s="37">
        <f t="shared" si="1"/>
        <v>17</v>
      </c>
      <c r="B18" s="76" t="s">
        <v>1491</v>
      </c>
      <c r="C18" s="76" t="s">
        <v>1490</v>
      </c>
      <c r="D18" s="76" t="s">
        <v>2278</v>
      </c>
      <c r="E18" s="77">
        <v>381696271</v>
      </c>
      <c r="F18" s="77">
        <v>2500000</v>
      </c>
      <c r="G18" s="77" t="s">
        <v>2830</v>
      </c>
      <c r="H18" s="77" t="s">
        <v>2838</v>
      </c>
      <c r="I18" s="76" t="s">
        <v>2102</v>
      </c>
      <c r="J18" s="76" t="s">
        <v>4</v>
      </c>
      <c r="K18" s="76" t="str">
        <f>VLOOKUP($B18,'WILL TOKO SEP'!A19:AK758,37,0)</f>
        <v>DENPASAR UTARA</v>
      </c>
      <c r="L18" s="76" t="s">
        <v>2104</v>
      </c>
      <c r="M18" s="37" t="s">
        <v>3</v>
      </c>
      <c r="N18" s="79">
        <v>46170</v>
      </c>
      <c r="O18" s="78">
        <v>0</v>
      </c>
      <c r="P18" s="79">
        <v>46231</v>
      </c>
      <c r="Q18" s="79">
        <v>46247</v>
      </c>
      <c r="R18" s="79" t="str">
        <f>IFERROR(VLOOKUP($B18,JADWAL!$G$6:$J$690,4,0),"")</f>
        <v/>
      </c>
      <c r="S18" s="77">
        <f t="shared" si="0"/>
        <v>1</v>
      </c>
      <c r="T18" s="77"/>
      <c r="U18" s="37" t="s">
        <v>2242</v>
      </c>
      <c r="V18" s="37" t="s">
        <v>2250</v>
      </c>
      <c r="W18" s="37"/>
      <c r="X18" s="37" t="e">
        <v>#N/A</v>
      </c>
    </row>
    <row r="19" spans="1:24" x14ac:dyDescent="0.3">
      <c r="A19" s="37">
        <f t="shared" si="1"/>
        <v>18</v>
      </c>
      <c r="B19" s="76" t="s">
        <v>583</v>
      </c>
      <c r="C19" s="76" t="s">
        <v>582</v>
      </c>
      <c r="D19" s="76" t="s">
        <v>2279</v>
      </c>
      <c r="E19" s="77">
        <v>641945341</v>
      </c>
      <c r="F19" s="77">
        <v>3500000</v>
      </c>
      <c r="G19" s="77" t="s">
        <v>2834</v>
      </c>
      <c r="H19" s="77" t="s">
        <v>2839</v>
      </c>
      <c r="I19" s="76" t="s">
        <v>2102</v>
      </c>
      <c r="J19" s="76" t="s">
        <v>32</v>
      </c>
      <c r="K19" s="76" t="str">
        <f>VLOOKUP($B19,'WILL TOKO SEP'!A20:AK759,37,0)</f>
        <v>KINTAMANI</v>
      </c>
      <c r="L19" s="76" t="s">
        <v>2104</v>
      </c>
      <c r="M19" s="37" t="s">
        <v>3</v>
      </c>
      <c r="N19" s="79">
        <v>46162</v>
      </c>
      <c r="O19" s="79">
        <v>46196</v>
      </c>
      <c r="P19" s="78">
        <v>0</v>
      </c>
      <c r="Q19" s="241">
        <v>0</v>
      </c>
      <c r="R19" s="79">
        <f>IFERROR(VLOOKUP($B19,JADWAL!$G$6:$J$690,4,0),"")</f>
        <v>46268</v>
      </c>
      <c r="S19" s="77">
        <f t="shared" si="0"/>
        <v>1</v>
      </c>
      <c r="T19" s="77"/>
      <c r="U19" s="37" t="s">
        <v>2242</v>
      </c>
      <c r="V19" s="37" t="s">
        <v>2250</v>
      </c>
      <c r="W19" s="37"/>
      <c r="X19" s="37" t="s">
        <v>27</v>
      </c>
    </row>
    <row r="20" spans="1:24" x14ac:dyDescent="0.3">
      <c r="A20" s="37">
        <f t="shared" si="1"/>
        <v>19</v>
      </c>
      <c r="B20" s="76" t="s">
        <v>1294</v>
      </c>
      <c r="C20" s="76" t="s">
        <v>1293</v>
      </c>
      <c r="D20" s="76" t="s">
        <v>2280</v>
      </c>
      <c r="E20" s="77">
        <v>366862051</v>
      </c>
      <c r="F20" s="77">
        <v>2000000</v>
      </c>
      <c r="G20" s="77" t="s">
        <v>2840</v>
      </c>
      <c r="H20" s="77" t="s">
        <v>2841</v>
      </c>
      <c r="I20" s="76" t="s">
        <v>2102</v>
      </c>
      <c r="J20" s="76" t="s">
        <v>4</v>
      </c>
      <c r="K20" s="76" t="str">
        <f>VLOOKUP($B20,'WILL TOKO SEP'!A21:AK760,37,0)</f>
        <v>DENPASAR TIMUR</v>
      </c>
      <c r="L20" s="76" t="s">
        <v>2103</v>
      </c>
      <c r="M20" s="37" t="s">
        <v>3</v>
      </c>
      <c r="N20" s="78">
        <v>0</v>
      </c>
      <c r="O20" s="78">
        <v>0</v>
      </c>
      <c r="P20" s="79">
        <v>46211</v>
      </c>
      <c r="Q20" s="241">
        <v>0</v>
      </c>
      <c r="R20" s="79">
        <f>IFERROR(VLOOKUP($B20,JADWAL!$G$6:$J$690,4,0),"")</f>
        <v>46270</v>
      </c>
      <c r="S20" s="77">
        <f t="shared" si="0"/>
        <v>2</v>
      </c>
      <c r="T20" s="77"/>
      <c r="U20" s="37" t="s">
        <v>2242</v>
      </c>
      <c r="V20" s="37" t="s">
        <v>2250</v>
      </c>
      <c r="W20" s="37"/>
      <c r="X20" s="37" t="s">
        <v>77</v>
      </c>
    </row>
    <row r="21" spans="1:24" x14ac:dyDescent="0.3">
      <c r="A21" s="37">
        <f t="shared" si="1"/>
        <v>20</v>
      </c>
      <c r="B21" s="76" t="s">
        <v>899</v>
      </c>
      <c r="C21" s="76" t="s">
        <v>898</v>
      </c>
      <c r="D21" s="76" t="s">
        <v>5293</v>
      </c>
      <c r="E21" s="77">
        <v>503960218</v>
      </c>
      <c r="F21" s="77">
        <v>2500000</v>
      </c>
      <c r="G21" s="77" t="s">
        <v>2834</v>
      </c>
      <c r="H21" s="77" t="s">
        <v>2842</v>
      </c>
      <c r="I21" s="76" t="s">
        <v>2102</v>
      </c>
      <c r="J21" s="76" t="s">
        <v>58</v>
      </c>
      <c r="K21" s="76" t="str">
        <f>VLOOKUP($B21,'WILL TOKO SEP'!A22:AK761,37,0)</f>
        <v>BANJARANGKAN</v>
      </c>
      <c r="L21" s="76" t="s">
        <v>2104</v>
      </c>
      <c r="M21" s="37" t="s">
        <v>3</v>
      </c>
      <c r="N21" s="79">
        <v>46150</v>
      </c>
      <c r="O21" s="78">
        <v>0</v>
      </c>
      <c r="P21" s="79">
        <v>46227</v>
      </c>
      <c r="Q21" s="241">
        <v>0</v>
      </c>
      <c r="R21" s="79" t="str">
        <f>IFERROR(VLOOKUP($B21,JADWAL!$G$6:$J$690,4,0),"")</f>
        <v/>
      </c>
      <c r="S21" s="77">
        <f t="shared" si="0"/>
        <v>1</v>
      </c>
      <c r="T21" s="77"/>
      <c r="U21" s="37" t="s">
        <v>2242</v>
      </c>
      <c r="V21" s="37" t="s">
        <v>2250</v>
      </c>
      <c r="W21" s="37"/>
      <c r="X21" s="37" t="s">
        <v>27</v>
      </c>
    </row>
    <row r="22" spans="1:24" x14ac:dyDescent="0.3">
      <c r="A22" s="37">
        <f t="shared" si="1"/>
        <v>21</v>
      </c>
      <c r="B22" s="76" t="s">
        <v>867</v>
      </c>
      <c r="C22" s="76" t="s">
        <v>866</v>
      </c>
      <c r="D22" s="76" t="s">
        <v>2281</v>
      </c>
      <c r="E22" s="77">
        <v>504199320</v>
      </c>
      <c r="F22" s="77">
        <v>2500000</v>
      </c>
      <c r="G22" s="77" t="s">
        <v>2840</v>
      </c>
      <c r="H22" s="77" t="s">
        <v>2843</v>
      </c>
      <c r="I22" s="76" t="s">
        <v>2102</v>
      </c>
      <c r="J22" s="76" t="s">
        <v>90</v>
      </c>
      <c r="K22" s="76" t="e">
        <f>VLOOKUP($B22,'WILL TOKO SEP'!A23:AK762,37,0)</f>
        <v>#N/A</v>
      </c>
      <c r="L22" s="76" t="s">
        <v>2104</v>
      </c>
      <c r="M22" s="37" t="s">
        <v>3</v>
      </c>
      <c r="N22" s="79">
        <v>46163</v>
      </c>
      <c r="O22" s="79">
        <v>46197</v>
      </c>
      <c r="P22" s="79">
        <v>46228</v>
      </c>
      <c r="Q22" s="241">
        <v>0</v>
      </c>
      <c r="R22" s="79" t="str">
        <f>IFERROR(VLOOKUP($B22,JADWAL!$G$6:$J$690,4,0),"")</f>
        <v/>
      </c>
      <c r="S22" s="77">
        <f t="shared" si="0"/>
        <v>0</v>
      </c>
      <c r="T22" s="77"/>
      <c r="U22" s="37" t="s">
        <v>2242</v>
      </c>
      <c r="V22" s="37" t="s">
        <v>2250</v>
      </c>
      <c r="W22" s="37"/>
      <c r="X22" s="37" t="s">
        <v>13</v>
      </c>
    </row>
    <row r="23" spans="1:24" x14ac:dyDescent="0.3">
      <c r="A23" s="37">
        <f t="shared" si="1"/>
        <v>22</v>
      </c>
      <c r="B23" s="76" t="s">
        <v>1032</v>
      </c>
      <c r="C23" s="76" t="s">
        <v>1031</v>
      </c>
      <c r="D23" s="76" t="s">
        <v>2285</v>
      </c>
      <c r="E23" s="77">
        <v>523170045</v>
      </c>
      <c r="F23" s="77">
        <v>3500000</v>
      </c>
      <c r="G23" s="77" t="s">
        <v>2821</v>
      </c>
      <c r="H23" s="77" t="s">
        <v>2846</v>
      </c>
      <c r="I23" s="76" t="s">
        <v>2102</v>
      </c>
      <c r="J23" s="76" t="s">
        <v>36</v>
      </c>
      <c r="K23" s="76" t="str">
        <f>VLOOKUP($B23,'WILL TOKO SEP'!A24:AK763,37,0)</f>
        <v>TABANAN</v>
      </c>
      <c r="L23" s="76" t="s">
        <v>2104</v>
      </c>
      <c r="M23" s="37" t="s">
        <v>3</v>
      </c>
      <c r="N23" s="79">
        <v>46147</v>
      </c>
      <c r="O23" s="78">
        <v>0</v>
      </c>
      <c r="P23" s="79">
        <v>46223</v>
      </c>
      <c r="Q23" s="241">
        <v>0</v>
      </c>
      <c r="R23" s="79" t="str">
        <f>IFERROR(VLOOKUP($B23,JADWAL!$G$6:$J$690,4,0),"")</f>
        <v/>
      </c>
      <c r="S23" s="77">
        <f t="shared" si="0"/>
        <v>1</v>
      </c>
      <c r="T23" s="77"/>
      <c r="U23" s="37" t="s">
        <v>2242</v>
      </c>
      <c r="V23" s="37" t="s">
        <v>2250</v>
      </c>
      <c r="W23" s="37"/>
      <c r="X23" s="37" t="s">
        <v>13</v>
      </c>
    </row>
    <row r="24" spans="1:24" x14ac:dyDescent="0.3">
      <c r="A24" s="37">
        <f t="shared" si="1"/>
        <v>23</v>
      </c>
      <c r="B24" s="76" t="s">
        <v>957</v>
      </c>
      <c r="C24" s="76" t="s">
        <v>956</v>
      </c>
      <c r="D24" s="76" t="s">
        <v>2286</v>
      </c>
      <c r="E24" s="77">
        <v>579041855</v>
      </c>
      <c r="F24" s="77">
        <v>4500000</v>
      </c>
      <c r="G24" s="77" t="s">
        <v>2840</v>
      </c>
      <c r="H24" s="77" t="s">
        <v>2843</v>
      </c>
      <c r="I24" s="76" t="s">
        <v>2102</v>
      </c>
      <c r="J24" s="76" t="s">
        <v>90</v>
      </c>
      <c r="K24" s="76" t="e">
        <f>VLOOKUP($B24,'WILL TOKO SEP'!A25:AK764,37,0)</f>
        <v>#N/A</v>
      </c>
      <c r="L24" s="76" t="s">
        <v>2104</v>
      </c>
      <c r="M24" s="37" t="s">
        <v>3</v>
      </c>
      <c r="N24" s="79">
        <v>46165</v>
      </c>
      <c r="O24" s="78">
        <v>0</v>
      </c>
      <c r="P24" s="79">
        <v>46225</v>
      </c>
      <c r="Q24" s="79">
        <v>46260</v>
      </c>
      <c r="R24" s="79" t="str">
        <f>IFERROR(VLOOKUP($B24,JADWAL!$G$6:$J$690,4,0),"")</f>
        <v/>
      </c>
      <c r="S24" s="77">
        <f t="shared" si="0"/>
        <v>1</v>
      </c>
      <c r="T24" s="77"/>
      <c r="U24" s="37" t="s">
        <v>2242</v>
      </c>
      <c r="V24" s="37" t="s">
        <v>2250</v>
      </c>
      <c r="W24" s="37"/>
      <c r="X24" s="37" t="s">
        <v>13</v>
      </c>
    </row>
    <row r="25" spans="1:24" x14ac:dyDescent="0.3">
      <c r="A25" s="37">
        <f t="shared" si="1"/>
        <v>24</v>
      </c>
      <c r="B25" s="76" t="s">
        <v>1841</v>
      </c>
      <c r="C25" s="76" t="s">
        <v>1840</v>
      </c>
      <c r="D25" s="76" t="s">
        <v>2287</v>
      </c>
      <c r="E25" s="77">
        <v>397294873</v>
      </c>
      <c r="F25" s="77">
        <v>2000000</v>
      </c>
      <c r="G25" s="77" t="s">
        <v>2830</v>
      </c>
      <c r="H25" s="77" t="s">
        <v>2847</v>
      </c>
      <c r="I25" s="76" t="s">
        <v>2102</v>
      </c>
      <c r="J25" s="76" t="s">
        <v>4</v>
      </c>
      <c r="K25" s="76" t="str">
        <f>VLOOKUP($B25,'WILL TOKO SEP'!A26:AK765,37,0)</f>
        <v>DENPASAR SELATAN</v>
      </c>
      <c r="L25" s="76" t="s">
        <v>2103</v>
      </c>
      <c r="M25" s="37" t="s">
        <v>3</v>
      </c>
      <c r="N25" s="78">
        <v>0</v>
      </c>
      <c r="O25" s="79">
        <v>46193</v>
      </c>
      <c r="P25" s="78">
        <v>0</v>
      </c>
      <c r="Q25" s="79">
        <v>46237</v>
      </c>
      <c r="R25" s="79" t="str">
        <f>IFERROR(VLOOKUP($B25,JADWAL!$G$6:$J$690,4,0),"")</f>
        <v/>
      </c>
      <c r="S25" s="77">
        <f t="shared" si="0"/>
        <v>2</v>
      </c>
      <c r="T25" s="77"/>
      <c r="U25" s="37" t="s">
        <v>2242</v>
      </c>
      <c r="V25" s="37" t="s">
        <v>2250</v>
      </c>
      <c r="W25" s="37"/>
      <c r="X25" s="37" t="e">
        <v>#N/A</v>
      </c>
    </row>
    <row r="26" spans="1:24" x14ac:dyDescent="0.3">
      <c r="A26" s="37">
        <f t="shared" si="1"/>
        <v>25</v>
      </c>
      <c r="B26" s="76" t="s">
        <v>1579</v>
      </c>
      <c r="C26" s="76" t="s">
        <v>1578</v>
      </c>
      <c r="D26" s="76" t="s">
        <v>2288</v>
      </c>
      <c r="E26" s="77">
        <v>457856762</v>
      </c>
      <c r="F26" s="77">
        <v>2000000</v>
      </c>
      <c r="G26" s="77" t="s">
        <v>2830</v>
      </c>
      <c r="H26" s="77" t="s">
        <v>2838</v>
      </c>
      <c r="I26" s="76" t="s">
        <v>2102</v>
      </c>
      <c r="J26" s="76" t="s">
        <v>4</v>
      </c>
      <c r="K26" s="76" t="str">
        <f>VLOOKUP($B26,'WILL TOKO SEP'!A27:AK766,37,0)</f>
        <v>DENPASAR UTARA</v>
      </c>
      <c r="L26" s="76" t="s">
        <v>2104</v>
      </c>
      <c r="M26" s="37" t="s">
        <v>3</v>
      </c>
      <c r="N26" s="79">
        <v>46153</v>
      </c>
      <c r="O26" s="79">
        <v>46188</v>
      </c>
      <c r="P26" s="79">
        <v>46223</v>
      </c>
      <c r="Q26" s="79">
        <v>46245</v>
      </c>
      <c r="R26" s="79" t="str">
        <f>IFERROR(VLOOKUP($B26,JADWAL!$G$6:$J$690,4,0),"")</f>
        <v/>
      </c>
      <c r="S26" s="77">
        <f t="shared" si="0"/>
        <v>0</v>
      </c>
      <c r="T26" s="77"/>
      <c r="U26" s="37" t="s">
        <v>2242</v>
      </c>
      <c r="V26" s="37" t="s">
        <v>2078</v>
      </c>
      <c r="W26" s="37"/>
      <c r="X26" s="37" t="e">
        <v>#N/A</v>
      </c>
    </row>
    <row r="27" spans="1:24" x14ac:dyDescent="0.3">
      <c r="A27" s="37">
        <f t="shared" si="1"/>
        <v>26</v>
      </c>
      <c r="B27" s="76" t="s">
        <v>744</v>
      </c>
      <c r="C27" s="76" t="s">
        <v>743</v>
      </c>
      <c r="D27" s="76" t="s">
        <v>5151</v>
      </c>
      <c r="E27" s="77">
        <v>463142088</v>
      </c>
      <c r="F27" s="77">
        <v>3000000</v>
      </c>
      <c r="G27" s="77" t="s">
        <v>2827</v>
      </c>
      <c r="H27" s="77" t="s">
        <v>2848</v>
      </c>
      <c r="I27" s="76" t="s">
        <v>2102</v>
      </c>
      <c r="J27" s="76" t="s">
        <v>48</v>
      </c>
      <c r="K27" s="76" t="str">
        <f>VLOOKUP($B27,'WILL TOKO SEP'!A28:AK767,37,0)</f>
        <v>BULELENG</v>
      </c>
      <c r="L27" s="76" t="s">
        <v>2104</v>
      </c>
      <c r="M27" s="37" t="s">
        <v>3</v>
      </c>
      <c r="N27" s="79">
        <v>46148</v>
      </c>
      <c r="O27" s="78">
        <v>0</v>
      </c>
      <c r="P27" s="79">
        <v>46233</v>
      </c>
      <c r="Q27" s="241">
        <v>0</v>
      </c>
      <c r="R27" s="79" t="str">
        <f>IFERROR(VLOOKUP($B27,JADWAL!$G$6:$J$690,4,0),"")</f>
        <v/>
      </c>
      <c r="S27" s="77">
        <f t="shared" si="0"/>
        <v>1</v>
      </c>
      <c r="T27" s="77"/>
      <c r="U27" s="37" t="s">
        <v>2242</v>
      </c>
      <c r="V27" s="37" t="s">
        <v>2250</v>
      </c>
      <c r="W27" s="37"/>
      <c r="X27" s="37" t="s">
        <v>44</v>
      </c>
    </row>
    <row r="28" spans="1:24" x14ac:dyDescent="0.3">
      <c r="A28" s="37">
        <f t="shared" si="1"/>
        <v>27</v>
      </c>
      <c r="B28" s="76" t="s">
        <v>1507</v>
      </c>
      <c r="C28" s="76" t="s">
        <v>1506</v>
      </c>
      <c r="D28" s="76" t="s">
        <v>5188</v>
      </c>
      <c r="E28" s="77">
        <v>434381683</v>
      </c>
      <c r="F28" s="77">
        <v>2000000</v>
      </c>
      <c r="G28" s="77" t="s">
        <v>2819</v>
      </c>
      <c r="H28" s="77" t="s">
        <v>2823</v>
      </c>
      <c r="I28" s="76" t="s">
        <v>2102</v>
      </c>
      <c r="J28" s="76" t="s">
        <v>4</v>
      </c>
      <c r="K28" s="76" t="str">
        <f>VLOOKUP($B28,'WILL TOKO SEP'!A29:AK768,37,0)</f>
        <v>DENPASAR BARAT</v>
      </c>
      <c r="L28" s="76" t="s">
        <v>2104</v>
      </c>
      <c r="M28" s="37" t="s">
        <v>3</v>
      </c>
      <c r="N28" s="79">
        <v>46161</v>
      </c>
      <c r="O28" s="79">
        <v>46185</v>
      </c>
      <c r="P28" s="79">
        <v>46213</v>
      </c>
      <c r="Q28" s="79">
        <v>46247</v>
      </c>
      <c r="R28" s="79" t="str">
        <f>IFERROR(VLOOKUP($B28,JADWAL!$G$6:$J$690,4,0),"")</f>
        <v/>
      </c>
      <c r="S28" s="77">
        <f t="shared" si="0"/>
        <v>0</v>
      </c>
      <c r="T28" s="77"/>
      <c r="U28" s="37" t="s">
        <v>2242</v>
      </c>
      <c r="V28" s="37" t="s">
        <v>2078</v>
      </c>
      <c r="W28" s="37"/>
      <c r="X28" s="37" t="e">
        <v>#N/A</v>
      </c>
    </row>
    <row r="29" spans="1:24" x14ac:dyDescent="0.3">
      <c r="A29" s="37">
        <f t="shared" si="1"/>
        <v>28</v>
      </c>
      <c r="B29" s="76" t="s">
        <v>1156</v>
      </c>
      <c r="C29" s="76" t="s">
        <v>1155</v>
      </c>
      <c r="D29" s="76" t="s">
        <v>5608</v>
      </c>
      <c r="E29" s="77">
        <v>545249203</v>
      </c>
      <c r="F29" s="77">
        <v>2000000</v>
      </c>
      <c r="G29" s="77" t="s">
        <v>2825</v>
      </c>
      <c r="H29" s="77" t="s">
        <v>2836</v>
      </c>
      <c r="I29" s="76" t="s">
        <v>2102</v>
      </c>
      <c r="J29" s="76" t="s">
        <v>36</v>
      </c>
      <c r="K29" s="76" t="str">
        <f>VLOOKUP($B29,'WILL TOKO SEP'!A30:AK769,37,0)</f>
        <v>Baturiti</v>
      </c>
      <c r="L29" s="76" t="s">
        <v>2104</v>
      </c>
      <c r="M29" s="37" t="s">
        <v>3</v>
      </c>
      <c r="N29" s="78">
        <v>0</v>
      </c>
      <c r="O29" s="79">
        <v>46196</v>
      </c>
      <c r="P29" s="79">
        <v>46217</v>
      </c>
      <c r="Q29" s="241">
        <v>0</v>
      </c>
      <c r="R29" s="79" t="str">
        <f>IFERROR(VLOOKUP($B29,JADWAL!$G$6:$J$690,4,0),"")</f>
        <v/>
      </c>
      <c r="S29" s="77">
        <f t="shared" si="0"/>
        <v>1</v>
      </c>
      <c r="T29" s="77"/>
      <c r="U29" s="37" t="s">
        <v>2242</v>
      </c>
      <c r="V29" s="37" t="s">
        <v>2250</v>
      </c>
      <c r="W29" s="37"/>
      <c r="X29" s="37" t="s">
        <v>13</v>
      </c>
    </row>
    <row r="30" spans="1:24" x14ac:dyDescent="0.3">
      <c r="A30" s="37">
        <f t="shared" si="1"/>
        <v>29</v>
      </c>
      <c r="B30" s="76" t="s">
        <v>615</v>
      </c>
      <c r="C30" s="76" t="s">
        <v>614</v>
      </c>
      <c r="D30" s="76" t="s">
        <v>2289</v>
      </c>
      <c r="E30" s="77">
        <v>453902361</v>
      </c>
      <c r="F30" s="77">
        <v>2500000</v>
      </c>
      <c r="G30" s="77" t="s">
        <v>2821</v>
      </c>
      <c r="H30" s="77" t="s">
        <v>2845</v>
      </c>
      <c r="I30" s="76" t="s">
        <v>2102</v>
      </c>
      <c r="J30" s="76" t="s">
        <v>90</v>
      </c>
      <c r="K30" s="76" t="e">
        <f>VLOOKUP($B30,'WILL TOKO SEP'!A31:AK770,37,0)</f>
        <v>#N/A</v>
      </c>
      <c r="L30" s="76" t="s">
        <v>2104</v>
      </c>
      <c r="M30" s="37" t="s">
        <v>3</v>
      </c>
      <c r="N30" s="79">
        <v>46151</v>
      </c>
      <c r="O30" s="79">
        <v>46193</v>
      </c>
      <c r="P30" s="78">
        <v>0</v>
      </c>
      <c r="Q30" s="241">
        <v>0</v>
      </c>
      <c r="R30" s="79" t="str">
        <f>IFERROR(VLOOKUP($B30,JADWAL!$G$6:$J$690,4,0),"")</f>
        <v/>
      </c>
      <c r="S30" s="77">
        <f t="shared" si="0"/>
        <v>1</v>
      </c>
      <c r="T30" s="77"/>
      <c r="U30" s="37" t="s">
        <v>2242</v>
      </c>
      <c r="V30" s="37" t="s">
        <v>2250</v>
      </c>
      <c r="W30" s="37"/>
      <c r="X30" s="37" t="s">
        <v>13</v>
      </c>
    </row>
    <row r="31" spans="1:24" x14ac:dyDescent="0.3">
      <c r="A31" s="37">
        <f t="shared" si="1"/>
        <v>30</v>
      </c>
      <c r="B31" s="76" t="s">
        <v>1129</v>
      </c>
      <c r="C31" s="76" t="s">
        <v>1128</v>
      </c>
      <c r="D31" s="76" t="s">
        <v>5559</v>
      </c>
      <c r="E31" s="77">
        <v>439366645</v>
      </c>
      <c r="F31" s="77">
        <v>2000000</v>
      </c>
      <c r="G31" s="77" t="s">
        <v>2819</v>
      </c>
      <c r="H31" s="77" t="s">
        <v>2823</v>
      </c>
      <c r="I31" s="76" t="s">
        <v>2102</v>
      </c>
      <c r="J31" s="76" t="s">
        <v>9</v>
      </c>
      <c r="K31" s="76" t="str">
        <f>VLOOKUP($B31,'WILL TOKO SEP'!A32:AK771,37,0)</f>
        <v>Kuta Utara</v>
      </c>
      <c r="L31" s="76" t="s">
        <v>2104</v>
      </c>
      <c r="M31" s="37" t="s">
        <v>3</v>
      </c>
      <c r="N31" s="78">
        <v>0</v>
      </c>
      <c r="O31" s="78">
        <v>0</v>
      </c>
      <c r="P31" s="79">
        <v>46218</v>
      </c>
      <c r="Q31" s="241">
        <v>0</v>
      </c>
      <c r="R31" s="79" t="str">
        <f>IFERROR(VLOOKUP($B31,JADWAL!$G$6:$J$690,4,0),"")</f>
        <v/>
      </c>
      <c r="S31" s="77">
        <f t="shared" si="0"/>
        <v>2</v>
      </c>
      <c r="T31" s="77"/>
      <c r="U31" s="37" t="s">
        <v>2242</v>
      </c>
      <c r="V31" s="37" t="s">
        <v>2250</v>
      </c>
      <c r="W31" s="37"/>
      <c r="X31" s="37" t="s">
        <v>20</v>
      </c>
    </row>
    <row r="32" spans="1:24" x14ac:dyDescent="0.3">
      <c r="A32" s="37">
        <f t="shared" si="1"/>
        <v>31</v>
      </c>
      <c r="B32" s="76" t="s">
        <v>1726</v>
      </c>
      <c r="C32" s="76" t="s">
        <v>1725</v>
      </c>
      <c r="D32" s="76" t="s">
        <v>5134</v>
      </c>
      <c r="E32" s="77">
        <v>424461364</v>
      </c>
      <c r="F32" s="77">
        <v>3000000</v>
      </c>
      <c r="G32" s="77" t="s">
        <v>2817</v>
      </c>
      <c r="H32" s="77" t="s">
        <v>2851</v>
      </c>
      <c r="I32" s="76" t="s">
        <v>2102</v>
      </c>
      <c r="J32" s="76" t="s">
        <v>4</v>
      </c>
      <c r="K32" s="76" t="str">
        <f>VLOOKUP($B32,'WILL TOKO SEP'!A33:AK772,37,0)</f>
        <v>DENPASAR SELATAN</v>
      </c>
      <c r="L32" s="76" t="s">
        <v>2103</v>
      </c>
      <c r="M32" s="37" t="s">
        <v>3</v>
      </c>
      <c r="N32" s="79">
        <v>46168</v>
      </c>
      <c r="O32" s="79">
        <v>46192</v>
      </c>
      <c r="P32" s="79">
        <v>46226</v>
      </c>
      <c r="Q32" s="79">
        <v>46240</v>
      </c>
      <c r="R32" s="79">
        <f>IFERROR(VLOOKUP($B32,JADWAL!$G$6:$J$690,4,0),"")</f>
        <v>46272</v>
      </c>
      <c r="S32" s="77">
        <f t="shared" si="0"/>
        <v>0</v>
      </c>
      <c r="T32" s="77"/>
      <c r="U32" s="37" t="s">
        <v>2242</v>
      </c>
      <c r="V32" s="37" t="s">
        <v>2078</v>
      </c>
      <c r="W32" s="37"/>
      <c r="X32" s="37" t="e">
        <v>#N/A</v>
      </c>
    </row>
    <row r="33" spans="1:24" x14ac:dyDescent="0.3">
      <c r="A33" s="37">
        <f t="shared" si="1"/>
        <v>32</v>
      </c>
      <c r="B33" s="76" t="s">
        <v>1569</v>
      </c>
      <c r="C33" s="76" t="s">
        <v>1568</v>
      </c>
      <c r="D33" s="76" t="s">
        <v>2291</v>
      </c>
      <c r="E33" s="77">
        <v>453934758</v>
      </c>
      <c r="F33" s="77">
        <v>2000000</v>
      </c>
      <c r="G33" s="77" t="s">
        <v>2834</v>
      </c>
      <c r="H33" s="77" t="s">
        <v>2844</v>
      </c>
      <c r="I33" s="76" t="s">
        <v>2102</v>
      </c>
      <c r="J33" s="76" t="s">
        <v>32</v>
      </c>
      <c r="K33" s="76" t="str">
        <f>VLOOKUP($B33,'WILL TOKO SEP'!A34:AK773,37,0)</f>
        <v>SUSUT</v>
      </c>
      <c r="L33" s="76" t="s">
        <v>2104</v>
      </c>
      <c r="M33" s="37" t="s">
        <v>3</v>
      </c>
      <c r="N33" s="79">
        <v>46146</v>
      </c>
      <c r="O33" s="79">
        <v>46186</v>
      </c>
      <c r="P33" s="78">
        <v>0</v>
      </c>
      <c r="Q33" s="79">
        <v>46245</v>
      </c>
      <c r="R33" s="79" t="str">
        <f>IFERROR(VLOOKUP($B33,JADWAL!$G$6:$J$690,4,0),"")</f>
        <v/>
      </c>
      <c r="S33" s="77">
        <f t="shared" si="0"/>
        <v>1</v>
      </c>
      <c r="T33" s="77"/>
      <c r="U33" s="37" t="s">
        <v>2242</v>
      </c>
      <c r="V33" s="37" t="s">
        <v>2250</v>
      </c>
      <c r="W33" s="37"/>
      <c r="X33" s="37" t="e">
        <v>#N/A</v>
      </c>
    </row>
    <row r="34" spans="1:24" x14ac:dyDescent="0.3">
      <c r="A34" s="37">
        <f t="shared" si="1"/>
        <v>33</v>
      </c>
      <c r="B34" s="76" t="s">
        <v>1659</v>
      </c>
      <c r="C34" s="76" t="s">
        <v>1658</v>
      </c>
      <c r="D34" s="76" t="s">
        <v>5299</v>
      </c>
      <c r="E34" s="77">
        <v>428184261</v>
      </c>
      <c r="F34" s="77">
        <v>2500000</v>
      </c>
      <c r="G34" s="77" t="s">
        <v>2830</v>
      </c>
      <c r="H34" s="77" t="s">
        <v>2847</v>
      </c>
      <c r="I34" s="76" t="s">
        <v>2102</v>
      </c>
      <c r="J34" s="76" t="s">
        <v>4</v>
      </c>
      <c r="K34" s="76" t="str">
        <f>VLOOKUP($B34,'WILL TOKO SEP'!A35:AK774,37,0)</f>
        <v>DENPASAR TIMUR</v>
      </c>
      <c r="L34" s="76" t="s">
        <v>2103</v>
      </c>
      <c r="M34" s="37" t="s">
        <v>3</v>
      </c>
      <c r="N34" s="79">
        <v>46163</v>
      </c>
      <c r="O34" s="79">
        <v>46200</v>
      </c>
      <c r="P34" s="79">
        <v>46218</v>
      </c>
      <c r="Q34" s="79">
        <v>46242</v>
      </c>
      <c r="R34" s="79" t="str">
        <f>IFERROR(VLOOKUP($B34,JADWAL!$G$6:$J$690,4,0),"")</f>
        <v/>
      </c>
      <c r="S34" s="77">
        <f t="shared" si="0"/>
        <v>0</v>
      </c>
      <c r="T34" s="77"/>
      <c r="U34" s="37" t="s">
        <v>2242</v>
      </c>
      <c r="V34" s="37" t="s">
        <v>2078</v>
      </c>
      <c r="W34" s="37"/>
      <c r="X34" s="37" t="e">
        <v>#N/A</v>
      </c>
    </row>
    <row r="35" spans="1:24" x14ac:dyDescent="0.3">
      <c r="A35" s="37">
        <f t="shared" si="1"/>
        <v>34</v>
      </c>
      <c r="B35" s="76" t="s">
        <v>1846</v>
      </c>
      <c r="C35" s="76" t="s">
        <v>5729</v>
      </c>
      <c r="D35" s="76" t="s">
        <v>5638</v>
      </c>
      <c r="E35" s="77">
        <v>484653236</v>
      </c>
      <c r="F35" s="77">
        <v>2000000</v>
      </c>
      <c r="G35" s="77" t="s">
        <v>2821</v>
      </c>
      <c r="H35" s="77" t="s">
        <v>2845</v>
      </c>
      <c r="I35" s="76" t="s">
        <v>2102</v>
      </c>
      <c r="J35" s="76" t="s">
        <v>36</v>
      </c>
      <c r="K35" s="76" t="str">
        <f>VLOOKUP($B35,'WILL TOKO SEP'!A36:AK775,37,0)</f>
        <v>Pupuan</v>
      </c>
      <c r="L35" s="76" t="s">
        <v>2104</v>
      </c>
      <c r="M35" s="37" t="s">
        <v>3</v>
      </c>
      <c r="N35" s="79">
        <v>46170</v>
      </c>
      <c r="O35" s="78">
        <v>0</v>
      </c>
      <c r="P35" s="78">
        <v>0</v>
      </c>
      <c r="Q35" s="79">
        <v>46237</v>
      </c>
      <c r="R35" s="79" t="str">
        <f>IFERROR(VLOOKUP($B35,JADWAL!$G$6:$J$690,4,0),"")</f>
        <v/>
      </c>
      <c r="S35" s="77">
        <f t="shared" si="0"/>
        <v>2</v>
      </c>
      <c r="T35" s="77"/>
      <c r="U35" s="37" t="s">
        <v>2242</v>
      </c>
      <c r="V35" s="37" t="s">
        <v>2250</v>
      </c>
      <c r="W35" s="37"/>
      <c r="X35" s="37" t="e">
        <v>#N/A</v>
      </c>
    </row>
    <row r="36" spans="1:24" x14ac:dyDescent="0.3">
      <c r="A36" s="37">
        <f t="shared" si="1"/>
        <v>35</v>
      </c>
      <c r="B36" s="76" t="s">
        <v>732</v>
      </c>
      <c r="C36" s="76" t="s">
        <v>731</v>
      </c>
      <c r="D36" s="76" t="s">
        <v>2292</v>
      </c>
      <c r="E36" s="77">
        <v>522986175</v>
      </c>
      <c r="F36" s="77">
        <v>3000000</v>
      </c>
      <c r="G36" s="77" t="s">
        <v>2819</v>
      </c>
      <c r="H36" s="77" t="s">
        <v>2823</v>
      </c>
      <c r="I36" s="76" t="s">
        <v>2102</v>
      </c>
      <c r="J36" s="76" t="s">
        <v>4</v>
      </c>
      <c r="K36" s="76" t="str">
        <f>VLOOKUP($B36,'WILL TOKO SEP'!A37:AK776,37,0)</f>
        <v>DENPASAR UTARA</v>
      </c>
      <c r="L36" s="76" t="s">
        <v>2104</v>
      </c>
      <c r="M36" s="37" t="s">
        <v>3</v>
      </c>
      <c r="N36" s="79">
        <v>46171</v>
      </c>
      <c r="O36" s="78">
        <v>0</v>
      </c>
      <c r="P36" s="79">
        <v>46233</v>
      </c>
      <c r="Q36" s="241">
        <v>0</v>
      </c>
      <c r="R36" s="79" t="str">
        <f>IFERROR(VLOOKUP($B36,JADWAL!$G$6:$J$690,4,0),"")</f>
        <v/>
      </c>
      <c r="S36" s="77">
        <f t="shared" si="0"/>
        <v>1</v>
      </c>
      <c r="T36" s="77"/>
      <c r="U36" s="37" t="s">
        <v>2242</v>
      </c>
      <c r="V36" s="37" t="s">
        <v>2250</v>
      </c>
      <c r="W36" s="37"/>
      <c r="X36" s="37">
        <v>0</v>
      </c>
    </row>
    <row r="37" spans="1:24" x14ac:dyDescent="0.3">
      <c r="A37" s="37">
        <f t="shared" si="1"/>
        <v>36</v>
      </c>
      <c r="B37" s="76" t="s">
        <v>548</v>
      </c>
      <c r="C37" s="76" t="s">
        <v>547</v>
      </c>
      <c r="D37" s="76" t="s">
        <v>2293</v>
      </c>
      <c r="E37" s="77">
        <v>401185504</v>
      </c>
      <c r="F37" s="77">
        <v>3000000</v>
      </c>
      <c r="G37" s="77" t="s">
        <v>2817</v>
      </c>
      <c r="H37" s="77" t="s">
        <v>2852</v>
      </c>
      <c r="I37" s="76" t="s">
        <v>2102</v>
      </c>
      <c r="J37" s="76" t="s">
        <v>4</v>
      </c>
      <c r="K37" s="76" t="str">
        <f>VLOOKUP($B37,'WILL TOKO SEP'!A38:AK777,37,0)</f>
        <v>DENPASAR SELATAN</v>
      </c>
      <c r="L37" s="76" t="s">
        <v>2103</v>
      </c>
      <c r="M37" s="37" t="s">
        <v>3</v>
      </c>
      <c r="N37" s="78">
        <v>0</v>
      </c>
      <c r="O37" s="79">
        <v>46179</v>
      </c>
      <c r="P37" s="78">
        <v>0</v>
      </c>
      <c r="Q37" s="241">
        <v>0</v>
      </c>
      <c r="R37" s="79" t="str">
        <f>IFERROR(VLOOKUP($B37,JADWAL!$G$6:$J$690,4,0),"")</f>
        <v/>
      </c>
      <c r="S37" s="77">
        <f t="shared" si="0"/>
        <v>2</v>
      </c>
      <c r="T37" s="77"/>
      <c r="U37" s="37" t="s">
        <v>2242</v>
      </c>
      <c r="V37" s="37" t="s">
        <v>2250</v>
      </c>
      <c r="W37" s="37"/>
      <c r="X37" s="37" t="s">
        <v>2</v>
      </c>
    </row>
    <row r="38" spans="1:24" x14ac:dyDescent="0.3">
      <c r="A38" s="37">
        <f t="shared" si="1"/>
        <v>37</v>
      </c>
      <c r="B38" s="76" t="s">
        <v>1766</v>
      </c>
      <c r="C38" s="76" t="s">
        <v>1765</v>
      </c>
      <c r="D38" s="76" t="s">
        <v>2294</v>
      </c>
      <c r="E38" s="77">
        <v>443708301</v>
      </c>
      <c r="F38" s="77">
        <v>4500000</v>
      </c>
      <c r="G38" s="77" t="s">
        <v>2821</v>
      </c>
      <c r="H38" s="77" t="s">
        <v>2822</v>
      </c>
      <c r="I38" s="76" t="s">
        <v>2102</v>
      </c>
      <c r="J38" s="76" t="s">
        <v>36</v>
      </c>
      <c r="K38" s="76" t="str">
        <f>VLOOKUP($B38,'WILL TOKO SEP'!A39:AK778,37,0)</f>
        <v>TABANAN</v>
      </c>
      <c r="L38" s="76" t="s">
        <v>2104</v>
      </c>
      <c r="M38" s="37" t="s">
        <v>3</v>
      </c>
      <c r="N38" s="79">
        <v>46160</v>
      </c>
      <c r="O38" s="79">
        <v>46191</v>
      </c>
      <c r="P38" s="79">
        <v>46230</v>
      </c>
      <c r="Q38" s="79">
        <v>46239</v>
      </c>
      <c r="R38" s="79" t="str">
        <f>IFERROR(VLOOKUP($B38,JADWAL!$G$6:$J$690,4,0),"")</f>
        <v/>
      </c>
      <c r="S38" s="77">
        <f t="shared" si="0"/>
        <v>0</v>
      </c>
      <c r="T38" s="77"/>
      <c r="U38" s="37" t="s">
        <v>2242</v>
      </c>
      <c r="V38" s="37" t="s">
        <v>2078</v>
      </c>
      <c r="W38" s="37"/>
      <c r="X38" s="37" t="e">
        <v>#N/A</v>
      </c>
    </row>
    <row r="39" spans="1:24" x14ac:dyDescent="0.3">
      <c r="A39" s="37">
        <f t="shared" si="1"/>
        <v>38</v>
      </c>
      <c r="B39" s="76" t="s">
        <v>1253</v>
      </c>
      <c r="C39" s="76" t="s">
        <v>1252</v>
      </c>
      <c r="D39" s="76" t="s">
        <v>5226</v>
      </c>
      <c r="E39" s="77">
        <v>767214282</v>
      </c>
      <c r="F39" s="77">
        <v>3000000</v>
      </c>
      <c r="G39" s="77" t="s">
        <v>2821</v>
      </c>
      <c r="H39" s="77" t="s">
        <v>2846</v>
      </c>
      <c r="I39" s="76" t="s">
        <v>2102</v>
      </c>
      <c r="J39" s="76" t="s">
        <v>36</v>
      </c>
      <c r="K39" s="76" t="str">
        <f>VLOOKUP($B39,'WILL TOKO SEP'!A40:AK779,37,0)</f>
        <v>PENEBEL</v>
      </c>
      <c r="L39" s="76" t="s">
        <v>2104</v>
      </c>
      <c r="M39" s="37" t="s">
        <v>3</v>
      </c>
      <c r="N39" s="78">
        <v>0</v>
      </c>
      <c r="O39" s="79">
        <v>46176</v>
      </c>
      <c r="P39" s="79">
        <v>46213</v>
      </c>
      <c r="Q39" s="241">
        <v>0</v>
      </c>
      <c r="R39" s="79" t="str">
        <f>IFERROR(VLOOKUP($B39,JADWAL!$G$6:$J$690,4,0),"")</f>
        <v/>
      </c>
      <c r="S39" s="77">
        <f t="shared" si="0"/>
        <v>1</v>
      </c>
      <c r="T39" s="77"/>
      <c r="U39" s="37" t="s">
        <v>2242</v>
      </c>
      <c r="V39" s="37" t="s">
        <v>2250</v>
      </c>
      <c r="W39" s="37"/>
      <c r="X39" s="37" t="s">
        <v>13</v>
      </c>
    </row>
    <row r="40" spans="1:24" x14ac:dyDescent="0.3">
      <c r="A40" s="37">
        <f t="shared" si="1"/>
        <v>39</v>
      </c>
      <c r="B40" s="76" t="s">
        <v>1555</v>
      </c>
      <c r="C40" s="76" t="s">
        <v>1554</v>
      </c>
      <c r="D40" s="76" t="s">
        <v>2295</v>
      </c>
      <c r="E40" s="77">
        <v>504012853</v>
      </c>
      <c r="F40" s="77">
        <v>3000000</v>
      </c>
      <c r="G40" s="77" t="s">
        <v>2821</v>
      </c>
      <c r="H40" s="77" t="s">
        <v>2833</v>
      </c>
      <c r="I40" s="76" t="s">
        <v>2102</v>
      </c>
      <c r="J40" s="76" t="s">
        <v>36</v>
      </c>
      <c r="K40" s="76" t="str">
        <f>VLOOKUP($B40,'WILL TOKO SEP'!A41:AK780,37,0)</f>
        <v>MARGA</v>
      </c>
      <c r="L40" s="76" t="s">
        <v>2104</v>
      </c>
      <c r="M40" s="37" t="s">
        <v>3</v>
      </c>
      <c r="N40" s="78">
        <v>0</v>
      </c>
      <c r="O40" s="79">
        <v>46185</v>
      </c>
      <c r="P40" s="78">
        <v>0</v>
      </c>
      <c r="Q40" s="79">
        <v>46245</v>
      </c>
      <c r="R40" s="79" t="str">
        <f>IFERROR(VLOOKUP($B40,JADWAL!$G$6:$J$690,4,0),"")</f>
        <v/>
      </c>
      <c r="S40" s="77">
        <f t="shared" si="0"/>
        <v>2</v>
      </c>
      <c r="T40" s="77"/>
      <c r="U40" s="37" t="s">
        <v>2242</v>
      </c>
      <c r="V40" s="37" t="s">
        <v>2250</v>
      </c>
      <c r="W40" s="37"/>
      <c r="X40" s="37" t="e">
        <v>#N/A</v>
      </c>
    </row>
    <row r="41" spans="1:24" x14ac:dyDescent="0.3">
      <c r="A41" s="37">
        <f t="shared" si="1"/>
        <v>40</v>
      </c>
      <c r="B41" s="76" t="s">
        <v>875</v>
      </c>
      <c r="C41" s="76" t="s">
        <v>874</v>
      </c>
      <c r="D41" s="76" t="s">
        <v>2296</v>
      </c>
      <c r="E41" s="77">
        <v>614489096</v>
      </c>
      <c r="F41" s="77">
        <v>3000000</v>
      </c>
      <c r="G41" s="77" t="s">
        <v>2825</v>
      </c>
      <c r="H41" s="77" t="s">
        <v>2853</v>
      </c>
      <c r="I41" s="76" t="s">
        <v>2102</v>
      </c>
      <c r="J41" s="76" t="s">
        <v>9</v>
      </c>
      <c r="K41" s="76" t="str">
        <f>VLOOKUP($B41,'WILL TOKO SEP'!A42:AK781,37,0)</f>
        <v>PETANG</v>
      </c>
      <c r="L41" s="76" t="s">
        <v>2104</v>
      </c>
      <c r="M41" s="37" t="s">
        <v>3</v>
      </c>
      <c r="N41" s="78">
        <v>0</v>
      </c>
      <c r="O41" s="78">
        <v>0</v>
      </c>
      <c r="P41" s="79">
        <v>46227</v>
      </c>
      <c r="Q41" s="241">
        <v>0</v>
      </c>
      <c r="R41" s="79" t="str">
        <f>IFERROR(VLOOKUP($B41,JADWAL!$G$6:$J$690,4,0),"")</f>
        <v/>
      </c>
      <c r="S41" s="77">
        <f t="shared" si="0"/>
        <v>2</v>
      </c>
      <c r="T41" s="77"/>
      <c r="U41" s="37" t="s">
        <v>2242</v>
      </c>
      <c r="V41" s="37" t="s">
        <v>2250</v>
      </c>
      <c r="W41" s="37"/>
      <c r="X41" s="37" t="s">
        <v>20</v>
      </c>
    </row>
    <row r="42" spans="1:24" x14ac:dyDescent="0.3">
      <c r="A42" s="37">
        <f t="shared" si="1"/>
        <v>41</v>
      </c>
      <c r="B42" s="76" t="s">
        <v>513</v>
      </c>
      <c r="C42" s="76" t="s">
        <v>5798</v>
      </c>
      <c r="D42" s="76" t="s">
        <v>5659</v>
      </c>
      <c r="E42" s="77">
        <v>524852940</v>
      </c>
      <c r="F42" s="77">
        <v>2000000</v>
      </c>
      <c r="G42" s="77" t="s">
        <v>2821</v>
      </c>
      <c r="H42" s="77" t="s">
        <v>2845</v>
      </c>
      <c r="I42" s="76" t="s">
        <v>2102</v>
      </c>
      <c r="J42" s="76" t="s">
        <v>36</v>
      </c>
      <c r="K42" s="76" t="str">
        <f>VLOOKUP($B42,'WILL TOKO SEP'!A43:AK782,37,0)</f>
        <v>SELEMADEG BARAT</v>
      </c>
      <c r="L42" s="76" t="s">
        <v>2104</v>
      </c>
      <c r="M42" s="37" t="s">
        <v>3</v>
      </c>
      <c r="N42" s="78">
        <v>0</v>
      </c>
      <c r="O42" s="79">
        <v>46203</v>
      </c>
      <c r="P42" s="78">
        <v>0</v>
      </c>
      <c r="Q42" s="241">
        <v>0</v>
      </c>
      <c r="R42" s="79" t="str">
        <f>IFERROR(VLOOKUP($B42,JADWAL!$G$6:$J$690,4,0),"")</f>
        <v/>
      </c>
      <c r="S42" s="77">
        <f t="shared" si="0"/>
        <v>2</v>
      </c>
      <c r="T42" s="77"/>
      <c r="U42" s="37" t="s">
        <v>2242</v>
      </c>
      <c r="V42" s="37" t="s">
        <v>2250</v>
      </c>
      <c r="W42" s="37"/>
      <c r="X42" s="37" t="s">
        <v>13</v>
      </c>
    </row>
    <row r="43" spans="1:24" x14ac:dyDescent="0.3">
      <c r="A43" s="37">
        <f t="shared" si="1"/>
        <v>42</v>
      </c>
      <c r="B43" s="76" t="s">
        <v>1189</v>
      </c>
      <c r="C43" s="76" t="s">
        <v>1188</v>
      </c>
      <c r="D43" s="76" t="s">
        <v>2297</v>
      </c>
      <c r="E43" s="77">
        <v>498098933</v>
      </c>
      <c r="F43" s="77">
        <v>2500000</v>
      </c>
      <c r="G43" s="77" t="s">
        <v>2821</v>
      </c>
      <c r="H43" s="77" t="s">
        <v>2854</v>
      </c>
      <c r="I43" s="76" t="s">
        <v>2102</v>
      </c>
      <c r="J43" s="76" t="s">
        <v>9</v>
      </c>
      <c r="K43" s="76" t="str">
        <f>VLOOKUP($B43,'WILL TOKO SEP'!A44:AK783,37,0)</f>
        <v>MENGWI</v>
      </c>
      <c r="L43" s="76" t="s">
        <v>2104</v>
      </c>
      <c r="M43" s="37" t="s">
        <v>3</v>
      </c>
      <c r="N43" s="79">
        <v>46160</v>
      </c>
      <c r="O43" s="78">
        <v>0</v>
      </c>
      <c r="P43" s="79">
        <v>46216</v>
      </c>
      <c r="Q43" s="241">
        <v>0</v>
      </c>
      <c r="R43" s="79" t="str">
        <f>IFERROR(VLOOKUP($B43,JADWAL!$G$6:$J$690,4,0),"")</f>
        <v/>
      </c>
      <c r="S43" s="77">
        <f t="shared" si="0"/>
        <v>1</v>
      </c>
      <c r="T43" s="77"/>
      <c r="U43" s="37" t="s">
        <v>2242</v>
      </c>
      <c r="V43" s="37" t="s">
        <v>2250</v>
      </c>
      <c r="W43" s="37"/>
      <c r="X43" s="37" t="s">
        <v>20</v>
      </c>
    </row>
    <row r="44" spans="1:24" x14ac:dyDescent="0.3">
      <c r="A44" s="37">
        <f t="shared" si="1"/>
        <v>43</v>
      </c>
      <c r="B44" s="76" t="s">
        <v>561</v>
      </c>
      <c r="C44" s="76" t="s">
        <v>5797</v>
      </c>
      <c r="D44" s="76" t="s">
        <v>5653</v>
      </c>
      <c r="E44" s="77">
        <v>453420221</v>
      </c>
      <c r="F44" s="77">
        <v>2000000</v>
      </c>
      <c r="G44" s="77" t="s">
        <v>2815</v>
      </c>
      <c r="H44" s="77" t="s">
        <v>2855</v>
      </c>
      <c r="I44" s="76" t="s">
        <v>2102</v>
      </c>
      <c r="J44" s="76" t="s">
        <v>28</v>
      </c>
      <c r="K44" s="76" t="str">
        <f>VLOOKUP($B44,'WILL TOKO SEP'!A45:AK784,37,0)</f>
        <v>Blahbatuh</v>
      </c>
      <c r="L44" s="76" t="s">
        <v>2103</v>
      </c>
      <c r="M44" s="37" t="s">
        <v>3</v>
      </c>
      <c r="N44" s="79">
        <v>46170</v>
      </c>
      <c r="O44" s="79">
        <v>46200</v>
      </c>
      <c r="P44" s="78">
        <v>0</v>
      </c>
      <c r="Q44" s="79">
        <v>46258</v>
      </c>
      <c r="R44" s="79" t="str">
        <f>IFERROR(VLOOKUP($B44,JADWAL!$G$6:$J$690,4,0),"")</f>
        <v/>
      </c>
      <c r="S44" s="77">
        <f t="shared" si="0"/>
        <v>1</v>
      </c>
      <c r="T44" s="77"/>
      <c r="U44" s="37" t="s">
        <v>2242</v>
      </c>
      <c r="V44" s="37" t="s">
        <v>2250</v>
      </c>
      <c r="W44" s="37"/>
      <c r="X44" s="37" t="s">
        <v>27</v>
      </c>
    </row>
    <row r="45" spans="1:24" x14ac:dyDescent="0.3">
      <c r="A45" s="37">
        <f t="shared" si="1"/>
        <v>44</v>
      </c>
      <c r="B45" s="76" t="s">
        <v>792</v>
      </c>
      <c r="C45" s="76" t="s">
        <v>791</v>
      </c>
      <c r="D45" s="76" t="s">
        <v>5224</v>
      </c>
      <c r="E45" s="77">
        <v>493957221</v>
      </c>
      <c r="F45" s="77">
        <v>2500000</v>
      </c>
      <c r="G45" s="77" t="s">
        <v>2819</v>
      </c>
      <c r="H45" s="77" t="s">
        <v>2856</v>
      </c>
      <c r="I45" s="76" t="s">
        <v>2102</v>
      </c>
      <c r="J45" s="76" t="s">
        <v>9</v>
      </c>
      <c r="K45" s="76" t="str">
        <f>VLOOKUP($B45,'WILL TOKO SEP'!A46:AK785,37,0)</f>
        <v>KUTA UTARA</v>
      </c>
      <c r="L45" s="76" t="s">
        <v>2104</v>
      </c>
      <c r="M45" s="37" t="s">
        <v>3</v>
      </c>
      <c r="N45" s="78">
        <v>0</v>
      </c>
      <c r="O45" s="79">
        <v>46195</v>
      </c>
      <c r="P45" s="79">
        <v>46231</v>
      </c>
      <c r="Q45" s="241">
        <v>0</v>
      </c>
      <c r="R45" s="79" t="str">
        <f>IFERROR(VLOOKUP($B45,JADWAL!$G$6:$J$690,4,0),"")</f>
        <v/>
      </c>
      <c r="S45" s="77">
        <f t="shared" si="0"/>
        <v>1</v>
      </c>
      <c r="T45" s="77"/>
      <c r="U45" s="37" t="s">
        <v>2242</v>
      </c>
      <c r="V45" s="37" t="s">
        <v>2250</v>
      </c>
      <c r="W45" s="37"/>
      <c r="X45" s="37" t="s">
        <v>20</v>
      </c>
    </row>
    <row r="46" spans="1:24" x14ac:dyDescent="0.3">
      <c r="A46" s="37">
        <f t="shared" si="1"/>
        <v>45</v>
      </c>
      <c r="B46" s="76" t="s">
        <v>1216</v>
      </c>
      <c r="C46" s="76" t="s">
        <v>1215</v>
      </c>
      <c r="D46" s="76" t="s">
        <v>5122</v>
      </c>
      <c r="E46" s="77">
        <v>652843769</v>
      </c>
      <c r="F46" s="77">
        <v>3000000</v>
      </c>
      <c r="G46" s="77" t="s">
        <v>2825</v>
      </c>
      <c r="H46" s="77" t="s">
        <v>2853</v>
      </c>
      <c r="I46" s="76" t="s">
        <v>2102</v>
      </c>
      <c r="J46" s="76" t="s">
        <v>9</v>
      </c>
      <c r="K46" s="76" t="str">
        <f>VLOOKUP($B46,'WILL TOKO SEP'!A47:AK786,37,0)</f>
        <v>PETANG</v>
      </c>
      <c r="L46" s="76" t="s">
        <v>2104</v>
      </c>
      <c r="M46" s="37" t="s">
        <v>3</v>
      </c>
      <c r="N46" s="78">
        <v>0</v>
      </c>
      <c r="O46" s="78">
        <v>0</v>
      </c>
      <c r="P46" s="79">
        <v>46214</v>
      </c>
      <c r="Q46" s="241">
        <v>0</v>
      </c>
      <c r="R46" s="79">
        <f>IFERROR(VLOOKUP($B46,JADWAL!$G$6:$J$690,4,0),"")</f>
        <v>46268</v>
      </c>
      <c r="S46" s="77">
        <f t="shared" si="0"/>
        <v>2</v>
      </c>
      <c r="T46" s="77"/>
      <c r="U46" s="37" t="s">
        <v>2242</v>
      </c>
      <c r="V46" s="37" t="s">
        <v>2250</v>
      </c>
      <c r="W46" s="37"/>
      <c r="X46" s="37" t="s">
        <v>20</v>
      </c>
    </row>
    <row r="47" spans="1:24" x14ac:dyDescent="0.3">
      <c r="A47" s="37">
        <f t="shared" si="1"/>
        <v>46</v>
      </c>
      <c r="B47" s="76" t="s">
        <v>850</v>
      </c>
      <c r="C47" s="76" t="s">
        <v>849</v>
      </c>
      <c r="D47" s="76" t="s">
        <v>2298</v>
      </c>
      <c r="E47" s="77">
        <v>405385579</v>
      </c>
      <c r="F47" s="77">
        <v>3000000</v>
      </c>
      <c r="G47" s="77" t="s">
        <v>2815</v>
      </c>
      <c r="H47" s="77" t="s">
        <v>2857</v>
      </c>
      <c r="I47" s="76" t="s">
        <v>2102</v>
      </c>
      <c r="J47" s="76" t="s">
        <v>28</v>
      </c>
      <c r="K47" s="76" t="str">
        <f>VLOOKUP($B47,'WILL TOKO SEP'!A48:AK787,37,0)</f>
        <v>Tegallalang</v>
      </c>
      <c r="L47" s="76" t="s">
        <v>2103</v>
      </c>
      <c r="M47" s="37" t="s">
        <v>3</v>
      </c>
      <c r="N47" s="78">
        <v>0</v>
      </c>
      <c r="O47" s="79">
        <v>46183</v>
      </c>
      <c r="P47" s="79">
        <v>46228</v>
      </c>
      <c r="Q47" s="241">
        <v>0</v>
      </c>
      <c r="R47" s="79" t="str">
        <f>IFERROR(VLOOKUP($B47,JADWAL!$G$6:$J$690,4,0),"")</f>
        <v/>
      </c>
      <c r="S47" s="77">
        <f t="shared" si="0"/>
        <v>1</v>
      </c>
      <c r="T47" s="77"/>
      <c r="U47" s="37" t="s">
        <v>2242</v>
      </c>
      <c r="V47" s="37" t="s">
        <v>2250</v>
      </c>
      <c r="W47" s="37"/>
      <c r="X47" s="37" t="s">
        <v>27</v>
      </c>
    </row>
    <row r="48" spans="1:24" x14ac:dyDescent="0.3">
      <c r="A48" s="37">
        <f t="shared" si="1"/>
        <v>47</v>
      </c>
      <c r="B48" s="76" t="s">
        <v>1334</v>
      </c>
      <c r="C48" s="76" t="s">
        <v>1333</v>
      </c>
      <c r="D48" s="76" t="s">
        <v>5611</v>
      </c>
      <c r="E48" s="77">
        <v>514203396</v>
      </c>
      <c r="F48" s="77">
        <v>2000000</v>
      </c>
      <c r="G48" s="77" t="s">
        <v>2821</v>
      </c>
      <c r="H48" s="77" t="s">
        <v>2854</v>
      </c>
      <c r="I48" s="76" t="s">
        <v>2102</v>
      </c>
      <c r="J48" s="76" t="s">
        <v>9</v>
      </c>
      <c r="K48" s="76" t="str">
        <f>VLOOKUP($B48,'WILL TOKO SEP'!A49:AK788,37,0)</f>
        <v>Mengwi</v>
      </c>
      <c r="L48" s="76" t="s">
        <v>2104</v>
      </c>
      <c r="M48" s="37" t="s">
        <v>3</v>
      </c>
      <c r="N48" s="78">
        <v>0</v>
      </c>
      <c r="O48" s="78">
        <v>0</v>
      </c>
      <c r="P48" s="79">
        <v>46209</v>
      </c>
      <c r="Q48" s="241">
        <v>0</v>
      </c>
      <c r="R48" s="79" t="str">
        <f>IFERROR(VLOOKUP($B48,JADWAL!$G$6:$J$690,4,0),"")</f>
        <v/>
      </c>
      <c r="S48" s="77">
        <f t="shared" si="0"/>
        <v>2</v>
      </c>
      <c r="T48" s="77"/>
      <c r="U48" s="37" t="s">
        <v>2242</v>
      </c>
      <c r="V48" s="37" t="s">
        <v>2250</v>
      </c>
      <c r="W48" s="37"/>
      <c r="X48" s="37" t="s">
        <v>20</v>
      </c>
    </row>
    <row r="49" spans="1:24" x14ac:dyDescent="0.3">
      <c r="A49" s="37">
        <f t="shared" si="1"/>
        <v>48</v>
      </c>
      <c r="B49" s="76" t="s">
        <v>1240</v>
      </c>
      <c r="C49" s="76" t="s">
        <v>1239</v>
      </c>
      <c r="D49" s="76" t="s">
        <v>5312</v>
      </c>
      <c r="E49" s="77">
        <v>371859378</v>
      </c>
      <c r="F49" s="77">
        <v>2000000</v>
      </c>
      <c r="G49" s="77" t="s">
        <v>2815</v>
      </c>
      <c r="H49" s="77" t="s">
        <v>2829</v>
      </c>
      <c r="I49" s="76" t="s">
        <v>2102</v>
      </c>
      <c r="J49" s="76" t="s">
        <v>28</v>
      </c>
      <c r="K49" s="76" t="str">
        <f>VLOOKUP($B49,'WILL TOKO SEP'!A50:AK789,37,0)</f>
        <v xml:space="preserve">BLAHBATUH </v>
      </c>
      <c r="L49" s="76" t="s">
        <v>2103</v>
      </c>
      <c r="M49" s="37" t="s">
        <v>3</v>
      </c>
      <c r="N49" s="78">
        <v>0</v>
      </c>
      <c r="O49" s="79">
        <v>46175</v>
      </c>
      <c r="P49" s="79">
        <v>46213</v>
      </c>
      <c r="Q49" s="241">
        <v>0</v>
      </c>
      <c r="R49" s="79" t="str">
        <f>IFERROR(VLOOKUP($B49,JADWAL!$G$6:$J$690,4,0),"")</f>
        <v/>
      </c>
      <c r="S49" s="77">
        <f t="shared" si="0"/>
        <v>1</v>
      </c>
      <c r="T49" s="77"/>
      <c r="U49" s="37" t="s">
        <v>2242</v>
      </c>
      <c r="V49" s="37" t="s">
        <v>2250</v>
      </c>
      <c r="W49" s="37"/>
      <c r="X49" s="37" t="s">
        <v>27</v>
      </c>
    </row>
    <row r="50" spans="1:24" x14ac:dyDescent="0.3">
      <c r="A50" s="37">
        <f t="shared" si="1"/>
        <v>49</v>
      </c>
      <c r="B50" s="76" t="s">
        <v>1365</v>
      </c>
      <c r="C50" s="76" t="s">
        <v>1364</v>
      </c>
      <c r="D50" s="76" t="s">
        <v>2300</v>
      </c>
      <c r="E50" s="77">
        <v>565964426</v>
      </c>
      <c r="F50" s="77">
        <v>3000000</v>
      </c>
      <c r="G50" s="77" t="s">
        <v>2830</v>
      </c>
      <c r="H50" s="77" t="s">
        <v>2838</v>
      </c>
      <c r="I50" s="76" t="s">
        <v>2102</v>
      </c>
      <c r="J50" s="76" t="s">
        <v>4</v>
      </c>
      <c r="K50" s="76" t="str">
        <f>VLOOKUP($B50,'WILL TOKO SEP'!A51:AK790,37,0)</f>
        <v>DENPASAR UTARA</v>
      </c>
      <c r="L50" s="76" t="s">
        <v>2104</v>
      </c>
      <c r="M50" s="37" t="s">
        <v>3</v>
      </c>
      <c r="N50" s="78">
        <v>0</v>
      </c>
      <c r="O50" s="78">
        <v>0</v>
      </c>
      <c r="P50" s="79">
        <v>46207</v>
      </c>
      <c r="Q50" s="241">
        <v>0</v>
      </c>
      <c r="R50" s="79" t="str">
        <f>IFERROR(VLOOKUP($B50,JADWAL!$G$6:$J$690,4,0),"")</f>
        <v/>
      </c>
      <c r="S50" s="77">
        <f t="shared" si="0"/>
        <v>2</v>
      </c>
      <c r="T50" s="77"/>
      <c r="U50" s="37" t="s">
        <v>2242</v>
      </c>
      <c r="V50" s="37" t="s">
        <v>2250</v>
      </c>
      <c r="W50" s="37"/>
      <c r="X50" s="37">
        <v>0</v>
      </c>
    </row>
    <row r="51" spans="1:24" x14ac:dyDescent="0.3">
      <c r="A51" s="37">
        <f t="shared" si="1"/>
        <v>50</v>
      </c>
      <c r="B51" s="76" t="s">
        <v>1398</v>
      </c>
      <c r="C51" s="76" t="s">
        <v>1397</v>
      </c>
      <c r="D51" s="76" t="s">
        <v>2303</v>
      </c>
      <c r="E51" s="77">
        <v>373193234</v>
      </c>
      <c r="F51" s="77">
        <v>2500000</v>
      </c>
      <c r="G51" s="77" t="s">
        <v>2815</v>
      </c>
      <c r="H51" s="77" t="s">
        <v>2855</v>
      </c>
      <c r="I51" s="76" t="s">
        <v>2102</v>
      </c>
      <c r="J51" s="76" t="s">
        <v>28</v>
      </c>
      <c r="K51" s="76" t="str">
        <f>VLOOKUP($B51,'WILL TOKO SEP'!A52:AK791,37,0)</f>
        <v>SUKAWATI</v>
      </c>
      <c r="L51" s="76" t="s">
        <v>2103</v>
      </c>
      <c r="M51" s="37" t="s">
        <v>3</v>
      </c>
      <c r="N51" s="79">
        <v>46168</v>
      </c>
      <c r="O51" s="78">
        <v>0</v>
      </c>
      <c r="P51" s="79">
        <v>46204</v>
      </c>
      <c r="Q51" s="241">
        <v>0</v>
      </c>
      <c r="R51" s="79">
        <f>IFERROR(VLOOKUP($B51,JADWAL!$G$6:$J$690,4,0),"")</f>
        <v>46266</v>
      </c>
      <c r="S51" s="77">
        <f t="shared" si="0"/>
        <v>1</v>
      </c>
      <c r="T51" s="77"/>
      <c r="U51" s="37" t="s">
        <v>2242</v>
      </c>
      <c r="V51" s="37" t="s">
        <v>2250</v>
      </c>
      <c r="W51" s="37"/>
      <c r="X51" s="37" t="s">
        <v>27</v>
      </c>
    </row>
    <row r="52" spans="1:24" x14ac:dyDescent="0.3">
      <c r="A52" s="37">
        <f t="shared" si="1"/>
        <v>51</v>
      </c>
      <c r="B52" s="76" t="s">
        <v>1136</v>
      </c>
      <c r="C52" s="76" t="s">
        <v>5717</v>
      </c>
      <c r="D52" s="76" t="s">
        <v>2304</v>
      </c>
      <c r="E52" s="77">
        <v>557818609</v>
      </c>
      <c r="F52" s="77">
        <v>3000000</v>
      </c>
      <c r="G52" s="77" t="s">
        <v>2813</v>
      </c>
      <c r="H52" s="77" t="s">
        <v>2858</v>
      </c>
      <c r="I52" s="76" t="s">
        <v>2102</v>
      </c>
      <c r="J52" s="76" t="s">
        <v>9</v>
      </c>
      <c r="K52" s="76" t="str">
        <f>VLOOKUP($B52,'WILL TOKO SEP'!A53:AK792,37,0)</f>
        <v>KUTA UTARA</v>
      </c>
      <c r="L52" s="76" t="s">
        <v>2104</v>
      </c>
      <c r="M52" s="37" t="s">
        <v>3</v>
      </c>
      <c r="N52" s="78">
        <v>0</v>
      </c>
      <c r="O52" s="78">
        <v>0</v>
      </c>
      <c r="P52" s="79">
        <v>46218</v>
      </c>
      <c r="Q52" s="241">
        <v>0</v>
      </c>
      <c r="R52" s="79" t="str">
        <f>IFERROR(VLOOKUP($B52,JADWAL!$G$6:$J$690,4,0),"")</f>
        <v/>
      </c>
      <c r="S52" s="77">
        <f t="shared" si="0"/>
        <v>2</v>
      </c>
      <c r="T52" s="77"/>
      <c r="U52" s="37" t="s">
        <v>2242</v>
      </c>
      <c r="V52" s="37" t="s">
        <v>2250</v>
      </c>
      <c r="W52" s="37"/>
      <c r="X52" s="37" t="s">
        <v>20</v>
      </c>
    </row>
    <row r="53" spans="1:24" x14ac:dyDescent="0.3">
      <c r="A53" s="37">
        <f t="shared" si="1"/>
        <v>52</v>
      </c>
      <c r="B53" s="76" t="s">
        <v>1588</v>
      </c>
      <c r="C53" s="76" t="s">
        <v>1587</v>
      </c>
      <c r="D53" s="76" t="s">
        <v>2305</v>
      </c>
      <c r="E53" s="77">
        <v>384306816</v>
      </c>
      <c r="F53" s="77">
        <v>2500000</v>
      </c>
      <c r="G53" s="77" t="s">
        <v>2817</v>
      </c>
      <c r="H53" s="77" t="s">
        <v>2850</v>
      </c>
      <c r="I53" s="76" t="s">
        <v>2102</v>
      </c>
      <c r="J53" s="76" t="s">
        <v>4</v>
      </c>
      <c r="K53" s="76" t="str">
        <f>VLOOKUP($B53,'WILL TOKO SEP'!A54:AK793,37,0)</f>
        <v>DENPASAR SELATAN</v>
      </c>
      <c r="L53" s="76" t="s">
        <v>2103</v>
      </c>
      <c r="M53" s="37" t="s">
        <v>3</v>
      </c>
      <c r="N53" s="78">
        <v>0</v>
      </c>
      <c r="O53" s="78">
        <v>0</v>
      </c>
      <c r="P53" s="79">
        <v>46204</v>
      </c>
      <c r="Q53" s="79">
        <v>46245</v>
      </c>
      <c r="R53" s="79" t="str">
        <f>IFERROR(VLOOKUP($B53,JADWAL!$G$6:$J$690,4,0),"")</f>
        <v/>
      </c>
      <c r="S53" s="77">
        <f t="shared" si="0"/>
        <v>2</v>
      </c>
      <c r="T53" s="77"/>
      <c r="U53" s="37" t="s">
        <v>2242</v>
      </c>
      <c r="V53" s="37" t="s">
        <v>2078</v>
      </c>
      <c r="W53" s="37"/>
      <c r="X53" s="37" t="e">
        <v>#N/A</v>
      </c>
    </row>
    <row r="54" spans="1:24" x14ac:dyDescent="0.3">
      <c r="A54" s="37">
        <f t="shared" si="1"/>
        <v>53</v>
      </c>
      <c r="B54" s="76" t="s">
        <v>1402</v>
      </c>
      <c r="C54" s="76" t="s">
        <v>5801</v>
      </c>
      <c r="D54" s="76" t="s">
        <v>5647</v>
      </c>
      <c r="E54" s="77">
        <v>373911812</v>
      </c>
      <c r="F54" s="77">
        <v>2000000</v>
      </c>
      <c r="G54" s="77" t="s">
        <v>2815</v>
      </c>
      <c r="H54" s="77" t="s">
        <v>2859</v>
      </c>
      <c r="I54" s="76" t="s">
        <v>2102</v>
      </c>
      <c r="J54" s="76" t="s">
        <v>28</v>
      </c>
      <c r="K54" s="76" t="str">
        <f>VLOOKUP($B54,'WILL TOKO SEP'!A55:AK794,37,0)</f>
        <v>Sukawati</v>
      </c>
      <c r="L54" s="76" t="s">
        <v>2103</v>
      </c>
      <c r="M54" s="37" t="s">
        <v>3</v>
      </c>
      <c r="N54" s="78">
        <v>0</v>
      </c>
      <c r="O54" s="79">
        <v>46176</v>
      </c>
      <c r="P54" s="78">
        <v>0</v>
      </c>
      <c r="Q54" s="79">
        <v>46249</v>
      </c>
      <c r="R54" s="79" t="str">
        <f>IFERROR(VLOOKUP($B54,JADWAL!$G$6:$J$690,4,0),"")</f>
        <v/>
      </c>
      <c r="S54" s="77">
        <f t="shared" si="0"/>
        <v>2</v>
      </c>
      <c r="T54" s="77"/>
      <c r="U54" s="37" t="s">
        <v>2242</v>
      </c>
      <c r="V54" s="37" t="s">
        <v>2250</v>
      </c>
      <c r="W54" s="37"/>
      <c r="X54" s="37" t="e">
        <v>#N/A</v>
      </c>
    </row>
    <row r="55" spans="1:24" x14ac:dyDescent="0.3">
      <c r="A55" s="37">
        <f t="shared" si="1"/>
        <v>54</v>
      </c>
      <c r="B55" s="76" t="s">
        <v>1238</v>
      </c>
      <c r="C55" s="76" t="s">
        <v>5786</v>
      </c>
      <c r="D55" s="76" t="s">
        <v>5635</v>
      </c>
      <c r="E55" s="77">
        <v>439164423</v>
      </c>
      <c r="F55" s="77">
        <v>2000000</v>
      </c>
      <c r="G55" s="77" t="s">
        <v>2830</v>
      </c>
      <c r="H55" s="77" t="s">
        <v>2860</v>
      </c>
      <c r="I55" s="76" t="s">
        <v>2102</v>
      </c>
      <c r="J55" s="76" t="s">
        <v>28</v>
      </c>
      <c r="K55" s="76" t="str">
        <f>VLOOKUP($B55,'WILL TOKO SEP'!A56:AK795,37,0)</f>
        <v>Sukawati</v>
      </c>
      <c r="L55" s="76" t="s">
        <v>2103</v>
      </c>
      <c r="M55" s="37" t="s">
        <v>3</v>
      </c>
      <c r="N55" s="78">
        <v>0</v>
      </c>
      <c r="O55" s="78">
        <v>0</v>
      </c>
      <c r="P55" s="79">
        <v>46213</v>
      </c>
      <c r="Q55" s="241">
        <v>0</v>
      </c>
      <c r="R55" s="79" t="str">
        <f>IFERROR(VLOOKUP($B55,JADWAL!$G$6:$J$690,4,0),"")</f>
        <v/>
      </c>
      <c r="S55" s="77">
        <f t="shared" si="0"/>
        <v>2</v>
      </c>
      <c r="T55" s="77"/>
      <c r="U55" s="37" t="s">
        <v>2242</v>
      </c>
      <c r="V55" s="37" t="s">
        <v>2250</v>
      </c>
      <c r="W55" s="37"/>
      <c r="X55" s="37" t="s">
        <v>27</v>
      </c>
    </row>
    <row r="56" spans="1:24" x14ac:dyDescent="0.3">
      <c r="A56" s="37">
        <f t="shared" si="1"/>
        <v>55</v>
      </c>
      <c r="B56" s="76" t="s">
        <v>937</v>
      </c>
      <c r="C56" s="76" t="s">
        <v>5777</v>
      </c>
      <c r="D56" s="76" t="s">
        <v>5644</v>
      </c>
      <c r="E56" s="77">
        <v>421753712</v>
      </c>
      <c r="F56" s="77">
        <v>2000000</v>
      </c>
      <c r="G56" s="77" t="s">
        <v>2827</v>
      </c>
      <c r="H56" s="77" t="s">
        <v>2828</v>
      </c>
      <c r="I56" s="76" t="s">
        <v>2102</v>
      </c>
      <c r="J56" s="76" t="s">
        <v>48</v>
      </c>
      <c r="K56" s="76" t="str">
        <f>VLOOKUP($B56,'WILL TOKO SEP'!A57:AK796,37,0)</f>
        <v>Sukasada</v>
      </c>
      <c r="L56" s="76" t="s">
        <v>2104</v>
      </c>
      <c r="M56" s="37" t="s">
        <v>3</v>
      </c>
      <c r="N56" s="79">
        <v>46161</v>
      </c>
      <c r="O56" s="79">
        <v>46195</v>
      </c>
      <c r="P56" s="79">
        <v>46226</v>
      </c>
      <c r="Q56" s="79">
        <v>46261</v>
      </c>
      <c r="R56" s="79" t="str">
        <f>IFERROR(VLOOKUP($B56,JADWAL!$G$6:$J$690,4,0),"")</f>
        <v/>
      </c>
      <c r="S56" s="77">
        <f t="shared" si="0"/>
        <v>0</v>
      </c>
      <c r="T56" s="77"/>
      <c r="U56" s="37" t="s">
        <v>2242</v>
      </c>
      <c r="V56" s="37" t="s">
        <v>2250</v>
      </c>
      <c r="W56" s="37"/>
      <c r="X56" s="37" t="s">
        <v>44</v>
      </c>
    </row>
    <row r="57" spans="1:24" x14ac:dyDescent="0.3">
      <c r="A57" s="37">
        <f t="shared" si="1"/>
        <v>56</v>
      </c>
      <c r="B57" s="76" t="s">
        <v>1808</v>
      </c>
      <c r="C57" s="76" t="s">
        <v>1807</v>
      </c>
      <c r="D57" s="76" t="s">
        <v>2309</v>
      </c>
      <c r="E57" s="77">
        <v>454390211</v>
      </c>
      <c r="F57" s="77">
        <v>2500000</v>
      </c>
      <c r="G57" s="77" t="s">
        <v>2825</v>
      </c>
      <c r="H57" s="77" t="s">
        <v>2836</v>
      </c>
      <c r="I57" s="76" t="s">
        <v>2102</v>
      </c>
      <c r="J57" s="76" t="s">
        <v>36</v>
      </c>
      <c r="K57" s="76" t="str">
        <f>VLOOKUP($B57,'WILL TOKO SEP'!A58:AK797,37,0)</f>
        <v>BATURITI</v>
      </c>
      <c r="L57" s="76" t="s">
        <v>2104</v>
      </c>
      <c r="M57" s="37" t="s">
        <v>3</v>
      </c>
      <c r="N57" s="78">
        <v>0</v>
      </c>
      <c r="O57" s="79">
        <v>46175</v>
      </c>
      <c r="P57" s="78">
        <v>0</v>
      </c>
      <c r="Q57" s="79">
        <v>46238</v>
      </c>
      <c r="R57" s="79">
        <f>IFERROR(VLOOKUP($B57,JADWAL!$G$6:$J$690,4,0),"")</f>
        <v>46267</v>
      </c>
      <c r="S57" s="77">
        <f t="shared" si="0"/>
        <v>2</v>
      </c>
      <c r="T57" s="77"/>
      <c r="U57" s="37" t="s">
        <v>2242</v>
      </c>
      <c r="V57" s="37" t="s">
        <v>2250</v>
      </c>
      <c r="W57" s="37"/>
      <c r="X57" s="37" t="e">
        <v>#N/A</v>
      </c>
    </row>
    <row r="58" spans="1:24" x14ac:dyDescent="0.3">
      <c r="A58" s="37">
        <f t="shared" si="1"/>
        <v>57</v>
      </c>
      <c r="B58" s="76" t="s">
        <v>883</v>
      </c>
      <c r="C58" s="76" t="s">
        <v>882</v>
      </c>
      <c r="D58" s="76" t="s">
        <v>2310</v>
      </c>
      <c r="E58" s="77">
        <v>446187546</v>
      </c>
      <c r="F58" s="77">
        <v>2000000</v>
      </c>
      <c r="G58" s="77" t="s">
        <v>2840</v>
      </c>
      <c r="H58" s="77" t="s">
        <v>2843</v>
      </c>
      <c r="I58" s="76" t="s">
        <v>2102</v>
      </c>
      <c r="J58" s="76" t="s">
        <v>90</v>
      </c>
      <c r="K58" s="76" t="str">
        <f>VLOOKUP($B58,'WILL TOKO SEP'!A59:AK798,37,0)</f>
        <v>NEGARA</v>
      </c>
      <c r="L58" s="76" t="s">
        <v>2104</v>
      </c>
      <c r="M58" s="37" t="s">
        <v>3</v>
      </c>
      <c r="N58" s="79">
        <v>46162</v>
      </c>
      <c r="O58" s="79">
        <v>46199</v>
      </c>
      <c r="P58" s="79">
        <v>46227</v>
      </c>
      <c r="Q58" s="79">
        <v>46261</v>
      </c>
      <c r="R58" s="79" t="str">
        <f>IFERROR(VLOOKUP($B58,JADWAL!$G$6:$J$690,4,0),"")</f>
        <v/>
      </c>
      <c r="S58" s="77">
        <f t="shared" si="0"/>
        <v>0</v>
      </c>
      <c r="T58" s="77"/>
      <c r="U58" s="37" t="s">
        <v>2242</v>
      </c>
      <c r="V58" s="37" t="s">
        <v>2250</v>
      </c>
      <c r="W58" s="37"/>
      <c r="X58" s="37" t="s">
        <v>13</v>
      </c>
    </row>
    <row r="59" spans="1:24" x14ac:dyDescent="0.3">
      <c r="A59" s="37">
        <f t="shared" si="1"/>
        <v>58</v>
      </c>
      <c r="B59" s="76" t="s">
        <v>1728</v>
      </c>
      <c r="C59" s="76" t="s">
        <v>1727</v>
      </c>
      <c r="D59" s="76" t="s">
        <v>5233</v>
      </c>
      <c r="E59" s="77">
        <v>403865605</v>
      </c>
      <c r="F59" s="77">
        <v>2000000</v>
      </c>
      <c r="G59" s="77" t="s">
        <v>2815</v>
      </c>
      <c r="H59" s="77" t="s">
        <v>2816</v>
      </c>
      <c r="I59" s="76" t="s">
        <v>2102</v>
      </c>
      <c r="J59" s="76" t="s">
        <v>28</v>
      </c>
      <c r="K59" s="76" t="str">
        <f>VLOOKUP($B59,'WILL TOKO SEP'!A60:AK799,37,0)</f>
        <v>SUKAWATI</v>
      </c>
      <c r="L59" s="76" t="s">
        <v>2103</v>
      </c>
      <c r="M59" s="37" t="s">
        <v>3</v>
      </c>
      <c r="N59" s="79">
        <v>46158</v>
      </c>
      <c r="O59" s="79">
        <v>46191</v>
      </c>
      <c r="P59" s="79">
        <v>46226</v>
      </c>
      <c r="Q59" s="79">
        <v>46240</v>
      </c>
      <c r="R59" s="79">
        <f>IFERROR(VLOOKUP($B59,JADWAL!$G$6:$J$690,4,0),"")</f>
        <v>46269</v>
      </c>
      <c r="S59" s="77">
        <f t="shared" si="0"/>
        <v>0</v>
      </c>
      <c r="T59" s="77"/>
      <c r="U59" s="37" t="s">
        <v>2242</v>
      </c>
      <c r="V59" s="37" t="s">
        <v>2078</v>
      </c>
      <c r="W59" s="37"/>
      <c r="X59" s="37" t="e">
        <v>#N/A</v>
      </c>
    </row>
    <row r="60" spans="1:24" x14ac:dyDescent="0.3">
      <c r="A60" s="37">
        <f t="shared" si="1"/>
        <v>59</v>
      </c>
      <c r="B60" s="76" t="s">
        <v>1303</v>
      </c>
      <c r="C60" s="76" t="s">
        <v>1302</v>
      </c>
      <c r="D60" s="76" t="s">
        <v>2311</v>
      </c>
      <c r="E60" s="77">
        <v>394684452</v>
      </c>
      <c r="F60" s="77">
        <v>2500000</v>
      </c>
      <c r="G60" s="77" t="s">
        <v>2834</v>
      </c>
      <c r="H60" s="77" t="s">
        <v>2835</v>
      </c>
      <c r="I60" s="76" t="s">
        <v>2102</v>
      </c>
      <c r="J60" s="76" t="s">
        <v>28</v>
      </c>
      <c r="K60" s="76" t="str">
        <f>VLOOKUP($B60,'WILL TOKO SEP'!A61:AK800,37,0)</f>
        <v>GIANYAR</v>
      </c>
      <c r="L60" s="76" t="s">
        <v>2103</v>
      </c>
      <c r="M60" s="37" t="s">
        <v>3</v>
      </c>
      <c r="N60" s="78">
        <v>0</v>
      </c>
      <c r="O60" s="78">
        <v>0</v>
      </c>
      <c r="P60" s="79">
        <v>46211</v>
      </c>
      <c r="Q60" s="241">
        <v>0</v>
      </c>
      <c r="R60" s="79" t="str">
        <f>IFERROR(VLOOKUP($B60,JADWAL!$G$6:$J$690,4,0),"")</f>
        <v/>
      </c>
      <c r="S60" s="77">
        <f t="shared" si="0"/>
        <v>2</v>
      </c>
      <c r="T60" s="77"/>
      <c r="U60" s="37" t="s">
        <v>2242</v>
      </c>
      <c r="V60" s="37" t="s">
        <v>2250</v>
      </c>
      <c r="W60" s="37"/>
      <c r="X60" s="37" t="s">
        <v>27</v>
      </c>
    </row>
    <row r="61" spans="1:24" x14ac:dyDescent="0.3">
      <c r="A61" s="37">
        <f t="shared" si="1"/>
        <v>60</v>
      </c>
      <c r="B61" s="76" t="s">
        <v>1722</v>
      </c>
      <c r="C61" s="76" t="s">
        <v>1721</v>
      </c>
      <c r="D61" s="76" t="s">
        <v>2312</v>
      </c>
      <c r="E61" s="77">
        <v>758670405</v>
      </c>
      <c r="F61" s="77">
        <v>3000000</v>
      </c>
      <c r="G61" s="77" t="s">
        <v>2821</v>
      </c>
      <c r="H61" s="77" t="s">
        <v>2845</v>
      </c>
      <c r="I61" s="76" t="s">
        <v>2102</v>
      </c>
      <c r="J61" s="76" t="s">
        <v>36</v>
      </c>
      <c r="K61" s="76" t="e">
        <f>VLOOKUP($B61,'WILL TOKO SEP'!A62:AK801,37,0)</f>
        <v>#N/A</v>
      </c>
      <c r="L61" s="76" t="s">
        <v>2104</v>
      </c>
      <c r="M61" s="37" t="s">
        <v>3</v>
      </c>
      <c r="N61" s="79">
        <v>46148</v>
      </c>
      <c r="O61" s="78">
        <v>0</v>
      </c>
      <c r="P61" s="78">
        <v>0</v>
      </c>
      <c r="Q61" s="79">
        <v>46240</v>
      </c>
      <c r="R61" s="79" t="str">
        <f>IFERROR(VLOOKUP($B61,JADWAL!$G$6:$J$690,4,0),"")</f>
        <v/>
      </c>
      <c r="S61" s="77">
        <f t="shared" si="0"/>
        <v>2</v>
      </c>
      <c r="T61" s="77"/>
      <c r="U61" s="37" t="s">
        <v>2242</v>
      </c>
      <c r="V61" s="37" t="s">
        <v>2250</v>
      </c>
      <c r="W61" s="37"/>
      <c r="X61" s="37" t="e">
        <v>#N/A</v>
      </c>
    </row>
    <row r="62" spans="1:24" x14ac:dyDescent="0.3">
      <c r="A62" s="37">
        <f t="shared" si="1"/>
        <v>61</v>
      </c>
      <c r="B62" s="76" t="s">
        <v>819</v>
      </c>
      <c r="C62" s="76" t="s">
        <v>818</v>
      </c>
      <c r="D62" s="76" t="s">
        <v>5571</v>
      </c>
      <c r="E62" s="77">
        <v>560551016</v>
      </c>
      <c r="F62" s="77">
        <v>2000000</v>
      </c>
      <c r="G62" s="77" t="s">
        <v>2834</v>
      </c>
      <c r="H62" s="77" t="s">
        <v>2844</v>
      </c>
      <c r="I62" s="76" t="s">
        <v>2102</v>
      </c>
      <c r="J62" s="76" t="s">
        <v>28</v>
      </c>
      <c r="K62" s="76" t="str">
        <f>VLOOKUP($B62,'WILL TOKO SEP'!A63:AK802,37,0)</f>
        <v>Tegallalang</v>
      </c>
      <c r="L62" s="76" t="s">
        <v>2104</v>
      </c>
      <c r="M62" s="37" t="s">
        <v>3</v>
      </c>
      <c r="N62" s="78">
        <v>0</v>
      </c>
      <c r="O62" s="78">
        <v>0</v>
      </c>
      <c r="P62" s="79">
        <v>46230</v>
      </c>
      <c r="Q62" s="241">
        <v>0</v>
      </c>
      <c r="R62" s="79" t="str">
        <f>IFERROR(VLOOKUP($B62,JADWAL!$G$6:$J$690,4,0),"")</f>
        <v/>
      </c>
      <c r="S62" s="77">
        <f t="shared" si="0"/>
        <v>2</v>
      </c>
      <c r="T62" s="77"/>
      <c r="U62" s="37" t="s">
        <v>2242</v>
      </c>
      <c r="V62" s="37" t="s">
        <v>2250</v>
      </c>
      <c r="W62" s="37"/>
      <c r="X62" s="37" t="s">
        <v>27</v>
      </c>
    </row>
    <row r="63" spans="1:24" x14ac:dyDescent="0.3">
      <c r="A63" s="37">
        <f t="shared" si="1"/>
        <v>62</v>
      </c>
      <c r="B63" s="76" t="s">
        <v>606</v>
      </c>
      <c r="C63" s="76" t="s">
        <v>605</v>
      </c>
      <c r="D63" s="76" t="s">
        <v>2313</v>
      </c>
      <c r="E63" s="77">
        <v>439318974</v>
      </c>
      <c r="F63" s="77">
        <v>3000000</v>
      </c>
      <c r="G63" s="77" t="s">
        <v>2821</v>
      </c>
      <c r="H63" s="77" t="s">
        <v>2854</v>
      </c>
      <c r="I63" s="76" t="s">
        <v>2102</v>
      </c>
      <c r="J63" s="76" t="s">
        <v>4</v>
      </c>
      <c r="K63" s="76" t="str">
        <f>VLOOKUP($B63,'WILL TOKO SEP'!A64:AK803,37,0)</f>
        <v>DENPASAR UTARA</v>
      </c>
      <c r="L63" s="76" t="s">
        <v>2104</v>
      </c>
      <c r="M63" s="37" t="s">
        <v>3</v>
      </c>
      <c r="N63" s="79">
        <v>46170</v>
      </c>
      <c r="O63" s="79">
        <v>46190</v>
      </c>
      <c r="P63" s="78">
        <v>0</v>
      </c>
      <c r="Q63" s="241">
        <v>0</v>
      </c>
      <c r="R63" s="79" t="str">
        <f>IFERROR(VLOOKUP($B63,JADWAL!$G$6:$J$690,4,0),"")</f>
        <v/>
      </c>
      <c r="S63" s="77">
        <f t="shared" si="0"/>
        <v>1</v>
      </c>
      <c r="T63" s="77"/>
      <c r="U63" s="37" t="s">
        <v>2242</v>
      </c>
      <c r="V63" s="37" t="s">
        <v>2250</v>
      </c>
      <c r="W63" s="37"/>
      <c r="X63" s="37" t="s">
        <v>2</v>
      </c>
    </row>
    <row r="64" spans="1:24" x14ac:dyDescent="0.3">
      <c r="A64" s="37">
        <f t="shared" si="1"/>
        <v>63</v>
      </c>
      <c r="B64" s="76" t="s">
        <v>1519</v>
      </c>
      <c r="C64" s="76" t="s">
        <v>1518</v>
      </c>
      <c r="D64" s="76" t="s">
        <v>2314</v>
      </c>
      <c r="E64" s="77">
        <v>299927504</v>
      </c>
      <c r="F64" s="77">
        <v>2000000</v>
      </c>
      <c r="G64" s="77" t="s">
        <v>2840</v>
      </c>
      <c r="H64" s="77" t="s">
        <v>2841</v>
      </c>
      <c r="I64" s="76" t="s">
        <v>2102</v>
      </c>
      <c r="J64" s="76" t="s">
        <v>4</v>
      </c>
      <c r="K64" s="76" t="str">
        <f>VLOOKUP($B64,'WILL TOKO SEP'!A65:AK804,37,0)</f>
        <v>DENPASAR TIMUR</v>
      </c>
      <c r="L64" s="76" t="s">
        <v>2103</v>
      </c>
      <c r="M64" s="37" t="s">
        <v>3</v>
      </c>
      <c r="N64" s="78">
        <v>0</v>
      </c>
      <c r="O64" s="79">
        <v>46181</v>
      </c>
      <c r="P64" s="79">
        <v>46217</v>
      </c>
      <c r="Q64" s="79">
        <v>46246</v>
      </c>
      <c r="R64" s="79" t="str">
        <f>IFERROR(VLOOKUP($B64,JADWAL!$G$6:$J$690,4,0),"")</f>
        <v/>
      </c>
      <c r="S64" s="77">
        <f t="shared" si="0"/>
        <v>1</v>
      </c>
      <c r="T64" s="77"/>
      <c r="U64" s="37" t="s">
        <v>2242</v>
      </c>
      <c r="V64" s="37" t="s">
        <v>2250</v>
      </c>
      <c r="W64" s="37"/>
      <c r="X64" s="37" t="e">
        <v>#N/A</v>
      </c>
    </row>
    <row r="65" spans="1:24" x14ac:dyDescent="0.3">
      <c r="A65" s="37">
        <f t="shared" si="1"/>
        <v>64</v>
      </c>
      <c r="B65" s="76" t="s">
        <v>1314</v>
      </c>
      <c r="C65" s="76" t="s">
        <v>1313</v>
      </c>
      <c r="D65" s="76" t="s">
        <v>2315</v>
      </c>
      <c r="E65" s="77">
        <v>381283905</v>
      </c>
      <c r="F65" s="77">
        <v>3000000</v>
      </c>
      <c r="G65" s="77" t="s">
        <v>2815</v>
      </c>
      <c r="H65" s="77" t="s">
        <v>2855</v>
      </c>
      <c r="I65" s="76" t="s">
        <v>2102</v>
      </c>
      <c r="J65" s="76" t="s">
        <v>28</v>
      </c>
      <c r="K65" s="76" t="str">
        <f>VLOOKUP($B65,'WILL TOKO SEP'!A66:AK805,37,0)</f>
        <v>SUKAWATI</v>
      </c>
      <c r="L65" s="76" t="s">
        <v>2103</v>
      </c>
      <c r="M65" s="37" t="s">
        <v>3</v>
      </c>
      <c r="N65" s="78">
        <v>0</v>
      </c>
      <c r="O65" s="78">
        <v>0</v>
      </c>
      <c r="P65" s="79">
        <v>46210</v>
      </c>
      <c r="Q65" s="241">
        <v>0</v>
      </c>
      <c r="R65" s="79" t="str">
        <f>IFERROR(VLOOKUP($B65,JADWAL!$G$6:$J$690,4,0),"")</f>
        <v/>
      </c>
      <c r="S65" s="77">
        <f t="shared" si="0"/>
        <v>2</v>
      </c>
      <c r="T65" s="77"/>
      <c r="U65" s="37" t="s">
        <v>2242</v>
      </c>
      <c r="V65" s="37" t="s">
        <v>2250</v>
      </c>
      <c r="W65" s="37"/>
      <c r="X65" s="37" t="s">
        <v>27</v>
      </c>
    </row>
    <row r="66" spans="1:24" x14ac:dyDescent="0.3">
      <c r="A66" s="37">
        <f t="shared" si="1"/>
        <v>65</v>
      </c>
      <c r="B66" s="76" t="s">
        <v>934</v>
      </c>
      <c r="C66" s="76" t="s">
        <v>933</v>
      </c>
      <c r="D66" s="76" t="s">
        <v>2316</v>
      </c>
      <c r="E66" s="77">
        <v>372434252</v>
      </c>
      <c r="F66" s="77">
        <v>2000000</v>
      </c>
      <c r="G66" s="77" t="s">
        <v>2821</v>
      </c>
      <c r="H66" s="77" t="s">
        <v>2845</v>
      </c>
      <c r="I66" s="76" t="s">
        <v>2102</v>
      </c>
      <c r="J66" s="76" t="s">
        <v>90</v>
      </c>
      <c r="K66" s="76" t="str">
        <f>VLOOKUP($B66,'WILL TOKO SEP'!A67:AK806,37,0)</f>
        <v>JEMBRANA</v>
      </c>
      <c r="L66" s="76" t="s">
        <v>2104</v>
      </c>
      <c r="M66" s="37" t="s">
        <v>3</v>
      </c>
      <c r="N66" s="79">
        <v>46162</v>
      </c>
      <c r="O66" s="79">
        <v>46198</v>
      </c>
      <c r="P66" s="79">
        <v>46226</v>
      </c>
      <c r="Q66" s="241">
        <v>0</v>
      </c>
      <c r="R66" s="79" t="str">
        <f>IFERROR(VLOOKUP($B66,JADWAL!$G$6:$J$690,4,0),"")</f>
        <v/>
      </c>
      <c r="S66" s="77">
        <f t="shared" ref="S66:S129" si="4">COUNTIF(N66:P66,"0")</f>
        <v>0</v>
      </c>
      <c r="T66" s="77"/>
      <c r="U66" s="37" t="s">
        <v>2242</v>
      </c>
      <c r="V66" s="37" t="s">
        <v>2250</v>
      </c>
      <c r="W66" s="37"/>
      <c r="X66" s="37" t="s">
        <v>13</v>
      </c>
    </row>
    <row r="67" spans="1:24" x14ac:dyDescent="0.3">
      <c r="A67" s="37">
        <f t="shared" si="1"/>
        <v>66</v>
      </c>
      <c r="B67" s="76" t="s">
        <v>1279</v>
      </c>
      <c r="C67" s="76" t="s">
        <v>1278</v>
      </c>
      <c r="D67" s="76" t="s">
        <v>5585</v>
      </c>
      <c r="E67" s="77">
        <v>455975365</v>
      </c>
      <c r="F67" s="77">
        <v>2000000</v>
      </c>
      <c r="G67" s="77" t="s">
        <v>2830</v>
      </c>
      <c r="H67" s="77" t="s">
        <v>2838</v>
      </c>
      <c r="I67" s="76" t="s">
        <v>2102</v>
      </c>
      <c r="J67" s="76" t="s">
        <v>4</v>
      </c>
      <c r="K67" s="76" t="str">
        <f>VLOOKUP($B67,'WILL TOKO SEP'!A68:AK807,37,0)</f>
        <v>Denpasar Utara</v>
      </c>
      <c r="L67" s="76" t="s">
        <v>2104</v>
      </c>
      <c r="M67" s="37" t="s">
        <v>3</v>
      </c>
      <c r="N67" s="78">
        <v>0</v>
      </c>
      <c r="O67" s="78">
        <v>0</v>
      </c>
      <c r="P67" s="79">
        <v>46212</v>
      </c>
      <c r="Q67" s="241">
        <v>0</v>
      </c>
      <c r="R67" s="79" t="str">
        <f>IFERROR(VLOOKUP($B67,JADWAL!$G$6:$J$690,4,0),"")</f>
        <v/>
      </c>
      <c r="S67" s="77">
        <f t="shared" si="4"/>
        <v>2</v>
      </c>
      <c r="T67" s="77"/>
      <c r="U67" s="37" t="s">
        <v>2242</v>
      </c>
      <c r="V67" s="37" t="s">
        <v>2250</v>
      </c>
      <c r="W67" s="37"/>
      <c r="X67" s="37">
        <v>0</v>
      </c>
    </row>
    <row r="68" spans="1:24" x14ac:dyDescent="0.3">
      <c r="A68" s="37">
        <f t="shared" ref="A68:A131" si="5">A67+1</f>
        <v>67</v>
      </c>
      <c r="B68" s="76" t="s">
        <v>1599</v>
      </c>
      <c r="C68" s="76" t="s">
        <v>1598</v>
      </c>
      <c r="D68" s="76" t="s">
        <v>2318</v>
      </c>
      <c r="E68" s="77">
        <v>435713453</v>
      </c>
      <c r="F68" s="77">
        <v>3000000</v>
      </c>
      <c r="G68" s="77" t="s">
        <v>2813</v>
      </c>
      <c r="H68" s="77" t="s">
        <v>2824</v>
      </c>
      <c r="I68" s="76" t="s">
        <v>2102</v>
      </c>
      <c r="J68" s="76" t="s">
        <v>9</v>
      </c>
      <c r="K68" s="76" t="e">
        <f>VLOOKUP($B68,'WILL TOKO SEP'!A69:AK808,37,0)</f>
        <v>#N/A</v>
      </c>
      <c r="L68" s="76" t="s">
        <v>2103</v>
      </c>
      <c r="M68" s="37" t="s">
        <v>3</v>
      </c>
      <c r="N68" s="78">
        <v>0</v>
      </c>
      <c r="O68" s="79">
        <v>46177</v>
      </c>
      <c r="P68" s="78">
        <v>0</v>
      </c>
      <c r="Q68" s="79">
        <v>46244</v>
      </c>
      <c r="R68" s="79" t="str">
        <f>IFERROR(VLOOKUP($B68,JADWAL!$G$6:$J$690,4,0),"")</f>
        <v/>
      </c>
      <c r="S68" s="77">
        <f t="shared" si="4"/>
        <v>2</v>
      </c>
      <c r="T68" s="77"/>
      <c r="U68" s="37" t="s">
        <v>2242</v>
      </c>
      <c r="V68" s="37" t="s">
        <v>2250</v>
      </c>
      <c r="W68" s="37"/>
      <c r="X68" s="37" t="e">
        <v>#N/A</v>
      </c>
    </row>
    <row r="69" spans="1:24" x14ac:dyDescent="0.3">
      <c r="A69" s="37">
        <f t="shared" si="5"/>
        <v>68</v>
      </c>
      <c r="B69" s="76" t="s">
        <v>1734</v>
      </c>
      <c r="C69" s="76" t="s">
        <v>1733</v>
      </c>
      <c r="D69" s="76" t="s">
        <v>2319</v>
      </c>
      <c r="E69" s="77">
        <v>452965245</v>
      </c>
      <c r="F69" s="77">
        <v>3000000</v>
      </c>
      <c r="G69" s="77" t="s">
        <v>2830</v>
      </c>
      <c r="H69" s="77" t="s">
        <v>2847</v>
      </c>
      <c r="I69" s="76" t="s">
        <v>2102</v>
      </c>
      <c r="J69" s="76" t="s">
        <v>4</v>
      </c>
      <c r="K69" s="76" t="str">
        <f>VLOOKUP($B69,'WILL TOKO SEP'!A70:AK809,37,0)</f>
        <v>DENPASAR SELATAN</v>
      </c>
      <c r="L69" s="76" t="s">
        <v>2103</v>
      </c>
      <c r="M69" s="37" t="s">
        <v>3</v>
      </c>
      <c r="N69" s="79">
        <v>46153</v>
      </c>
      <c r="O69" s="79">
        <v>46191</v>
      </c>
      <c r="P69" s="79">
        <v>46220</v>
      </c>
      <c r="Q69" s="79">
        <v>46240</v>
      </c>
      <c r="R69" s="79" t="str">
        <f>IFERROR(VLOOKUP($B69,JADWAL!$G$6:$J$690,4,0),"")</f>
        <v/>
      </c>
      <c r="S69" s="77">
        <f t="shared" si="4"/>
        <v>0</v>
      </c>
      <c r="T69" s="77"/>
      <c r="U69" s="37" t="s">
        <v>2242</v>
      </c>
      <c r="V69" s="37" t="s">
        <v>2078</v>
      </c>
      <c r="W69" s="37"/>
      <c r="X69" s="37" t="e">
        <v>#N/A</v>
      </c>
    </row>
    <row r="70" spans="1:24" x14ac:dyDescent="0.3">
      <c r="A70" s="37">
        <f t="shared" si="5"/>
        <v>69</v>
      </c>
      <c r="B70" s="76" t="s">
        <v>896</v>
      </c>
      <c r="C70" s="76" t="s">
        <v>895</v>
      </c>
      <c r="D70" s="76" t="s">
        <v>2320</v>
      </c>
      <c r="E70" s="77">
        <v>393988598</v>
      </c>
      <c r="F70" s="77">
        <v>2000000</v>
      </c>
      <c r="G70" s="77" t="s">
        <v>2840</v>
      </c>
      <c r="H70" s="77" t="s">
        <v>2843</v>
      </c>
      <c r="I70" s="76" t="s">
        <v>2102</v>
      </c>
      <c r="J70" s="76" t="s">
        <v>90</v>
      </c>
      <c r="K70" s="76" t="str">
        <f>VLOOKUP($B70,'WILL TOKO SEP'!A71:AK810,37,0)</f>
        <v>JEMBRANA</v>
      </c>
      <c r="L70" s="76" t="s">
        <v>2104</v>
      </c>
      <c r="M70" s="37" t="s">
        <v>3</v>
      </c>
      <c r="N70" s="79">
        <v>46151</v>
      </c>
      <c r="O70" s="79">
        <v>46197</v>
      </c>
      <c r="P70" s="79">
        <v>46227</v>
      </c>
      <c r="Q70" s="79">
        <v>46261</v>
      </c>
      <c r="R70" s="79" t="str">
        <f>IFERROR(VLOOKUP($B70,JADWAL!$G$6:$J$690,4,0),"")</f>
        <v/>
      </c>
      <c r="S70" s="77">
        <f t="shared" si="4"/>
        <v>0</v>
      </c>
      <c r="T70" s="77"/>
      <c r="U70" s="37" t="s">
        <v>2242</v>
      </c>
      <c r="V70" s="37" t="s">
        <v>2250</v>
      </c>
      <c r="W70" s="37"/>
      <c r="X70" s="37" t="s">
        <v>13</v>
      </c>
    </row>
    <row r="71" spans="1:24" x14ac:dyDescent="0.3">
      <c r="A71" s="37">
        <f t="shared" si="5"/>
        <v>70</v>
      </c>
      <c r="B71" s="76" t="s">
        <v>1455</v>
      </c>
      <c r="C71" s="76" t="s">
        <v>1454</v>
      </c>
      <c r="D71" s="76" t="s">
        <v>2321</v>
      </c>
      <c r="E71" s="77">
        <v>397418258</v>
      </c>
      <c r="F71" s="77">
        <v>2000000</v>
      </c>
      <c r="G71" s="77" t="s">
        <v>2817</v>
      </c>
      <c r="H71" s="77" t="s">
        <v>2850</v>
      </c>
      <c r="I71" s="76" t="s">
        <v>2102</v>
      </c>
      <c r="J71" s="76" t="s">
        <v>4</v>
      </c>
      <c r="K71" s="76" t="str">
        <f>VLOOKUP($B71,'WILL TOKO SEP'!A72:AK811,37,0)</f>
        <v>DENPASAR TIMUR</v>
      </c>
      <c r="L71" s="76" t="s">
        <v>2103</v>
      </c>
      <c r="M71" s="37" t="s">
        <v>3</v>
      </c>
      <c r="N71" s="79">
        <v>46167</v>
      </c>
      <c r="O71" s="79">
        <v>46192</v>
      </c>
      <c r="P71" s="79">
        <v>46233</v>
      </c>
      <c r="Q71" s="79">
        <v>46248</v>
      </c>
      <c r="R71" s="79" t="str">
        <f>IFERROR(VLOOKUP($B71,JADWAL!$G$6:$J$690,4,0),"")</f>
        <v/>
      </c>
      <c r="S71" s="77">
        <f t="shared" si="4"/>
        <v>0</v>
      </c>
      <c r="T71" s="77"/>
      <c r="U71" s="37" t="s">
        <v>2242</v>
      </c>
      <c r="V71" s="37" t="s">
        <v>2078</v>
      </c>
      <c r="W71" s="37"/>
      <c r="X71" s="37" t="e">
        <v>#N/A</v>
      </c>
    </row>
    <row r="72" spans="1:24" x14ac:dyDescent="0.3">
      <c r="A72" s="37">
        <f t="shared" si="5"/>
        <v>71</v>
      </c>
      <c r="B72" s="76" t="s">
        <v>967</v>
      </c>
      <c r="C72" s="76" t="s">
        <v>966</v>
      </c>
      <c r="D72" s="76" t="s">
        <v>2322</v>
      </c>
      <c r="E72" s="77">
        <v>526837413</v>
      </c>
      <c r="F72" s="77">
        <v>2500000</v>
      </c>
      <c r="G72" s="77" t="s">
        <v>2830</v>
      </c>
      <c r="H72" s="77" t="s">
        <v>2860</v>
      </c>
      <c r="I72" s="76" t="s">
        <v>2102</v>
      </c>
      <c r="J72" s="76" t="s">
        <v>9</v>
      </c>
      <c r="K72" s="76" t="str">
        <f>VLOOKUP($B72,'WILL TOKO SEP'!A73:AK812,37,0)</f>
        <v>ABIANSEMAL</v>
      </c>
      <c r="L72" s="76" t="s">
        <v>2104</v>
      </c>
      <c r="M72" s="37" t="s">
        <v>3</v>
      </c>
      <c r="N72" s="79">
        <v>46164</v>
      </c>
      <c r="O72" s="79">
        <v>46188</v>
      </c>
      <c r="P72" s="79">
        <v>46225</v>
      </c>
      <c r="Q72" s="241">
        <v>0</v>
      </c>
      <c r="R72" s="79" t="str">
        <f>IFERROR(VLOOKUP($B72,JADWAL!$G$6:$J$690,4,0),"")</f>
        <v/>
      </c>
      <c r="S72" s="77">
        <f t="shared" si="4"/>
        <v>0</v>
      </c>
      <c r="T72" s="77"/>
      <c r="U72" s="37" t="s">
        <v>2242</v>
      </c>
      <c r="V72" s="37" t="s">
        <v>2250</v>
      </c>
      <c r="W72" s="37"/>
      <c r="X72" s="37" t="s">
        <v>20</v>
      </c>
    </row>
    <row r="73" spans="1:24" x14ac:dyDescent="0.3">
      <c r="A73" s="37">
        <f t="shared" si="5"/>
        <v>72</v>
      </c>
      <c r="B73" s="76" t="s">
        <v>518</v>
      </c>
      <c r="C73" s="76" t="s">
        <v>5700</v>
      </c>
      <c r="D73" s="76" t="s">
        <v>5626</v>
      </c>
      <c r="E73" s="77">
        <v>572597823</v>
      </c>
      <c r="F73" s="77">
        <v>2000000</v>
      </c>
      <c r="G73" s="77" t="s">
        <v>2834</v>
      </c>
      <c r="H73" s="77" t="s">
        <v>2842</v>
      </c>
      <c r="I73" s="76" t="s">
        <v>2102</v>
      </c>
      <c r="J73" s="76" t="s">
        <v>40</v>
      </c>
      <c r="K73" s="76" t="str">
        <f>VLOOKUP($B73,'WILL TOKO SEP'!A74:AK813,37,0)</f>
        <v>Manggis</v>
      </c>
      <c r="L73" s="76" t="s">
        <v>2104</v>
      </c>
      <c r="M73" s="37" t="s">
        <v>3</v>
      </c>
      <c r="N73" s="78">
        <v>0</v>
      </c>
      <c r="O73" s="79">
        <v>46202</v>
      </c>
      <c r="P73" s="78">
        <v>0</v>
      </c>
      <c r="Q73" s="241">
        <v>0</v>
      </c>
      <c r="R73" s="79" t="str">
        <f>IFERROR(VLOOKUP($B73,JADWAL!$G$6:$J$690,4,0),"")</f>
        <v/>
      </c>
      <c r="S73" s="77">
        <f t="shared" si="4"/>
        <v>2</v>
      </c>
      <c r="T73" s="77"/>
      <c r="U73" s="37" t="s">
        <v>2242</v>
      </c>
      <c r="V73" s="37" t="s">
        <v>2250</v>
      </c>
      <c r="W73" s="37"/>
      <c r="X73" s="37" t="s">
        <v>27</v>
      </c>
    </row>
    <row r="74" spans="1:24" x14ac:dyDescent="0.3">
      <c r="A74" s="37">
        <f t="shared" si="5"/>
        <v>73</v>
      </c>
      <c r="B74" s="76" t="s">
        <v>1859</v>
      </c>
      <c r="C74" s="76" t="s">
        <v>1858</v>
      </c>
      <c r="D74" s="76" t="s">
        <v>2325</v>
      </c>
      <c r="E74" s="77">
        <v>464556860</v>
      </c>
      <c r="F74" s="77">
        <v>4000000</v>
      </c>
      <c r="G74" s="77" t="s">
        <v>2813</v>
      </c>
      <c r="H74" s="77" t="s">
        <v>2814</v>
      </c>
      <c r="I74" s="76" t="s">
        <v>2102</v>
      </c>
      <c r="J74" s="76" t="s">
        <v>9</v>
      </c>
      <c r="K74" s="76" t="str">
        <f>VLOOKUP($B74,'WILL TOKO SEP'!A75:AK814,37,0)</f>
        <v>KUTA SELATAN</v>
      </c>
      <c r="L74" s="76" t="s">
        <v>2103</v>
      </c>
      <c r="M74" s="37" t="s">
        <v>3</v>
      </c>
      <c r="N74" s="79">
        <v>46147</v>
      </c>
      <c r="O74" s="78">
        <v>0</v>
      </c>
      <c r="P74" s="78">
        <v>0</v>
      </c>
      <c r="Q74" s="79">
        <v>46237</v>
      </c>
      <c r="R74" s="79" t="str">
        <f>IFERROR(VLOOKUP($B74,JADWAL!$G$6:$J$690,4,0),"")</f>
        <v/>
      </c>
      <c r="S74" s="77">
        <f t="shared" si="4"/>
        <v>2</v>
      </c>
      <c r="T74" s="77"/>
      <c r="U74" s="37" t="s">
        <v>2242</v>
      </c>
      <c r="V74" s="37" t="s">
        <v>2250</v>
      </c>
      <c r="W74" s="37"/>
      <c r="X74" s="37" t="e">
        <v>#N/A</v>
      </c>
    </row>
    <row r="75" spans="1:24" x14ac:dyDescent="0.3">
      <c r="A75" s="37">
        <f t="shared" si="5"/>
        <v>74</v>
      </c>
      <c r="B75" s="76" t="s">
        <v>1092</v>
      </c>
      <c r="C75" s="76" t="s">
        <v>1091</v>
      </c>
      <c r="D75" s="76" t="s">
        <v>2326</v>
      </c>
      <c r="E75" s="77">
        <v>413955212</v>
      </c>
      <c r="F75" s="77">
        <v>2500000</v>
      </c>
      <c r="G75" s="77" t="s">
        <v>2834</v>
      </c>
      <c r="H75" s="77" t="s">
        <v>2839</v>
      </c>
      <c r="I75" s="76" t="s">
        <v>2102</v>
      </c>
      <c r="J75" s="76" t="s">
        <v>32</v>
      </c>
      <c r="K75" s="76" t="str">
        <f>VLOOKUP($B75,'WILL TOKO SEP'!A76:AK815,37,0)</f>
        <v>KINTAMANI</v>
      </c>
      <c r="L75" s="76" t="s">
        <v>2104</v>
      </c>
      <c r="M75" s="37" t="s">
        <v>3</v>
      </c>
      <c r="N75" s="79">
        <v>46157</v>
      </c>
      <c r="O75" s="79">
        <v>46195</v>
      </c>
      <c r="P75" s="79">
        <v>46220</v>
      </c>
      <c r="Q75" s="241">
        <v>0</v>
      </c>
      <c r="R75" s="79" t="str">
        <f>IFERROR(VLOOKUP($B75,JADWAL!$G$6:$J$690,4,0),"")</f>
        <v/>
      </c>
      <c r="S75" s="77">
        <f t="shared" si="4"/>
        <v>0</v>
      </c>
      <c r="T75" s="77"/>
      <c r="U75" s="37" t="s">
        <v>2242</v>
      </c>
      <c r="V75" s="37" t="s">
        <v>2250</v>
      </c>
      <c r="W75" s="37"/>
      <c r="X75" s="37" t="s">
        <v>27</v>
      </c>
    </row>
    <row r="76" spans="1:24" x14ac:dyDescent="0.3">
      <c r="A76" s="37">
        <f t="shared" si="5"/>
        <v>75</v>
      </c>
      <c r="B76" s="76" t="s">
        <v>1458</v>
      </c>
      <c r="C76" s="76" t="s">
        <v>1457</v>
      </c>
      <c r="D76" s="76" t="s">
        <v>5157</v>
      </c>
      <c r="E76" s="77">
        <v>582084052</v>
      </c>
      <c r="F76" s="77">
        <v>3000000</v>
      </c>
      <c r="G76" s="77" t="s">
        <v>2819</v>
      </c>
      <c r="H76" s="77" t="s">
        <v>2823</v>
      </c>
      <c r="I76" s="76" t="s">
        <v>2102</v>
      </c>
      <c r="J76" s="76" t="s">
        <v>4</v>
      </c>
      <c r="K76" s="76" t="str">
        <f>VLOOKUP($B76,'WILL TOKO SEP'!A77:AK816,37,0)</f>
        <v>DENPASAR BARAT</v>
      </c>
      <c r="L76" s="76" t="s">
        <v>2104</v>
      </c>
      <c r="M76" s="37" t="s">
        <v>3</v>
      </c>
      <c r="N76" s="79">
        <v>46144</v>
      </c>
      <c r="O76" s="79">
        <v>46186</v>
      </c>
      <c r="P76" s="79">
        <v>46231</v>
      </c>
      <c r="Q76" s="79">
        <v>46248</v>
      </c>
      <c r="R76" s="79">
        <f>IFERROR(VLOOKUP($B76,JADWAL!$G$6:$J$690,4,0),"")</f>
        <v>46268</v>
      </c>
      <c r="S76" s="77">
        <f t="shared" si="4"/>
        <v>0</v>
      </c>
      <c r="T76" s="77"/>
      <c r="U76" s="37" t="s">
        <v>2242</v>
      </c>
      <c r="V76" s="37" t="s">
        <v>2078</v>
      </c>
      <c r="W76" s="37"/>
      <c r="X76" s="37" t="e">
        <v>#N/A</v>
      </c>
    </row>
    <row r="77" spans="1:24" x14ac:dyDescent="0.3">
      <c r="A77" s="37">
        <f t="shared" si="5"/>
        <v>76</v>
      </c>
      <c r="B77" s="76" t="s">
        <v>1384</v>
      </c>
      <c r="C77" s="76" t="s">
        <v>1383</v>
      </c>
      <c r="D77" s="76" t="s">
        <v>2328</v>
      </c>
      <c r="E77" s="77">
        <v>492608453</v>
      </c>
      <c r="F77" s="77">
        <v>3000000</v>
      </c>
      <c r="G77" s="77" t="s">
        <v>2834</v>
      </c>
      <c r="H77" s="77" t="s">
        <v>2844</v>
      </c>
      <c r="I77" s="76" t="s">
        <v>2102</v>
      </c>
      <c r="J77" s="76" t="s">
        <v>32</v>
      </c>
      <c r="K77" s="76" t="str">
        <f>VLOOKUP($B77,'WILL TOKO SEP'!A78:AK817,37,0)</f>
        <v>SUSUT</v>
      </c>
      <c r="L77" s="76" t="s">
        <v>2104</v>
      </c>
      <c r="M77" s="37" t="s">
        <v>3</v>
      </c>
      <c r="N77" s="79">
        <v>46146</v>
      </c>
      <c r="O77" s="78">
        <v>0</v>
      </c>
      <c r="P77" s="79">
        <v>46206</v>
      </c>
      <c r="Q77" s="241">
        <v>0</v>
      </c>
      <c r="R77" s="79" t="str">
        <f>IFERROR(VLOOKUP($B77,JADWAL!$G$6:$J$690,4,0),"")</f>
        <v/>
      </c>
      <c r="S77" s="77">
        <f t="shared" si="4"/>
        <v>1</v>
      </c>
      <c r="T77" s="77"/>
      <c r="U77" s="37" t="s">
        <v>2242</v>
      </c>
      <c r="V77" s="37" t="s">
        <v>2250</v>
      </c>
      <c r="W77" s="37"/>
      <c r="X77" s="37" t="s">
        <v>27</v>
      </c>
    </row>
    <row r="78" spans="1:24" x14ac:dyDescent="0.3">
      <c r="A78" s="37">
        <f t="shared" si="5"/>
        <v>77</v>
      </c>
      <c r="B78" s="76" t="s">
        <v>1631</v>
      </c>
      <c r="C78" s="76" t="s">
        <v>1630</v>
      </c>
      <c r="D78" s="76" t="s">
        <v>2329</v>
      </c>
      <c r="E78" s="77">
        <v>412063699</v>
      </c>
      <c r="F78" s="77">
        <v>2000000</v>
      </c>
      <c r="G78" s="77" t="s">
        <v>2825</v>
      </c>
      <c r="H78" s="77" t="s">
        <v>2826</v>
      </c>
      <c r="I78" s="76" t="s">
        <v>2102</v>
      </c>
      <c r="J78" s="76" t="s">
        <v>9</v>
      </c>
      <c r="K78" s="76" t="str">
        <f>VLOOKUP($B78,'WILL TOKO SEP'!A79:AK818,37,0)</f>
        <v>MENGWI</v>
      </c>
      <c r="L78" s="76" t="s">
        <v>2104</v>
      </c>
      <c r="M78" s="37" t="s">
        <v>3</v>
      </c>
      <c r="N78" s="78">
        <v>0</v>
      </c>
      <c r="O78" s="78">
        <v>0</v>
      </c>
      <c r="P78" s="79">
        <v>46209</v>
      </c>
      <c r="Q78" s="79">
        <v>46244</v>
      </c>
      <c r="R78" s="79" t="str">
        <f>IFERROR(VLOOKUP($B78,JADWAL!$G$6:$J$690,4,0),"")</f>
        <v/>
      </c>
      <c r="S78" s="77">
        <f t="shared" si="4"/>
        <v>2</v>
      </c>
      <c r="T78" s="77"/>
      <c r="U78" s="37" t="s">
        <v>2242</v>
      </c>
      <c r="V78" s="37" t="s">
        <v>2250</v>
      </c>
      <c r="W78" s="37"/>
      <c r="X78" s="37" t="e">
        <v>#N/A</v>
      </c>
    </row>
    <row r="79" spans="1:24" x14ac:dyDescent="0.3">
      <c r="A79" s="37">
        <f t="shared" si="5"/>
        <v>78</v>
      </c>
      <c r="B79" s="76" t="s">
        <v>1861</v>
      </c>
      <c r="C79" s="76" t="s">
        <v>1860</v>
      </c>
      <c r="D79" s="76" t="s">
        <v>5407</v>
      </c>
      <c r="E79" s="77">
        <v>417363580</v>
      </c>
      <c r="F79" s="77">
        <v>2000000</v>
      </c>
      <c r="G79" s="77" t="s">
        <v>2817</v>
      </c>
      <c r="H79" s="77" t="s">
        <v>2850</v>
      </c>
      <c r="I79" s="76" t="s">
        <v>2102</v>
      </c>
      <c r="J79" s="76" t="s">
        <v>4</v>
      </c>
      <c r="K79" s="76" t="str">
        <f>VLOOKUP($B79,'WILL TOKO SEP'!A80:AK819,37,0)</f>
        <v>DENPASAR TIMUR</v>
      </c>
      <c r="L79" s="76" t="s">
        <v>2103</v>
      </c>
      <c r="M79" s="37" t="s">
        <v>3</v>
      </c>
      <c r="N79" s="78">
        <v>0</v>
      </c>
      <c r="O79" s="78">
        <v>0</v>
      </c>
      <c r="P79" s="79">
        <v>46210</v>
      </c>
      <c r="Q79" s="79">
        <v>46237</v>
      </c>
      <c r="R79" s="79" t="str">
        <f>IFERROR(VLOOKUP($B79,JADWAL!$G$6:$J$690,4,0),"")</f>
        <v/>
      </c>
      <c r="S79" s="77">
        <f t="shared" si="4"/>
        <v>2</v>
      </c>
      <c r="T79" s="77"/>
      <c r="U79" s="37" t="s">
        <v>2242</v>
      </c>
      <c r="V79" s="37" t="s">
        <v>2250</v>
      </c>
      <c r="W79" s="37"/>
      <c r="X79" s="37" t="e">
        <v>#N/A</v>
      </c>
    </row>
    <row r="80" spans="1:24" x14ac:dyDescent="0.3">
      <c r="A80" s="37">
        <f t="shared" si="5"/>
        <v>79</v>
      </c>
      <c r="B80" s="76" t="s">
        <v>1629</v>
      </c>
      <c r="C80" s="76" t="s">
        <v>5792</v>
      </c>
      <c r="D80" s="76" t="s">
        <v>5642</v>
      </c>
      <c r="E80" s="77">
        <v>447445521</v>
      </c>
      <c r="F80" s="77">
        <v>2000000</v>
      </c>
      <c r="G80" s="77" t="s">
        <v>2840</v>
      </c>
      <c r="H80" s="77" t="s">
        <v>2861</v>
      </c>
      <c r="I80" s="76" t="s">
        <v>2102</v>
      </c>
      <c r="J80" s="76" t="s">
        <v>28</v>
      </c>
      <c r="K80" s="76" t="str">
        <f>VLOOKUP($B80,'WILL TOKO SEP'!A81:AK820,37,0)</f>
        <v>Ubud</v>
      </c>
      <c r="L80" s="76" t="s">
        <v>2103</v>
      </c>
      <c r="M80" s="37" t="s">
        <v>3</v>
      </c>
      <c r="N80" s="78">
        <v>0</v>
      </c>
      <c r="O80" s="78">
        <v>0</v>
      </c>
      <c r="P80" s="79">
        <v>46209</v>
      </c>
      <c r="Q80" s="79">
        <v>46244</v>
      </c>
      <c r="R80" s="79" t="str">
        <f>IFERROR(VLOOKUP($B80,JADWAL!$G$6:$J$690,4,0),"")</f>
        <v/>
      </c>
      <c r="S80" s="77">
        <f t="shared" si="4"/>
        <v>2</v>
      </c>
      <c r="T80" s="77"/>
      <c r="U80" s="37" t="s">
        <v>2242</v>
      </c>
      <c r="V80" s="37" t="s">
        <v>2250</v>
      </c>
      <c r="W80" s="37"/>
      <c r="X80" s="37" t="e">
        <v>#N/A</v>
      </c>
    </row>
    <row r="81" spans="1:24" x14ac:dyDescent="0.3">
      <c r="A81" s="37">
        <f t="shared" si="5"/>
        <v>80</v>
      </c>
      <c r="B81" s="76" t="s">
        <v>1426</v>
      </c>
      <c r="C81" s="76" t="s">
        <v>1425</v>
      </c>
      <c r="D81" s="76" t="s">
        <v>2331</v>
      </c>
      <c r="E81" s="77">
        <v>434892380</v>
      </c>
      <c r="F81" s="77">
        <v>2500000</v>
      </c>
      <c r="G81" s="77" t="s">
        <v>2825</v>
      </c>
      <c r="H81" s="77" t="s">
        <v>2837</v>
      </c>
      <c r="I81" s="76" t="s">
        <v>2102</v>
      </c>
      <c r="J81" s="76" t="s">
        <v>9</v>
      </c>
      <c r="K81" s="76" t="str">
        <f>VLOOKUP($B81,'WILL TOKO SEP'!A82:AK821,37,0)</f>
        <v>MENGWI</v>
      </c>
      <c r="L81" s="76" t="s">
        <v>2104</v>
      </c>
      <c r="M81" s="37" t="s">
        <v>3</v>
      </c>
      <c r="N81" s="79">
        <v>46171</v>
      </c>
      <c r="O81" s="78">
        <v>0</v>
      </c>
      <c r="P81" s="79">
        <v>46206</v>
      </c>
      <c r="Q81" s="79">
        <v>46249</v>
      </c>
      <c r="R81" s="79" t="str">
        <f>IFERROR(VLOOKUP($B81,JADWAL!$G$6:$J$690,4,0),"")</f>
        <v/>
      </c>
      <c r="S81" s="77">
        <f t="shared" si="4"/>
        <v>1</v>
      </c>
      <c r="T81" s="77"/>
      <c r="U81" s="37" t="s">
        <v>2242</v>
      </c>
      <c r="V81" s="37" t="s">
        <v>2250</v>
      </c>
      <c r="W81" s="37"/>
      <c r="X81" s="37" t="e">
        <v>#N/A</v>
      </c>
    </row>
    <row r="82" spans="1:24" x14ac:dyDescent="0.3">
      <c r="A82" s="37">
        <f t="shared" si="5"/>
        <v>81</v>
      </c>
      <c r="B82" s="76" t="s">
        <v>1634</v>
      </c>
      <c r="C82" s="76" t="s">
        <v>1633</v>
      </c>
      <c r="D82" s="76" t="s">
        <v>2332</v>
      </c>
      <c r="E82" s="77">
        <v>447518186</v>
      </c>
      <c r="F82" s="77">
        <v>2500000</v>
      </c>
      <c r="G82" s="77" t="s">
        <v>2815</v>
      </c>
      <c r="H82" s="77" t="s">
        <v>2857</v>
      </c>
      <c r="I82" s="76" t="s">
        <v>2102</v>
      </c>
      <c r="J82" s="76" t="s">
        <v>28</v>
      </c>
      <c r="K82" s="76" t="str">
        <f>VLOOKUP($B82,'WILL TOKO SEP'!A83:AK822,37,0)</f>
        <v>PAYANGAN</v>
      </c>
      <c r="L82" s="76" t="s">
        <v>2103</v>
      </c>
      <c r="M82" s="37" t="s">
        <v>3</v>
      </c>
      <c r="N82" s="78">
        <v>0</v>
      </c>
      <c r="O82" s="78">
        <v>0</v>
      </c>
      <c r="P82" s="79">
        <v>46209</v>
      </c>
      <c r="Q82" s="79">
        <v>46244</v>
      </c>
      <c r="R82" s="79" t="str">
        <f>IFERROR(VLOOKUP($B82,JADWAL!$G$6:$J$690,4,0),"")</f>
        <v/>
      </c>
      <c r="S82" s="77">
        <f t="shared" si="4"/>
        <v>2</v>
      </c>
      <c r="T82" s="77"/>
      <c r="U82" s="37" t="s">
        <v>2242</v>
      </c>
      <c r="V82" s="37" t="s">
        <v>2078</v>
      </c>
      <c r="W82" s="37"/>
      <c r="X82" s="37" t="e">
        <v>#N/A</v>
      </c>
    </row>
    <row r="83" spans="1:24" x14ac:dyDescent="0.3">
      <c r="A83" s="37">
        <f t="shared" si="5"/>
        <v>82</v>
      </c>
      <c r="B83" s="76" t="s">
        <v>1515</v>
      </c>
      <c r="C83" s="76" t="s">
        <v>1514</v>
      </c>
      <c r="D83" s="76" t="s">
        <v>2334</v>
      </c>
      <c r="E83" s="77">
        <v>384878412</v>
      </c>
      <c r="F83" s="77">
        <v>2500000</v>
      </c>
      <c r="G83" s="77" t="s">
        <v>2817</v>
      </c>
      <c r="H83" s="77" t="s">
        <v>2852</v>
      </c>
      <c r="I83" s="76" t="s">
        <v>2102</v>
      </c>
      <c r="J83" s="76" t="s">
        <v>4</v>
      </c>
      <c r="K83" s="76" t="str">
        <f>VLOOKUP($B83,'WILL TOKO SEP'!A84:AK823,37,0)</f>
        <v>DENPASAR SELATAN</v>
      </c>
      <c r="L83" s="76" t="s">
        <v>2103</v>
      </c>
      <c r="M83" s="37" t="s">
        <v>3</v>
      </c>
      <c r="N83" s="78">
        <v>0</v>
      </c>
      <c r="O83" s="78">
        <v>0</v>
      </c>
      <c r="P83" s="79">
        <v>46204</v>
      </c>
      <c r="Q83" s="79">
        <v>46247</v>
      </c>
      <c r="R83" s="79" t="str">
        <f>IFERROR(VLOOKUP($B83,JADWAL!$G$6:$J$690,4,0),"")</f>
        <v/>
      </c>
      <c r="S83" s="77">
        <f t="shared" si="4"/>
        <v>2</v>
      </c>
      <c r="T83" s="77"/>
      <c r="U83" s="37" t="s">
        <v>2242</v>
      </c>
      <c r="V83" s="37" t="s">
        <v>2250</v>
      </c>
      <c r="W83" s="37"/>
      <c r="X83" s="37" t="e">
        <v>#N/A</v>
      </c>
    </row>
    <row r="84" spans="1:24" x14ac:dyDescent="0.3">
      <c r="A84" s="37">
        <f t="shared" si="5"/>
        <v>83</v>
      </c>
      <c r="B84" s="76" t="s">
        <v>1509</v>
      </c>
      <c r="C84" s="76" t="s">
        <v>1508</v>
      </c>
      <c r="D84" s="76" t="s">
        <v>2335</v>
      </c>
      <c r="E84" s="77">
        <v>442502305</v>
      </c>
      <c r="F84" s="77">
        <v>2000000</v>
      </c>
      <c r="G84" s="77" t="s">
        <v>2819</v>
      </c>
      <c r="H84" s="77" t="s">
        <v>2862</v>
      </c>
      <c r="I84" s="76" t="s">
        <v>2102</v>
      </c>
      <c r="J84" s="76" t="s">
        <v>4</v>
      </c>
      <c r="K84" s="76" t="str">
        <f>VLOOKUP($B84,'WILL TOKO SEP'!A85:AK824,37,0)</f>
        <v>DENPASAR BARAT</v>
      </c>
      <c r="L84" s="76" t="s">
        <v>2104</v>
      </c>
      <c r="M84" s="37" t="s">
        <v>3</v>
      </c>
      <c r="N84" s="79">
        <v>46153</v>
      </c>
      <c r="O84" s="78">
        <v>0</v>
      </c>
      <c r="P84" s="79">
        <v>46213</v>
      </c>
      <c r="Q84" s="79">
        <v>46247</v>
      </c>
      <c r="R84" s="79" t="str">
        <f>IFERROR(VLOOKUP($B84,JADWAL!$G$6:$J$690,4,0),"")</f>
        <v/>
      </c>
      <c r="S84" s="77">
        <f t="shared" si="4"/>
        <v>1</v>
      </c>
      <c r="T84" s="77"/>
      <c r="U84" s="37" t="s">
        <v>2242</v>
      </c>
      <c r="V84" s="37" t="s">
        <v>2078</v>
      </c>
      <c r="W84" s="37"/>
      <c r="X84" s="37" t="e">
        <v>#N/A</v>
      </c>
    </row>
    <row r="85" spans="1:24" x14ac:dyDescent="0.3">
      <c r="A85" s="37">
        <f t="shared" si="5"/>
        <v>84</v>
      </c>
      <c r="B85" s="76" t="s">
        <v>1463</v>
      </c>
      <c r="C85" s="76" t="s">
        <v>1462</v>
      </c>
      <c r="D85" s="76" t="s">
        <v>2336</v>
      </c>
      <c r="E85" s="77">
        <v>405410896</v>
      </c>
      <c r="F85" s="77">
        <v>2000000</v>
      </c>
      <c r="G85" s="77" t="s">
        <v>2830</v>
      </c>
      <c r="H85" s="77" t="s">
        <v>2849</v>
      </c>
      <c r="I85" s="76" t="s">
        <v>2102</v>
      </c>
      <c r="J85" s="76" t="s">
        <v>4</v>
      </c>
      <c r="K85" s="76" t="str">
        <f>VLOOKUP($B85,'WILL TOKO SEP'!A86:AK825,37,0)</f>
        <v>DENPASAR TIMUR</v>
      </c>
      <c r="L85" s="76" t="s">
        <v>2103</v>
      </c>
      <c r="M85" s="37" t="s">
        <v>3</v>
      </c>
      <c r="N85" s="78">
        <v>0</v>
      </c>
      <c r="O85" s="78">
        <v>0</v>
      </c>
      <c r="P85" s="79">
        <v>46226</v>
      </c>
      <c r="Q85" s="79">
        <v>46248</v>
      </c>
      <c r="R85" s="79" t="str">
        <f>IFERROR(VLOOKUP($B85,JADWAL!$G$6:$J$690,4,0),"")</f>
        <v/>
      </c>
      <c r="S85" s="77">
        <f t="shared" si="4"/>
        <v>2</v>
      </c>
      <c r="T85" s="77"/>
      <c r="U85" s="37" t="s">
        <v>2242</v>
      </c>
      <c r="V85" s="37" t="s">
        <v>2250</v>
      </c>
      <c r="W85" s="37"/>
      <c r="X85" s="37" t="e">
        <v>#N/A</v>
      </c>
    </row>
    <row r="86" spans="1:24" x14ac:dyDescent="0.3">
      <c r="A86" s="37">
        <f t="shared" si="5"/>
        <v>85</v>
      </c>
      <c r="B86" s="76" t="s">
        <v>800</v>
      </c>
      <c r="C86" s="76" t="s">
        <v>5709</v>
      </c>
      <c r="D86" s="76" t="s">
        <v>5288</v>
      </c>
      <c r="E86" s="77">
        <v>583624164</v>
      </c>
      <c r="F86" s="77">
        <v>2500000</v>
      </c>
      <c r="G86" s="77" t="s">
        <v>2834</v>
      </c>
      <c r="H86" s="77" t="s">
        <v>2844</v>
      </c>
      <c r="I86" s="76" t="s">
        <v>2102</v>
      </c>
      <c r="J86" s="76" t="s">
        <v>32</v>
      </c>
      <c r="K86" s="76" t="str">
        <f>VLOOKUP($B86,'WILL TOKO SEP'!A87:AK826,37,0)</f>
        <v>KINTAMANI</v>
      </c>
      <c r="L86" s="76" t="s">
        <v>2104</v>
      </c>
      <c r="M86" s="37" t="s">
        <v>3</v>
      </c>
      <c r="N86" s="79">
        <v>46167</v>
      </c>
      <c r="O86" s="78">
        <v>0</v>
      </c>
      <c r="P86" s="79">
        <v>46231</v>
      </c>
      <c r="Q86" s="241">
        <v>0</v>
      </c>
      <c r="R86" s="79" t="str">
        <f>IFERROR(VLOOKUP($B86,JADWAL!$G$6:$J$690,4,0),"")</f>
        <v/>
      </c>
      <c r="S86" s="77">
        <f t="shared" si="4"/>
        <v>1</v>
      </c>
      <c r="T86" s="77"/>
      <c r="U86" s="37" t="s">
        <v>2242</v>
      </c>
      <c r="V86" s="37" t="s">
        <v>2250</v>
      </c>
      <c r="W86" s="37"/>
      <c r="X86" s="37" t="s">
        <v>27</v>
      </c>
    </row>
    <row r="87" spans="1:24" x14ac:dyDescent="0.3">
      <c r="A87" s="37">
        <f t="shared" si="5"/>
        <v>86</v>
      </c>
      <c r="B87" s="76" t="s">
        <v>1245</v>
      </c>
      <c r="C87" s="76" t="s">
        <v>1244</v>
      </c>
      <c r="D87" s="76" t="s">
        <v>2340</v>
      </c>
      <c r="E87" s="77">
        <v>497664389</v>
      </c>
      <c r="F87" s="77">
        <v>2500000</v>
      </c>
      <c r="G87" s="77" t="s">
        <v>2825</v>
      </c>
      <c r="H87" s="77" t="s">
        <v>2853</v>
      </c>
      <c r="I87" s="76" t="s">
        <v>2102</v>
      </c>
      <c r="J87" s="76" t="s">
        <v>9</v>
      </c>
      <c r="K87" s="76" t="str">
        <f>VLOOKUP($B87,'WILL TOKO SEP'!A88:AK827,37,0)</f>
        <v>ABIANSEMAL</v>
      </c>
      <c r="L87" s="76" t="s">
        <v>2104</v>
      </c>
      <c r="M87" s="37" t="s">
        <v>3</v>
      </c>
      <c r="N87" s="78">
        <v>0</v>
      </c>
      <c r="O87" s="78">
        <v>0</v>
      </c>
      <c r="P87" s="79">
        <v>46213</v>
      </c>
      <c r="Q87" s="241">
        <v>0</v>
      </c>
      <c r="R87" s="79" t="str">
        <f>IFERROR(VLOOKUP($B87,JADWAL!$G$6:$J$690,4,0),"")</f>
        <v/>
      </c>
      <c r="S87" s="77">
        <f t="shared" si="4"/>
        <v>2</v>
      </c>
      <c r="T87" s="77"/>
      <c r="U87" s="37" t="s">
        <v>2242</v>
      </c>
      <c r="V87" s="37" t="s">
        <v>2250</v>
      </c>
      <c r="W87" s="37"/>
      <c r="X87" s="37" t="s">
        <v>20</v>
      </c>
    </row>
    <row r="88" spans="1:24" x14ac:dyDescent="0.3">
      <c r="A88" s="37">
        <f t="shared" si="5"/>
        <v>87</v>
      </c>
      <c r="B88" s="76" t="s">
        <v>2884</v>
      </c>
      <c r="C88" s="37" t="s">
        <v>1545</v>
      </c>
      <c r="D88" s="76" t="s">
        <v>2341</v>
      </c>
      <c r="E88" s="77">
        <v>0</v>
      </c>
      <c r="F88" s="77">
        <v>0</v>
      </c>
      <c r="G88" s="77" t="e">
        <v>#N/A</v>
      </c>
      <c r="H88" s="77" t="e">
        <v>#N/A</v>
      </c>
      <c r="I88" s="76" t="s">
        <v>2102</v>
      </c>
      <c r="J88" s="76" t="s">
        <v>9</v>
      </c>
      <c r="K88" s="76" t="str">
        <f>VLOOKUP($B88,'WILL TOKO SEP'!A89:AK828,37,0)</f>
        <v>ABIANSEMAL</v>
      </c>
      <c r="L88" s="76" t="s">
        <v>2104</v>
      </c>
      <c r="M88" s="37" t="s">
        <v>3</v>
      </c>
      <c r="N88" s="78">
        <v>0</v>
      </c>
      <c r="O88" s="79">
        <v>46186</v>
      </c>
      <c r="P88" s="79">
        <v>46224</v>
      </c>
      <c r="Q88" s="79">
        <v>46245</v>
      </c>
      <c r="R88" s="79" t="str">
        <f>IFERROR(VLOOKUP($B88,JADWAL!$G$6:$J$690,4,0),"")</f>
        <v/>
      </c>
      <c r="S88" s="77">
        <f t="shared" si="4"/>
        <v>1</v>
      </c>
      <c r="T88" s="77"/>
      <c r="U88" s="37" t="s">
        <v>2242</v>
      </c>
      <c r="V88" s="37" t="s">
        <v>2250</v>
      </c>
      <c r="W88" s="37"/>
      <c r="X88" s="37" t="e">
        <v>#N/A</v>
      </c>
    </row>
    <row r="89" spans="1:24" x14ac:dyDescent="0.3">
      <c r="A89" s="37">
        <f t="shared" si="5"/>
        <v>88</v>
      </c>
      <c r="B89" s="76" t="s">
        <v>1502</v>
      </c>
      <c r="C89" s="76" t="s">
        <v>1501</v>
      </c>
      <c r="D89" s="76" t="s">
        <v>2342</v>
      </c>
      <c r="E89" s="77">
        <v>725957831</v>
      </c>
      <c r="F89" s="77">
        <v>4500000</v>
      </c>
      <c r="G89" s="77" t="s">
        <v>2825</v>
      </c>
      <c r="H89" s="77" t="s">
        <v>2826</v>
      </c>
      <c r="I89" s="76" t="s">
        <v>2102</v>
      </c>
      <c r="J89" s="76" t="s">
        <v>9</v>
      </c>
      <c r="K89" s="76" t="e">
        <f>VLOOKUP($B89,'WILL TOKO SEP'!A90:AK829,37,0)</f>
        <v>#N/A</v>
      </c>
      <c r="L89" s="76" t="s">
        <v>2104</v>
      </c>
      <c r="M89" s="37" t="s">
        <v>3</v>
      </c>
      <c r="N89" s="79">
        <v>46160</v>
      </c>
      <c r="O89" s="79">
        <v>46195</v>
      </c>
      <c r="P89" s="79">
        <v>46217</v>
      </c>
      <c r="Q89" s="79">
        <v>46247</v>
      </c>
      <c r="R89" s="79" t="str">
        <f>IFERROR(VLOOKUP($B89,JADWAL!$G$6:$J$690,4,0),"")</f>
        <v/>
      </c>
      <c r="S89" s="77">
        <f t="shared" si="4"/>
        <v>0</v>
      </c>
      <c r="T89" s="77"/>
      <c r="U89" s="37" t="s">
        <v>2242</v>
      </c>
      <c r="V89" s="37" t="s">
        <v>2078</v>
      </c>
      <c r="W89" s="37"/>
      <c r="X89" s="37" t="e">
        <v>#N/A</v>
      </c>
    </row>
    <row r="90" spans="1:24" x14ac:dyDescent="0.3">
      <c r="A90" s="37">
        <f t="shared" si="5"/>
        <v>89</v>
      </c>
      <c r="B90" s="76" t="s">
        <v>1213</v>
      </c>
      <c r="C90" s="76" t="s">
        <v>1212</v>
      </c>
      <c r="D90" s="76" t="s">
        <v>2343</v>
      </c>
      <c r="E90" s="77">
        <v>468317347</v>
      </c>
      <c r="F90" s="77">
        <v>2500000</v>
      </c>
      <c r="G90" s="77" t="s">
        <v>2827</v>
      </c>
      <c r="H90" s="77" t="s">
        <v>2848</v>
      </c>
      <c r="I90" s="76" t="s">
        <v>2102</v>
      </c>
      <c r="J90" s="76" t="s">
        <v>48</v>
      </c>
      <c r="K90" s="76" t="str">
        <f>VLOOKUP($B90,'WILL TOKO SEP'!A91:AK830,37,0)</f>
        <v>GEROKGAK</v>
      </c>
      <c r="L90" s="76" t="s">
        <v>2104</v>
      </c>
      <c r="M90" s="37" t="s">
        <v>3</v>
      </c>
      <c r="N90" s="79">
        <v>46163</v>
      </c>
      <c r="O90" s="78">
        <v>0</v>
      </c>
      <c r="P90" s="79">
        <v>46216</v>
      </c>
      <c r="Q90" s="79">
        <v>46260</v>
      </c>
      <c r="R90" s="79" t="str">
        <f>IFERROR(VLOOKUP($B90,JADWAL!$G$6:$J$690,4,0),"")</f>
        <v/>
      </c>
      <c r="S90" s="77">
        <f t="shared" si="4"/>
        <v>1</v>
      </c>
      <c r="T90" s="77"/>
      <c r="U90" s="37" t="s">
        <v>2242</v>
      </c>
      <c r="V90" s="37" t="s">
        <v>2250</v>
      </c>
      <c r="W90" s="37"/>
      <c r="X90" s="37" t="s">
        <v>44</v>
      </c>
    </row>
    <row r="91" spans="1:24" x14ac:dyDescent="0.3">
      <c r="A91" s="37">
        <f t="shared" si="5"/>
        <v>90</v>
      </c>
      <c r="B91" s="76" t="s">
        <v>1363</v>
      </c>
      <c r="C91" s="76" t="s">
        <v>1362</v>
      </c>
      <c r="D91" s="76" t="s">
        <v>2344</v>
      </c>
      <c r="E91" s="77">
        <v>582592825</v>
      </c>
      <c r="F91" s="77">
        <v>3500000</v>
      </c>
      <c r="G91" s="77" t="s">
        <v>2825</v>
      </c>
      <c r="H91" s="77" t="s">
        <v>2837</v>
      </c>
      <c r="I91" s="76" t="s">
        <v>2102</v>
      </c>
      <c r="J91" s="76" t="s">
        <v>9</v>
      </c>
      <c r="K91" s="76" t="str">
        <f>VLOOKUP($B91,'WILL TOKO SEP'!A92:AK831,37,0)</f>
        <v>MENGWI</v>
      </c>
      <c r="L91" s="76" t="s">
        <v>2104</v>
      </c>
      <c r="M91" s="37" t="s">
        <v>3</v>
      </c>
      <c r="N91" s="78">
        <v>0</v>
      </c>
      <c r="O91" s="78">
        <v>0</v>
      </c>
      <c r="P91" s="79">
        <v>46207</v>
      </c>
      <c r="Q91" s="241">
        <v>0</v>
      </c>
      <c r="R91" s="79" t="str">
        <f>IFERROR(VLOOKUP($B91,JADWAL!$G$6:$J$690,4,0),"")</f>
        <v/>
      </c>
      <c r="S91" s="77">
        <f t="shared" si="4"/>
        <v>2</v>
      </c>
      <c r="T91" s="77"/>
      <c r="U91" s="37" t="s">
        <v>2242</v>
      </c>
      <c r="V91" s="37" t="s">
        <v>2250</v>
      </c>
      <c r="W91" s="37"/>
      <c r="X91" s="37" t="s">
        <v>20</v>
      </c>
    </row>
    <row r="92" spans="1:24" x14ac:dyDescent="0.3">
      <c r="A92" s="37">
        <f t="shared" si="5"/>
        <v>91</v>
      </c>
      <c r="B92" s="76" t="s">
        <v>693</v>
      </c>
      <c r="C92" s="76" t="s">
        <v>692</v>
      </c>
      <c r="D92" s="76" t="s">
        <v>2346</v>
      </c>
      <c r="E92" s="77">
        <v>472526684</v>
      </c>
      <c r="F92" s="77">
        <v>2500000</v>
      </c>
      <c r="G92" s="77" t="s">
        <v>2819</v>
      </c>
      <c r="H92" s="77" t="s">
        <v>2856</v>
      </c>
      <c r="I92" s="76" t="s">
        <v>2102</v>
      </c>
      <c r="J92" s="76" t="s">
        <v>4</v>
      </c>
      <c r="K92" s="76" t="str">
        <f>VLOOKUP($B92,'WILL TOKO SEP'!A93:AK832,37,0)</f>
        <v>DENPASAR UTARA</v>
      </c>
      <c r="L92" s="76" t="s">
        <v>2104</v>
      </c>
      <c r="M92" s="37" t="s">
        <v>3</v>
      </c>
      <c r="N92" s="78">
        <v>0</v>
      </c>
      <c r="O92" s="79">
        <v>46178</v>
      </c>
      <c r="P92" s="79">
        <v>46234</v>
      </c>
      <c r="Q92" s="241">
        <v>0</v>
      </c>
      <c r="R92" s="79" t="str">
        <f>IFERROR(VLOOKUP($B92,JADWAL!$G$6:$J$690,4,0),"")</f>
        <v/>
      </c>
      <c r="S92" s="77">
        <f t="shared" si="4"/>
        <v>1</v>
      </c>
      <c r="T92" s="77"/>
      <c r="U92" s="37" t="s">
        <v>2242</v>
      </c>
      <c r="V92" s="37" t="s">
        <v>2250</v>
      </c>
      <c r="W92" s="37"/>
      <c r="X92" s="37">
        <v>0</v>
      </c>
    </row>
    <row r="93" spans="1:24" x14ac:dyDescent="0.3">
      <c r="A93" s="37">
        <f t="shared" si="5"/>
        <v>92</v>
      </c>
      <c r="B93" s="76" t="s">
        <v>1339</v>
      </c>
      <c r="C93" s="76" t="s">
        <v>1338</v>
      </c>
      <c r="D93" s="76" t="s">
        <v>2347</v>
      </c>
      <c r="E93" s="77">
        <v>576619043</v>
      </c>
      <c r="F93" s="77">
        <v>3000000</v>
      </c>
      <c r="G93" s="77" t="s">
        <v>2813</v>
      </c>
      <c r="H93" s="77" t="s">
        <v>2858</v>
      </c>
      <c r="I93" s="76" t="s">
        <v>2102</v>
      </c>
      <c r="J93" s="76" t="s">
        <v>36</v>
      </c>
      <c r="K93" s="76" t="str">
        <f>VLOOKUP($B93,'WILL TOKO SEP'!A94:AK833,37,0)</f>
        <v>KEDIRI</v>
      </c>
      <c r="L93" s="76" t="s">
        <v>2104</v>
      </c>
      <c r="M93" s="37" t="s">
        <v>3</v>
      </c>
      <c r="N93" s="79">
        <v>46158</v>
      </c>
      <c r="O93" s="79">
        <v>46186</v>
      </c>
      <c r="P93" s="79">
        <v>46209</v>
      </c>
      <c r="Q93" s="241">
        <v>0</v>
      </c>
      <c r="R93" s="79" t="str">
        <f>IFERROR(VLOOKUP($B93,JADWAL!$G$6:$J$690,4,0),"")</f>
        <v/>
      </c>
      <c r="S93" s="77">
        <f t="shared" si="4"/>
        <v>0</v>
      </c>
      <c r="T93" s="77"/>
      <c r="U93" s="37" t="s">
        <v>2242</v>
      </c>
      <c r="V93" s="37" t="s">
        <v>2250</v>
      </c>
      <c r="W93" s="37"/>
      <c r="X93" s="37" t="s">
        <v>13</v>
      </c>
    </row>
    <row r="94" spans="1:24" x14ac:dyDescent="0.3">
      <c r="A94" s="37">
        <f t="shared" si="5"/>
        <v>93</v>
      </c>
      <c r="B94" s="76" t="s">
        <v>1070</v>
      </c>
      <c r="C94" s="76" t="s">
        <v>1069</v>
      </c>
      <c r="D94" s="76" t="s">
        <v>5426</v>
      </c>
      <c r="E94" s="77">
        <v>351704179</v>
      </c>
      <c r="F94" s="77">
        <v>2000000</v>
      </c>
      <c r="G94" s="77" t="s">
        <v>2817</v>
      </c>
      <c r="H94" s="77" t="s">
        <v>2851</v>
      </c>
      <c r="I94" s="76" t="s">
        <v>2102</v>
      </c>
      <c r="J94" s="76" t="s">
        <v>4</v>
      </c>
      <c r="K94" s="76" t="str">
        <f>VLOOKUP($B94,'WILL TOKO SEP'!A95:AK834,37,0)</f>
        <v>DENPASAR SELATAN</v>
      </c>
      <c r="L94" s="76" t="s">
        <v>2103</v>
      </c>
      <c r="M94" s="37" t="s">
        <v>3</v>
      </c>
      <c r="N94" s="78">
        <v>0</v>
      </c>
      <c r="O94" s="78">
        <v>0</v>
      </c>
      <c r="P94" s="79">
        <v>46220</v>
      </c>
      <c r="Q94" s="241">
        <v>0</v>
      </c>
      <c r="R94" s="79" t="str">
        <f>IFERROR(VLOOKUP($B94,JADWAL!$G$6:$J$690,4,0),"")</f>
        <v/>
      </c>
      <c r="S94" s="77">
        <f t="shared" si="4"/>
        <v>2</v>
      </c>
      <c r="T94" s="77"/>
      <c r="U94" s="37" t="s">
        <v>2242</v>
      </c>
      <c r="V94" s="37" t="s">
        <v>2250</v>
      </c>
      <c r="W94" s="37"/>
      <c r="X94" s="37">
        <v>0</v>
      </c>
    </row>
    <row r="95" spans="1:24" x14ac:dyDescent="0.3">
      <c r="A95" s="37">
        <f t="shared" si="5"/>
        <v>94</v>
      </c>
      <c r="B95" s="76" t="s">
        <v>990</v>
      </c>
      <c r="C95" s="76" t="s">
        <v>989</v>
      </c>
      <c r="D95" s="76" t="s">
        <v>2348</v>
      </c>
      <c r="E95" s="77">
        <v>496728511</v>
      </c>
      <c r="F95" s="77">
        <v>2000000</v>
      </c>
      <c r="G95" s="77" t="s">
        <v>2834</v>
      </c>
      <c r="H95" s="77" t="s">
        <v>2835</v>
      </c>
      <c r="I95" s="76" t="s">
        <v>2102</v>
      </c>
      <c r="J95" s="76" t="s">
        <v>32</v>
      </c>
      <c r="K95" s="76" t="str">
        <f>VLOOKUP($B95,'WILL TOKO SEP'!A96:AK835,37,0)</f>
        <v>KINTAMANI</v>
      </c>
      <c r="L95" s="76" t="s">
        <v>2104</v>
      </c>
      <c r="M95" s="37" t="s">
        <v>3</v>
      </c>
      <c r="N95" s="79">
        <v>46172</v>
      </c>
      <c r="O95" s="79">
        <v>46195</v>
      </c>
      <c r="P95" s="79">
        <v>46224</v>
      </c>
      <c r="Q95" s="241">
        <v>0</v>
      </c>
      <c r="R95" s="79" t="str">
        <f>IFERROR(VLOOKUP($B95,JADWAL!$G$6:$J$690,4,0),"")</f>
        <v/>
      </c>
      <c r="S95" s="77">
        <f t="shared" si="4"/>
        <v>0</v>
      </c>
      <c r="T95" s="77"/>
      <c r="U95" s="37" t="s">
        <v>2242</v>
      </c>
      <c r="V95" s="37" t="s">
        <v>2250</v>
      </c>
      <c r="W95" s="37"/>
      <c r="X95" s="37" t="s">
        <v>27</v>
      </c>
    </row>
    <row r="96" spans="1:24" x14ac:dyDescent="0.3">
      <c r="A96" s="37">
        <f t="shared" si="5"/>
        <v>95</v>
      </c>
      <c r="B96" s="76" t="s">
        <v>1691</v>
      </c>
      <c r="C96" s="76" t="s">
        <v>1690</v>
      </c>
      <c r="D96" s="76" t="s">
        <v>5344</v>
      </c>
      <c r="E96" s="77">
        <v>389768589</v>
      </c>
      <c r="F96" s="77">
        <v>2500000</v>
      </c>
      <c r="G96" s="77" t="s">
        <v>2817</v>
      </c>
      <c r="H96" s="77" t="s">
        <v>2850</v>
      </c>
      <c r="I96" s="76" t="s">
        <v>2102</v>
      </c>
      <c r="J96" s="76" t="s">
        <v>4</v>
      </c>
      <c r="K96" s="76" t="str">
        <f>VLOOKUP($B96,'WILL TOKO SEP'!A97:AK836,37,0)</f>
        <v>DENPASAR TIMUR</v>
      </c>
      <c r="L96" s="76" t="s">
        <v>2103</v>
      </c>
      <c r="M96" s="37" t="s">
        <v>3</v>
      </c>
      <c r="N96" s="79">
        <v>46167</v>
      </c>
      <c r="O96" s="79">
        <v>46199</v>
      </c>
      <c r="P96" s="79">
        <v>46223</v>
      </c>
      <c r="Q96" s="79">
        <v>46241</v>
      </c>
      <c r="R96" s="79" t="str">
        <f>IFERROR(VLOOKUP($B96,JADWAL!$G$6:$J$690,4,0),"")</f>
        <v/>
      </c>
      <c r="S96" s="77">
        <f t="shared" si="4"/>
        <v>0</v>
      </c>
      <c r="T96" s="77"/>
      <c r="U96" s="37" t="s">
        <v>2242</v>
      </c>
      <c r="V96" s="37" t="s">
        <v>2078</v>
      </c>
      <c r="W96" s="37"/>
      <c r="X96" s="37" t="e">
        <v>#N/A</v>
      </c>
    </row>
    <row r="97" spans="1:24" x14ac:dyDescent="0.3">
      <c r="A97" s="37">
        <f t="shared" si="5"/>
        <v>96</v>
      </c>
      <c r="B97" s="76" t="s">
        <v>1079</v>
      </c>
      <c r="C97" s="76" t="s">
        <v>1078</v>
      </c>
      <c r="D97" s="76" t="s">
        <v>5259</v>
      </c>
      <c r="E97" s="77">
        <v>516564345</v>
      </c>
      <c r="F97" s="77">
        <v>2500000</v>
      </c>
      <c r="G97" s="77" t="s">
        <v>2834</v>
      </c>
      <c r="H97" s="77" t="s">
        <v>2844</v>
      </c>
      <c r="I97" s="76" t="s">
        <v>2102</v>
      </c>
      <c r="J97" s="76" t="s">
        <v>32</v>
      </c>
      <c r="K97" s="76" t="str">
        <f>VLOOKUP($B97,'WILL TOKO SEP'!A98:AK837,37,0)</f>
        <v>KINTAMANI</v>
      </c>
      <c r="L97" s="76" t="s">
        <v>2104</v>
      </c>
      <c r="M97" s="37" t="s">
        <v>3</v>
      </c>
      <c r="N97" s="79">
        <v>46170</v>
      </c>
      <c r="O97" s="78">
        <v>0</v>
      </c>
      <c r="P97" s="79">
        <v>46220</v>
      </c>
      <c r="Q97" s="241">
        <v>0</v>
      </c>
      <c r="R97" s="79" t="str">
        <f>IFERROR(VLOOKUP($B97,JADWAL!$G$6:$J$690,4,0),"")</f>
        <v/>
      </c>
      <c r="S97" s="77">
        <f t="shared" si="4"/>
        <v>1</v>
      </c>
      <c r="T97" s="77"/>
      <c r="U97" s="37" t="s">
        <v>2242</v>
      </c>
      <c r="V97" s="37" t="s">
        <v>2250</v>
      </c>
      <c r="W97" s="37"/>
      <c r="X97" s="37" t="s">
        <v>27</v>
      </c>
    </row>
    <row r="98" spans="1:24" x14ac:dyDescent="0.3">
      <c r="A98" s="37">
        <f t="shared" si="5"/>
        <v>97</v>
      </c>
      <c r="B98" s="76" t="s">
        <v>735</v>
      </c>
      <c r="C98" s="76" t="s">
        <v>734</v>
      </c>
      <c r="D98" s="76" t="s">
        <v>5603</v>
      </c>
      <c r="E98" s="77">
        <v>451110818</v>
      </c>
      <c r="F98" s="77">
        <v>2000000</v>
      </c>
      <c r="G98" s="77" t="s">
        <v>2830</v>
      </c>
      <c r="H98" s="77" t="s">
        <v>2849</v>
      </c>
      <c r="I98" s="76" t="s">
        <v>2102</v>
      </c>
      <c r="J98" s="76" t="s">
        <v>4</v>
      </c>
      <c r="K98" s="76" t="str">
        <f>VLOOKUP($B98,'WILL TOKO SEP'!A99:AK838,37,0)</f>
        <v>Denpasar Timur</v>
      </c>
      <c r="L98" s="76" t="s">
        <v>2103</v>
      </c>
      <c r="M98" s="37" t="s">
        <v>3</v>
      </c>
      <c r="N98" s="79">
        <v>46170</v>
      </c>
      <c r="O98" s="78">
        <v>0</v>
      </c>
      <c r="P98" s="79">
        <v>46233</v>
      </c>
      <c r="Q98" s="241">
        <v>0</v>
      </c>
      <c r="R98" s="79" t="str">
        <f>IFERROR(VLOOKUP($B98,JADWAL!$G$6:$J$690,4,0),"")</f>
        <v/>
      </c>
      <c r="S98" s="77">
        <f t="shared" si="4"/>
        <v>1</v>
      </c>
      <c r="T98" s="77"/>
      <c r="U98" s="37" t="s">
        <v>2242</v>
      </c>
      <c r="V98" s="37" t="s">
        <v>2250</v>
      </c>
      <c r="W98" s="37"/>
      <c r="X98" s="37">
        <v>0</v>
      </c>
    </row>
    <row r="99" spans="1:24" x14ac:dyDescent="0.3">
      <c r="A99" s="37">
        <f t="shared" si="5"/>
        <v>98</v>
      </c>
      <c r="B99" s="76" t="s">
        <v>553</v>
      </c>
      <c r="C99" s="76" t="s">
        <v>552</v>
      </c>
      <c r="D99" s="76" t="s">
        <v>2350</v>
      </c>
      <c r="E99" s="77">
        <v>572574132</v>
      </c>
      <c r="F99" s="77">
        <v>2500000</v>
      </c>
      <c r="G99" s="77" t="s">
        <v>2825</v>
      </c>
      <c r="H99" s="77" t="s">
        <v>2837</v>
      </c>
      <c r="I99" s="76" t="s">
        <v>2102</v>
      </c>
      <c r="J99" s="76" t="s">
        <v>9</v>
      </c>
      <c r="K99" s="76" t="str">
        <f>VLOOKUP($B99,'WILL TOKO SEP'!A100:AK839,37,0)</f>
        <v>MENGWI</v>
      </c>
      <c r="L99" s="76" t="s">
        <v>2104</v>
      </c>
      <c r="M99" s="37" t="s">
        <v>3</v>
      </c>
      <c r="N99" s="78">
        <v>0</v>
      </c>
      <c r="O99" s="79">
        <v>46200</v>
      </c>
      <c r="P99" s="78">
        <v>0</v>
      </c>
      <c r="Q99" s="241">
        <v>0</v>
      </c>
      <c r="R99" s="79" t="str">
        <f>IFERROR(VLOOKUP($B99,JADWAL!$G$6:$J$690,4,0),"")</f>
        <v/>
      </c>
      <c r="S99" s="77">
        <f t="shared" si="4"/>
        <v>2</v>
      </c>
      <c r="T99" s="77"/>
      <c r="U99" s="37" t="s">
        <v>2242</v>
      </c>
      <c r="V99" s="37" t="s">
        <v>2250</v>
      </c>
      <c r="W99" s="37"/>
      <c r="X99" s="37" t="s">
        <v>13</v>
      </c>
    </row>
    <row r="100" spans="1:24" x14ac:dyDescent="0.3">
      <c r="A100" s="37">
        <f t="shared" si="5"/>
        <v>99</v>
      </c>
      <c r="B100" s="76" t="s">
        <v>1431</v>
      </c>
      <c r="C100" s="76" t="s">
        <v>5727</v>
      </c>
      <c r="D100" s="76" t="s">
        <v>5594</v>
      </c>
      <c r="E100" s="77">
        <v>432406813</v>
      </c>
      <c r="F100" s="77">
        <v>2000000</v>
      </c>
      <c r="G100" s="77" t="s">
        <v>2825</v>
      </c>
      <c r="H100" s="77" t="s">
        <v>2836</v>
      </c>
      <c r="I100" s="76" t="s">
        <v>2102</v>
      </c>
      <c r="J100" s="76" t="s">
        <v>48</v>
      </c>
      <c r="K100" s="76" t="str">
        <f>VLOOKUP($B100,'WILL TOKO SEP'!A101:AK840,37,0)</f>
        <v>Sukasada</v>
      </c>
      <c r="L100" s="76" t="s">
        <v>2104</v>
      </c>
      <c r="M100" s="37" t="s">
        <v>3</v>
      </c>
      <c r="N100" s="79">
        <v>46157</v>
      </c>
      <c r="O100" s="79">
        <v>46185</v>
      </c>
      <c r="P100" s="78">
        <v>0</v>
      </c>
      <c r="Q100" s="79">
        <v>46248</v>
      </c>
      <c r="R100" s="79" t="str">
        <f>IFERROR(VLOOKUP($B100,JADWAL!$G$6:$J$690,4,0),"")</f>
        <v/>
      </c>
      <c r="S100" s="77">
        <f t="shared" si="4"/>
        <v>1</v>
      </c>
      <c r="T100" s="77"/>
      <c r="U100" s="37" t="s">
        <v>2242</v>
      </c>
      <c r="V100" s="37" t="s">
        <v>2250</v>
      </c>
      <c r="W100" s="37"/>
      <c r="X100" s="37" t="e">
        <v>#N/A</v>
      </c>
    </row>
    <row r="101" spans="1:24" x14ac:dyDescent="0.3">
      <c r="A101" s="37">
        <f t="shared" si="5"/>
        <v>100</v>
      </c>
      <c r="B101" s="76" t="s">
        <v>1814</v>
      </c>
      <c r="C101" s="76" t="s">
        <v>1813</v>
      </c>
      <c r="D101" s="76" t="s">
        <v>5477</v>
      </c>
      <c r="E101" s="77">
        <v>435594526</v>
      </c>
      <c r="F101" s="77">
        <v>2000000</v>
      </c>
      <c r="G101" s="77" t="s">
        <v>2830</v>
      </c>
      <c r="H101" s="77" t="s">
        <v>2849</v>
      </c>
      <c r="I101" s="76" t="s">
        <v>2102</v>
      </c>
      <c r="J101" s="76" t="s">
        <v>4</v>
      </c>
      <c r="K101" s="76" t="str">
        <f>VLOOKUP($B101,'WILL TOKO SEP'!A102:AK841,37,0)</f>
        <v>DENPASAR TIMUR</v>
      </c>
      <c r="L101" s="76" t="s">
        <v>2103</v>
      </c>
      <c r="M101" s="37" t="s">
        <v>3</v>
      </c>
      <c r="N101" s="78">
        <v>0</v>
      </c>
      <c r="O101" s="78">
        <v>0</v>
      </c>
      <c r="P101" s="79">
        <v>46210</v>
      </c>
      <c r="Q101" s="79">
        <v>46238</v>
      </c>
      <c r="R101" s="79" t="str">
        <f>IFERROR(VLOOKUP($B101,JADWAL!$G$6:$J$690,4,0),"")</f>
        <v/>
      </c>
      <c r="S101" s="77">
        <f t="shared" si="4"/>
        <v>2</v>
      </c>
      <c r="T101" s="77"/>
      <c r="U101" s="37" t="s">
        <v>2242</v>
      </c>
      <c r="V101" s="37" t="s">
        <v>2250</v>
      </c>
      <c r="W101" s="37"/>
      <c r="X101" s="37" t="e">
        <v>#N/A</v>
      </c>
    </row>
    <row r="102" spans="1:24" x14ac:dyDescent="0.3">
      <c r="A102" s="37">
        <f t="shared" si="5"/>
        <v>101</v>
      </c>
      <c r="B102" s="76" t="s">
        <v>1557</v>
      </c>
      <c r="C102" s="76" t="s">
        <v>1556</v>
      </c>
      <c r="D102" s="76" t="s">
        <v>2353</v>
      </c>
      <c r="E102" s="77">
        <v>408720468</v>
      </c>
      <c r="F102" s="77">
        <v>2000000</v>
      </c>
      <c r="G102" s="77" t="s">
        <v>2817</v>
      </c>
      <c r="H102" s="77" t="s">
        <v>2865</v>
      </c>
      <c r="I102" s="76" t="s">
        <v>2102</v>
      </c>
      <c r="J102" s="76" t="s">
        <v>9</v>
      </c>
      <c r="K102" s="76" t="str">
        <f>VLOOKUP($B102,'WILL TOKO SEP'!A103:AK842,37,0)</f>
        <v>KUTA</v>
      </c>
      <c r="L102" s="76" t="s">
        <v>2104</v>
      </c>
      <c r="M102" s="37" t="s">
        <v>3</v>
      </c>
      <c r="N102" s="78">
        <v>0</v>
      </c>
      <c r="O102" s="79">
        <v>46203</v>
      </c>
      <c r="P102" s="78">
        <v>0</v>
      </c>
      <c r="Q102" s="79">
        <v>46245</v>
      </c>
      <c r="R102" s="79" t="str">
        <f>IFERROR(VLOOKUP($B102,JADWAL!$G$6:$J$690,4,0),"")</f>
        <v/>
      </c>
      <c r="S102" s="77">
        <f t="shared" si="4"/>
        <v>2</v>
      </c>
      <c r="T102" s="77"/>
      <c r="U102" s="37" t="s">
        <v>2242</v>
      </c>
      <c r="V102" s="37" t="s">
        <v>2250</v>
      </c>
      <c r="W102" s="37"/>
      <c r="X102" s="37" t="e">
        <v>#N/A</v>
      </c>
    </row>
    <row r="103" spans="1:24" x14ac:dyDescent="0.3">
      <c r="A103" s="37">
        <f t="shared" si="5"/>
        <v>102</v>
      </c>
      <c r="B103" s="76" t="s">
        <v>1433</v>
      </c>
      <c r="C103" s="76" t="s">
        <v>1432</v>
      </c>
      <c r="D103" s="76" t="s">
        <v>2354</v>
      </c>
      <c r="E103" s="77">
        <v>480172373</v>
      </c>
      <c r="F103" s="77">
        <v>2500000</v>
      </c>
      <c r="G103" s="77" t="s">
        <v>2825</v>
      </c>
      <c r="H103" s="77" t="s">
        <v>2836</v>
      </c>
      <c r="I103" s="76" t="s">
        <v>2102</v>
      </c>
      <c r="J103" s="76" t="s">
        <v>48</v>
      </c>
      <c r="K103" s="76" t="str">
        <f>VLOOKUP($B103,'WILL TOKO SEP'!A104:AK843,37,0)</f>
        <v>SUKASADA</v>
      </c>
      <c r="L103" s="76" t="s">
        <v>2104</v>
      </c>
      <c r="M103" s="37" t="s">
        <v>3</v>
      </c>
      <c r="N103" s="79">
        <v>46157</v>
      </c>
      <c r="O103" s="79">
        <v>46188</v>
      </c>
      <c r="P103" s="78">
        <v>0</v>
      </c>
      <c r="Q103" s="79">
        <v>46248</v>
      </c>
      <c r="R103" s="79" t="str">
        <f>IFERROR(VLOOKUP($B103,JADWAL!$G$6:$J$690,4,0),"")</f>
        <v/>
      </c>
      <c r="S103" s="77">
        <f t="shared" si="4"/>
        <v>1</v>
      </c>
      <c r="T103" s="77"/>
      <c r="U103" s="37" t="s">
        <v>2242</v>
      </c>
      <c r="V103" s="37" t="s">
        <v>2250</v>
      </c>
      <c r="W103" s="37"/>
      <c r="X103" s="37" t="e">
        <v>#N/A</v>
      </c>
    </row>
    <row r="104" spans="1:24" x14ac:dyDescent="0.3">
      <c r="A104" s="37">
        <f t="shared" si="5"/>
        <v>103</v>
      </c>
      <c r="B104" s="76" t="s">
        <v>848</v>
      </c>
      <c r="C104" s="76" t="s">
        <v>847</v>
      </c>
      <c r="D104" s="76" t="s">
        <v>5211</v>
      </c>
      <c r="E104" s="77">
        <v>574322419</v>
      </c>
      <c r="F104" s="77">
        <v>2000000</v>
      </c>
      <c r="G104" s="77" t="s">
        <v>2821</v>
      </c>
      <c r="H104" s="77" t="s">
        <v>2845</v>
      </c>
      <c r="I104" s="76" t="s">
        <v>2102</v>
      </c>
      <c r="J104" s="76" t="s">
        <v>90</v>
      </c>
      <c r="K104" s="76" t="str">
        <f>VLOOKUP($B104,'WILL TOKO SEP'!A105:AK844,37,0)</f>
        <v>MENDOYO</v>
      </c>
      <c r="L104" s="76" t="s">
        <v>2104</v>
      </c>
      <c r="M104" s="37" t="s">
        <v>3</v>
      </c>
      <c r="N104" s="78">
        <v>0</v>
      </c>
      <c r="O104" s="78">
        <v>0</v>
      </c>
      <c r="P104" s="79">
        <v>46228</v>
      </c>
      <c r="Q104" s="241">
        <v>0</v>
      </c>
      <c r="R104" s="79" t="str">
        <f>IFERROR(VLOOKUP($B104,JADWAL!$G$6:$J$690,4,0),"")</f>
        <v/>
      </c>
      <c r="S104" s="77">
        <f t="shared" si="4"/>
        <v>2</v>
      </c>
      <c r="T104" s="77"/>
      <c r="U104" s="37" t="s">
        <v>2242</v>
      </c>
      <c r="V104" s="37" t="s">
        <v>2250</v>
      </c>
      <c r="W104" s="37"/>
      <c r="X104" s="37" t="s">
        <v>13</v>
      </c>
    </row>
    <row r="105" spans="1:24" x14ac:dyDescent="0.3">
      <c r="A105" s="37">
        <f t="shared" si="5"/>
        <v>104</v>
      </c>
      <c r="B105" s="76" t="s">
        <v>1619</v>
      </c>
      <c r="C105" s="76" t="s">
        <v>1618</v>
      </c>
      <c r="D105" s="76" t="s">
        <v>2355</v>
      </c>
      <c r="E105" s="77">
        <v>410785561</v>
      </c>
      <c r="F105" s="77">
        <v>3000000</v>
      </c>
      <c r="G105" s="77" t="s">
        <v>2830</v>
      </c>
      <c r="H105" s="77" t="s">
        <v>2847</v>
      </c>
      <c r="I105" s="76" t="s">
        <v>2102</v>
      </c>
      <c r="J105" s="76" t="s">
        <v>4</v>
      </c>
      <c r="K105" s="76" t="str">
        <f>VLOOKUP($B105,'WILL TOKO SEP'!A106:AK845,37,0)</f>
        <v>DENPASAR SELATAN</v>
      </c>
      <c r="L105" s="76" t="s">
        <v>2103</v>
      </c>
      <c r="M105" s="37" t="s">
        <v>3</v>
      </c>
      <c r="N105" s="79">
        <v>46154</v>
      </c>
      <c r="O105" s="79">
        <v>46192</v>
      </c>
      <c r="P105" s="79">
        <v>46219</v>
      </c>
      <c r="Q105" s="79">
        <v>46244</v>
      </c>
      <c r="R105" s="79" t="str">
        <f>IFERROR(VLOOKUP($B105,JADWAL!$G$6:$J$690,4,0),"")</f>
        <v/>
      </c>
      <c r="S105" s="77">
        <f t="shared" si="4"/>
        <v>0</v>
      </c>
      <c r="T105" s="77"/>
      <c r="U105" s="37" t="s">
        <v>2242</v>
      </c>
      <c r="V105" s="37" t="s">
        <v>2078</v>
      </c>
      <c r="W105" s="37"/>
      <c r="X105" s="37" t="e">
        <v>#N/A</v>
      </c>
    </row>
    <row r="106" spans="1:24" x14ac:dyDescent="0.3">
      <c r="A106" s="37">
        <f t="shared" si="5"/>
        <v>105</v>
      </c>
      <c r="B106" s="76" t="s">
        <v>1291</v>
      </c>
      <c r="C106" s="76" t="s">
        <v>1290</v>
      </c>
      <c r="D106" s="76" t="s">
        <v>2358</v>
      </c>
      <c r="E106" s="77">
        <v>454847238</v>
      </c>
      <c r="F106" s="77">
        <v>3000000</v>
      </c>
      <c r="G106" s="77" t="s">
        <v>2817</v>
      </c>
      <c r="H106" s="77" t="s">
        <v>2852</v>
      </c>
      <c r="I106" s="76" t="s">
        <v>2102</v>
      </c>
      <c r="J106" s="76" t="s">
        <v>4</v>
      </c>
      <c r="K106" s="76" t="str">
        <f>VLOOKUP($B106,'WILL TOKO SEP'!A107:AK846,37,0)</f>
        <v>DENPASAR SELATAN</v>
      </c>
      <c r="L106" s="76" t="s">
        <v>2103</v>
      </c>
      <c r="M106" s="37" t="s">
        <v>3</v>
      </c>
      <c r="N106" s="78">
        <v>0</v>
      </c>
      <c r="O106" s="78">
        <v>0</v>
      </c>
      <c r="P106" s="79">
        <v>46211</v>
      </c>
      <c r="Q106" s="241">
        <v>0</v>
      </c>
      <c r="R106" s="79" t="str">
        <f>IFERROR(VLOOKUP($B106,JADWAL!$G$6:$J$690,4,0),"")</f>
        <v/>
      </c>
      <c r="S106" s="77">
        <f t="shared" si="4"/>
        <v>2</v>
      </c>
      <c r="T106" s="77"/>
      <c r="U106" s="37" t="s">
        <v>2242</v>
      </c>
      <c r="V106" s="37" t="s">
        <v>2250</v>
      </c>
      <c r="W106" s="37"/>
      <c r="X106" s="37">
        <v>0</v>
      </c>
    </row>
    <row r="107" spans="1:24" x14ac:dyDescent="0.3">
      <c r="A107" s="37">
        <f t="shared" si="5"/>
        <v>106</v>
      </c>
      <c r="B107" s="76" t="s">
        <v>1717</v>
      </c>
      <c r="C107" s="76" t="s">
        <v>1716</v>
      </c>
      <c r="D107" s="76" t="s">
        <v>2362</v>
      </c>
      <c r="E107" s="77">
        <v>410066248</v>
      </c>
      <c r="F107" s="77">
        <v>2500000</v>
      </c>
      <c r="G107" s="77" t="s">
        <v>2813</v>
      </c>
      <c r="H107" s="77" t="s">
        <v>2824</v>
      </c>
      <c r="I107" s="76" t="s">
        <v>2102</v>
      </c>
      <c r="J107" s="76" t="s">
        <v>9</v>
      </c>
      <c r="K107" s="76" t="str">
        <f>VLOOKUP($B107,'WILL TOKO SEP'!A108:AK847,37,0)</f>
        <v>KUTA SELATAN</v>
      </c>
      <c r="L107" s="76" t="s">
        <v>2103</v>
      </c>
      <c r="M107" s="37" t="s">
        <v>3</v>
      </c>
      <c r="N107" s="78">
        <v>0</v>
      </c>
      <c r="O107" s="79">
        <v>46181</v>
      </c>
      <c r="P107" s="78">
        <v>0</v>
      </c>
      <c r="Q107" s="79">
        <v>46240</v>
      </c>
      <c r="R107" s="79" t="str">
        <f>IFERROR(VLOOKUP($B107,JADWAL!$G$6:$J$690,4,0),"")</f>
        <v/>
      </c>
      <c r="S107" s="77">
        <f t="shared" si="4"/>
        <v>2</v>
      </c>
      <c r="T107" s="77"/>
      <c r="U107" s="37" t="s">
        <v>2242</v>
      </c>
      <c r="V107" s="37" t="s">
        <v>2250</v>
      </c>
      <c r="W107" s="37"/>
      <c r="X107" s="37" t="e">
        <v>#N/A</v>
      </c>
    </row>
    <row r="108" spans="1:24" x14ac:dyDescent="0.3">
      <c r="A108" s="37">
        <f t="shared" si="5"/>
        <v>107</v>
      </c>
      <c r="B108" s="76" t="s">
        <v>1062</v>
      </c>
      <c r="C108" s="76" t="s">
        <v>1061</v>
      </c>
      <c r="D108" s="76" t="s">
        <v>5296</v>
      </c>
      <c r="E108" s="77">
        <v>509548459</v>
      </c>
      <c r="F108" s="77">
        <v>3500000</v>
      </c>
      <c r="G108" s="77" t="s">
        <v>2817</v>
      </c>
      <c r="H108" s="77" t="s">
        <v>2851</v>
      </c>
      <c r="I108" s="76" t="s">
        <v>2102</v>
      </c>
      <c r="J108" s="76" t="s">
        <v>4</v>
      </c>
      <c r="K108" s="76" t="str">
        <f>VLOOKUP($B108,'WILL TOKO SEP'!A109:AK848,37,0)</f>
        <v>DENPASAR SELATAN</v>
      </c>
      <c r="L108" s="76" t="s">
        <v>2103</v>
      </c>
      <c r="M108" s="37" t="s">
        <v>3</v>
      </c>
      <c r="N108" s="78">
        <v>0</v>
      </c>
      <c r="O108" s="79">
        <v>46186</v>
      </c>
      <c r="P108" s="79">
        <v>46221</v>
      </c>
      <c r="Q108" s="79">
        <v>46261</v>
      </c>
      <c r="R108" s="79" t="str">
        <f>IFERROR(VLOOKUP($B108,JADWAL!$G$6:$J$690,4,0),"")</f>
        <v/>
      </c>
      <c r="S108" s="77">
        <f t="shared" si="4"/>
        <v>1</v>
      </c>
      <c r="T108" s="77"/>
      <c r="U108" s="37" t="s">
        <v>2242</v>
      </c>
      <c r="V108" s="37" t="s">
        <v>2078</v>
      </c>
      <c r="W108" s="37"/>
      <c r="X108" s="37">
        <v>0</v>
      </c>
    </row>
    <row r="109" spans="1:24" x14ac:dyDescent="0.3">
      <c r="A109" s="37">
        <f t="shared" si="5"/>
        <v>108</v>
      </c>
      <c r="B109" s="76" t="s">
        <v>482</v>
      </c>
      <c r="C109" s="76" t="s">
        <v>481</v>
      </c>
      <c r="D109" s="76" t="s">
        <v>5688</v>
      </c>
      <c r="E109" s="77">
        <v>0</v>
      </c>
      <c r="F109" s="77">
        <v>0</v>
      </c>
      <c r="G109" s="77" t="s">
        <v>2813</v>
      </c>
      <c r="H109" s="77" t="s">
        <v>2858</v>
      </c>
      <c r="I109" s="76" t="s">
        <v>2102</v>
      </c>
      <c r="J109" s="76" t="s">
        <v>5577</v>
      </c>
      <c r="K109" s="76" t="str">
        <f>VLOOKUP($B109,'WILL TOKO SEP'!A110:AK849,37,0)</f>
        <v>Kediri</v>
      </c>
      <c r="L109" s="76" t="s">
        <v>2104</v>
      </c>
      <c r="M109" s="37" t="s">
        <v>3</v>
      </c>
      <c r="N109" s="78">
        <v>0</v>
      </c>
      <c r="O109" s="78">
        <v>0</v>
      </c>
      <c r="P109" s="78">
        <v>0</v>
      </c>
      <c r="Q109" s="79" t="e">
        <v>#N/A</v>
      </c>
      <c r="R109" s="79" t="str">
        <f>IFERROR(VLOOKUP($B109,JADWAL!$G$6:$J$690,4,0),"")</f>
        <v/>
      </c>
      <c r="S109" s="77">
        <f t="shared" si="4"/>
        <v>3</v>
      </c>
      <c r="T109" s="77"/>
      <c r="U109" s="37" t="s">
        <v>2243</v>
      </c>
      <c r="V109" s="37" t="s">
        <v>2250</v>
      </c>
      <c r="W109" s="37"/>
      <c r="X109" s="37">
        <v>0</v>
      </c>
    </row>
    <row r="110" spans="1:24" x14ac:dyDescent="0.3">
      <c r="A110" s="37">
        <f t="shared" si="5"/>
        <v>109</v>
      </c>
      <c r="B110" s="76" t="s">
        <v>1311</v>
      </c>
      <c r="C110" s="76" t="s">
        <v>1310</v>
      </c>
      <c r="D110" s="76" t="s">
        <v>5392</v>
      </c>
      <c r="E110" s="77">
        <v>564935139</v>
      </c>
      <c r="F110" s="77">
        <v>2000000</v>
      </c>
      <c r="G110" s="77" t="s">
        <v>2834</v>
      </c>
      <c r="H110" s="77" t="s">
        <v>2839</v>
      </c>
      <c r="I110" s="76" t="s">
        <v>2102</v>
      </c>
      <c r="J110" s="76" t="s">
        <v>32</v>
      </c>
      <c r="K110" s="76" t="str">
        <f>VLOOKUP($B110,'WILL TOKO SEP'!A111:AK850,37,0)</f>
        <v>TEMBUKU</v>
      </c>
      <c r="L110" s="76" t="s">
        <v>2104</v>
      </c>
      <c r="M110" s="37" t="s">
        <v>3</v>
      </c>
      <c r="N110" s="78">
        <v>0</v>
      </c>
      <c r="O110" s="78">
        <v>0</v>
      </c>
      <c r="P110" s="79">
        <v>46210</v>
      </c>
      <c r="Q110" s="241">
        <v>0</v>
      </c>
      <c r="R110" s="79" t="str">
        <f>IFERROR(VLOOKUP($B110,JADWAL!$G$6:$J$690,4,0),"")</f>
        <v/>
      </c>
      <c r="S110" s="77">
        <f t="shared" si="4"/>
        <v>2</v>
      </c>
      <c r="T110" s="77"/>
      <c r="U110" s="37" t="s">
        <v>2242</v>
      </c>
      <c r="V110" s="37" t="s">
        <v>2250</v>
      </c>
      <c r="W110" s="37"/>
      <c r="X110" s="37" t="s">
        <v>27</v>
      </c>
    </row>
    <row r="111" spans="1:24" x14ac:dyDescent="0.3">
      <c r="A111" s="37">
        <f t="shared" si="5"/>
        <v>110</v>
      </c>
      <c r="B111" s="76" t="s">
        <v>1177</v>
      </c>
      <c r="C111" s="76" t="s">
        <v>1176</v>
      </c>
      <c r="D111" s="76" t="s">
        <v>5528</v>
      </c>
      <c r="E111" s="77">
        <v>422868723</v>
      </c>
      <c r="F111" s="77">
        <v>2000000</v>
      </c>
      <c r="G111" s="77" t="s">
        <v>2830</v>
      </c>
      <c r="H111" s="77" t="s">
        <v>2838</v>
      </c>
      <c r="I111" s="76" t="s">
        <v>2102</v>
      </c>
      <c r="J111" s="76" t="s">
        <v>4</v>
      </c>
      <c r="K111" s="76" t="str">
        <f>VLOOKUP($B111,'WILL TOKO SEP'!A112:AK851,37,0)</f>
        <v>DENPASAR UTARA</v>
      </c>
      <c r="L111" s="76" t="s">
        <v>2104</v>
      </c>
      <c r="M111" s="37" t="s">
        <v>3</v>
      </c>
      <c r="N111" s="78">
        <v>0</v>
      </c>
      <c r="O111" s="79">
        <v>46175</v>
      </c>
      <c r="P111" s="79">
        <v>46216</v>
      </c>
      <c r="Q111" s="241">
        <v>0</v>
      </c>
      <c r="R111" s="79" t="str">
        <f>IFERROR(VLOOKUP($B111,JADWAL!$G$6:$J$690,4,0),"")</f>
        <v/>
      </c>
      <c r="S111" s="77">
        <f t="shared" si="4"/>
        <v>1</v>
      </c>
      <c r="T111" s="77"/>
      <c r="U111" s="37" t="s">
        <v>2242</v>
      </c>
      <c r="V111" s="37" t="s">
        <v>2250</v>
      </c>
      <c r="W111" s="37"/>
      <c r="X111" s="37">
        <v>0</v>
      </c>
    </row>
    <row r="112" spans="1:24" x14ac:dyDescent="0.3">
      <c r="A112" s="37">
        <f t="shared" si="5"/>
        <v>111</v>
      </c>
      <c r="B112" s="76" t="s">
        <v>859</v>
      </c>
      <c r="C112" s="76" t="s">
        <v>858</v>
      </c>
      <c r="D112" s="76" t="s">
        <v>2363</v>
      </c>
      <c r="E112" s="77">
        <v>362667684</v>
      </c>
      <c r="F112" s="77">
        <v>2000000</v>
      </c>
      <c r="G112" s="77" t="s">
        <v>2815</v>
      </c>
      <c r="H112" s="77" t="s">
        <v>2857</v>
      </c>
      <c r="I112" s="76" t="s">
        <v>2102</v>
      </c>
      <c r="J112" s="76" t="s">
        <v>28</v>
      </c>
      <c r="K112" s="76" t="str">
        <f>VLOOKUP($B112,'WILL TOKO SEP'!A113:AK852,37,0)</f>
        <v>UBUD</v>
      </c>
      <c r="L112" s="76" t="s">
        <v>2103</v>
      </c>
      <c r="M112" s="37" t="s">
        <v>3</v>
      </c>
      <c r="N112" s="78">
        <v>0</v>
      </c>
      <c r="O112" s="79">
        <v>46191</v>
      </c>
      <c r="P112" s="79">
        <v>46228</v>
      </c>
      <c r="Q112" s="241">
        <v>0</v>
      </c>
      <c r="R112" s="79" t="str">
        <f>IFERROR(VLOOKUP($B112,JADWAL!$G$6:$J$690,4,0),"")</f>
        <v/>
      </c>
      <c r="S112" s="77">
        <f t="shared" si="4"/>
        <v>1</v>
      </c>
      <c r="T112" s="77"/>
      <c r="U112" s="37" t="s">
        <v>2242</v>
      </c>
      <c r="V112" s="37" t="s">
        <v>2250</v>
      </c>
      <c r="W112" s="37"/>
      <c r="X112" s="37" t="s">
        <v>27</v>
      </c>
    </row>
    <row r="113" spans="1:24" x14ac:dyDescent="0.3">
      <c r="A113" s="37">
        <f t="shared" si="5"/>
        <v>112</v>
      </c>
      <c r="B113" s="76" t="s">
        <v>1548</v>
      </c>
      <c r="C113" s="76" t="s">
        <v>1547</v>
      </c>
      <c r="D113" s="76" t="s">
        <v>5377</v>
      </c>
      <c r="E113" s="77">
        <v>351737846</v>
      </c>
      <c r="F113" s="77">
        <v>2000000</v>
      </c>
      <c r="G113" s="77" t="s">
        <v>2830</v>
      </c>
      <c r="H113" s="77" t="s">
        <v>2831</v>
      </c>
      <c r="I113" s="76" t="s">
        <v>2102</v>
      </c>
      <c r="J113" s="76" t="s">
        <v>4</v>
      </c>
      <c r="K113" s="76" t="str">
        <f>VLOOKUP($B113,'WILL TOKO SEP'!A114:AK853,37,0)</f>
        <v>DENPASAR SELATAN</v>
      </c>
      <c r="L113" s="76" t="s">
        <v>2103</v>
      </c>
      <c r="M113" s="37" t="s">
        <v>3</v>
      </c>
      <c r="N113" s="79">
        <v>46168</v>
      </c>
      <c r="O113" s="79">
        <v>46182</v>
      </c>
      <c r="P113" s="79">
        <v>46217</v>
      </c>
      <c r="Q113" s="79">
        <v>46245</v>
      </c>
      <c r="R113" s="79">
        <f>IFERROR(VLOOKUP($B113,JADWAL!$G$6:$J$690,4,0),"")</f>
        <v>46272</v>
      </c>
      <c r="S113" s="77">
        <f t="shared" si="4"/>
        <v>0</v>
      </c>
      <c r="T113" s="77"/>
      <c r="U113" s="37" t="s">
        <v>2242</v>
      </c>
      <c r="V113" s="37" t="s">
        <v>2250</v>
      </c>
      <c r="W113" s="37"/>
      <c r="X113" s="37" t="e">
        <v>#N/A</v>
      </c>
    </row>
    <row r="114" spans="1:24" x14ac:dyDescent="0.3">
      <c r="A114" s="37">
        <f t="shared" si="5"/>
        <v>113</v>
      </c>
      <c r="B114" s="76" t="s">
        <v>1511</v>
      </c>
      <c r="C114" s="76" t="s">
        <v>1510</v>
      </c>
      <c r="D114" s="76" t="s">
        <v>5247</v>
      </c>
      <c r="E114" s="77">
        <v>489683566</v>
      </c>
      <c r="F114" s="77">
        <v>2500000</v>
      </c>
      <c r="G114" s="77" t="s">
        <v>2830</v>
      </c>
      <c r="H114" s="77" t="s">
        <v>2838</v>
      </c>
      <c r="I114" s="76" t="s">
        <v>2102</v>
      </c>
      <c r="J114" s="76" t="s">
        <v>4</v>
      </c>
      <c r="K114" s="76" t="str">
        <f>VLOOKUP($B114,'WILL TOKO SEP'!A115:AK854,37,0)</f>
        <v>DENPASAR UTARA</v>
      </c>
      <c r="L114" s="76" t="s">
        <v>2104</v>
      </c>
      <c r="M114" s="37" t="s">
        <v>3</v>
      </c>
      <c r="N114" s="79">
        <v>46148</v>
      </c>
      <c r="O114" s="79">
        <v>46185</v>
      </c>
      <c r="P114" s="79">
        <v>46212</v>
      </c>
      <c r="Q114" s="79">
        <v>46247</v>
      </c>
      <c r="R114" s="79" t="str">
        <f>IFERROR(VLOOKUP($B114,JADWAL!$G$6:$J$690,4,0),"")</f>
        <v/>
      </c>
      <c r="S114" s="77">
        <f t="shared" si="4"/>
        <v>0</v>
      </c>
      <c r="T114" s="77"/>
      <c r="U114" s="37" t="s">
        <v>2242</v>
      </c>
      <c r="V114" s="37" t="s">
        <v>2078</v>
      </c>
      <c r="W114" s="37"/>
      <c r="X114" s="37" t="e">
        <v>#N/A</v>
      </c>
    </row>
    <row r="115" spans="1:24" x14ac:dyDescent="0.3">
      <c r="A115" s="37">
        <f t="shared" si="5"/>
        <v>114</v>
      </c>
      <c r="B115" s="76" t="s">
        <v>839</v>
      </c>
      <c r="C115" s="76" t="s">
        <v>838</v>
      </c>
      <c r="D115" s="76" t="s">
        <v>2366</v>
      </c>
      <c r="E115" s="77">
        <v>346289874</v>
      </c>
      <c r="F115" s="77">
        <v>2500000</v>
      </c>
      <c r="G115" s="77" t="s">
        <v>2867</v>
      </c>
      <c r="H115" s="77" t="s">
        <v>2868</v>
      </c>
      <c r="I115" s="76" t="s">
        <v>2102</v>
      </c>
      <c r="J115" s="76" t="s">
        <v>4</v>
      </c>
      <c r="K115" s="76" t="str">
        <f>VLOOKUP($B115,'WILL TOKO SEP'!A116:AK855,37,0)</f>
        <v>DENPASAR BARAT</v>
      </c>
      <c r="L115" s="76" t="s">
        <v>2104</v>
      </c>
      <c r="M115" s="37" t="s">
        <v>3</v>
      </c>
      <c r="N115" s="79">
        <v>46154</v>
      </c>
      <c r="O115" s="78">
        <v>0</v>
      </c>
      <c r="P115" s="79">
        <v>46230</v>
      </c>
      <c r="Q115" s="79">
        <v>46258</v>
      </c>
      <c r="R115" s="79" t="str">
        <f>IFERROR(VLOOKUP($B115,JADWAL!$G$6:$J$690,4,0),"")</f>
        <v/>
      </c>
      <c r="S115" s="77">
        <f t="shared" si="4"/>
        <v>1</v>
      </c>
      <c r="T115" s="77"/>
      <c r="U115" s="37" t="s">
        <v>2242</v>
      </c>
      <c r="V115" s="37" t="s">
        <v>2250</v>
      </c>
      <c r="W115" s="37"/>
      <c r="X115" s="37">
        <v>0</v>
      </c>
    </row>
    <row r="116" spans="1:24" x14ac:dyDescent="0.3">
      <c r="A116" s="37">
        <f t="shared" si="5"/>
        <v>115</v>
      </c>
      <c r="B116" s="76" t="s">
        <v>1307</v>
      </c>
      <c r="C116" s="76" t="s">
        <v>1306</v>
      </c>
      <c r="D116" s="76" t="s">
        <v>5370</v>
      </c>
      <c r="E116" s="77">
        <v>518072960</v>
      </c>
      <c r="F116" s="77">
        <v>3000000</v>
      </c>
      <c r="G116" s="77" t="s">
        <v>2821</v>
      </c>
      <c r="H116" s="77" t="s">
        <v>2846</v>
      </c>
      <c r="I116" s="76" t="s">
        <v>2102</v>
      </c>
      <c r="J116" s="76" t="s">
        <v>36</v>
      </c>
      <c r="K116" s="76" t="str">
        <f>VLOOKUP($B116,'WILL TOKO SEP'!A117:AK856,37,0)</f>
        <v>TABANAN</v>
      </c>
      <c r="L116" s="76" t="s">
        <v>2104</v>
      </c>
      <c r="M116" s="37" t="s">
        <v>3</v>
      </c>
      <c r="N116" s="79">
        <v>46150</v>
      </c>
      <c r="O116" s="79">
        <v>46188</v>
      </c>
      <c r="P116" s="79">
        <v>46211</v>
      </c>
      <c r="Q116" s="241">
        <v>0</v>
      </c>
      <c r="R116" s="79">
        <f>IFERROR(VLOOKUP($B116,JADWAL!$G$6:$J$690,4,0),"")</f>
        <v>46269</v>
      </c>
      <c r="S116" s="77">
        <f t="shared" si="4"/>
        <v>0</v>
      </c>
      <c r="T116" s="77"/>
      <c r="U116" s="37" t="s">
        <v>2242</v>
      </c>
      <c r="V116" s="37" t="s">
        <v>2250</v>
      </c>
      <c r="W116" s="37"/>
      <c r="X116" s="37" t="s">
        <v>13</v>
      </c>
    </row>
    <row r="117" spans="1:24" x14ac:dyDescent="0.3">
      <c r="A117" s="37">
        <f t="shared" si="5"/>
        <v>116</v>
      </c>
      <c r="B117" s="76" t="s">
        <v>1810</v>
      </c>
      <c r="C117" s="76" t="s">
        <v>1809</v>
      </c>
      <c r="D117" s="76" t="s">
        <v>2367</v>
      </c>
      <c r="E117" s="77">
        <v>533751893</v>
      </c>
      <c r="F117" s="77">
        <v>3000000</v>
      </c>
      <c r="G117" s="77" t="s">
        <v>2813</v>
      </c>
      <c r="H117" s="77" t="s">
        <v>2858</v>
      </c>
      <c r="I117" s="76" t="s">
        <v>2102</v>
      </c>
      <c r="J117" s="76" t="s">
        <v>9</v>
      </c>
      <c r="K117" s="76" t="str">
        <f>VLOOKUP($B117,'WILL TOKO SEP'!A118:AK857,37,0)</f>
        <v>MENGWI</v>
      </c>
      <c r="L117" s="76" t="s">
        <v>2104</v>
      </c>
      <c r="M117" s="37" t="s">
        <v>3</v>
      </c>
      <c r="N117" s="79">
        <v>46155</v>
      </c>
      <c r="O117" s="78">
        <v>0</v>
      </c>
      <c r="P117" s="78">
        <v>0</v>
      </c>
      <c r="Q117" s="79">
        <v>46238</v>
      </c>
      <c r="R117" s="79" t="str">
        <f>IFERROR(VLOOKUP($B117,JADWAL!$G$6:$J$690,4,0),"")</f>
        <v/>
      </c>
      <c r="S117" s="77">
        <f t="shared" si="4"/>
        <v>2</v>
      </c>
      <c r="T117" s="77"/>
      <c r="U117" s="37" t="s">
        <v>2242</v>
      </c>
      <c r="V117" s="37" t="s">
        <v>2250</v>
      </c>
      <c r="W117" s="37"/>
      <c r="X117" s="37" t="e">
        <v>#N/A</v>
      </c>
    </row>
    <row r="118" spans="1:24" x14ac:dyDescent="0.3">
      <c r="A118" s="37">
        <f t="shared" si="5"/>
        <v>117</v>
      </c>
      <c r="B118" s="76" t="s">
        <v>1474</v>
      </c>
      <c r="C118" s="76" t="s">
        <v>1473</v>
      </c>
      <c r="D118" s="76" t="s">
        <v>5502</v>
      </c>
      <c r="E118" s="77">
        <v>397744203</v>
      </c>
      <c r="F118" s="77">
        <v>2000000</v>
      </c>
      <c r="G118" s="77" t="s">
        <v>2830</v>
      </c>
      <c r="H118" s="77" t="s">
        <v>2847</v>
      </c>
      <c r="I118" s="76" t="s">
        <v>2102</v>
      </c>
      <c r="J118" s="76" t="s">
        <v>4</v>
      </c>
      <c r="K118" s="76" t="str">
        <f>VLOOKUP($B118,'WILL TOKO SEP'!A119:AK858,37,0)</f>
        <v>DENPASAR SELATAN</v>
      </c>
      <c r="L118" s="76" t="s">
        <v>2103</v>
      </c>
      <c r="M118" s="37" t="s">
        <v>3</v>
      </c>
      <c r="N118" s="78">
        <v>0</v>
      </c>
      <c r="O118" s="78">
        <v>0</v>
      </c>
      <c r="P118" s="79">
        <v>46211</v>
      </c>
      <c r="Q118" s="79">
        <v>46248</v>
      </c>
      <c r="R118" s="79" t="str">
        <f>IFERROR(VLOOKUP($B118,JADWAL!$G$6:$J$690,4,0),"")</f>
        <v/>
      </c>
      <c r="S118" s="77">
        <f t="shared" si="4"/>
        <v>2</v>
      </c>
      <c r="T118" s="77"/>
      <c r="U118" s="37" t="s">
        <v>2242</v>
      </c>
      <c r="V118" s="37" t="s">
        <v>2250</v>
      </c>
      <c r="W118" s="37"/>
      <c r="X118" s="37" t="e">
        <v>#N/A</v>
      </c>
    </row>
    <row r="119" spans="1:24" x14ac:dyDescent="0.3">
      <c r="A119" s="37">
        <f t="shared" si="5"/>
        <v>118</v>
      </c>
      <c r="B119" s="76" t="s">
        <v>1030</v>
      </c>
      <c r="C119" s="76" t="s">
        <v>1029</v>
      </c>
      <c r="D119" s="76" t="s">
        <v>2368</v>
      </c>
      <c r="E119" s="77">
        <v>397306079</v>
      </c>
      <c r="F119" s="77">
        <v>3000000</v>
      </c>
      <c r="G119" s="77" t="s">
        <v>2834</v>
      </c>
      <c r="H119" s="77" t="s">
        <v>2844</v>
      </c>
      <c r="I119" s="76" t="s">
        <v>2102</v>
      </c>
      <c r="J119" s="76" t="s">
        <v>28</v>
      </c>
      <c r="K119" s="76" t="e">
        <f>VLOOKUP($B119,'WILL TOKO SEP'!A120:AK859,37,0)</f>
        <v>#N/A</v>
      </c>
      <c r="L119" s="76" t="s">
        <v>2103</v>
      </c>
      <c r="M119" s="37" t="s">
        <v>3</v>
      </c>
      <c r="N119" s="79">
        <v>46153</v>
      </c>
      <c r="O119" s="79">
        <v>46188</v>
      </c>
      <c r="P119" s="79">
        <v>46223</v>
      </c>
      <c r="Q119" s="241">
        <v>0</v>
      </c>
      <c r="R119" s="79" t="str">
        <f>IFERROR(VLOOKUP($B119,JADWAL!$G$6:$J$690,4,0),"")</f>
        <v/>
      </c>
      <c r="S119" s="77">
        <f t="shared" si="4"/>
        <v>0</v>
      </c>
      <c r="T119" s="77"/>
      <c r="U119" s="37" t="s">
        <v>2242</v>
      </c>
      <c r="V119" s="37" t="s">
        <v>2250</v>
      </c>
      <c r="W119" s="37"/>
      <c r="X119" s="37" t="s">
        <v>27</v>
      </c>
    </row>
    <row r="120" spans="1:24" x14ac:dyDescent="0.3">
      <c r="A120" s="37">
        <f t="shared" si="5"/>
        <v>119</v>
      </c>
      <c r="B120" s="76" t="s">
        <v>1812</v>
      </c>
      <c r="C120" s="76" t="s">
        <v>1811</v>
      </c>
      <c r="D120" s="76" t="s">
        <v>5184</v>
      </c>
      <c r="E120" s="77">
        <v>365499404</v>
      </c>
      <c r="F120" s="77">
        <v>2000000</v>
      </c>
      <c r="G120" s="77" t="s">
        <v>2815</v>
      </c>
      <c r="H120" s="77" t="s">
        <v>2829</v>
      </c>
      <c r="I120" s="76" t="s">
        <v>2102</v>
      </c>
      <c r="J120" s="76" t="s">
        <v>28</v>
      </c>
      <c r="K120" s="76" t="str">
        <f>VLOOKUP($B120,'WILL TOKO SEP'!A121:AK860,37,0)</f>
        <v xml:space="preserve">BLAHBATUH </v>
      </c>
      <c r="L120" s="76" t="s">
        <v>2103</v>
      </c>
      <c r="M120" s="37" t="s">
        <v>3</v>
      </c>
      <c r="N120" s="79">
        <v>46168</v>
      </c>
      <c r="O120" s="78">
        <v>0</v>
      </c>
      <c r="P120" s="79">
        <v>46213</v>
      </c>
      <c r="Q120" s="79">
        <v>46238</v>
      </c>
      <c r="R120" s="79" t="str">
        <f>IFERROR(VLOOKUP($B120,JADWAL!$G$6:$J$690,4,0),"")</f>
        <v/>
      </c>
      <c r="S120" s="77">
        <f t="shared" si="4"/>
        <v>1</v>
      </c>
      <c r="T120" s="77"/>
      <c r="U120" s="37" t="s">
        <v>2242</v>
      </c>
      <c r="V120" s="37" t="s">
        <v>2250</v>
      </c>
      <c r="W120" s="37"/>
      <c r="X120" s="37" t="e">
        <v>#N/A</v>
      </c>
    </row>
    <row r="121" spans="1:24" x14ac:dyDescent="0.3">
      <c r="A121" s="37">
        <f t="shared" si="5"/>
        <v>120</v>
      </c>
      <c r="B121" s="76" t="s">
        <v>1756</v>
      </c>
      <c r="C121" s="76" t="s">
        <v>1755</v>
      </c>
      <c r="D121" s="76" t="s">
        <v>2369</v>
      </c>
      <c r="E121" s="77">
        <v>466246255</v>
      </c>
      <c r="F121" s="77">
        <v>3000000</v>
      </c>
      <c r="G121" s="77" t="s">
        <v>2834</v>
      </c>
      <c r="H121" s="77" t="s">
        <v>2869</v>
      </c>
      <c r="I121" s="76" t="s">
        <v>2102</v>
      </c>
      <c r="J121" s="76" t="s">
        <v>40</v>
      </c>
      <c r="K121" s="76" t="str">
        <f>VLOOKUP($B121,'WILL TOKO SEP'!A122:AK861,37,0)</f>
        <v>KARANGASEM</v>
      </c>
      <c r="L121" s="76" t="s">
        <v>2104</v>
      </c>
      <c r="M121" s="37" t="s">
        <v>3</v>
      </c>
      <c r="N121" s="79">
        <v>46172</v>
      </c>
      <c r="O121" s="78">
        <v>0</v>
      </c>
      <c r="P121" s="78">
        <v>0</v>
      </c>
      <c r="Q121" s="79">
        <v>46239</v>
      </c>
      <c r="R121" s="79" t="str">
        <f>IFERROR(VLOOKUP($B121,JADWAL!$G$6:$J$690,4,0),"")</f>
        <v/>
      </c>
      <c r="S121" s="77">
        <f t="shared" si="4"/>
        <v>2</v>
      </c>
      <c r="T121" s="77"/>
      <c r="U121" s="37" t="s">
        <v>2242</v>
      </c>
      <c r="V121" s="37" t="s">
        <v>2250</v>
      </c>
      <c r="W121" s="37"/>
      <c r="X121" s="37" t="e">
        <v>#N/A</v>
      </c>
    </row>
    <row r="122" spans="1:24" x14ac:dyDescent="0.3">
      <c r="A122" s="37">
        <f t="shared" si="5"/>
        <v>121</v>
      </c>
      <c r="B122" s="76" t="s">
        <v>928</v>
      </c>
      <c r="C122" s="76" t="s">
        <v>927</v>
      </c>
      <c r="D122" s="76" t="s">
        <v>5126</v>
      </c>
      <c r="E122" s="77">
        <v>507330761</v>
      </c>
      <c r="F122" s="77">
        <v>2000000</v>
      </c>
      <c r="G122" s="77" t="s">
        <v>2821</v>
      </c>
      <c r="H122" s="77" t="s">
        <v>2845</v>
      </c>
      <c r="I122" s="76" t="s">
        <v>2102</v>
      </c>
      <c r="J122" s="76" t="s">
        <v>90</v>
      </c>
      <c r="K122" s="76" t="str">
        <f>VLOOKUP($B122,'WILL TOKO SEP'!A123:AK862,37,0)</f>
        <v>MENDOYO</v>
      </c>
      <c r="L122" s="76" t="s">
        <v>2104</v>
      </c>
      <c r="M122" s="37" t="s">
        <v>3</v>
      </c>
      <c r="N122" s="79">
        <v>46171</v>
      </c>
      <c r="O122" s="79">
        <v>46200</v>
      </c>
      <c r="P122" s="79">
        <v>46226</v>
      </c>
      <c r="Q122" s="241">
        <v>0</v>
      </c>
      <c r="R122" s="79" t="str">
        <f>IFERROR(VLOOKUP($B122,JADWAL!$G$6:$J$690,4,0),"")</f>
        <v/>
      </c>
      <c r="S122" s="77">
        <f t="shared" si="4"/>
        <v>0</v>
      </c>
      <c r="T122" s="77"/>
      <c r="U122" s="37" t="s">
        <v>2242</v>
      </c>
      <c r="V122" s="37" t="s">
        <v>2250</v>
      </c>
      <c r="W122" s="37"/>
      <c r="X122" s="37" t="s">
        <v>13</v>
      </c>
    </row>
    <row r="123" spans="1:24" x14ac:dyDescent="0.3">
      <c r="A123" s="37">
        <f t="shared" si="5"/>
        <v>122</v>
      </c>
      <c r="B123" s="76" t="s">
        <v>1305</v>
      </c>
      <c r="C123" s="76" t="s">
        <v>1304</v>
      </c>
      <c r="D123" s="76" t="s">
        <v>2370</v>
      </c>
      <c r="E123" s="77">
        <v>407337078</v>
      </c>
      <c r="F123" s="77">
        <v>3000000</v>
      </c>
      <c r="G123" s="77" t="s">
        <v>2817</v>
      </c>
      <c r="H123" s="77" t="s">
        <v>2850</v>
      </c>
      <c r="I123" s="76" t="s">
        <v>2102</v>
      </c>
      <c r="J123" s="76" t="s">
        <v>28</v>
      </c>
      <c r="K123" s="76" t="str">
        <f>VLOOKUP($B123,'WILL TOKO SEP'!A124:AK863,37,0)</f>
        <v>SUKAWATI</v>
      </c>
      <c r="L123" s="76" t="s">
        <v>2103</v>
      </c>
      <c r="M123" s="37" t="s">
        <v>3</v>
      </c>
      <c r="N123" s="78">
        <v>0</v>
      </c>
      <c r="O123" s="78">
        <v>0</v>
      </c>
      <c r="P123" s="79">
        <v>46211</v>
      </c>
      <c r="Q123" s="241">
        <v>0</v>
      </c>
      <c r="R123" s="79" t="str">
        <f>IFERROR(VLOOKUP($B123,JADWAL!$G$6:$J$690,4,0),"")</f>
        <v/>
      </c>
      <c r="S123" s="77">
        <f t="shared" si="4"/>
        <v>2</v>
      </c>
      <c r="T123" s="77"/>
      <c r="U123" s="37" t="s">
        <v>2242</v>
      </c>
      <c r="V123" s="37" t="s">
        <v>2250</v>
      </c>
      <c r="W123" s="37"/>
      <c r="X123" s="37" t="s">
        <v>27</v>
      </c>
    </row>
    <row r="124" spans="1:24" x14ac:dyDescent="0.3">
      <c r="A124" s="37">
        <f t="shared" si="5"/>
        <v>123</v>
      </c>
      <c r="B124" s="76" t="s">
        <v>1041</v>
      </c>
      <c r="C124" s="76" t="s">
        <v>1040</v>
      </c>
      <c r="D124" s="76" t="s">
        <v>5302</v>
      </c>
      <c r="E124" s="77">
        <v>506126580</v>
      </c>
      <c r="F124" s="77">
        <v>2000000</v>
      </c>
      <c r="G124" s="77" t="s">
        <v>2825</v>
      </c>
      <c r="H124" s="77" t="s">
        <v>2826</v>
      </c>
      <c r="I124" s="76" t="s">
        <v>2102</v>
      </c>
      <c r="J124" s="76" t="s">
        <v>36</v>
      </c>
      <c r="K124" s="76" t="str">
        <f>VLOOKUP($B124,'WILL TOKO SEP'!A125:AK864,37,0)</f>
        <v>KEDIRI</v>
      </c>
      <c r="L124" s="76" t="s">
        <v>2104</v>
      </c>
      <c r="M124" s="37" t="s">
        <v>3</v>
      </c>
      <c r="N124" s="78">
        <v>0</v>
      </c>
      <c r="O124" s="79">
        <v>46185</v>
      </c>
      <c r="P124" s="79">
        <v>46221</v>
      </c>
      <c r="Q124" s="241">
        <v>0</v>
      </c>
      <c r="R124" s="79" t="str">
        <f>IFERROR(VLOOKUP($B124,JADWAL!$G$6:$J$690,4,0),"")</f>
        <v/>
      </c>
      <c r="S124" s="77">
        <f t="shared" si="4"/>
        <v>1</v>
      </c>
      <c r="T124" s="77"/>
      <c r="U124" s="37" t="s">
        <v>2242</v>
      </c>
      <c r="V124" s="37" t="s">
        <v>2250</v>
      </c>
      <c r="W124" s="37"/>
      <c r="X124" s="37" t="s">
        <v>13</v>
      </c>
    </row>
    <row r="125" spans="1:24" x14ac:dyDescent="0.3">
      <c r="A125" s="37">
        <f t="shared" si="5"/>
        <v>124</v>
      </c>
      <c r="B125" s="76" t="s">
        <v>722</v>
      </c>
      <c r="C125" s="76" t="s">
        <v>5763</v>
      </c>
      <c r="D125" s="76" t="s">
        <v>2372</v>
      </c>
      <c r="E125" s="77">
        <v>438838767</v>
      </c>
      <c r="F125" s="77">
        <v>3000000</v>
      </c>
      <c r="G125" s="77" t="s">
        <v>2817</v>
      </c>
      <c r="H125" s="77" t="s">
        <v>2851</v>
      </c>
      <c r="I125" s="76" t="s">
        <v>2102</v>
      </c>
      <c r="J125" s="76" t="s">
        <v>4</v>
      </c>
      <c r="K125" s="76" t="str">
        <f>VLOOKUP($B125,'WILL TOKO SEP'!A126:AK865,37,0)</f>
        <v>DENPASAR SELATAN</v>
      </c>
      <c r="L125" s="76" t="s">
        <v>2103</v>
      </c>
      <c r="M125" s="37" t="s">
        <v>3</v>
      </c>
      <c r="N125" s="79">
        <v>46144</v>
      </c>
      <c r="O125" s="78">
        <v>0</v>
      </c>
      <c r="P125" s="79">
        <v>46234</v>
      </c>
      <c r="Q125" s="241">
        <v>0</v>
      </c>
      <c r="R125" s="79" t="str">
        <f>IFERROR(VLOOKUP($B125,JADWAL!$G$6:$J$690,4,0),"")</f>
        <v/>
      </c>
      <c r="S125" s="77">
        <f t="shared" si="4"/>
        <v>1</v>
      </c>
      <c r="T125" s="77"/>
      <c r="U125" s="37" t="s">
        <v>2242</v>
      </c>
      <c r="V125" s="37" t="s">
        <v>2250</v>
      </c>
      <c r="W125" s="37"/>
      <c r="X125" s="37">
        <v>0</v>
      </c>
    </row>
    <row r="126" spans="1:24" x14ac:dyDescent="0.3">
      <c r="A126" s="37">
        <f t="shared" si="5"/>
        <v>125</v>
      </c>
      <c r="B126" s="76" t="s">
        <v>828</v>
      </c>
      <c r="C126" s="76" t="s">
        <v>827</v>
      </c>
      <c r="D126" s="76" t="s">
        <v>2373</v>
      </c>
      <c r="E126" s="77">
        <v>525481676</v>
      </c>
      <c r="F126" s="77">
        <v>3500000</v>
      </c>
      <c r="G126" s="77" t="s">
        <v>2827</v>
      </c>
      <c r="H126" s="77" t="s">
        <v>2864</v>
      </c>
      <c r="I126" s="76" t="s">
        <v>2102</v>
      </c>
      <c r="J126" s="76" t="s">
        <v>48</v>
      </c>
      <c r="K126" s="76" t="str">
        <f>VLOOKUP($B126,'WILL TOKO SEP'!A127:AK866,37,0)</f>
        <v>TEJAKULA</v>
      </c>
      <c r="L126" s="76" t="s">
        <v>2104</v>
      </c>
      <c r="M126" s="37" t="s">
        <v>3</v>
      </c>
      <c r="N126" s="79">
        <v>46150</v>
      </c>
      <c r="O126" s="79">
        <v>46196</v>
      </c>
      <c r="P126" s="79">
        <v>46230</v>
      </c>
      <c r="Q126" s="241">
        <v>0</v>
      </c>
      <c r="R126" s="79" t="str">
        <f>IFERROR(VLOOKUP($B126,JADWAL!$G$6:$J$690,4,0),"")</f>
        <v/>
      </c>
      <c r="S126" s="77">
        <f t="shared" si="4"/>
        <v>0</v>
      </c>
      <c r="T126" s="77"/>
      <c r="U126" s="37" t="s">
        <v>2242</v>
      </c>
      <c r="V126" s="37" t="s">
        <v>2250</v>
      </c>
      <c r="W126" s="37"/>
      <c r="X126" s="37" t="s">
        <v>44</v>
      </c>
    </row>
    <row r="127" spans="1:24" x14ac:dyDescent="0.3">
      <c r="A127" s="37">
        <f t="shared" si="5"/>
        <v>126</v>
      </c>
      <c r="B127" s="76" t="s">
        <v>1697</v>
      </c>
      <c r="C127" s="76" t="s">
        <v>1696</v>
      </c>
      <c r="D127" s="76" t="s">
        <v>2374</v>
      </c>
      <c r="E127" s="77">
        <v>394413460</v>
      </c>
      <c r="F127" s="77">
        <v>2500000</v>
      </c>
      <c r="G127" s="77" t="s">
        <v>2815</v>
      </c>
      <c r="H127" s="77" t="s">
        <v>2857</v>
      </c>
      <c r="I127" s="76" t="s">
        <v>2102</v>
      </c>
      <c r="J127" s="76" t="s">
        <v>28</v>
      </c>
      <c r="K127" s="76" t="e">
        <f>VLOOKUP($B127,'WILL TOKO SEP'!A128:AK867,37,0)</f>
        <v>#N/A</v>
      </c>
      <c r="L127" s="76" t="s">
        <v>2103</v>
      </c>
      <c r="M127" s="37" t="s">
        <v>3</v>
      </c>
      <c r="N127" s="79">
        <v>46158</v>
      </c>
      <c r="O127" s="79">
        <v>46193</v>
      </c>
      <c r="P127" s="79">
        <v>46209</v>
      </c>
      <c r="Q127" s="79">
        <v>46241</v>
      </c>
      <c r="R127" s="79">
        <f>IFERROR(VLOOKUP($B127,JADWAL!$G$6:$J$690,4,0),"")</f>
        <v>46270</v>
      </c>
      <c r="S127" s="77">
        <f t="shared" si="4"/>
        <v>0</v>
      </c>
      <c r="T127" s="77"/>
      <c r="U127" s="37" t="s">
        <v>2242</v>
      </c>
      <c r="V127" s="37" t="s">
        <v>2078</v>
      </c>
      <c r="W127" s="37"/>
      <c r="X127" s="37" t="e">
        <v>#N/A</v>
      </c>
    </row>
    <row r="128" spans="1:24" x14ac:dyDescent="0.3">
      <c r="A128" s="37">
        <f t="shared" si="5"/>
        <v>127</v>
      </c>
      <c r="B128" s="76" t="s">
        <v>1573</v>
      </c>
      <c r="C128" s="76" t="s">
        <v>1572</v>
      </c>
      <c r="D128" s="76" t="s">
        <v>2376</v>
      </c>
      <c r="E128" s="77">
        <v>431727595</v>
      </c>
      <c r="F128" s="77">
        <v>3500000</v>
      </c>
      <c r="G128" s="77" t="s">
        <v>2867</v>
      </c>
      <c r="H128" s="77" t="s">
        <v>2868</v>
      </c>
      <c r="I128" s="76" t="s">
        <v>2102</v>
      </c>
      <c r="J128" s="76" t="s">
        <v>4</v>
      </c>
      <c r="K128" s="76" t="str">
        <f>VLOOKUP($B128,'WILL TOKO SEP'!A129:AK868,37,0)</f>
        <v>DENPASAR BARAT</v>
      </c>
      <c r="L128" s="76" t="s">
        <v>2104</v>
      </c>
      <c r="M128" s="37" t="s">
        <v>3</v>
      </c>
      <c r="N128" s="79">
        <v>46165</v>
      </c>
      <c r="O128" s="79">
        <v>46197</v>
      </c>
      <c r="P128" s="79">
        <v>46228</v>
      </c>
      <c r="Q128" s="79">
        <v>46245</v>
      </c>
      <c r="R128" s="79" t="str">
        <f>IFERROR(VLOOKUP($B128,JADWAL!$G$6:$J$690,4,0),"")</f>
        <v/>
      </c>
      <c r="S128" s="77">
        <f t="shared" si="4"/>
        <v>0</v>
      </c>
      <c r="T128" s="77"/>
      <c r="U128" s="37" t="s">
        <v>2242</v>
      </c>
      <c r="V128" s="37" t="s">
        <v>2078</v>
      </c>
      <c r="W128" s="37"/>
      <c r="X128" s="37" t="e">
        <v>#N/A</v>
      </c>
    </row>
    <row r="129" spans="1:24" x14ac:dyDescent="0.3">
      <c r="A129" s="37">
        <f t="shared" si="5"/>
        <v>128</v>
      </c>
      <c r="B129" s="76" t="s">
        <v>1101</v>
      </c>
      <c r="C129" s="76" t="s">
        <v>1100</v>
      </c>
      <c r="D129" s="76" t="s">
        <v>2377</v>
      </c>
      <c r="E129" s="77">
        <v>370556278</v>
      </c>
      <c r="F129" s="77">
        <v>2000000</v>
      </c>
      <c r="G129" s="77" t="s">
        <v>2821</v>
      </c>
      <c r="H129" s="77" t="s">
        <v>2845</v>
      </c>
      <c r="I129" s="76" t="s">
        <v>2102</v>
      </c>
      <c r="J129" s="76" t="s">
        <v>36</v>
      </c>
      <c r="K129" s="76" t="str">
        <f>VLOOKUP($B129,'WILL TOKO SEP'!A130:AK869,37,0)</f>
        <v>SELEMADEG BARAT</v>
      </c>
      <c r="L129" s="76" t="s">
        <v>2104</v>
      </c>
      <c r="M129" s="37" t="s">
        <v>3</v>
      </c>
      <c r="N129" s="78">
        <v>0</v>
      </c>
      <c r="O129" s="79">
        <v>46178</v>
      </c>
      <c r="P129" s="79">
        <v>46220</v>
      </c>
      <c r="Q129" s="241">
        <v>0</v>
      </c>
      <c r="R129" s="79">
        <f>IFERROR(VLOOKUP($B129,JADWAL!$G$6:$J$690,4,0),"")</f>
        <v>46266</v>
      </c>
      <c r="S129" s="77">
        <f t="shared" si="4"/>
        <v>1</v>
      </c>
      <c r="T129" s="77"/>
      <c r="U129" s="37" t="s">
        <v>2242</v>
      </c>
      <c r="V129" s="37" t="s">
        <v>2250</v>
      </c>
      <c r="W129" s="37"/>
      <c r="X129" s="37" t="s">
        <v>13</v>
      </c>
    </row>
    <row r="130" spans="1:24" x14ac:dyDescent="0.3">
      <c r="A130" s="37">
        <f t="shared" si="5"/>
        <v>129</v>
      </c>
      <c r="B130" s="76" t="s">
        <v>1836</v>
      </c>
      <c r="C130" s="76" t="s">
        <v>5800</v>
      </c>
      <c r="D130" s="76" t="s">
        <v>5662</v>
      </c>
      <c r="E130" s="77">
        <v>519512353</v>
      </c>
      <c r="F130" s="77">
        <v>2000000</v>
      </c>
      <c r="G130" s="77" t="s">
        <v>2834</v>
      </c>
      <c r="H130" s="77" t="s">
        <v>2869</v>
      </c>
      <c r="I130" s="76" t="s">
        <v>2102</v>
      </c>
      <c r="J130" s="76" t="s">
        <v>40</v>
      </c>
      <c r="K130" s="76" t="str">
        <f>VLOOKUP($B130,'WILL TOKO SEP'!A131:AK870,37,0)</f>
        <v>Karangasem</v>
      </c>
      <c r="L130" s="76" t="s">
        <v>2104</v>
      </c>
      <c r="M130" s="37" t="s">
        <v>3</v>
      </c>
      <c r="N130" s="78">
        <v>0</v>
      </c>
      <c r="O130" s="79">
        <v>46202</v>
      </c>
      <c r="P130" s="78">
        <v>0</v>
      </c>
      <c r="Q130" s="79">
        <v>46237</v>
      </c>
      <c r="R130" s="79" t="str">
        <f>IFERROR(VLOOKUP($B130,JADWAL!$G$6:$J$690,4,0),"")</f>
        <v/>
      </c>
      <c r="S130" s="77">
        <f t="shared" ref="S130:S193" si="6">COUNTIF(N130:P130,"0")</f>
        <v>2</v>
      </c>
      <c r="T130" s="77"/>
      <c r="U130" s="37" t="s">
        <v>2242</v>
      </c>
      <c r="V130" s="37" t="s">
        <v>2250</v>
      </c>
      <c r="W130" s="37"/>
      <c r="X130" s="37" t="e">
        <v>#N/A</v>
      </c>
    </row>
    <row r="131" spans="1:24" x14ac:dyDescent="0.3">
      <c r="A131" s="37">
        <f t="shared" si="5"/>
        <v>130</v>
      </c>
      <c r="B131" s="76" t="s">
        <v>1193</v>
      </c>
      <c r="C131" s="76" t="s">
        <v>1192</v>
      </c>
      <c r="D131" s="76" t="s">
        <v>2381</v>
      </c>
      <c r="E131" s="77">
        <v>376562147</v>
      </c>
      <c r="F131" s="77">
        <v>2500000</v>
      </c>
      <c r="G131" s="77" t="s">
        <v>2813</v>
      </c>
      <c r="H131" s="77" t="s">
        <v>2871</v>
      </c>
      <c r="I131" s="76" t="s">
        <v>2102</v>
      </c>
      <c r="J131" s="76" t="s">
        <v>9</v>
      </c>
      <c r="K131" s="76" t="str">
        <f>VLOOKUP($B131,'WILL TOKO SEP'!A132:AK871,37,0)</f>
        <v>KUTA</v>
      </c>
      <c r="L131" s="76" t="s">
        <v>2104</v>
      </c>
      <c r="M131" s="37" t="s">
        <v>3</v>
      </c>
      <c r="N131" s="79">
        <v>46154</v>
      </c>
      <c r="O131" s="78">
        <v>0</v>
      </c>
      <c r="P131" s="79">
        <v>46216</v>
      </c>
      <c r="Q131" s="241">
        <v>0</v>
      </c>
      <c r="R131" s="79" t="str">
        <f>IFERROR(VLOOKUP($B131,JADWAL!$G$6:$J$690,4,0),"")</f>
        <v/>
      </c>
      <c r="S131" s="77">
        <f t="shared" si="6"/>
        <v>1</v>
      </c>
      <c r="T131" s="77"/>
      <c r="U131" s="37" t="s">
        <v>2242</v>
      </c>
      <c r="V131" s="37" t="s">
        <v>2250</v>
      </c>
      <c r="W131" s="37"/>
      <c r="X131" s="37" t="s">
        <v>124</v>
      </c>
    </row>
    <row r="132" spans="1:24" x14ac:dyDescent="0.3">
      <c r="A132" s="37">
        <f t="shared" ref="A132:A195" si="7">A131+1</f>
        <v>131</v>
      </c>
      <c r="B132" s="76" t="s">
        <v>886</v>
      </c>
      <c r="C132" s="76" t="s">
        <v>885</v>
      </c>
      <c r="D132" s="76" t="s">
        <v>2383</v>
      </c>
      <c r="E132" s="77">
        <v>478846928</v>
      </c>
      <c r="F132" s="77">
        <v>2000000</v>
      </c>
      <c r="G132" s="77" t="s">
        <v>2821</v>
      </c>
      <c r="H132" s="77" t="s">
        <v>2845</v>
      </c>
      <c r="I132" s="76" t="s">
        <v>2102</v>
      </c>
      <c r="J132" s="76" t="s">
        <v>90</v>
      </c>
      <c r="K132" s="76" t="str">
        <f>VLOOKUP($B132,'WILL TOKO SEP'!A133:AK872,37,0)</f>
        <v>NEGARA</v>
      </c>
      <c r="L132" s="76" t="s">
        <v>2104</v>
      </c>
      <c r="M132" s="37" t="s">
        <v>3</v>
      </c>
      <c r="N132" s="79">
        <v>46162</v>
      </c>
      <c r="O132" s="79">
        <v>46199</v>
      </c>
      <c r="P132" s="79">
        <v>46227</v>
      </c>
      <c r="Q132" s="241">
        <v>0</v>
      </c>
      <c r="R132" s="79" t="str">
        <f>IFERROR(VLOOKUP($B132,JADWAL!$G$6:$J$690,4,0),"")</f>
        <v/>
      </c>
      <c r="S132" s="77">
        <f t="shared" si="6"/>
        <v>0</v>
      </c>
      <c r="T132" s="77"/>
      <c r="U132" s="37" t="s">
        <v>2242</v>
      </c>
      <c r="V132" s="37" t="s">
        <v>2250</v>
      </c>
      <c r="W132" s="37"/>
      <c r="X132" s="37" t="s">
        <v>13</v>
      </c>
    </row>
    <row r="133" spans="1:24" x14ac:dyDescent="0.3">
      <c r="A133" s="37">
        <f t="shared" si="7"/>
        <v>132</v>
      </c>
      <c r="B133" s="76" t="s">
        <v>1337</v>
      </c>
      <c r="C133" s="76" t="s">
        <v>1336</v>
      </c>
      <c r="D133" s="76" t="s">
        <v>2384</v>
      </c>
      <c r="E133" s="77">
        <v>475431062</v>
      </c>
      <c r="F133" s="77">
        <v>3500000</v>
      </c>
      <c r="G133" s="77" t="s">
        <v>2825</v>
      </c>
      <c r="H133" s="77" t="s">
        <v>2826</v>
      </c>
      <c r="I133" s="76" t="s">
        <v>2102</v>
      </c>
      <c r="J133" s="76" t="s">
        <v>36</v>
      </c>
      <c r="K133" s="76" t="str">
        <f>VLOOKUP($B133,'WILL TOKO SEP'!A134:AK873,37,0)</f>
        <v>KEDIRI</v>
      </c>
      <c r="L133" s="76" t="s">
        <v>2104</v>
      </c>
      <c r="M133" s="37" t="s">
        <v>3</v>
      </c>
      <c r="N133" s="78">
        <v>0</v>
      </c>
      <c r="O133" s="78">
        <v>0</v>
      </c>
      <c r="P133" s="79">
        <v>46209</v>
      </c>
      <c r="Q133" s="241">
        <v>0</v>
      </c>
      <c r="R133" s="79" t="str">
        <f>IFERROR(VLOOKUP($B133,JADWAL!$G$6:$J$690,4,0),"")</f>
        <v/>
      </c>
      <c r="S133" s="77">
        <f t="shared" si="6"/>
        <v>2</v>
      </c>
      <c r="T133" s="77"/>
      <c r="U133" s="37" t="s">
        <v>2242</v>
      </c>
      <c r="V133" s="37" t="s">
        <v>2250</v>
      </c>
      <c r="W133" s="37"/>
      <c r="X133" s="37" t="s">
        <v>13</v>
      </c>
    </row>
    <row r="134" spans="1:24" x14ac:dyDescent="0.3">
      <c r="A134" s="37">
        <f t="shared" si="7"/>
        <v>133</v>
      </c>
      <c r="B134" s="76" t="s">
        <v>1289</v>
      </c>
      <c r="C134" s="76" t="s">
        <v>1288</v>
      </c>
      <c r="D134" s="76" t="s">
        <v>2385</v>
      </c>
      <c r="E134" s="77">
        <v>411432377</v>
      </c>
      <c r="F134" s="77">
        <v>3000000</v>
      </c>
      <c r="G134" s="77" t="s">
        <v>2815</v>
      </c>
      <c r="H134" s="77" t="s">
        <v>2859</v>
      </c>
      <c r="I134" s="76" t="s">
        <v>2102</v>
      </c>
      <c r="J134" s="76" t="s">
        <v>28</v>
      </c>
      <c r="K134" s="76" t="str">
        <f>VLOOKUP($B134,'WILL TOKO SEP'!A135:AK874,37,0)</f>
        <v xml:space="preserve">BLAHBATUH </v>
      </c>
      <c r="L134" s="76" t="s">
        <v>2103</v>
      </c>
      <c r="M134" s="37" t="s">
        <v>3</v>
      </c>
      <c r="N134" s="78">
        <v>0</v>
      </c>
      <c r="O134" s="78">
        <v>0</v>
      </c>
      <c r="P134" s="79">
        <v>46211</v>
      </c>
      <c r="Q134" s="241">
        <v>0</v>
      </c>
      <c r="R134" s="79" t="str">
        <f>IFERROR(VLOOKUP($B134,JADWAL!$G$6:$J$690,4,0),"")</f>
        <v/>
      </c>
      <c r="S134" s="77">
        <f t="shared" si="6"/>
        <v>2</v>
      </c>
      <c r="T134" s="77"/>
      <c r="U134" s="37" t="s">
        <v>2242</v>
      </c>
      <c r="V134" s="37" t="s">
        <v>2250</v>
      </c>
      <c r="W134" s="37"/>
      <c r="X134" s="37" t="s">
        <v>27</v>
      </c>
    </row>
    <row r="135" spans="1:24" x14ac:dyDescent="0.3">
      <c r="A135" s="37">
        <f t="shared" si="7"/>
        <v>134</v>
      </c>
      <c r="B135" s="76" t="s">
        <v>590</v>
      </c>
      <c r="C135" s="76" t="s">
        <v>5696</v>
      </c>
      <c r="D135" s="76" t="s">
        <v>2388</v>
      </c>
      <c r="E135" s="77">
        <v>654949564</v>
      </c>
      <c r="F135" s="77">
        <v>3500000</v>
      </c>
      <c r="G135" s="77" t="s">
        <v>2819</v>
      </c>
      <c r="H135" s="77" t="s">
        <v>2856</v>
      </c>
      <c r="I135" s="76" t="s">
        <v>2102</v>
      </c>
      <c r="J135" s="76" t="s">
        <v>9</v>
      </c>
      <c r="K135" s="76" t="str">
        <f>VLOOKUP($B135,'WILL TOKO SEP'!A136:AK875,37,0)</f>
        <v>KUTA UTARA</v>
      </c>
      <c r="L135" s="76" t="s">
        <v>2104</v>
      </c>
      <c r="M135" s="37" t="s">
        <v>3</v>
      </c>
      <c r="N135" s="79">
        <v>46161</v>
      </c>
      <c r="O135" s="79">
        <v>46190</v>
      </c>
      <c r="P135" s="78">
        <v>0</v>
      </c>
      <c r="Q135" s="241">
        <v>0</v>
      </c>
      <c r="R135" s="79" t="str">
        <f>IFERROR(VLOOKUP($B135,JADWAL!$G$6:$J$690,4,0),"")</f>
        <v/>
      </c>
      <c r="S135" s="77">
        <f t="shared" si="6"/>
        <v>1</v>
      </c>
      <c r="T135" s="77"/>
      <c r="U135" s="37" t="s">
        <v>2242</v>
      </c>
      <c r="V135" s="37" t="s">
        <v>2250</v>
      </c>
      <c r="W135" s="37"/>
      <c r="X135" s="37" t="s">
        <v>20</v>
      </c>
    </row>
    <row r="136" spans="1:24" x14ac:dyDescent="0.3">
      <c r="A136" s="37">
        <f t="shared" si="7"/>
        <v>135</v>
      </c>
      <c r="B136" s="76" t="s">
        <v>1839</v>
      </c>
      <c r="C136" s="76" t="s">
        <v>5799</v>
      </c>
      <c r="D136" s="76" t="s">
        <v>5656</v>
      </c>
      <c r="E136" s="77">
        <v>421629154</v>
      </c>
      <c r="F136" s="77">
        <v>2000000</v>
      </c>
      <c r="G136" s="77" t="s">
        <v>2813</v>
      </c>
      <c r="H136" s="77" t="s">
        <v>2858</v>
      </c>
      <c r="I136" s="76" t="s">
        <v>2102</v>
      </c>
      <c r="J136" s="76" t="s">
        <v>1837</v>
      </c>
      <c r="K136" s="76" t="str">
        <f>VLOOKUP($B136,'WILL TOKO SEP'!A137:AK876,37,0)</f>
        <v>Mengwi</v>
      </c>
      <c r="L136" s="76" t="s">
        <v>2104</v>
      </c>
      <c r="M136" s="37" t="s">
        <v>3</v>
      </c>
      <c r="N136" s="78">
        <v>0</v>
      </c>
      <c r="O136" s="79">
        <v>46203</v>
      </c>
      <c r="P136" s="78">
        <v>0</v>
      </c>
      <c r="Q136" s="79">
        <v>46237</v>
      </c>
      <c r="R136" s="79" t="str">
        <f>IFERROR(VLOOKUP($B136,JADWAL!$G$6:$J$690,4,0),"")</f>
        <v/>
      </c>
      <c r="S136" s="77">
        <f t="shared" si="6"/>
        <v>2</v>
      </c>
      <c r="T136" s="77"/>
      <c r="U136" s="37" t="s">
        <v>2242</v>
      </c>
      <c r="V136" s="37" t="s">
        <v>2250</v>
      </c>
      <c r="W136" s="37"/>
      <c r="X136" s="37" t="e">
        <v>#N/A</v>
      </c>
    </row>
    <row r="137" spans="1:24" x14ac:dyDescent="0.3">
      <c r="A137" s="37">
        <f t="shared" si="7"/>
        <v>136</v>
      </c>
      <c r="B137" s="76" t="s">
        <v>1770</v>
      </c>
      <c r="C137" s="76" t="s">
        <v>1769</v>
      </c>
      <c r="D137" s="76" t="s">
        <v>2389</v>
      </c>
      <c r="E137" s="77">
        <v>399171648</v>
      </c>
      <c r="F137" s="77">
        <v>2000000</v>
      </c>
      <c r="G137" s="77" t="s">
        <v>2830</v>
      </c>
      <c r="H137" s="77" t="s">
        <v>2849</v>
      </c>
      <c r="I137" s="76" t="s">
        <v>2102</v>
      </c>
      <c r="J137" s="76" t="s">
        <v>4</v>
      </c>
      <c r="K137" s="76" t="str">
        <f>VLOOKUP($B137,'WILL TOKO SEP'!A138:AK877,37,0)</f>
        <v>DENPASAR UTARA</v>
      </c>
      <c r="L137" s="76" t="s">
        <v>2104</v>
      </c>
      <c r="M137" s="37" t="s">
        <v>3</v>
      </c>
      <c r="N137" s="79">
        <v>46155</v>
      </c>
      <c r="O137" s="78">
        <v>0</v>
      </c>
      <c r="P137" s="79">
        <v>46212</v>
      </c>
      <c r="Q137" s="79">
        <v>46239</v>
      </c>
      <c r="R137" s="79">
        <f>IFERROR(VLOOKUP($B137,JADWAL!$G$6:$J$690,4,0),"")</f>
        <v>46267</v>
      </c>
      <c r="S137" s="77">
        <f t="shared" si="6"/>
        <v>1</v>
      </c>
      <c r="T137" s="77"/>
      <c r="U137" s="37" t="s">
        <v>2242</v>
      </c>
      <c r="V137" s="37" t="s">
        <v>2250</v>
      </c>
      <c r="W137" s="37"/>
      <c r="X137" s="37" t="e">
        <v>#N/A</v>
      </c>
    </row>
    <row r="138" spans="1:24" x14ac:dyDescent="0.3">
      <c r="A138" s="37">
        <f t="shared" si="7"/>
        <v>137</v>
      </c>
      <c r="B138" s="76" t="s">
        <v>1736</v>
      </c>
      <c r="C138" s="76" t="s">
        <v>1735</v>
      </c>
      <c r="D138" s="76" t="s">
        <v>5431</v>
      </c>
      <c r="E138" s="77">
        <v>355439127</v>
      </c>
      <c r="F138" s="77">
        <v>2000000</v>
      </c>
      <c r="G138" s="77" t="s">
        <v>2821</v>
      </c>
      <c r="H138" s="77" t="s">
        <v>2833</v>
      </c>
      <c r="I138" s="76" t="s">
        <v>2102</v>
      </c>
      <c r="J138" s="76" t="s">
        <v>36</v>
      </c>
      <c r="K138" s="76" t="str">
        <f>VLOOKUP($B138,'WILL TOKO SEP'!A139:AK878,37,0)</f>
        <v>TABANAN</v>
      </c>
      <c r="L138" s="76" t="s">
        <v>2104</v>
      </c>
      <c r="M138" s="37" t="s">
        <v>3</v>
      </c>
      <c r="N138" s="78">
        <v>0</v>
      </c>
      <c r="O138" s="79">
        <v>46176</v>
      </c>
      <c r="P138" s="79">
        <v>46212</v>
      </c>
      <c r="Q138" s="79">
        <v>46240</v>
      </c>
      <c r="R138" s="79" t="str">
        <f>IFERROR(VLOOKUP($B138,JADWAL!$G$6:$J$690,4,0),"")</f>
        <v/>
      </c>
      <c r="S138" s="77">
        <f t="shared" si="6"/>
        <v>1</v>
      </c>
      <c r="T138" s="77"/>
      <c r="U138" s="37" t="s">
        <v>2242</v>
      </c>
      <c r="V138" s="37" t="s">
        <v>2250</v>
      </c>
      <c r="W138" s="37"/>
      <c r="X138" s="37" t="e">
        <v>#N/A</v>
      </c>
    </row>
    <row r="139" spans="1:24" x14ac:dyDescent="0.3">
      <c r="A139" s="37">
        <f t="shared" si="7"/>
        <v>138</v>
      </c>
      <c r="B139" s="76" t="s">
        <v>1478</v>
      </c>
      <c r="C139" s="76" t="s">
        <v>1477</v>
      </c>
      <c r="D139" s="76" t="s">
        <v>5361</v>
      </c>
      <c r="E139" s="77">
        <v>378246477</v>
      </c>
      <c r="F139" s="77">
        <v>2500000</v>
      </c>
      <c r="G139" s="77" t="s">
        <v>2815</v>
      </c>
      <c r="H139" s="77" t="s">
        <v>2855</v>
      </c>
      <c r="I139" s="76" t="s">
        <v>2102</v>
      </c>
      <c r="J139" s="76" t="s">
        <v>28</v>
      </c>
      <c r="K139" s="76" t="str">
        <f>VLOOKUP($B139,'WILL TOKO SEP'!A140:AK879,37,0)</f>
        <v>SUKAWATI</v>
      </c>
      <c r="L139" s="76" t="s">
        <v>2103</v>
      </c>
      <c r="M139" s="37" t="s">
        <v>3</v>
      </c>
      <c r="N139" s="78">
        <v>0</v>
      </c>
      <c r="O139" s="78">
        <v>0</v>
      </c>
      <c r="P139" s="79">
        <v>46217</v>
      </c>
      <c r="Q139" s="79">
        <v>46247</v>
      </c>
      <c r="R139" s="79" t="str">
        <f>IFERROR(VLOOKUP($B139,JADWAL!$G$6:$J$690,4,0),"")</f>
        <v/>
      </c>
      <c r="S139" s="77">
        <f t="shared" si="6"/>
        <v>2</v>
      </c>
      <c r="T139" s="77"/>
      <c r="U139" s="37" t="s">
        <v>2242</v>
      </c>
      <c r="V139" s="37" t="s">
        <v>2250</v>
      </c>
      <c r="W139" s="37"/>
      <c r="X139" s="37" t="e">
        <v>#N/A</v>
      </c>
    </row>
    <row r="140" spans="1:24" x14ac:dyDescent="0.3">
      <c r="A140" s="37">
        <f t="shared" si="7"/>
        <v>139</v>
      </c>
      <c r="B140" s="76" t="s">
        <v>665</v>
      </c>
      <c r="C140" s="76" t="s">
        <v>664</v>
      </c>
      <c r="D140" s="76" t="s">
        <v>2390</v>
      </c>
      <c r="E140" s="77">
        <v>494151189</v>
      </c>
      <c r="F140" s="77">
        <v>2000000</v>
      </c>
      <c r="G140" s="77" t="s">
        <v>2825</v>
      </c>
      <c r="H140" s="77" t="s">
        <v>2853</v>
      </c>
      <c r="I140" s="76" t="s">
        <v>2102</v>
      </c>
      <c r="J140" s="76" t="s">
        <v>9</v>
      </c>
      <c r="K140" s="76" t="str">
        <f>VLOOKUP($B140,'WILL TOKO SEP'!A141:AK880,37,0)</f>
        <v>ABIANSEMAL</v>
      </c>
      <c r="L140" s="76" t="s">
        <v>2104</v>
      </c>
      <c r="M140" s="37" t="s">
        <v>3</v>
      </c>
      <c r="N140" s="78">
        <v>0</v>
      </c>
      <c r="O140" s="79">
        <v>46185</v>
      </c>
      <c r="P140" s="78">
        <v>0</v>
      </c>
      <c r="Q140" s="241">
        <v>0</v>
      </c>
      <c r="R140" s="79" t="str">
        <f>IFERROR(VLOOKUP($B140,JADWAL!$G$6:$J$690,4,0),"")</f>
        <v/>
      </c>
      <c r="S140" s="77">
        <f t="shared" si="6"/>
        <v>2</v>
      </c>
      <c r="T140" s="77"/>
      <c r="U140" s="37" t="s">
        <v>2242</v>
      </c>
      <c r="V140" s="37" t="s">
        <v>2250</v>
      </c>
      <c r="W140" s="37"/>
      <c r="X140" s="37" t="s">
        <v>20</v>
      </c>
    </row>
    <row r="141" spans="1:24" x14ac:dyDescent="0.3">
      <c r="A141" s="37">
        <f t="shared" si="7"/>
        <v>140</v>
      </c>
      <c r="B141" s="76" t="s">
        <v>710</v>
      </c>
      <c r="C141" s="76" t="s">
        <v>5718</v>
      </c>
      <c r="D141" s="76" t="s">
        <v>2391</v>
      </c>
      <c r="E141" s="77">
        <v>559670424</v>
      </c>
      <c r="F141" s="77">
        <v>3000000</v>
      </c>
      <c r="G141" s="77" t="s">
        <v>2825</v>
      </c>
      <c r="H141" s="77" t="s">
        <v>2836</v>
      </c>
      <c r="I141" s="76" t="s">
        <v>2102</v>
      </c>
      <c r="J141" s="76" t="s">
        <v>9</v>
      </c>
      <c r="K141" s="76" t="str">
        <f>VLOOKUP($B141,'WILL TOKO SEP'!A142:AK881,37,0)</f>
        <v>MENGWI</v>
      </c>
      <c r="L141" s="76" t="s">
        <v>2104</v>
      </c>
      <c r="M141" s="37" t="s">
        <v>3</v>
      </c>
      <c r="N141" s="79">
        <v>46153</v>
      </c>
      <c r="O141" s="78">
        <v>0</v>
      </c>
      <c r="P141" s="79">
        <v>46234</v>
      </c>
      <c r="Q141" s="241">
        <v>0</v>
      </c>
      <c r="R141" s="79" t="str">
        <f>IFERROR(VLOOKUP($B141,JADWAL!$G$6:$J$690,4,0),"")</f>
        <v/>
      </c>
      <c r="S141" s="77">
        <f t="shared" si="6"/>
        <v>1</v>
      </c>
      <c r="T141" s="77"/>
      <c r="U141" s="37" t="s">
        <v>2242</v>
      </c>
      <c r="V141" s="37" t="s">
        <v>2250</v>
      </c>
      <c r="W141" s="37"/>
      <c r="X141" s="37" t="s">
        <v>13</v>
      </c>
    </row>
    <row r="142" spans="1:24" x14ac:dyDescent="0.3">
      <c r="A142" s="37">
        <f t="shared" si="7"/>
        <v>141</v>
      </c>
      <c r="B142" s="76" t="s">
        <v>1056</v>
      </c>
      <c r="C142" s="76" t="s">
        <v>1055</v>
      </c>
      <c r="D142" s="76" t="s">
        <v>5216</v>
      </c>
      <c r="E142" s="77">
        <v>430248610</v>
      </c>
      <c r="F142" s="77">
        <v>2000000</v>
      </c>
      <c r="G142" s="77" t="s">
        <v>2819</v>
      </c>
      <c r="H142" s="77" t="s">
        <v>2862</v>
      </c>
      <c r="I142" s="76" t="s">
        <v>2102</v>
      </c>
      <c r="J142" s="76" t="s">
        <v>9</v>
      </c>
      <c r="K142" s="76" t="str">
        <f>VLOOKUP($B142,'WILL TOKO SEP'!A143:AK882,37,0)</f>
        <v>KUTA UTARA</v>
      </c>
      <c r="L142" s="76" t="s">
        <v>2104</v>
      </c>
      <c r="M142" s="37" t="s">
        <v>3</v>
      </c>
      <c r="N142" s="79">
        <v>46149</v>
      </c>
      <c r="O142" s="78">
        <v>0</v>
      </c>
      <c r="P142" s="79">
        <v>46221</v>
      </c>
      <c r="Q142" s="241">
        <v>0</v>
      </c>
      <c r="R142" s="79" t="str">
        <f>IFERROR(VLOOKUP($B142,JADWAL!$G$6:$J$690,4,0),"")</f>
        <v/>
      </c>
      <c r="S142" s="77">
        <f t="shared" si="6"/>
        <v>1</v>
      </c>
      <c r="T142" s="77"/>
      <c r="U142" s="37" t="s">
        <v>2242</v>
      </c>
      <c r="V142" s="37" t="s">
        <v>2250</v>
      </c>
      <c r="W142" s="37"/>
      <c r="X142" s="37" t="s">
        <v>20</v>
      </c>
    </row>
    <row r="143" spans="1:24" x14ac:dyDescent="0.3">
      <c r="A143" s="37">
        <f t="shared" si="7"/>
        <v>142</v>
      </c>
      <c r="B143" s="76" t="s">
        <v>1567</v>
      </c>
      <c r="C143" s="76" t="s">
        <v>1566</v>
      </c>
      <c r="D143" s="76" t="s">
        <v>5358</v>
      </c>
      <c r="E143" s="77">
        <v>444869126</v>
      </c>
      <c r="F143" s="77">
        <v>2000000</v>
      </c>
      <c r="G143" s="77" t="s">
        <v>2834</v>
      </c>
      <c r="H143" s="77" t="s">
        <v>2839</v>
      </c>
      <c r="I143" s="76" t="s">
        <v>2102</v>
      </c>
      <c r="J143" s="76" t="s">
        <v>40</v>
      </c>
      <c r="K143" s="76" t="str">
        <f>VLOOKUP($B143,'WILL TOKO SEP'!A144:AK883,37,0)</f>
        <v>SELAT</v>
      </c>
      <c r="L143" s="76" t="s">
        <v>2104</v>
      </c>
      <c r="M143" s="37" t="s">
        <v>3</v>
      </c>
      <c r="N143" s="79">
        <v>46149</v>
      </c>
      <c r="O143" s="79">
        <v>46192</v>
      </c>
      <c r="P143" s="78">
        <v>0</v>
      </c>
      <c r="Q143" s="79">
        <v>46245</v>
      </c>
      <c r="R143" s="79" t="str">
        <f>IFERROR(VLOOKUP($B143,JADWAL!$G$6:$J$690,4,0),"")</f>
        <v/>
      </c>
      <c r="S143" s="77">
        <f t="shared" si="6"/>
        <v>1</v>
      </c>
      <c r="T143" s="77"/>
      <c r="U143" s="37" t="s">
        <v>2242</v>
      </c>
      <c r="V143" s="37" t="s">
        <v>2250</v>
      </c>
      <c r="W143" s="37"/>
      <c r="X143" s="37" t="e">
        <v>#N/A</v>
      </c>
    </row>
    <row r="144" spans="1:24" x14ac:dyDescent="0.3">
      <c r="A144" s="37">
        <f t="shared" si="7"/>
        <v>143</v>
      </c>
      <c r="B144" s="76" t="s">
        <v>1636</v>
      </c>
      <c r="C144" s="76" t="s">
        <v>1635</v>
      </c>
      <c r="D144" s="76" t="s">
        <v>2393</v>
      </c>
      <c r="E144" s="77">
        <v>429570699</v>
      </c>
      <c r="F144" s="77">
        <v>2000000</v>
      </c>
      <c r="G144" s="77" t="s">
        <v>2830</v>
      </c>
      <c r="H144" s="77" t="s">
        <v>2860</v>
      </c>
      <c r="I144" s="76" t="s">
        <v>2102</v>
      </c>
      <c r="J144" s="76" t="s">
        <v>9</v>
      </c>
      <c r="K144" s="76" t="str">
        <f>VLOOKUP($B144,'WILL TOKO SEP'!A145:AK884,37,0)</f>
        <v>ABIANSEMAL</v>
      </c>
      <c r="L144" s="76" t="s">
        <v>2104</v>
      </c>
      <c r="M144" s="37" t="s">
        <v>3</v>
      </c>
      <c r="N144" s="79">
        <v>46167</v>
      </c>
      <c r="O144" s="79">
        <v>46186</v>
      </c>
      <c r="P144" s="79">
        <v>46209</v>
      </c>
      <c r="Q144" s="79">
        <v>46244</v>
      </c>
      <c r="R144" s="79" t="str">
        <f>IFERROR(VLOOKUP($B144,JADWAL!$G$6:$J$690,4,0),"")</f>
        <v/>
      </c>
      <c r="S144" s="77">
        <f t="shared" si="6"/>
        <v>0</v>
      </c>
      <c r="T144" s="77"/>
      <c r="U144" s="37" t="s">
        <v>2242</v>
      </c>
      <c r="V144" s="37" t="s">
        <v>2250</v>
      </c>
      <c r="W144" s="37"/>
      <c r="X144" s="37" t="e">
        <v>#N/A</v>
      </c>
    </row>
    <row r="145" spans="1:24" x14ac:dyDescent="0.3">
      <c r="A145" s="37">
        <f t="shared" si="7"/>
        <v>144</v>
      </c>
      <c r="B145" s="76" t="s">
        <v>1543</v>
      </c>
      <c r="C145" s="76" t="s">
        <v>1542</v>
      </c>
      <c r="D145" s="76" t="s">
        <v>2394</v>
      </c>
      <c r="E145" s="77">
        <v>370610064</v>
      </c>
      <c r="F145" s="77">
        <v>2000000</v>
      </c>
      <c r="G145" s="77" t="s">
        <v>2817</v>
      </c>
      <c r="H145" s="77" t="s">
        <v>2852</v>
      </c>
      <c r="I145" s="76" t="s">
        <v>2102</v>
      </c>
      <c r="J145" s="76" t="s">
        <v>4</v>
      </c>
      <c r="K145" s="76" t="str">
        <f>VLOOKUP($B145,'WILL TOKO SEP'!A146:AK885,37,0)</f>
        <v>DENPASAR SELATAN</v>
      </c>
      <c r="L145" s="76" t="s">
        <v>2103</v>
      </c>
      <c r="M145" s="37" t="s">
        <v>3</v>
      </c>
      <c r="N145" s="79">
        <v>46167</v>
      </c>
      <c r="O145" s="79">
        <v>46190</v>
      </c>
      <c r="P145" s="79">
        <v>46233</v>
      </c>
      <c r="Q145" s="79">
        <v>46245</v>
      </c>
      <c r="R145" s="79">
        <f>IFERROR(VLOOKUP($B145,JADWAL!$G$6:$J$690,4,0),"")</f>
        <v>46270</v>
      </c>
      <c r="S145" s="77">
        <f t="shared" si="6"/>
        <v>0</v>
      </c>
      <c r="T145" s="77"/>
      <c r="U145" s="37" t="s">
        <v>2242</v>
      </c>
      <c r="V145" s="37" t="s">
        <v>2078</v>
      </c>
      <c r="W145" s="37"/>
      <c r="X145" s="37" t="e">
        <v>#N/A</v>
      </c>
    </row>
    <row r="146" spans="1:24" x14ac:dyDescent="0.3">
      <c r="A146" s="37">
        <f t="shared" si="7"/>
        <v>145</v>
      </c>
      <c r="B146" s="76" t="s">
        <v>1687</v>
      </c>
      <c r="C146" s="76" t="s">
        <v>1686</v>
      </c>
      <c r="D146" s="76" t="s">
        <v>2395</v>
      </c>
      <c r="E146" s="77">
        <v>440430767</v>
      </c>
      <c r="F146" s="77">
        <v>2500000</v>
      </c>
      <c r="G146" s="77" t="s">
        <v>2819</v>
      </c>
      <c r="H146" s="77" t="s">
        <v>2823</v>
      </c>
      <c r="I146" s="76" t="s">
        <v>2102</v>
      </c>
      <c r="J146" s="76" t="s">
        <v>4</v>
      </c>
      <c r="K146" s="76" t="str">
        <f>VLOOKUP($B146,'WILL TOKO SEP'!A147:AK886,37,0)</f>
        <v>DENPASAR BARAT</v>
      </c>
      <c r="L146" s="76" t="s">
        <v>2104</v>
      </c>
      <c r="M146" s="37" t="s">
        <v>3</v>
      </c>
      <c r="N146" s="79">
        <v>46161</v>
      </c>
      <c r="O146" s="79">
        <v>46197</v>
      </c>
      <c r="P146" s="79">
        <v>46225</v>
      </c>
      <c r="Q146" s="79">
        <v>46241</v>
      </c>
      <c r="R146" s="79" t="str">
        <f>IFERROR(VLOOKUP($B146,JADWAL!$G$6:$J$690,4,0),"")</f>
        <v/>
      </c>
      <c r="S146" s="77">
        <f t="shared" si="6"/>
        <v>0</v>
      </c>
      <c r="T146" s="77"/>
      <c r="U146" s="37" t="s">
        <v>2242</v>
      </c>
      <c r="V146" s="37" t="s">
        <v>2078</v>
      </c>
      <c r="W146" s="37"/>
      <c r="X146" s="37" t="e">
        <v>#N/A</v>
      </c>
    </row>
    <row r="147" spans="1:24" x14ac:dyDescent="0.3">
      <c r="A147" s="37">
        <f t="shared" si="7"/>
        <v>146</v>
      </c>
      <c r="B147" s="76" t="s">
        <v>572</v>
      </c>
      <c r="C147" s="76" t="s">
        <v>571</v>
      </c>
      <c r="D147" s="76" t="s">
        <v>5495</v>
      </c>
      <c r="E147" s="77">
        <v>668870617</v>
      </c>
      <c r="F147" s="77">
        <v>2000000</v>
      </c>
      <c r="G147" s="77" t="s">
        <v>2819</v>
      </c>
      <c r="H147" s="77" t="s">
        <v>2862</v>
      </c>
      <c r="I147" s="76" t="s">
        <v>2102</v>
      </c>
      <c r="J147" s="76" t="s">
        <v>4</v>
      </c>
      <c r="K147" s="76" t="str">
        <f>VLOOKUP($B147,'WILL TOKO SEP'!A148:AK887,37,0)</f>
        <v>DENPASAR BARAT</v>
      </c>
      <c r="L147" s="76" t="s">
        <v>2104</v>
      </c>
      <c r="M147" s="37" t="s">
        <v>3</v>
      </c>
      <c r="N147" s="79">
        <v>46164</v>
      </c>
      <c r="O147" s="79">
        <v>46199</v>
      </c>
      <c r="P147" s="78">
        <v>0</v>
      </c>
      <c r="Q147" s="241">
        <v>0</v>
      </c>
      <c r="R147" s="79">
        <f>IFERROR(VLOOKUP($B147,JADWAL!$G$6:$J$690,4,0),"")</f>
        <v>46269</v>
      </c>
      <c r="S147" s="77">
        <f t="shared" si="6"/>
        <v>1</v>
      </c>
      <c r="T147" s="77"/>
      <c r="U147" s="37" t="s">
        <v>2242</v>
      </c>
      <c r="V147" s="37" t="s">
        <v>2250</v>
      </c>
      <c r="W147" s="37"/>
      <c r="X147" s="37" t="s">
        <v>2</v>
      </c>
    </row>
    <row r="148" spans="1:24" x14ac:dyDescent="0.3">
      <c r="A148" s="37">
        <f t="shared" si="7"/>
        <v>147</v>
      </c>
      <c r="B148" s="76" t="s">
        <v>1224</v>
      </c>
      <c r="C148" s="76" t="s">
        <v>1223</v>
      </c>
      <c r="D148" s="76" t="s">
        <v>2396</v>
      </c>
      <c r="E148" s="77">
        <v>555818608</v>
      </c>
      <c r="F148" s="77">
        <v>2000000</v>
      </c>
      <c r="G148" s="77" t="s">
        <v>2827</v>
      </c>
      <c r="H148" s="77" t="s">
        <v>2848</v>
      </c>
      <c r="I148" s="76" t="s">
        <v>2102</v>
      </c>
      <c r="J148" s="76" t="s">
        <v>48</v>
      </c>
      <c r="K148" s="76" t="str">
        <f>VLOOKUP($B148,'WILL TOKO SEP'!A149:AK888,37,0)</f>
        <v>BANJAR</v>
      </c>
      <c r="L148" s="76" t="s">
        <v>2104</v>
      </c>
      <c r="M148" s="37" t="s">
        <v>3</v>
      </c>
      <c r="N148" s="79">
        <v>46172</v>
      </c>
      <c r="O148" s="78">
        <v>0</v>
      </c>
      <c r="P148" s="79">
        <v>46214</v>
      </c>
      <c r="Q148" s="241">
        <v>0</v>
      </c>
      <c r="R148" s="79">
        <f>IFERROR(VLOOKUP($B148,JADWAL!$G$6:$J$690,4,0),"")</f>
        <v>46268</v>
      </c>
      <c r="S148" s="77">
        <f t="shared" si="6"/>
        <v>1</v>
      </c>
      <c r="T148" s="77"/>
      <c r="U148" s="37" t="s">
        <v>2242</v>
      </c>
      <c r="V148" s="37" t="s">
        <v>2250</v>
      </c>
      <c r="W148" s="37"/>
      <c r="X148" s="37" t="s">
        <v>44</v>
      </c>
    </row>
    <row r="149" spans="1:24" x14ac:dyDescent="0.3">
      <c r="A149" s="37">
        <f t="shared" si="7"/>
        <v>148</v>
      </c>
      <c r="B149" s="76" t="s">
        <v>1493</v>
      </c>
      <c r="C149" s="76" t="s">
        <v>1492</v>
      </c>
      <c r="D149" s="76" t="s">
        <v>2397</v>
      </c>
      <c r="E149" s="77">
        <v>442269516</v>
      </c>
      <c r="F149" s="77">
        <v>2500000</v>
      </c>
      <c r="G149" s="77" t="s">
        <v>2819</v>
      </c>
      <c r="H149" s="77" t="s">
        <v>2820</v>
      </c>
      <c r="I149" s="76" t="s">
        <v>2102</v>
      </c>
      <c r="J149" s="76" t="s">
        <v>4</v>
      </c>
      <c r="K149" s="76" t="str">
        <f>VLOOKUP($B149,'WILL TOKO SEP'!A150:AK889,37,0)</f>
        <v>DENPASAR BARAT</v>
      </c>
      <c r="L149" s="76" t="s">
        <v>2104</v>
      </c>
      <c r="M149" s="37" t="s">
        <v>3</v>
      </c>
      <c r="N149" s="79">
        <v>46170</v>
      </c>
      <c r="O149" s="79">
        <v>46192</v>
      </c>
      <c r="P149" s="79">
        <v>46231</v>
      </c>
      <c r="Q149" s="79">
        <v>46247</v>
      </c>
      <c r="R149" s="79" t="str">
        <f>IFERROR(VLOOKUP($B149,JADWAL!$G$6:$J$690,4,0),"")</f>
        <v/>
      </c>
      <c r="S149" s="77">
        <f t="shared" si="6"/>
        <v>0</v>
      </c>
      <c r="T149" s="77"/>
      <c r="U149" s="37" t="s">
        <v>2242</v>
      </c>
      <c r="V149" s="37" t="s">
        <v>2078</v>
      </c>
      <c r="W149" s="37"/>
      <c r="X149" s="37" t="e">
        <v>#N/A</v>
      </c>
    </row>
    <row r="150" spans="1:24" x14ac:dyDescent="0.3">
      <c r="A150" s="37">
        <f t="shared" si="7"/>
        <v>149</v>
      </c>
      <c r="B150" s="76" t="s">
        <v>534</v>
      </c>
      <c r="C150" s="76" t="s">
        <v>5712</v>
      </c>
      <c r="D150" s="76" t="s">
        <v>2400</v>
      </c>
      <c r="E150" s="77">
        <v>515865104</v>
      </c>
      <c r="F150" s="77">
        <v>2500000</v>
      </c>
      <c r="G150" s="77" t="s">
        <v>2830</v>
      </c>
      <c r="H150" s="77" t="s">
        <v>2838</v>
      </c>
      <c r="I150" s="76" t="s">
        <v>2102</v>
      </c>
      <c r="J150" s="76" t="s">
        <v>4</v>
      </c>
      <c r="K150" s="76" t="e">
        <f>VLOOKUP($B150,'WILL TOKO SEP'!A151:AK890,37,0)</f>
        <v>#N/A</v>
      </c>
      <c r="L150" s="76" t="s">
        <v>2104</v>
      </c>
      <c r="M150" s="37" t="s">
        <v>3</v>
      </c>
      <c r="N150" s="78">
        <v>0</v>
      </c>
      <c r="O150" s="79">
        <v>46200</v>
      </c>
      <c r="P150" s="78">
        <v>0</v>
      </c>
      <c r="Q150" s="241">
        <v>0</v>
      </c>
      <c r="R150" s="79" t="str">
        <f>IFERROR(VLOOKUP($B150,JADWAL!$G$6:$J$690,4,0),"")</f>
        <v/>
      </c>
      <c r="S150" s="77">
        <f t="shared" si="6"/>
        <v>2</v>
      </c>
      <c r="T150" s="77"/>
      <c r="U150" s="37" t="s">
        <v>2242</v>
      </c>
      <c r="V150" s="37" t="s">
        <v>2250</v>
      </c>
      <c r="W150" s="37"/>
      <c r="X150" s="37" t="s">
        <v>2</v>
      </c>
    </row>
    <row r="151" spans="1:24" x14ac:dyDescent="0.3">
      <c r="A151" s="37">
        <f t="shared" si="7"/>
        <v>150</v>
      </c>
      <c r="B151" s="76" t="s">
        <v>1001</v>
      </c>
      <c r="C151" s="76" t="s">
        <v>1000</v>
      </c>
      <c r="D151" s="76" t="s">
        <v>2401</v>
      </c>
      <c r="E151" s="77">
        <v>371280568</v>
      </c>
      <c r="F151" s="77">
        <v>2500000</v>
      </c>
      <c r="G151" s="77" t="s">
        <v>2834</v>
      </c>
      <c r="H151" s="77" t="s">
        <v>2842</v>
      </c>
      <c r="I151" s="76" t="s">
        <v>2102</v>
      </c>
      <c r="J151" s="76" t="s">
        <v>28</v>
      </c>
      <c r="K151" s="76" t="str">
        <f>VLOOKUP($B151,'WILL TOKO SEP'!A152:AK891,37,0)</f>
        <v>GIANYAR</v>
      </c>
      <c r="L151" s="76" t="s">
        <v>2103</v>
      </c>
      <c r="M151" s="37" t="s">
        <v>3</v>
      </c>
      <c r="N151" s="78">
        <v>0</v>
      </c>
      <c r="O151" s="79">
        <v>46178</v>
      </c>
      <c r="P151" s="79">
        <v>46223</v>
      </c>
      <c r="Q151" s="241">
        <v>0</v>
      </c>
      <c r="R151" s="79" t="str">
        <f>IFERROR(VLOOKUP($B151,JADWAL!$G$6:$J$690,4,0),"")</f>
        <v/>
      </c>
      <c r="S151" s="77">
        <f t="shared" si="6"/>
        <v>1</v>
      </c>
      <c r="T151" s="77"/>
      <c r="U151" s="37" t="s">
        <v>2242</v>
      </c>
      <c r="V151" s="37" t="s">
        <v>2250</v>
      </c>
      <c r="W151" s="37"/>
      <c r="X151" s="37" t="s">
        <v>27</v>
      </c>
    </row>
    <row r="152" spans="1:24" x14ac:dyDescent="0.3">
      <c r="A152" s="37">
        <f t="shared" si="7"/>
        <v>151</v>
      </c>
      <c r="B152" s="76" t="s">
        <v>1465</v>
      </c>
      <c r="C152" s="76" t="s">
        <v>1464</v>
      </c>
      <c r="D152" s="76" t="s">
        <v>5262</v>
      </c>
      <c r="E152" s="77">
        <v>366246770</v>
      </c>
      <c r="F152" s="77">
        <v>2000000</v>
      </c>
      <c r="G152" s="77" t="s">
        <v>2817</v>
      </c>
      <c r="H152" s="77" t="s">
        <v>2852</v>
      </c>
      <c r="I152" s="76" t="s">
        <v>2102</v>
      </c>
      <c r="J152" s="76" t="s">
        <v>4</v>
      </c>
      <c r="K152" s="76" t="str">
        <f>VLOOKUP($B152,'WILL TOKO SEP'!A153:AK892,37,0)</f>
        <v>DENPASAR SELATAN</v>
      </c>
      <c r="L152" s="76" t="s">
        <v>2103</v>
      </c>
      <c r="M152" s="37" t="s">
        <v>3</v>
      </c>
      <c r="N152" s="78">
        <v>0</v>
      </c>
      <c r="O152" s="79">
        <v>46203</v>
      </c>
      <c r="P152" s="79">
        <v>46220</v>
      </c>
      <c r="Q152" s="79">
        <v>46248</v>
      </c>
      <c r="R152" s="79" t="str">
        <f>IFERROR(VLOOKUP($B152,JADWAL!$G$6:$J$690,4,0),"")</f>
        <v/>
      </c>
      <c r="S152" s="77">
        <f t="shared" si="6"/>
        <v>1</v>
      </c>
      <c r="T152" s="77"/>
      <c r="U152" s="37" t="s">
        <v>2242</v>
      </c>
      <c r="V152" s="37" t="s">
        <v>2078</v>
      </c>
      <c r="W152" s="37"/>
      <c r="X152" s="37" t="e">
        <v>#N/A</v>
      </c>
    </row>
    <row r="153" spans="1:24" x14ac:dyDescent="0.3">
      <c r="A153" s="37">
        <f t="shared" si="7"/>
        <v>152</v>
      </c>
      <c r="B153" s="76" t="s">
        <v>1202</v>
      </c>
      <c r="C153" s="76" t="s">
        <v>1201</v>
      </c>
      <c r="D153" s="76" t="s">
        <v>5129</v>
      </c>
      <c r="E153" s="77">
        <v>485364171</v>
      </c>
      <c r="F153" s="77">
        <v>2500000</v>
      </c>
      <c r="G153" s="77" t="s">
        <v>2834</v>
      </c>
      <c r="H153" s="77" t="s">
        <v>2842</v>
      </c>
      <c r="I153" s="76" t="s">
        <v>2102</v>
      </c>
      <c r="J153" s="76" t="s">
        <v>58</v>
      </c>
      <c r="K153" s="76" t="str">
        <f>VLOOKUP($B153,'WILL TOKO SEP'!A154:AK893,37,0)</f>
        <v>DAWAN</v>
      </c>
      <c r="L153" s="76" t="s">
        <v>2104</v>
      </c>
      <c r="M153" s="37" t="s">
        <v>3</v>
      </c>
      <c r="N153" s="79">
        <v>46148</v>
      </c>
      <c r="O153" s="79">
        <v>46199</v>
      </c>
      <c r="P153" s="79">
        <v>46216</v>
      </c>
      <c r="Q153" s="241">
        <v>0</v>
      </c>
      <c r="R153" s="79" t="str">
        <f>IFERROR(VLOOKUP($B153,JADWAL!$G$6:$J$690,4,0),"")</f>
        <v/>
      </c>
      <c r="S153" s="77">
        <f t="shared" si="6"/>
        <v>0</v>
      </c>
      <c r="T153" s="77"/>
      <c r="U153" s="37" t="s">
        <v>2242</v>
      </c>
      <c r="V153" s="37" t="s">
        <v>2250</v>
      </c>
      <c r="W153" s="37"/>
      <c r="X153" s="37" t="s">
        <v>27</v>
      </c>
    </row>
    <row r="154" spans="1:24" x14ac:dyDescent="0.3">
      <c r="A154" s="37">
        <f t="shared" si="7"/>
        <v>153</v>
      </c>
      <c r="B154" s="76" t="s">
        <v>1144</v>
      </c>
      <c r="C154" s="76" t="s">
        <v>1143</v>
      </c>
      <c r="D154" s="76" t="s">
        <v>5347</v>
      </c>
      <c r="E154" s="77">
        <v>502910480</v>
      </c>
      <c r="F154" s="77">
        <v>2000000</v>
      </c>
      <c r="G154" s="77" t="s">
        <v>2834</v>
      </c>
      <c r="H154" s="77" t="s">
        <v>2869</v>
      </c>
      <c r="I154" s="76" t="s">
        <v>2102</v>
      </c>
      <c r="J154" s="76" t="s">
        <v>40</v>
      </c>
      <c r="K154" s="76" t="str">
        <f>VLOOKUP($B154,'WILL TOKO SEP'!A155:AK894,37,0)</f>
        <v>KUBU</v>
      </c>
      <c r="L154" s="76" t="s">
        <v>2104</v>
      </c>
      <c r="M154" s="37" t="s">
        <v>3</v>
      </c>
      <c r="N154" s="79">
        <v>46164</v>
      </c>
      <c r="O154" s="78">
        <v>0</v>
      </c>
      <c r="P154" s="79">
        <v>46218</v>
      </c>
      <c r="Q154" s="241">
        <v>0</v>
      </c>
      <c r="R154" s="79" t="str">
        <f>IFERROR(VLOOKUP($B154,JADWAL!$G$6:$J$690,4,0),"")</f>
        <v/>
      </c>
      <c r="S154" s="77">
        <f t="shared" si="6"/>
        <v>1</v>
      </c>
      <c r="T154" s="77"/>
      <c r="U154" s="37" t="s">
        <v>2242</v>
      </c>
      <c r="V154" s="37" t="s">
        <v>2250</v>
      </c>
      <c r="W154" s="37"/>
      <c r="X154" s="37" t="s">
        <v>27</v>
      </c>
    </row>
    <row r="155" spans="1:24" x14ac:dyDescent="0.3">
      <c r="A155" s="37">
        <f t="shared" si="7"/>
        <v>154</v>
      </c>
      <c r="B155" s="76" t="s">
        <v>1513</v>
      </c>
      <c r="C155" s="76" t="s">
        <v>1512</v>
      </c>
      <c r="D155" s="76" t="s">
        <v>2405</v>
      </c>
      <c r="E155" s="77">
        <v>432871536</v>
      </c>
      <c r="F155" s="77">
        <v>3000000</v>
      </c>
      <c r="G155" s="77" t="s">
        <v>2817</v>
      </c>
      <c r="H155" s="77" t="s">
        <v>2851</v>
      </c>
      <c r="I155" s="76" t="s">
        <v>2102</v>
      </c>
      <c r="J155" s="76" t="s">
        <v>4</v>
      </c>
      <c r="K155" s="76" t="str">
        <f>VLOOKUP($B155,'WILL TOKO SEP'!A156:AK895,37,0)</f>
        <v>DENPASAR SELATAN</v>
      </c>
      <c r="L155" s="76" t="s">
        <v>2103</v>
      </c>
      <c r="M155" s="37" t="s">
        <v>3</v>
      </c>
      <c r="N155" s="78">
        <v>0</v>
      </c>
      <c r="O155" s="78">
        <v>0</v>
      </c>
      <c r="P155" s="79">
        <v>46204</v>
      </c>
      <c r="Q155" s="79">
        <v>46247</v>
      </c>
      <c r="R155" s="79" t="str">
        <f>IFERROR(VLOOKUP($B155,JADWAL!$G$6:$J$690,4,0),"")</f>
        <v/>
      </c>
      <c r="S155" s="77">
        <f t="shared" si="6"/>
        <v>2</v>
      </c>
      <c r="T155" s="77"/>
      <c r="U155" s="37" t="s">
        <v>2242</v>
      </c>
      <c r="V155" s="37" t="s">
        <v>2250</v>
      </c>
      <c r="W155" s="37"/>
      <c r="X155" s="37" t="e">
        <v>#N/A</v>
      </c>
    </row>
    <row r="156" spans="1:24" x14ac:dyDescent="0.3">
      <c r="A156" s="37">
        <f t="shared" si="7"/>
        <v>155</v>
      </c>
      <c r="B156" s="76" t="s">
        <v>478</v>
      </c>
      <c r="C156" s="76" t="s">
        <v>477</v>
      </c>
      <c r="D156" s="76" t="s">
        <v>5692</v>
      </c>
      <c r="E156" s="77">
        <v>0</v>
      </c>
      <c r="F156" s="77">
        <v>0</v>
      </c>
      <c r="G156" s="77" t="s">
        <v>2827</v>
      </c>
      <c r="H156" s="77" t="s">
        <v>2848</v>
      </c>
      <c r="I156" s="76" t="s">
        <v>2102</v>
      </c>
      <c r="J156" s="76" t="s">
        <v>5690</v>
      </c>
      <c r="K156" s="76" t="str">
        <f>VLOOKUP($B156,'WILL TOKO SEP'!A157:AK896,37,0)</f>
        <v>Gerokgak</v>
      </c>
      <c r="L156" s="76" t="s">
        <v>2104</v>
      </c>
      <c r="M156" s="37" t="s">
        <v>3</v>
      </c>
      <c r="N156" s="78">
        <v>0</v>
      </c>
      <c r="O156" s="78">
        <v>0</v>
      </c>
      <c r="P156" s="78">
        <v>0</v>
      </c>
      <c r="Q156" s="79">
        <v>46265</v>
      </c>
      <c r="R156" s="79" t="str">
        <f>IFERROR(VLOOKUP($B156,JADWAL!$G$6:$J$690,4,0),"")</f>
        <v/>
      </c>
      <c r="S156" s="77">
        <f t="shared" si="6"/>
        <v>3</v>
      </c>
      <c r="T156" s="77"/>
      <c r="U156" s="37" t="s">
        <v>2243</v>
      </c>
      <c r="V156" s="37" t="s">
        <v>2250</v>
      </c>
      <c r="W156" s="37"/>
      <c r="X156" s="37">
        <v>0</v>
      </c>
    </row>
    <row r="157" spans="1:24" x14ac:dyDescent="0.3">
      <c r="A157" s="37">
        <f t="shared" si="7"/>
        <v>156</v>
      </c>
      <c r="B157" s="76" t="s">
        <v>585</v>
      </c>
      <c r="C157" s="76" t="s">
        <v>584</v>
      </c>
      <c r="D157" s="76" t="s">
        <v>5272</v>
      </c>
      <c r="E157" s="77">
        <v>526499981</v>
      </c>
      <c r="F157" s="77">
        <v>3500000</v>
      </c>
      <c r="G157" s="77" t="s">
        <v>2834</v>
      </c>
      <c r="H157" s="77" t="s">
        <v>2842</v>
      </c>
      <c r="I157" s="76" t="s">
        <v>2102</v>
      </c>
      <c r="J157" s="76" t="s">
        <v>32</v>
      </c>
      <c r="K157" s="76" t="str">
        <f>VLOOKUP($B157,'WILL TOKO SEP'!A158:AK897,37,0)</f>
        <v>KINTAMANI</v>
      </c>
      <c r="L157" s="76" t="s">
        <v>2104</v>
      </c>
      <c r="M157" s="37" t="s">
        <v>3</v>
      </c>
      <c r="N157" s="79">
        <v>46162</v>
      </c>
      <c r="O157" s="79">
        <v>46196</v>
      </c>
      <c r="P157" s="78">
        <v>0</v>
      </c>
      <c r="Q157" s="241">
        <v>0</v>
      </c>
      <c r="R157" s="79" t="str">
        <f>IFERROR(VLOOKUP($B157,JADWAL!$G$6:$J$690,4,0),"")</f>
        <v/>
      </c>
      <c r="S157" s="77">
        <f t="shared" si="6"/>
        <v>1</v>
      </c>
      <c r="T157" s="77"/>
      <c r="U157" s="37" t="s">
        <v>2242</v>
      </c>
      <c r="V157" s="37" t="s">
        <v>2250</v>
      </c>
      <c r="W157" s="37"/>
      <c r="X157" s="37" t="s">
        <v>27</v>
      </c>
    </row>
    <row r="158" spans="1:24" x14ac:dyDescent="0.3">
      <c r="A158" s="37">
        <f t="shared" si="7"/>
        <v>157</v>
      </c>
      <c r="B158" s="76" t="s">
        <v>1196</v>
      </c>
      <c r="C158" s="76" t="s">
        <v>1195</v>
      </c>
      <c r="D158" s="76" t="s">
        <v>2407</v>
      </c>
      <c r="E158" s="77">
        <v>385412244</v>
      </c>
      <c r="F158" s="77">
        <v>2000000</v>
      </c>
      <c r="G158" s="77" t="s">
        <v>2834</v>
      </c>
      <c r="H158" s="77" t="s">
        <v>2842</v>
      </c>
      <c r="I158" s="76" t="s">
        <v>2102</v>
      </c>
      <c r="J158" s="76" t="s">
        <v>58</v>
      </c>
      <c r="K158" s="76" t="str">
        <f>VLOOKUP($B158,'WILL TOKO SEP'!A159:AK898,37,0)</f>
        <v>BANJARANGKAN</v>
      </c>
      <c r="L158" s="76" t="s">
        <v>2104</v>
      </c>
      <c r="M158" s="37" t="s">
        <v>3</v>
      </c>
      <c r="N158" s="79">
        <v>46150</v>
      </c>
      <c r="O158" s="79">
        <v>46199</v>
      </c>
      <c r="P158" s="79">
        <v>46216</v>
      </c>
      <c r="Q158" s="241">
        <v>0</v>
      </c>
      <c r="R158" s="79" t="str">
        <f>IFERROR(VLOOKUP($B158,JADWAL!$G$6:$J$690,4,0),"")</f>
        <v/>
      </c>
      <c r="S158" s="77">
        <f t="shared" si="6"/>
        <v>0</v>
      </c>
      <c r="T158" s="77"/>
      <c r="U158" s="37" t="s">
        <v>2242</v>
      </c>
      <c r="V158" s="37" t="s">
        <v>2250</v>
      </c>
      <c r="W158" s="37"/>
      <c r="X158" s="37" t="s">
        <v>27</v>
      </c>
    </row>
    <row r="159" spans="1:24" x14ac:dyDescent="0.3">
      <c r="A159" s="37">
        <f t="shared" si="7"/>
        <v>158</v>
      </c>
      <c r="B159" s="76" t="s">
        <v>765</v>
      </c>
      <c r="C159" s="76" t="s">
        <v>764</v>
      </c>
      <c r="D159" s="76" t="s">
        <v>2408</v>
      </c>
      <c r="E159" s="77">
        <v>433578982</v>
      </c>
      <c r="F159" s="77">
        <v>2000000</v>
      </c>
      <c r="G159" s="77" t="s">
        <v>2834</v>
      </c>
      <c r="H159" s="77" t="s">
        <v>2844</v>
      </c>
      <c r="I159" s="76" t="s">
        <v>2102</v>
      </c>
      <c r="J159" s="76" t="s">
        <v>28</v>
      </c>
      <c r="K159" s="76" t="str">
        <f>VLOOKUP($B159,'WILL TOKO SEP'!A160:AK899,37,0)</f>
        <v>GIANYAR</v>
      </c>
      <c r="L159" s="76" t="s">
        <v>2103</v>
      </c>
      <c r="M159" s="37" t="s">
        <v>3</v>
      </c>
      <c r="N159" s="78">
        <v>0</v>
      </c>
      <c r="O159" s="79">
        <v>46188</v>
      </c>
      <c r="P159" s="79">
        <v>46232</v>
      </c>
      <c r="Q159" s="241">
        <v>0</v>
      </c>
      <c r="R159" s="79" t="str">
        <f>IFERROR(VLOOKUP($B159,JADWAL!$G$6:$J$690,4,0),"")</f>
        <v/>
      </c>
      <c r="S159" s="77">
        <f t="shared" si="6"/>
        <v>1</v>
      </c>
      <c r="T159" s="77"/>
      <c r="U159" s="37" t="s">
        <v>2242</v>
      </c>
      <c r="V159" s="37" t="s">
        <v>2250</v>
      </c>
      <c r="W159" s="37"/>
      <c r="X159" s="37" t="s">
        <v>27</v>
      </c>
    </row>
    <row r="160" spans="1:24" x14ac:dyDescent="0.3">
      <c r="A160" s="37">
        <f t="shared" si="7"/>
        <v>159</v>
      </c>
      <c r="B160" s="76" t="s">
        <v>1172</v>
      </c>
      <c r="C160" s="76" t="s">
        <v>1171</v>
      </c>
      <c r="D160" s="76" t="s">
        <v>5591</v>
      </c>
      <c r="E160" s="77">
        <v>339941644</v>
      </c>
      <c r="F160" s="77">
        <v>2000000</v>
      </c>
      <c r="G160" s="77" t="s">
        <v>2815</v>
      </c>
      <c r="H160" s="77" t="s">
        <v>2859</v>
      </c>
      <c r="I160" s="76" t="s">
        <v>2102</v>
      </c>
      <c r="J160" s="76" t="s">
        <v>28</v>
      </c>
      <c r="K160" s="76" t="str">
        <f>VLOOKUP($B160,'WILL TOKO SEP'!A161:AK900,37,0)</f>
        <v>Tegallalang</v>
      </c>
      <c r="L160" s="76" t="s">
        <v>2103</v>
      </c>
      <c r="M160" s="37" t="s">
        <v>3</v>
      </c>
      <c r="N160" s="79">
        <v>46147</v>
      </c>
      <c r="O160" s="78">
        <v>0</v>
      </c>
      <c r="P160" s="79">
        <v>46217</v>
      </c>
      <c r="Q160" s="241">
        <v>0</v>
      </c>
      <c r="R160" s="79" t="str">
        <f>IFERROR(VLOOKUP($B160,JADWAL!$G$6:$J$690,4,0),"")</f>
        <v/>
      </c>
      <c r="S160" s="77">
        <f t="shared" si="6"/>
        <v>1</v>
      </c>
      <c r="T160" s="77"/>
      <c r="U160" s="37" t="s">
        <v>2242</v>
      </c>
      <c r="V160" s="37" t="s">
        <v>2250</v>
      </c>
      <c r="W160" s="37"/>
      <c r="X160" s="37" t="s">
        <v>27</v>
      </c>
    </row>
    <row r="161" spans="1:24" x14ac:dyDescent="0.3">
      <c r="A161" s="37">
        <f t="shared" si="7"/>
        <v>160</v>
      </c>
      <c r="B161" s="76" t="s">
        <v>923</v>
      </c>
      <c r="C161" s="76" t="s">
        <v>922</v>
      </c>
      <c r="D161" s="76" t="s">
        <v>5179</v>
      </c>
      <c r="E161" s="77">
        <v>431979825</v>
      </c>
      <c r="F161" s="77">
        <v>2000000</v>
      </c>
      <c r="G161" s="77" t="s">
        <v>2815</v>
      </c>
      <c r="H161" s="77" t="s">
        <v>2855</v>
      </c>
      <c r="I161" s="76" t="s">
        <v>2102</v>
      </c>
      <c r="J161" s="76" t="s">
        <v>28</v>
      </c>
      <c r="K161" s="76" t="str">
        <f>VLOOKUP($B161,'WILL TOKO SEP'!A162:AK901,37,0)</f>
        <v>SUKAWATI</v>
      </c>
      <c r="L161" s="76" t="s">
        <v>2103</v>
      </c>
      <c r="M161" s="37" t="s">
        <v>3</v>
      </c>
      <c r="N161" s="78">
        <v>0</v>
      </c>
      <c r="O161" s="79">
        <v>46199</v>
      </c>
      <c r="P161" s="79">
        <v>46226</v>
      </c>
      <c r="Q161" s="241">
        <v>0</v>
      </c>
      <c r="R161" s="79" t="str">
        <f>IFERROR(VLOOKUP($B161,JADWAL!$G$6:$J$690,4,0),"")</f>
        <v/>
      </c>
      <c r="S161" s="77">
        <f t="shared" si="6"/>
        <v>1</v>
      </c>
      <c r="T161" s="77"/>
      <c r="U161" s="37" t="s">
        <v>2242</v>
      </c>
      <c r="V161" s="37" t="s">
        <v>2250</v>
      </c>
      <c r="W161" s="37"/>
      <c r="X161" s="37" t="s">
        <v>27</v>
      </c>
    </row>
    <row r="162" spans="1:24" x14ac:dyDescent="0.3">
      <c r="A162" s="37">
        <f t="shared" si="7"/>
        <v>161</v>
      </c>
      <c r="B162" s="76" t="s">
        <v>1738</v>
      </c>
      <c r="C162" s="76" t="s">
        <v>1737</v>
      </c>
      <c r="D162" s="76" t="s">
        <v>5582</v>
      </c>
      <c r="E162" s="77">
        <v>409799423</v>
      </c>
      <c r="F162" s="77">
        <v>2000000</v>
      </c>
      <c r="G162" s="77" t="s">
        <v>2827</v>
      </c>
      <c r="H162" s="77" t="s">
        <v>2864</v>
      </c>
      <c r="I162" s="76" t="s">
        <v>2102</v>
      </c>
      <c r="J162" s="76" t="s">
        <v>48</v>
      </c>
      <c r="K162" s="76" t="str">
        <f>VLOOKUP($B162,'WILL TOKO SEP'!A163:AK902,37,0)</f>
        <v>Kubutambahan</v>
      </c>
      <c r="L162" s="76" t="s">
        <v>2104</v>
      </c>
      <c r="M162" s="37" t="s">
        <v>3</v>
      </c>
      <c r="N162" s="79">
        <v>46162</v>
      </c>
      <c r="O162" s="79">
        <v>46200</v>
      </c>
      <c r="P162" s="79">
        <v>46212</v>
      </c>
      <c r="Q162" s="79">
        <v>46240</v>
      </c>
      <c r="R162" s="79" t="str">
        <f>IFERROR(VLOOKUP($B162,JADWAL!$G$6:$J$690,4,0),"")</f>
        <v/>
      </c>
      <c r="S162" s="77">
        <f t="shared" si="6"/>
        <v>0</v>
      </c>
      <c r="T162" s="77"/>
      <c r="U162" s="37" t="s">
        <v>2242</v>
      </c>
      <c r="V162" s="37" t="s">
        <v>2250</v>
      </c>
      <c r="W162" s="37"/>
      <c r="X162" s="37" t="e">
        <v>#N/A</v>
      </c>
    </row>
    <row r="163" spans="1:24" x14ac:dyDescent="0.3">
      <c r="A163" s="37">
        <f t="shared" si="7"/>
        <v>162</v>
      </c>
      <c r="B163" s="76" t="s">
        <v>1453</v>
      </c>
      <c r="C163" s="76" t="s">
        <v>5782</v>
      </c>
      <c r="D163" s="76" t="s">
        <v>2411</v>
      </c>
      <c r="E163" s="77">
        <v>411276464</v>
      </c>
      <c r="F163" s="77">
        <v>2000000</v>
      </c>
      <c r="G163" s="77" t="s">
        <v>2813</v>
      </c>
      <c r="H163" s="77" t="s">
        <v>2832</v>
      </c>
      <c r="I163" s="76" t="s">
        <v>2102</v>
      </c>
      <c r="J163" s="76" t="s">
        <v>9</v>
      </c>
      <c r="K163" s="76" t="str">
        <f>VLOOKUP($B163,'WILL TOKO SEP'!A164:AK903,37,0)</f>
        <v>KUTA SELATAN</v>
      </c>
      <c r="L163" s="76" t="s">
        <v>2103</v>
      </c>
      <c r="M163" s="37" t="s">
        <v>3</v>
      </c>
      <c r="N163" s="79">
        <v>46148</v>
      </c>
      <c r="O163" s="79">
        <v>46202</v>
      </c>
      <c r="P163" s="78">
        <v>0</v>
      </c>
      <c r="Q163" s="79">
        <v>46248</v>
      </c>
      <c r="R163" s="79" t="str">
        <f>IFERROR(VLOOKUP($B163,JADWAL!$G$6:$J$690,4,0),"")</f>
        <v/>
      </c>
      <c r="S163" s="77">
        <f t="shared" si="6"/>
        <v>1</v>
      </c>
      <c r="T163" s="77"/>
      <c r="U163" s="37" t="s">
        <v>2242</v>
      </c>
      <c r="V163" s="37" t="s">
        <v>2250</v>
      </c>
      <c r="W163" s="37"/>
      <c r="X163" s="37" t="e">
        <v>#N/A</v>
      </c>
    </row>
    <row r="164" spans="1:24" x14ac:dyDescent="0.3">
      <c r="A164" s="37">
        <f t="shared" si="7"/>
        <v>163</v>
      </c>
      <c r="B164" s="76" t="s">
        <v>557</v>
      </c>
      <c r="C164" s="76" t="s">
        <v>556</v>
      </c>
      <c r="D164" s="76" t="s">
        <v>2412</v>
      </c>
      <c r="E164" s="77">
        <v>575975603</v>
      </c>
      <c r="F164" s="77">
        <v>5000000</v>
      </c>
      <c r="G164" s="77" t="s">
        <v>2834</v>
      </c>
      <c r="H164" s="77" t="s">
        <v>2869</v>
      </c>
      <c r="I164" s="76" t="s">
        <v>2102</v>
      </c>
      <c r="J164" s="76" t="s">
        <v>40</v>
      </c>
      <c r="K164" s="76" t="e">
        <f>VLOOKUP($B164,'WILL TOKO SEP'!A165:AK904,37,0)</f>
        <v>#N/A</v>
      </c>
      <c r="L164" s="76" t="s">
        <v>2104</v>
      </c>
      <c r="M164" s="37" t="s">
        <v>3</v>
      </c>
      <c r="N164" s="79">
        <v>46171</v>
      </c>
      <c r="O164" s="79">
        <v>46203</v>
      </c>
      <c r="P164" s="78">
        <v>0</v>
      </c>
      <c r="Q164" s="241">
        <v>0</v>
      </c>
      <c r="R164" s="79" t="str">
        <f>IFERROR(VLOOKUP($B164,JADWAL!$G$6:$J$690,4,0),"")</f>
        <v/>
      </c>
      <c r="S164" s="77">
        <f t="shared" si="6"/>
        <v>1</v>
      </c>
      <c r="T164" s="77"/>
      <c r="U164" s="37" t="s">
        <v>2242</v>
      </c>
      <c r="V164" s="37" t="s">
        <v>2250</v>
      </c>
      <c r="W164" s="37"/>
      <c r="X164" s="37" t="s">
        <v>27</v>
      </c>
    </row>
    <row r="165" spans="1:24" x14ac:dyDescent="0.3">
      <c r="A165" s="37">
        <f t="shared" si="7"/>
        <v>164</v>
      </c>
      <c r="B165" s="76" t="s">
        <v>1377</v>
      </c>
      <c r="C165" s="76" t="s">
        <v>5701</v>
      </c>
      <c r="D165" s="76" t="s">
        <v>2413</v>
      </c>
      <c r="E165" s="77">
        <v>596117599</v>
      </c>
      <c r="F165" s="77">
        <v>3500000</v>
      </c>
      <c r="G165" s="77" t="s">
        <v>2821</v>
      </c>
      <c r="H165" s="77" t="s">
        <v>2854</v>
      </c>
      <c r="I165" s="76" t="s">
        <v>2102</v>
      </c>
      <c r="J165" s="76" t="s">
        <v>4</v>
      </c>
      <c r="K165" s="76" t="e">
        <f>VLOOKUP($B165,'WILL TOKO SEP'!A166:AK905,37,0)</f>
        <v>#N/A</v>
      </c>
      <c r="L165" s="76" t="s">
        <v>2104</v>
      </c>
      <c r="M165" s="37" t="s">
        <v>3</v>
      </c>
      <c r="N165" s="78">
        <v>0</v>
      </c>
      <c r="O165" s="78">
        <v>0</v>
      </c>
      <c r="P165" s="79">
        <v>46206</v>
      </c>
      <c r="Q165" s="241">
        <v>0</v>
      </c>
      <c r="R165" s="79">
        <f>IFERROR(VLOOKUP($B165,JADWAL!$G$6:$J$690,4,0),"")</f>
        <v>46266</v>
      </c>
      <c r="S165" s="77">
        <f t="shared" si="6"/>
        <v>2</v>
      </c>
      <c r="T165" s="77"/>
      <c r="U165" s="37" t="s">
        <v>2242</v>
      </c>
      <c r="V165" s="37" t="s">
        <v>2250</v>
      </c>
      <c r="W165" s="37"/>
      <c r="X165" s="37">
        <v>0</v>
      </c>
    </row>
    <row r="166" spans="1:24" x14ac:dyDescent="0.3">
      <c r="A166" s="37">
        <f t="shared" si="7"/>
        <v>165</v>
      </c>
      <c r="B166" s="76" t="s">
        <v>724</v>
      </c>
      <c r="C166" s="76" t="s">
        <v>723</v>
      </c>
      <c r="D166" s="76" t="s">
        <v>5230</v>
      </c>
      <c r="E166" s="77">
        <v>446490576</v>
      </c>
      <c r="F166" s="77">
        <v>2000000</v>
      </c>
      <c r="G166" s="77" t="s">
        <v>2821</v>
      </c>
      <c r="H166" s="77" t="s">
        <v>2854</v>
      </c>
      <c r="I166" s="76" t="s">
        <v>2102</v>
      </c>
      <c r="J166" s="76" t="s">
        <v>4</v>
      </c>
      <c r="K166" s="76" t="str">
        <f>VLOOKUP($B166,'WILL TOKO SEP'!A167:AK906,37,0)</f>
        <v>DENPASAR UTARA</v>
      </c>
      <c r="L166" s="76" t="s">
        <v>2104</v>
      </c>
      <c r="M166" s="37" t="s">
        <v>3</v>
      </c>
      <c r="N166" s="78">
        <v>0</v>
      </c>
      <c r="O166" s="79">
        <v>46178</v>
      </c>
      <c r="P166" s="79">
        <v>46233</v>
      </c>
      <c r="Q166" s="241">
        <v>0</v>
      </c>
      <c r="R166" s="79" t="str">
        <f>IFERROR(VLOOKUP($B166,JADWAL!$G$6:$J$690,4,0),"")</f>
        <v/>
      </c>
      <c r="S166" s="77">
        <f t="shared" si="6"/>
        <v>1</v>
      </c>
      <c r="T166" s="77"/>
      <c r="U166" s="37" t="s">
        <v>2242</v>
      </c>
      <c r="V166" s="37" t="s">
        <v>2250</v>
      </c>
      <c r="W166" s="37"/>
      <c r="X166" s="37">
        <v>0</v>
      </c>
    </row>
    <row r="167" spans="1:24" x14ac:dyDescent="0.3">
      <c r="A167" s="37">
        <f t="shared" si="7"/>
        <v>166</v>
      </c>
      <c r="B167" s="76" t="s">
        <v>1481</v>
      </c>
      <c r="C167" s="76" t="s">
        <v>1480</v>
      </c>
      <c r="D167" s="76" t="s">
        <v>2414</v>
      </c>
      <c r="E167" s="77">
        <v>430029678</v>
      </c>
      <c r="F167" s="77">
        <v>2000000</v>
      </c>
      <c r="G167" s="77" t="s">
        <v>2827</v>
      </c>
      <c r="H167" s="77" t="s">
        <v>2864</v>
      </c>
      <c r="I167" s="76" t="s">
        <v>2102</v>
      </c>
      <c r="J167" s="76" t="s">
        <v>48</v>
      </c>
      <c r="K167" s="76" t="str">
        <f>VLOOKUP($B167,'WILL TOKO SEP'!A168:AK907,37,0)</f>
        <v>SAWAN</v>
      </c>
      <c r="L167" s="76" t="s">
        <v>2104</v>
      </c>
      <c r="M167" s="37" t="s">
        <v>3</v>
      </c>
      <c r="N167" s="79">
        <v>46172</v>
      </c>
      <c r="O167" s="78">
        <v>0</v>
      </c>
      <c r="P167" s="79">
        <v>46217</v>
      </c>
      <c r="Q167" s="79">
        <v>46247</v>
      </c>
      <c r="R167" s="79" t="str">
        <f>IFERROR(VLOOKUP($B167,JADWAL!$G$6:$J$690,4,0),"")</f>
        <v/>
      </c>
      <c r="S167" s="77">
        <f t="shared" si="6"/>
        <v>1</v>
      </c>
      <c r="T167" s="77"/>
      <c r="U167" s="37" t="s">
        <v>2242</v>
      </c>
      <c r="V167" s="37" t="s">
        <v>2250</v>
      </c>
      <c r="W167" s="37"/>
      <c r="X167" s="37" t="e">
        <v>#N/A</v>
      </c>
    </row>
    <row r="168" spans="1:24" x14ac:dyDescent="0.3">
      <c r="A168" s="37">
        <f t="shared" si="7"/>
        <v>167</v>
      </c>
      <c r="B168" s="76" t="s">
        <v>1375</v>
      </c>
      <c r="C168" s="76" t="s">
        <v>1374</v>
      </c>
      <c r="D168" s="76" t="s">
        <v>2415</v>
      </c>
      <c r="E168" s="77">
        <v>500040746</v>
      </c>
      <c r="F168" s="77">
        <v>3000000</v>
      </c>
      <c r="G168" s="77" t="s">
        <v>2815</v>
      </c>
      <c r="H168" s="77" t="s">
        <v>2859</v>
      </c>
      <c r="I168" s="76" t="s">
        <v>2102</v>
      </c>
      <c r="J168" s="76" t="s">
        <v>28</v>
      </c>
      <c r="K168" s="76" t="str">
        <f>VLOOKUP($B168,'WILL TOKO SEP'!A169:AK908,37,0)</f>
        <v>TAMPAK SIRING</v>
      </c>
      <c r="L168" s="76" t="s">
        <v>2103</v>
      </c>
      <c r="M168" s="37" t="s">
        <v>3</v>
      </c>
      <c r="N168" s="78">
        <v>0</v>
      </c>
      <c r="O168" s="78">
        <v>0</v>
      </c>
      <c r="P168" s="79">
        <v>46206</v>
      </c>
      <c r="Q168" s="241">
        <v>0</v>
      </c>
      <c r="R168" s="79" t="str">
        <f>IFERROR(VLOOKUP($B168,JADWAL!$G$6:$J$690,4,0),"")</f>
        <v/>
      </c>
      <c r="S168" s="77">
        <f t="shared" si="6"/>
        <v>2</v>
      </c>
      <c r="T168" s="77"/>
      <c r="U168" s="37" t="s">
        <v>2242</v>
      </c>
      <c r="V168" s="37" t="s">
        <v>2250</v>
      </c>
      <c r="W168" s="37"/>
      <c r="X168" s="37" t="s">
        <v>27</v>
      </c>
    </row>
    <row r="169" spans="1:24" x14ac:dyDescent="0.3">
      <c r="A169" s="37">
        <f t="shared" si="7"/>
        <v>168</v>
      </c>
      <c r="B169" s="76" t="s">
        <v>1047</v>
      </c>
      <c r="C169" s="76" t="s">
        <v>5719</v>
      </c>
      <c r="D169" s="76" t="s">
        <v>2416</v>
      </c>
      <c r="E169" s="77">
        <v>514016138</v>
      </c>
      <c r="F169" s="77">
        <v>3000000</v>
      </c>
      <c r="G169" s="77" t="s">
        <v>2821</v>
      </c>
      <c r="H169" s="77" t="s">
        <v>2854</v>
      </c>
      <c r="I169" s="76" t="s">
        <v>2102</v>
      </c>
      <c r="J169" s="76" t="s">
        <v>4</v>
      </c>
      <c r="K169" s="76" t="str">
        <f>VLOOKUP($B169,'WILL TOKO SEP'!A170:AK909,37,0)</f>
        <v>DENPASAR UTARA</v>
      </c>
      <c r="L169" s="76" t="s">
        <v>2104</v>
      </c>
      <c r="M169" s="37" t="s">
        <v>3</v>
      </c>
      <c r="N169" s="79">
        <v>46172</v>
      </c>
      <c r="O169" s="79">
        <v>46202</v>
      </c>
      <c r="P169" s="79">
        <v>46221</v>
      </c>
      <c r="Q169" s="241">
        <v>0</v>
      </c>
      <c r="R169" s="79" t="str">
        <f>IFERROR(VLOOKUP($B169,JADWAL!$G$6:$J$690,4,0),"")</f>
        <v/>
      </c>
      <c r="S169" s="77">
        <f t="shared" si="6"/>
        <v>0</v>
      </c>
      <c r="T169" s="77"/>
      <c r="U169" s="37" t="s">
        <v>2242</v>
      </c>
      <c r="V169" s="37" t="s">
        <v>2250</v>
      </c>
      <c r="W169" s="37"/>
      <c r="X169" s="37">
        <v>0</v>
      </c>
    </row>
    <row r="170" spans="1:24" x14ac:dyDescent="0.3">
      <c r="A170" s="37">
        <f t="shared" si="7"/>
        <v>169</v>
      </c>
      <c r="B170" s="76" t="s">
        <v>1724</v>
      </c>
      <c r="C170" s="76" t="s">
        <v>1723</v>
      </c>
      <c r="D170" s="76" t="s">
        <v>2417</v>
      </c>
      <c r="E170" s="77">
        <v>435693275</v>
      </c>
      <c r="F170" s="77">
        <v>3000000</v>
      </c>
      <c r="G170" s="77" t="s">
        <v>2817</v>
      </c>
      <c r="H170" s="77" t="s">
        <v>2851</v>
      </c>
      <c r="I170" s="76" t="s">
        <v>2102</v>
      </c>
      <c r="J170" s="76" t="s">
        <v>4</v>
      </c>
      <c r="K170" s="76" t="e">
        <f>VLOOKUP($B170,'WILL TOKO SEP'!A171:AK910,37,0)</f>
        <v>#N/A</v>
      </c>
      <c r="L170" s="76" t="s">
        <v>2103</v>
      </c>
      <c r="M170" s="37" t="s">
        <v>3</v>
      </c>
      <c r="N170" s="79">
        <v>46161</v>
      </c>
      <c r="O170" s="79">
        <v>46198</v>
      </c>
      <c r="P170" s="79">
        <v>46227</v>
      </c>
      <c r="Q170" s="79">
        <v>46240</v>
      </c>
      <c r="R170" s="79" t="str">
        <f>IFERROR(VLOOKUP($B170,JADWAL!$G$6:$J$690,4,0),"")</f>
        <v/>
      </c>
      <c r="S170" s="77">
        <f t="shared" si="6"/>
        <v>0</v>
      </c>
      <c r="T170" s="77"/>
      <c r="U170" s="37" t="s">
        <v>2242</v>
      </c>
      <c r="V170" s="37" t="s">
        <v>2078</v>
      </c>
      <c r="W170" s="37"/>
      <c r="X170" s="37" t="e">
        <v>#N/A</v>
      </c>
    </row>
    <row r="171" spans="1:24" x14ac:dyDescent="0.3">
      <c r="A171" s="37">
        <f t="shared" si="7"/>
        <v>170</v>
      </c>
      <c r="B171" s="76" t="s">
        <v>767</v>
      </c>
      <c r="C171" s="76" t="s">
        <v>766</v>
      </c>
      <c r="D171" s="76" t="s">
        <v>2420</v>
      </c>
      <c r="E171" s="77">
        <v>691239813</v>
      </c>
      <c r="F171" s="77">
        <v>4000000</v>
      </c>
      <c r="G171" s="77" t="s">
        <v>2840</v>
      </c>
      <c r="H171" s="77" t="s">
        <v>2872</v>
      </c>
      <c r="I171" s="76" t="s">
        <v>2102</v>
      </c>
      <c r="J171" s="76" t="s">
        <v>48</v>
      </c>
      <c r="K171" s="76" t="e">
        <f>VLOOKUP($B171,'WILL TOKO SEP'!A172:AK911,37,0)</f>
        <v>#N/A</v>
      </c>
      <c r="L171" s="76" t="s">
        <v>2104</v>
      </c>
      <c r="M171" s="37" t="s">
        <v>3</v>
      </c>
      <c r="N171" s="79">
        <v>46171</v>
      </c>
      <c r="O171" s="78">
        <v>0</v>
      </c>
      <c r="P171" s="79">
        <v>46232</v>
      </c>
      <c r="Q171" s="241">
        <v>0</v>
      </c>
      <c r="R171" s="79" t="str">
        <f>IFERROR(VLOOKUP($B171,JADWAL!$G$6:$J$690,4,0),"")</f>
        <v/>
      </c>
      <c r="S171" s="77">
        <f t="shared" si="6"/>
        <v>1</v>
      </c>
      <c r="T171" s="77"/>
      <c r="U171" s="37" t="s">
        <v>2242</v>
      </c>
      <c r="V171" s="37" t="s">
        <v>2250</v>
      </c>
      <c r="W171" s="37"/>
      <c r="X171" s="37" t="s">
        <v>44</v>
      </c>
    </row>
    <row r="172" spans="1:24" x14ac:dyDescent="0.3">
      <c r="A172" s="37">
        <f t="shared" si="7"/>
        <v>171</v>
      </c>
      <c r="B172" s="76" t="s">
        <v>1657</v>
      </c>
      <c r="C172" s="76" t="s">
        <v>1656</v>
      </c>
      <c r="D172" s="76" t="s">
        <v>2422</v>
      </c>
      <c r="E172" s="77">
        <v>437388906</v>
      </c>
      <c r="F172" s="77">
        <v>2500000</v>
      </c>
      <c r="G172" s="77" t="s">
        <v>2825</v>
      </c>
      <c r="H172" s="77" t="s">
        <v>2853</v>
      </c>
      <c r="I172" s="76" t="s">
        <v>2102</v>
      </c>
      <c r="J172" s="76" t="s">
        <v>9</v>
      </c>
      <c r="K172" s="76" t="str">
        <f>VLOOKUP($B172,'WILL TOKO SEP'!A173:AK912,37,0)</f>
        <v>ABIANSEMAL</v>
      </c>
      <c r="L172" s="76" t="s">
        <v>2104</v>
      </c>
      <c r="M172" s="37" t="s">
        <v>3</v>
      </c>
      <c r="N172" s="79">
        <v>46167</v>
      </c>
      <c r="O172" s="79">
        <v>46199</v>
      </c>
      <c r="P172" s="79">
        <v>46224</v>
      </c>
      <c r="Q172" s="79">
        <v>46242</v>
      </c>
      <c r="R172" s="79">
        <f>IFERROR(VLOOKUP($B172,JADWAL!$G$6:$J$690,4,0),"")</f>
        <v>46270</v>
      </c>
      <c r="S172" s="77">
        <f t="shared" si="6"/>
        <v>0</v>
      </c>
      <c r="T172" s="77"/>
      <c r="U172" s="37" t="s">
        <v>2242</v>
      </c>
      <c r="V172" s="37" t="s">
        <v>2078</v>
      </c>
      <c r="W172" s="37"/>
      <c r="X172" s="37" t="e">
        <v>#N/A</v>
      </c>
    </row>
    <row r="173" spans="1:24" x14ac:dyDescent="0.3">
      <c r="A173" s="37">
        <f t="shared" si="7"/>
        <v>172</v>
      </c>
      <c r="B173" s="76" t="s">
        <v>1655</v>
      </c>
      <c r="C173" s="76" t="s">
        <v>1654</v>
      </c>
      <c r="D173" s="76" t="s">
        <v>2425</v>
      </c>
      <c r="E173" s="77">
        <v>382095713</v>
      </c>
      <c r="F173" s="77">
        <v>2500000</v>
      </c>
      <c r="G173" s="77" t="s">
        <v>2817</v>
      </c>
      <c r="H173" s="77" t="s">
        <v>2818</v>
      </c>
      <c r="I173" s="76" t="s">
        <v>2102</v>
      </c>
      <c r="J173" s="76" t="s">
        <v>9</v>
      </c>
      <c r="K173" s="76" t="str">
        <f>VLOOKUP($B173,'WILL TOKO SEP'!A174:AK913,37,0)</f>
        <v>KUTA UTARA</v>
      </c>
      <c r="L173" s="76" t="s">
        <v>2104</v>
      </c>
      <c r="M173" s="37" t="s">
        <v>3</v>
      </c>
      <c r="N173" s="79">
        <v>46164</v>
      </c>
      <c r="O173" s="79">
        <v>46192</v>
      </c>
      <c r="P173" s="79">
        <v>46227</v>
      </c>
      <c r="Q173" s="79">
        <v>46242</v>
      </c>
      <c r="R173" s="79" t="str">
        <f>IFERROR(VLOOKUP($B173,JADWAL!$G$6:$J$690,4,0),"")</f>
        <v/>
      </c>
      <c r="S173" s="77">
        <f t="shared" si="6"/>
        <v>0</v>
      </c>
      <c r="T173" s="77"/>
      <c r="U173" s="37" t="s">
        <v>2242</v>
      </c>
      <c r="V173" s="37" t="s">
        <v>2078</v>
      </c>
      <c r="W173" s="37"/>
      <c r="X173" s="37" t="e">
        <v>#N/A</v>
      </c>
    </row>
    <row r="174" spans="1:24" x14ac:dyDescent="0.3">
      <c r="A174" s="37">
        <f t="shared" si="7"/>
        <v>173</v>
      </c>
      <c r="B174" s="76" t="s">
        <v>1495</v>
      </c>
      <c r="C174" s="76" t="s">
        <v>5733</v>
      </c>
      <c r="D174" s="76" t="s">
        <v>2427</v>
      </c>
      <c r="E174" s="77">
        <v>505729958</v>
      </c>
      <c r="F174" s="77">
        <v>2500000</v>
      </c>
      <c r="G174" s="77" t="s">
        <v>2825</v>
      </c>
      <c r="H174" s="77" t="s">
        <v>2826</v>
      </c>
      <c r="I174" s="76" t="s">
        <v>2102</v>
      </c>
      <c r="J174" s="76" t="s">
        <v>9</v>
      </c>
      <c r="K174" s="76" t="str">
        <f>VLOOKUP($B174,'WILL TOKO SEP'!A175:AK914,37,0)</f>
        <v>KUTA UTARA</v>
      </c>
      <c r="L174" s="76" t="s">
        <v>2104</v>
      </c>
      <c r="M174" s="37" t="s">
        <v>3</v>
      </c>
      <c r="N174" s="79">
        <v>46160</v>
      </c>
      <c r="O174" s="79">
        <v>46176</v>
      </c>
      <c r="P174" s="79">
        <v>46231</v>
      </c>
      <c r="Q174" s="79">
        <v>46247</v>
      </c>
      <c r="R174" s="79" t="str">
        <f>IFERROR(VLOOKUP($B174,JADWAL!$G$6:$J$690,4,0),"")</f>
        <v/>
      </c>
      <c r="S174" s="77">
        <f t="shared" si="6"/>
        <v>0</v>
      </c>
      <c r="T174" s="77"/>
      <c r="U174" s="37" t="s">
        <v>2242</v>
      </c>
      <c r="V174" s="37" t="s">
        <v>2078</v>
      </c>
      <c r="W174" s="37"/>
      <c r="X174" s="37" t="e">
        <v>#N/A</v>
      </c>
    </row>
    <row r="175" spans="1:24" x14ac:dyDescent="0.3">
      <c r="A175" s="37">
        <f t="shared" si="7"/>
        <v>174</v>
      </c>
      <c r="B175" s="76" t="s">
        <v>775</v>
      </c>
      <c r="C175" s="76" t="s">
        <v>774</v>
      </c>
      <c r="D175" s="76" t="s">
        <v>2428</v>
      </c>
      <c r="E175" s="77">
        <v>370605082</v>
      </c>
      <c r="F175" s="77">
        <v>2000000</v>
      </c>
      <c r="G175" s="77" t="s">
        <v>2815</v>
      </c>
      <c r="H175" s="77" t="s">
        <v>2859</v>
      </c>
      <c r="I175" s="76" t="s">
        <v>2102</v>
      </c>
      <c r="J175" s="76" t="s">
        <v>28</v>
      </c>
      <c r="K175" s="76" t="e">
        <f>VLOOKUP($B175,'WILL TOKO SEP'!A176:AK915,37,0)</f>
        <v>#N/A</v>
      </c>
      <c r="L175" s="76" t="s">
        <v>2103</v>
      </c>
      <c r="M175" s="37" t="s">
        <v>3</v>
      </c>
      <c r="N175" s="79">
        <v>46147</v>
      </c>
      <c r="O175" s="79">
        <v>46199</v>
      </c>
      <c r="P175" s="79">
        <v>46232</v>
      </c>
      <c r="Q175" s="241">
        <v>0</v>
      </c>
      <c r="R175" s="79" t="str">
        <f>IFERROR(VLOOKUP($B175,JADWAL!$G$6:$J$690,4,0),"")</f>
        <v/>
      </c>
      <c r="S175" s="77">
        <f t="shared" si="6"/>
        <v>0</v>
      </c>
      <c r="T175" s="77"/>
      <c r="U175" s="37" t="s">
        <v>2242</v>
      </c>
      <c r="V175" s="37" t="s">
        <v>2250</v>
      </c>
      <c r="W175" s="37"/>
      <c r="X175" s="37" t="s">
        <v>27</v>
      </c>
    </row>
    <row r="176" spans="1:24" x14ac:dyDescent="0.3">
      <c r="A176" s="37">
        <f t="shared" si="7"/>
        <v>175</v>
      </c>
      <c r="B176" s="76" t="s">
        <v>1539</v>
      </c>
      <c r="C176" s="76" t="s">
        <v>1538</v>
      </c>
      <c r="D176" s="76" t="s">
        <v>2429</v>
      </c>
      <c r="E176" s="77">
        <v>542238184</v>
      </c>
      <c r="F176" s="77">
        <v>3500000</v>
      </c>
      <c r="G176" s="77" t="s">
        <v>2830</v>
      </c>
      <c r="H176" s="77" t="s">
        <v>2849</v>
      </c>
      <c r="I176" s="76" t="s">
        <v>2102</v>
      </c>
      <c r="J176" s="76" t="s">
        <v>4</v>
      </c>
      <c r="K176" s="76" t="e">
        <f>VLOOKUP($B176,'WILL TOKO SEP'!A177:AK916,37,0)</f>
        <v>#N/A</v>
      </c>
      <c r="L176" s="76" t="s">
        <v>2103</v>
      </c>
      <c r="M176" s="37" t="s">
        <v>3</v>
      </c>
      <c r="N176" s="79">
        <v>46146</v>
      </c>
      <c r="O176" s="79">
        <v>46184</v>
      </c>
      <c r="P176" s="79">
        <v>46209</v>
      </c>
      <c r="Q176" s="79">
        <v>46246</v>
      </c>
      <c r="R176" s="79" t="str">
        <f>IFERROR(VLOOKUP($B176,JADWAL!$G$6:$J$690,4,0),"")</f>
        <v/>
      </c>
      <c r="S176" s="77">
        <f t="shared" si="6"/>
        <v>0</v>
      </c>
      <c r="T176" s="77"/>
      <c r="U176" s="37" t="s">
        <v>2242</v>
      </c>
      <c r="V176" s="37" t="s">
        <v>2250</v>
      </c>
      <c r="W176" s="37"/>
      <c r="X176" s="37" t="e">
        <v>#N/A</v>
      </c>
    </row>
    <row r="177" spans="1:24" x14ac:dyDescent="0.3">
      <c r="A177" s="37">
        <f t="shared" si="7"/>
        <v>176</v>
      </c>
      <c r="B177" s="76" t="s">
        <v>1848</v>
      </c>
      <c r="C177" s="76" t="s">
        <v>1847</v>
      </c>
      <c r="D177" s="76" t="s">
        <v>2430</v>
      </c>
      <c r="E177" s="77">
        <v>550391921</v>
      </c>
      <c r="F177" s="77">
        <v>3500000</v>
      </c>
      <c r="G177" s="77" t="s">
        <v>2827</v>
      </c>
      <c r="H177" s="77" t="s">
        <v>2864</v>
      </c>
      <c r="I177" s="76" t="s">
        <v>2102</v>
      </c>
      <c r="J177" s="76" t="s">
        <v>48</v>
      </c>
      <c r="K177" s="76" t="e">
        <f>VLOOKUP($B177,'WILL TOKO SEP'!A178:AK917,37,0)</f>
        <v>#N/A</v>
      </c>
      <c r="L177" s="76" t="s">
        <v>2104</v>
      </c>
      <c r="M177" s="37" t="s">
        <v>3</v>
      </c>
      <c r="N177" s="79">
        <v>46170</v>
      </c>
      <c r="O177" s="79">
        <v>46195</v>
      </c>
      <c r="P177" s="78">
        <v>0</v>
      </c>
      <c r="Q177" s="79">
        <v>46237</v>
      </c>
      <c r="R177" s="79" t="str">
        <f>IFERROR(VLOOKUP($B177,JADWAL!$G$6:$J$690,4,0),"")</f>
        <v/>
      </c>
      <c r="S177" s="77">
        <f t="shared" si="6"/>
        <v>1</v>
      </c>
      <c r="T177" s="77"/>
      <c r="U177" s="37" t="s">
        <v>2242</v>
      </c>
      <c r="V177" s="37" t="s">
        <v>2250</v>
      </c>
      <c r="W177" s="37"/>
      <c r="X177" s="37" t="e">
        <v>#N/A</v>
      </c>
    </row>
    <row r="178" spans="1:24" x14ac:dyDescent="0.3">
      <c r="A178" s="37">
        <f t="shared" si="7"/>
        <v>177</v>
      </c>
      <c r="B178" s="76" t="s">
        <v>1617</v>
      </c>
      <c r="C178" s="76" t="s">
        <v>5784</v>
      </c>
      <c r="D178" s="76" t="s">
        <v>2431</v>
      </c>
      <c r="E178" s="77">
        <v>424778918</v>
      </c>
      <c r="F178" s="77">
        <v>2000000</v>
      </c>
      <c r="G178" s="77" t="s">
        <v>2825</v>
      </c>
      <c r="H178" s="77" t="s">
        <v>2826</v>
      </c>
      <c r="I178" s="76" t="s">
        <v>2102</v>
      </c>
      <c r="J178" s="76" t="s">
        <v>9</v>
      </c>
      <c r="K178" s="76" t="str">
        <f>VLOOKUP($B178,'WILL TOKO SEP'!A179:AK918,37,0)</f>
        <v>KUTA UTARA</v>
      </c>
      <c r="L178" s="76" t="s">
        <v>2104</v>
      </c>
      <c r="M178" s="37" t="s">
        <v>3</v>
      </c>
      <c r="N178" s="79">
        <v>46161</v>
      </c>
      <c r="O178" s="79">
        <v>46185</v>
      </c>
      <c r="P178" s="79">
        <v>46223</v>
      </c>
      <c r="Q178" s="79">
        <v>46244</v>
      </c>
      <c r="R178" s="79" t="str">
        <f>IFERROR(VLOOKUP($B178,JADWAL!$G$6:$J$690,4,0),"")</f>
        <v/>
      </c>
      <c r="S178" s="77">
        <f t="shared" si="6"/>
        <v>0</v>
      </c>
      <c r="T178" s="77"/>
      <c r="U178" s="37" t="s">
        <v>2242</v>
      </c>
      <c r="V178" s="37" t="s">
        <v>2078</v>
      </c>
      <c r="W178" s="37"/>
      <c r="X178" s="37" t="e">
        <v>#N/A</v>
      </c>
    </row>
    <row r="179" spans="1:24" x14ac:dyDescent="0.3">
      <c r="A179" s="37">
        <f t="shared" si="7"/>
        <v>178</v>
      </c>
      <c r="B179" s="76" t="s">
        <v>1497</v>
      </c>
      <c r="C179" s="76" t="s">
        <v>1496</v>
      </c>
      <c r="D179" s="76" t="s">
        <v>2433</v>
      </c>
      <c r="E179" s="77">
        <v>580786353</v>
      </c>
      <c r="F179" s="77">
        <v>4000000</v>
      </c>
      <c r="G179" s="77" t="s">
        <v>2817</v>
      </c>
      <c r="H179" s="77" t="s">
        <v>2865</v>
      </c>
      <c r="I179" s="76" t="s">
        <v>2102</v>
      </c>
      <c r="J179" s="76" t="s">
        <v>9</v>
      </c>
      <c r="K179" s="76" t="str">
        <f>VLOOKUP($B179,'WILL TOKO SEP'!A180:AK919,37,0)</f>
        <v>KUTA</v>
      </c>
      <c r="L179" s="76" t="s">
        <v>2104</v>
      </c>
      <c r="M179" s="37" t="s">
        <v>3</v>
      </c>
      <c r="N179" s="79">
        <v>46150</v>
      </c>
      <c r="O179" s="79">
        <v>46185</v>
      </c>
      <c r="P179" s="79">
        <v>46218</v>
      </c>
      <c r="Q179" s="79">
        <v>46247</v>
      </c>
      <c r="R179" s="79" t="str">
        <f>IFERROR(VLOOKUP($B179,JADWAL!$G$6:$J$690,4,0),"")</f>
        <v/>
      </c>
      <c r="S179" s="77">
        <f t="shared" si="6"/>
        <v>0</v>
      </c>
      <c r="T179" s="77"/>
      <c r="U179" s="37" t="s">
        <v>2242</v>
      </c>
      <c r="V179" s="37" t="s">
        <v>2078</v>
      </c>
      <c r="W179" s="37"/>
      <c r="X179" s="37" t="e">
        <v>#N/A</v>
      </c>
    </row>
    <row r="180" spans="1:24" x14ac:dyDescent="0.3">
      <c r="A180" s="37">
        <f t="shared" si="7"/>
        <v>179</v>
      </c>
      <c r="B180" s="76" t="s">
        <v>1678</v>
      </c>
      <c r="C180" s="76" t="s">
        <v>1677</v>
      </c>
      <c r="D180" s="76" t="s">
        <v>2434</v>
      </c>
      <c r="E180" s="77">
        <v>372237934</v>
      </c>
      <c r="F180" s="77">
        <v>2000000</v>
      </c>
      <c r="G180" s="77" t="s">
        <v>2813</v>
      </c>
      <c r="H180" s="77" t="s">
        <v>2824</v>
      </c>
      <c r="I180" s="76" t="s">
        <v>2102</v>
      </c>
      <c r="J180" s="76" t="s">
        <v>9</v>
      </c>
      <c r="K180" s="76" t="e">
        <f>VLOOKUP($B180,'WILL TOKO SEP'!A181:AK920,37,0)</f>
        <v>#N/A</v>
      </c>
      <c r="L180" s="76" t="s">
        <v>2103</v>
      </c>
      <c r="M180" s="37" t="s">
        <v>3</v>
      </c>
      <c r="N180" s="79">
        <v>46163</v>
      </c>
      <c r="O180" s="79">
        <v>46197</v>
      </c>
      <c r="P180" s="78">
        <v>0</v>
      </c>
      <c r="Q180" s="79">
        <v>46241</v>
      </c>
      <c r="R180" s="79" t="str">
        <f>IFERROR(VLOOKUP($B180,JADWAL!$G$6:$J$690,4,0),"")</f>
        <v/>
      </c>
      <c r="S180" s="77">
        <f t="shared" si="6"/>
        <v>1</v>
      </c>
      <c r="T180" s="77"/>
      <c r="U180" s="37" t="s">
        <v>2242</v>
      </c>
      <c r="V180" s="37" t="s">
        <v>2250</v>
      </c>
      <c r="W180" s="37"/>
      <c r="X180" s="37" t="e">
        <v>#N/A</v>
      </c>
    </row>
    <row r="181" spans="1:24" x14ac:dyDescent="0.3">
      <c r="A181" s="37">
        <f t="shared" si="7"/>
        <v>180</v>
      </c>
      <c r="B181" s="76" t="s">
        <v>1586</v>
      </c>
      <c r="C181" s="76" t="s">
        <v>1585</v>
      </c>
      <c r="D181" s="76" t="s">
        <v>5474</v>
      </c>
      <c r="E181" s="77">
        <v>431145616</v>
      </c>
      <c r="F181" s="77">
        <v>2000000</v>
      </c>
      <c r="G181" s="77" t="s">
        <v>2821</v>
      </c>
      <c r="H181" s="77" t="s">
        <v>2833</v>
      </c>
      <c r="I181" s="76" t="s">
        <v>2102</v>
      </c>
      <c r="J181" s="76" t="s">
        <v>36</v>
      </c>
      <c r="K181" s="76" t="str">
        <f>VLOOKUP($B181,'WILL TOKO SEP'!A182:AK921,37,0)</f>
        <v>TABANAN</v>
      </c>
      <c r="L181" s="76" t="s">
        <v>2104</v>
      </c>
      <c r="M181" s="37" t="s">
        <v>3</v>
      </c>
      <c r="N181" s="78">
        <v>0</v>
      </c>
      <c r="O181" s="78">
        <v>0</v>
      </c>
      <c r="P181" s="79">
        <v>46204</v>
      </c>
      <c r="Q181" s="79">
        <v>46245</v>
      </c>
      <c r="R181" s="79" t="str">
        <f>IFERROR(VLOOKUP($B181,JADWAL!$G$6:$J$690,4,0),"")</f>
        <v/>
      </c>
      <c r="S181" s="77">
        <f t="shared" si="6"/>
        <v>2</v>
      </c>
      <c r="T181" s="77"/>
      <c r="U181" s="37" t="s">
        <v>2242</v>
      </c>
      <c r="V181" s="37" t="s">
        <v>2250</v>
      </c>
      <c r="W181" s="37"/>
      <c r="X181" s="37" t="e">
        <v>#N/A</v>
      </c>
    </row>
    <row r="182" spans="1:24" x14ac:dyDescent="0.3">
      <c r="A182" s="37">
        <f t="shared" si="7"/>
        <v>181</v>
      </c>
      <c r="B182" s="76" t="s">
        <v>715</v>
      </c>
      <c r="C182" s="76" t="s">
        <v>714</v>
      </c>
      <c r="D182" s="76" t="s">
        <v>2436</v>
      </c>
      <c r="E182" s="77">
        <v>392169197</v>
      </c>
      <c r="F182" s="77">
        <v>2000000</v>
      </c>
      <c r="G182" s="77" t="s">
        <v>2819</v>
      </c>
      <c r="H182" s="77" t="s">
        <v>2820</v>
      </c>
      <c r="I182" s="76" t="s">
        <v>2102</v>
      </c>
      <c r="J182" s="76" t="s">
        <v>4</v>
      </c>
      <c r="K182" s="76" t="str">
        <f>VLOOKUP($B182,'WILL TOKO SEP'!A183:AK922,37,0)</f>
        <v>DENPASAR BARAT</v>
      </c>
      <c r="L182" s="76" t="s">
        <v>2104</v>
      </c>
      <c r="M182" s="37" t="s">
        <v>3</v>
      </c>
      <c r="N182" s="79">
        <v>46150</v>
      </c>
      <c r="O182" s="79">
        <v>46199</v>
      </c>
      <c r="P182" s="79">
        <v>46234</v>
      </c>
      <c r="Q182" s="241">
        <v>0</v>
      </c>
      <c r="R182" s="79" t="str">
        <f>IFERROR(VLOOKUP($B182,JADWAL!$G$6:$J$690,4,0),"")</f>
        <v/>
      </c>
      <c r="S182" s="77">
        <f t="shared" si="6"/>
        <v>0</v>
      </c>
      <c r="T182" s="77"/>
      <c r="U182" s="37" t="s">
        <v>2242</v>
      </c>
      <c r="V182" s="37" t="s">
        <v>2250</v>
      </c>
      <c r="W182" s="37"/>
      <c r="X182" s="37">
        <v>0</v>
      </c>
    </row>
    <row r="183" spans="1:24" x14ac:dyDescent="0.3">
      <c r="A183" s="37">
        <f t="shared" si="7"/>
        <v>182</v>
      </c>
      <c r="B183" s="76" t="s">
        <v>1180</v>
      </c>
      <c r="C183" s="76" t="s">
        <v>1179</v>
      </c>
      <c r="D183" s="76" t="s">
        <v>5191</v>
      </c>
      <c r="E183" s="77">
        <v>467237098</v>
      </c>
      <c r="F183" s="77">
        <v>2000000</v>
      </c>
      <c r="G183" s="77" t="s">
        <v>2830</v>
      </c>
      <c r="H183" s="77" t="s">
        <v>2838</v>
      </c>
      <c r="I183" s="76" t="s">
        <v>2102</v>
      </c>
      <c r="J183" s="76" t="s">
        <v>4</v>
      </c>
      <c r="K183" s="76" t="str">
        <f>VLOOKUP($B183,'WILL TOKO SEP'!A184:AK923,37,0)</f>
        <v>DENPASAR UTARA</v>
      </c>
      <c r="L183" s="76" t="s">
        <v>2104</v>
      </c>
      <c r="M183" s="37" t="s">
        <v>3</v>
      </c>
      <c r="N183" s="78">
        <v>0</v>
      </c>
      <c r="O183" s="78">
        <v>0</v>
      </c>
      <c r="P183" s="79">
        <v>46216</v>
      </c>
      <c r="Q183" s="241">
        <v>0</v>
      </c>
      <c r="R183" s="79" t="str">
        <f>IFERROR(VLOOKUP($B183,JADWAL!$G$6:$J$690,4,0),"")</f>
        <v/>
      </c>
      <c r="S183" s="77">
        <f t="shared" si="6"/>
        <v>2</v>
      </c>
      <c r="T183" s="77"/>
      <c r="U183" s="37" t="s">
        <v>2242</v>
      </c>
      <c r="V183" s="37" t="s">
        <v>2250</v>
      </c>
      <c r="W183" s="37"/>
      <c r="X183" s="37">
        <v>0</v>
      </c>
    </row>
    <row r="184" spans="1:24" x14ac:dyDescent="0.3">
      <c r="A184" s="37">
        <f t="shared" si="7"/>
        <v>183</v>
      </c>
      <c r="B184" s="76" t="s">
        <v>1625</v>
      </c>
      <c r="C184" s="76" t="s">
        <v>1624</v>
      </c>
      <c r="D184" s="76" t="s">
        <v>2439</v>
      </c>
      <c r="E184" s="77">
        <v>512461488</v>
      </c>
      <c r="F184" s="77">
        <v>4000000</v>
      </c>
      <c r="G184" s="77" t="s">
        <v>2830</v>
      </c>
      <c r="H184" s="77" t="s">
        <v>2847</v>
      </c>
      <c r="I184" s="76" t="s">
        <v>2102</v>
      </c>
      <c r="J184" s="76" t="s">
        <v>4</v>
      </c>
      <c r="K184" s="76" t="e">
        <f>VLOOKUP($B184,'WILL TOKO SEP'!A185:AK924,37,0)</f>
        <v>#N/A</v>
      </c>
      <c r="L184" s="76" t="s">
        <v>2103</v>
      </c>
      <c r="M184" s="37" t="s">
        <v>3</v>
      </c>
      <c r="N184" s="79">
        <v>46150</v>
      </c>
      <c r="O184" s="79">
        <v>46178</v>
      </c>
      <c r="P184" s="79">
        <v>46214</v>
      </c>
      <c r="Q184" s="79">
        <v>46244</v>
      </c>
      <c r="R184" s="79" t="str">
        <f>IFERROR(VLOOKUP($B184,JADWAL!$G$6:$J$690,4,0),"")</f>
        <v/>
      </c>
      <c r="S184" s="77">
        <f t="shared" si="6"/>
        <v>0</v>
      </c>
      <c r="T184" s="77"/>
      <c r="U184" s="37" t="s">
        <v>2242</v>
      </c>
      <c r="V184" s="37" t="s">
        <v>2078</v>
      </c>
      <c r="W184" s="37"/>
      <c r="X184" s="37" t="e">
        <v>#N/A</v>
      </c>
    </row>
    <row r="185" spans="1:24" x14ac:dyDescent="0.3">
      <c r="A185" s="37">
        <f t="shared" si="7"/>
        <v>184</v>
      </c>
      <c r="B185" s="76" t="s">
        <v>1205</v>
      </c>
      <c r="C185" s="76" t="s">
        <v>1204</v>
      </c>
      <c r="D185" s="76" t="s">
        <v>2440</v>
      </c>
      <c r="E185" s="77">
        <v>386962204</v>
      </c>
      <c r="F185" s="77">
        <v>2500000</v>
      </c>
      <c r="G185" s="77" t="s">
        <v>2830</v>
      </c>
      <c r="H185" s="77" t="s">
        <v>2838</v>
      </c>
      <c r="I185" s="76" t="s">
        <v>2102</v>
      </c>
      <c r="J185" s="76" t="s">
        <v>4</v>
      </c>
      <c r="K185" s="76" t="str">
        <f>VLOOKUP($B185,'WILL TOKO SEP'!A186:AK925,37,0)</f>
        <v>DENPASAR UTARA</v>
      </c>
      <c r="L185" s="76" t="s">
        <v>2104</v>
      </c>
      <c r="M185" s="37" t="s">
        <v>3</v>
      </c>
      <c r="N185" s="79">
        <v>46150</v>
      </c>
      <c r="O185" s="78">
        <v>0</v>
      </c>
      <c r="P185" s="79">
        <v>46216</v>
      </c>
      <c r="Q185" s="241">
        <v>0</v>
      </c>
      <c r="R185" s="79">
        <f>IFERROR(VLOOKUP($B185,JADWAL!$G$6:$J$690,4,0),"")</f>
        <v>46270</v>
      </c>
      <c r="S185" s="77">
        <f t="shared" si="6"/>
        <v>1</v>
      </c>
      <c r="T185" s="77"/>
      <c r="U185" s="37" t="s">
        <v>2242</v>
      </c>
      <c r="V185" s="37" t="s">
        <v>2250</v>
      </c>
      <c r="W185" s="37"/>
      <c r="X185" s="37" t="s">
        <v>2</v>
      </c>
    </row>
    <row r="186" spans="1:24" x14ac:dyDescent="0.3">
      <c r="A186" s="37">
        <f t="shared" si="7"/>
        <v>185</v>
      </c>
      <c r="B186" s="76" t="s">
        <v>1058</v>
      </c>
      <c r="C186" s="76" t="s">
        <v>5725</v>
      </c>
      <c r="D186" s="76" t="s">
        <v>2441</v>
      </c>
      <c r="E186" s="77">
        <v>503208140</v>
      </c>
      <c r="F186" s="77">
        <v>2500000</v>
      </c>
      <c r="G186" s="77" t="s">
        <v>2817</v>
      </c>
      <c r="H186" s="77" t="s">
        <v>2865</v>
      </c>
      <c r="I186" s="76" t="s">
        <v>2102</v>
      </c>
      <c r="J186" s="76" t="s">
        <v>9</v>
      </c>
      <c r="K186" s="76" t="str">
        <f>VLOOKUP($B186,'WILL TOKO SEP'!A187:AK926,37,0)</f>
        <v>KUTA</v>
      </c>
      <c r="L186" s="76" t="s">
        <v>2104</v>
      </c>
      <c r="M186" s="37" t="s">
        <v>3</v>
      </c>
      <c r="N186" s="79">
        <v>46144</v>
      </c>
      <c r="O186" s="78">
        <v>0</v>
      </c>
      <c r="P186" s="79">
        <v>46221</v>
      </c>
      <c r="Q186" s="241">
        <v>0</v>
      </c>
      <c r="R186" s="79" t="str">
        <f>IFERROR(VLOOKUP($B186,JADWAL!$G$6:$J$690,4,0),"")</f>
        <v/>
      </c>
      <c r="S186" s="77">
        <f t="shared" si="6"/>
        <v>1</v>
      </c>
      <c r="T186" s="77"/>
      <c r="U186" s="37" t="s">
        <v>2242</v>
      </c>
      <c r="V186" s="37" t="s">
        <v>2250</v>
      </c>
      <c r="W186" s="37"/>
      <c r="X186" s="37" t="s">
        <v>124</v>
      </c>
    </row>
    <row r="187" spans="1:24" x14ac:dyDescent="0.3">
      <c r="A187" s="37">
        <f t="shared" si="7"/>
        <v>186</v>
      </c>
      <c r="B187" s="76" t="s">
        <v>1613</v>
      </c>
      <c r="C187" s="76" t="s">
        <v>1612</v>
      </c>
      <c r="D187" s="76" t="s">
        <v>2442</v>
      </c>
      <c r="E187" s="77">
        <v>418586979</v>
      </c>
      <c r="F187" s="77">
        <v>2500000</v>
      </c>
      <c r="G187" s="77" t="s">
        <v>2817</v>
      </c>
      <c r="H187" s="77" t="s">
        <v>2850</v>
      </c>
      <c r="I187" s="76" t="s">
        <v>2102</v>
      </c>
      <c r="J187" s="76" t="s">
        <v>4</v>
      </c>
      <c r="K187" s="76" t="str">
        <f>VLOOKUP($B187,'WILL TOKO SEP'!A188:AK927,37,0)</f>
        <v>DENPASAR BARAT</v>
      </c>
      <c r="L187" s="76" t="s">
        <v>2104</v>
      </c>
      <c r="M187" s="37" t="s">
        <v>3</v>
      </c>
      <c r="N187" s="79">
        <v>46165</v>
      </c>
      <c r="O187" s="79">
        <v>46177</v>
      </c>
      <c r="P187" s="79">
        <v>46227</v>
      </c>
      <c r="Q187" s="79">
        <v>46244</v>
      </c>
      <c r="R187" s="79" t="str">
        <f>IFERROR(VLOOKUP($B187,JADWAL!$G$6:$J$690,4,0),"")</f>
        <v/>
      </c>
      <c r="S187" s="77">
        <f t="shared" si="6"/>
        <v>0</v>
      </c>
      <c r="T187" s="77"/>
      <c r="U187" s="37" t="s">
        <v>2242</v>
      </c>
      <c r="V187" s="37" t="s">
        <v>2250</v>
      </c>
      <c r="W187" s="37"/>
      <c r="X187" s="37" t="e">
        <v>#N/A</v>
      </c>
    </row>
    <row r="188" spans="1:24" x14ac:dyDescent="0.3">
      <c r="A188" s="37">
        <f t="shared" si="7"/>
        <v>187</v>
      </c>
      <c r="B188" s="76" t="s">
        <v>1161</v>
      </c>
      <c r="C188" s="76" t="s">
        <v>5760</v>
      </c>
      <c r="D188" s="76" t="s">
        <v>5547</v>
      </c>
      <c r="E188" s="77">
        <v>447221009</v>
      </c>
      <c r="F188" s="77">
        <v>2000000</v>
      </c>
      <c r="G188" s="77" t="s">
        <v>2821</v>
      </c>
      <c r="H188" s="77" t="s">
        <v>2833</v>
      </c>
      <c r="I188" s="76" t="s">
        <v>2102</v>
      </c>
      <c r="J188" s="76" t="s">
        <v>36</v>
      </c>
      <c r="K188" s="76" t="str">
        <f>VLOOKUP($B188,'WILL TOKO SEP'!A189:AK928,37,0)</f>
        <v>MARGA</v>
      </c>
      <c r="L188" s="76" t="s">
        <v>2104</v>
      </c>
      <c r="M188" s="37" t="s">
        <v>3</v>
      </c>
      <c r="N188" s="78">
        <v>0</v>
      </c>
      <c r="O188" s="79">
        <v>46177</v>
      </c>
      <c r="P188" s="79">
        <v>46217</v>
      </c>
      <c r="Q188" s="241">
        <v>0</v>
      </c>
      <c r="R188" s="79" t="str">
        <f>IFERROR(VLOOKUP($B188,JADWAL!$G$6:$J$690,4,0),"")</f>
        <v/>
      </c>
      <c r="S188" s="77">
        <f t="shared" si="6"/>
        <v>1</v>
      </c>
      <c r="T188" s="77"/>
      <c r="U188" s="37" t="s">
        <v>2242</v>
      </c>
      <c r="V188" s="37" t="s">
        <v>2250</v>
      </c>
      <c r="W188" s="37"/>
      <c r="X188" s="37" t="s">
        <v>13</v>
      </c>
    </row>
    <row r="189" spans="1:24" x14ac:dyDescent="0.3">
      <c r="A189" s="37">
        <f t="shared" si="7"/>
        <v>188</v>
      </c>
      <c r="B189" s="76" t="s">
        <v>1470</v>
      </c>
      <c r="C189" s="76" t="s">
        <v>1469</v>
      </c>
      <c r="D189" s="76" t="s">
        <v>5159</v>
      </c>
      <c r="E189" s="77">
        <v>383713445</v>
      </c>
      <c r="F189" s="77">
        <v>2000000</v>
      </c>
      <c r="G189" s="77" t="s">
        <v>2830</v>
      </c>
      <c r="H189" s="77" t="s">
        <v>2847</v>
      </c>
      <c r="I189" s="76" t="s">
        <v>2102</v>
      </c>
      <c r="J189" s="76" t="s">
        <v>4</v>
      </c>
      <c r="K189" s="76" t="str">
        <f>VLOOKUP($B189,'WILL TOKO SEP'!A190:AK929,37,0)</f>
        <v>DENPASAR SELATAN</v>
      </c>
      <c r="L189" s="76" t="s">
        <v>2103</v>
      </c>
      <c r="M189" s="37" t="s">
        <v>3</v>
      </c>
      <c r="N189" s="78">
        <v>0</v>
      </c>
      <c r="O189" s="79">
        <v>46202</v>
      </c>
      <c r="P189" s="79">
        <v>46218</v>
      </c>
      <c r="Q189" s="79">
        <v>46248</v>
      </c>
      <c r="R189" s="79">
        <f>IFERROR(VLOOKUP($B189,JADWAL!$G$6:$J$690,4,0),"")</f>
        <v>46272</v>
      </c>
      <c r="S189" s="77">
        <f t="shared" si="6"/>
        <v>1</v>
      </c>
      <c r="T189" s="77"/>
      <c r="U189" s="37" t="s">
        <v>2242</v>
      </c>
      <c r="V189" s="37" t="s">
        <v>2078</v>
      </c>
      <c r="W189" s="37"/>
      <c r="X189" s="37" t="e">
        <v>#N/A</v>
      </c>
    </row>
    <row r="190" spans="1:24" x14ac:dyDescent="0.3">
      <c r="A190" s="37">
        <f t="shared" si="7"/>
        <v>189</v>
      </c>
      <c r="B190" s="76" t="s">
        <v>1267</v>
      </c>
      <c r="C190" s="76" t="s">
        <v>5708</v>
      </c>
      <c r="D190" s="76" t="s">
        <v>2443</v>
      </c>
      <c r="E190" s="77">
        <v>449748424</v>
      </c>
      <c r="F190" s="77">
        <v>3500000</v>
      </c>
      <c r="G190" s="77" t="s">
        <v>2825</v>
      </c>
      <c r="H190" s="77" t="s">
        <v>2826</v>
      </c>
      <c r="I190" s="76" t="s">
        <v>2102</v>
      </c>
      <c r="J190" s="76" t="s">
        <v>9</v>
      </c>
      <c r="K190" s="76" t="e">
        <f>VLOOKUP($B190,'WILL TOKO SEP'!A191:AK930,37,0)</f>
        <v>#N/A</v>
      </c>
      <c r="L190" s="76" t="s">
        <v>2104</v>
      </c>
      <c r="M190" s="37" t="s">
        <v>3</v>
      </c>
      <c r="N190" s="78">
        <v>0</v>
      </c>
      <c r="O190" s="78">
        <v>0</v>
      </c>
      <c r="P190" s="79">
        <v>46212</v>
      </c>
      <c r="Q190" s="79">
        <v>46252</v>
      </c>
      <c r="R190" s="79" t="str">
        <f>IFERROR(VLOOKUP($B190,JADWAL!$G$6:$J$690,4,0),"")</f>
        <v/>
      </c>
      <c r="S190" s="77">
        <f t="shared" si="6"/>
        <v>2</v>
      </c>
      <c r="T190" s="77"/>
      <c r="U190" s="37" t="s">
        <v>2242</v>
      </c>
      <c r="V190" s="37" t="s">
        <v>2250</v>
      </c>
      <c r="W190" s="37"/>
      <c r="X190" s="37" t="s">
        <v>20</v>
      </c>
    </row>
    <row r="191" spans="1:24" x14ac:dyDescent="0.3">
      <c r="A191" s="37">
        <f t="shared" si="7"/>
        <v>190</v>
      </c>
      <c r="B191" s="76" t="s">
        <v>1242</v>
      </c>
      <c r="C191" s="76" t="s">
        <v>1241</v>
      </c>
      <c r="D191" s="76" t="s">
        <v>2444</v>
      </c>
      <c r="E191" s="77">
        <v>477502087</v>
      </c>
      <c r="F191" s="77">
        <v>2000000</v>
      </c>
      <c r="G191" s="77" t="s">
        <v>2825</v>
      </c>
      <c r="H191" s="77" t="s">
        <v>2853</v>
      </c>
      <c r="I191" s="76" t="s">
        <v>2102</v>
      </c>
      <c r="J191" s="76" t="s">
        <v>9</v>
      </c>
      <c r="K191" s="76" t="e">
        <f>VLOOKUP($B191,'WILL TOKO SEP'!A192:AK931,37,0)</f>
        <v>#N/A</v>
      </c>
      <c r="L191" s="76" t="s">
        <v>2104</v>
      </c>
      <c r="M191" s="37" t="s">
        <v>3</v>
      </c>
      <c r="N191" s="78">
        <v>0</v>
      </c>
      <c r="O191" s="79">
        <v>46199</v>
      </c>
      <c r="P191" s="79">
        <v>46213</v>
      </c>
      <c r="Q191" s="241">
        <v>0</v>
      </c>
      <c r="R191" s="79" t="str">
        <f>IFERROR(VLOOKUP($B191,JADWAL!$G$6:$J$690,4,0),"")</f>
        <v/>
      </c>
      <c r="S191" s="77">
        <f t="shared" si="6"/>
        <v>1</v>
      </c>
      <c r="T191" s="77"/>
      <c r="U191" s="37" t="s">
        <v>2242</v>
      </c>
      <c r="V191" s="37" t="s">
        <v>2250</v>
      </c>
      <c r="W191" s="37"/>
      <c r="X191" s="37" t="s">
        <v>20</v>
      </c>
    </row>
    <row r="192" spans="1:24" x14ac:dyDescent="0.3">
      <c r="A192" s="37">
        <f t="shared" si="7"/>
        <v>191</v>
      </c>
      <c r="B192" s="76" t="s">
        <v>559</v>
      </c>
      <c r="C192" s="76" t="s">
        <v>5699</v>
      </c>
      <c r="D192" s="76" t="s">
        <v>2446</v>
      </c>
      <c r="E192" s="77">
        <v>619753858</v>
      </c>
      <c r="F192" s="77">
        <v>3500000</v>
      </c>
      <c r="G192" s="77" t="s">
        <v>2819</v>
      </c>
      <c r="H192" s="77" t="s">
        <v>2856</v>
      </c>
      <c r="I192" s="76" t="s">
        <v>2102</v>
      </c>
      <c r="J192" s="76" t="s">
        <v>9</v>
      </c>
      <c r="K192" s="76" t="str">
        <f>VLOOKUP($B192,'WILL TOKO SEP'!A193:AK932,37,0)</f>
        <v>KUTA UTARA</v>
      </c>
      <c r="L192" s="76" t="s">
        <v>2104</v>
      </c>
      <c r="M192" s="37" t="s">
        <v>3</v>
      </c>
      <c r="N192" s="79">
        <v>46171</v>
      </c>
      <c r="O192" s="79">
        <v>46202</v>
      </c>
      <c r="P192" s="78">
        <v>0</v>
      </c>
      <c r="Q192" s="241">
        <v>0</v>
      </c>
      <c r="R192" s="79" t="str">
        <f>IFERROR(VLOOKUP($B192,JADWAL!$G$6:$J$690,4,0),"")</f>
        <v/>
      </c>
      <c r="S192" s="77">
        <f t="shared" si="6"/>
        <v>1</v>
      </c>
      <c r="T192" s="77"/>
      <c r="U192" s="37" t="s">
        <v>2242</v>
      </c>
      <c r="V192" s="37" t="s">
        <v>2250</v>
      </c>
      <c r="W192" s="37"/>
      <c r="X192" s="37" t="s">
        <v>20</v>
      </c>
    </row>
    <row r="193" spans="1:24" x14ac:dyDescent="0.3">
      <c r="A193" s="37">
        <f t="shared" si="7"/>
        <v>192</v>
      </c>
      <c r="B193" s="76" t="s">
        <v>1424</v>
      </c>
      <c r="C193" s="76" t="s">
        <v>1423</v>
      </c>
      <c r="D193" s="76" t="s">
        <v>2447</v>
      </c>
      <c r="E193" s="77">
        <v>396888742</v>
      </c>
      <c r="F193" s="77">
        <v>2500000</v>
      </c>
      <c r="G193" s="77" t="s">
        <v>2819</v>
      </c>
      <c r="H193" s="77" t="s">
        <v>2820</v>
      </c>
      <c r="I193" s="76" t="s">
        <v>2102</v>
      </c>
      <c r="J193" s="76" t="s">
        <v>4</v>
      </c>
      <c r="K193" s="76" t="str">
        <f>VLOOKUP($B193,'WILL TOKO SEP'!A194:AK933,37,0)</f>
        <v>DENPASAR BARAT</v>
      </c>
      <c r="L193" s="76" t="s">
        <v>2104</v>
      </c>
      <c r="M193" s="37" t="s">
        <v>3</v>
      </c>
      <c r="N193" s="78">
        <v>0</v>
      </c>
      <c r="O193" s="78">
        <v>0</v>
      </c>
      <c r="P193" s="79">
        <v>46210</v>
      </c>
      <c r="Q193" s="79">
        <v>46249</v>
      </c>
      <c r="R193" s="79" t="str">
        <f>IFERROR(VLOOKUP($B193,JADWAL!$G$6:$J$690,4,0),"")</f>
        <v/>
      </c>
      <c r="S193" s="77">
        <f t="shared" si="6"/>
        <v>2</v>
      </c>
      <c r="T193" s="77"/>
      <c r="U193" s="37" t="s">
        <v>2242</v>
      </c>
      <c r="V193" s="37" t="s">
        <v>2250</v>
      </c>
      <c r="W193" s="37"/>
      <c r="X193" s="37" t="e">
        <v>#N/A</v>
      </c>
    </row>
    <row r="194" spans="1:24" x14ac:dyDescent="0.3">
      <c r="A194" s="37">
        <f t="shared" si="7"/>
        <v>193</v>
      </c>
      <c r="B194" s="76" t="s">
        <v>762</v>
      </c>
      <c r="C194" s="76" t="s">
        <v>761</v>
      </c>
      <c r="D194" s="76" t="s">
        <v>2448</v>
      </c>
      <c r="E194" s="77">
        <v>379778570</v>
      </c>
      <c r="F194" s="77">
        <v>2500000</v>
      </c>
      <c r="G194" s="77" t="s">
        <v>2813</v>
      </c>
      <c r="H194" s="77" t="s">
        <v>2871</v>
      </c>
      <c r="I194" s="76" t="s">
        <v>2102</v>
      </c>
      <c r="J194" s="76" t="s">
        <v>9</v>
      </c>
      <c r="K194" s="76" t="str">
        <f>VLOOKUP($B194,'WILL TOKO SEP'!A195:AK934,37,0)</f>
        <v>KUTA</v>
      </c>
      <c r="L194" s="76" t="s">
        <v>2104</v>
      </c>
      <c r="M194" s="37" t="s">
        <v>3</v>
      </c>
      <c r="N194" s="78">
        <v>0</v>
      </c>
      <c r="O194" s="79">
        <v>46176</v>
      </c>
      <c r="P194" s="79">
        <v>46232</v>
      </c>
      <c r="Q194" s="241">
        <v>0</v>
      </c>
      <c r="R194" s="79" t="str">
        <f>IFERROR(VLOOKUP($B194,JADWAL!$G$6:$J$690,4,0),"")</f>
        <v/>
      </c>
      <c r="S194" s="77">
        <f t="shared" ref="S194:S257" si="8">COUNTIF(N194:P194,"0")</f>
        <v>1</v>
      </c>
      <c r="T194" s="77"/>
      <c r="U194" s="37" t="s">
        <v>2242</v>
      </c>
      <c r="V194" s="37" t="s">
        <v>2250</v>
      </c>
      <c r="W194" s="37"/>
      <c r="X194" s="37" t="s">
        <v>124</v>
      </c>
    </row>
    <row r="195" spans="1:24" x14ac:dyDescent="0.3">
      <c r="A195" s="37">
        <f t="shared" si="7"/>
        <v>194</v>
      </c>
      <c r="B195" s="76" t="s">
        <v>994</v>
      </c>
      <c r="C195" s="76" t="s">
        <v>993</v>
      </c>
      <c r="D195" s="76" t="s">
        <v>2450</v>
      </c>
      <c r="E195" s="77">
        <v>537712432</v>
      </c>
      <c r="F195" s="77">
        <v>3500000</v>
      </c>
      <c r="G195" s="77" t="s">
        <v>2821</v>
      </c>
      <c r="H195" s="77" t="s">
        <v>2822</v>
      </c>
      <c r="I195" s="76" t="s">
        <v>2102</v>
      </c>
      <c r="J195" s="76" t="s">
        <v>36</v>
      </c>
      <c r="K195" s="76" t="str">
        <f>VLOOKUP($B195,'WILL TOKO SEP'!A196:AK935,37,0)</f>
        <v>TABANAN</v>
      </c>
      <c r="L195" s="76" t="s">
        <v>2104</v>
      </c>
      <c r="M195" s="37" t="s">
        <v>3</v>
      </c>
      <c r="N195" s="79">
        <v>46153</v>
      </c>
      <c r="O195" s="78">
        <v>0</v>
      </c>
      <c r="P195" s="79">
        <v>46224</v>
      </c>
      <c r="Q195" s="241">
        <v>0</v>
      </c>
      <c r="R195" s="79" t="str">
        <f>IFERROR(VLOOKUP($B195,JADWAL!$G$6:$J$690,4,0),"")</f>
        <v/>
      </c>
      <c r="S195" s="77">
        <f t="shared" si="8"/>
        <v>1</v>
      </c>
      <c r="T195" s="77"/>
      <c r="U195" s="37" t="s">
        <v>2242</v>
      </c>
      <c r="V195" s="37" t="s">
        <v>2250</v>
      </c>
      <c r="W195" s="37"/>
      <c r="X195" s="37" t="s">
        <v>13</v>
      </c>
    </row>
    <row r="196" spans="1:24" x14ac:dyDescent="0.3">
      <c r="A196" s="37">
        <f t="shared" ref="A196:A259" si="9">A195+1</f>
        <v>195</v>
      </c>
      <c r="B196" s="76" t="s">
        <v>1011</v>
      </c>
      <c r="C196" s="76" t="s">
        <v>1010</v>
      </c>
      <c r="D196" s="76" t="s">
        <v>2453</v>
      </c>
      <c r="E196" s="77">
        <v>490866100</v>
      </c>
      <c r="F196" s="77">
        <v>2000000</v>
      </c>
      <c r="G196" s="77" t="s">
        <v>2830</v>
      </c>
      <c r="H196" s="77" t="s">
        <v>2849</v>
      </c>
      <c r="I196" s="76" t="s">
        <v>2102</v>
      </c>
      <c r="J196" s="76" t="s">
        <v>4</v>
      </c>
      <c r="K196" s="76" t="str">
        <f>VLOOKUP($B196,'WILL TOKO SEP'!A197:AK936,37,0)</f>
        <v>DENPASAR UTARA</v>
      </c>
      <c r="L196" s="76" t="s">
        <v>2104</v>
      </c>
      <c r="M196" s="37" t="s">
        <v>3</v>
      </c>
      <c r="N196" s="78">
        <v>0</v>
      </c>
      <c r="O196" s="79">
        <v>46176</v>
      </c>
      <c r="P196" s="79">
        <v>46223</v>
      </c>
      <c r="Q196" s="241">
        <v>0</v>
      </c>
      <c r="R196" s="79" t="str">
        <f>IFERROR(VLOOKUP($B196,JADWAL!$G$6:$J$690,4,0),"")</f>
        <v/>
      </c>
      <c r="S196" s="77">
        <f t="shared" si="8"/>
        <v>1</v>
      </c>
      <c r="T196" s="77"/>
      <c r="U196" s="37" t="s">
        <v>2242</v>
      </c>
      <c r="V196" s="37" t="s">
        <v>2250</v>
      </c>
      <c r="W196" s="37"/>
      <c r="X196" s="37" t="s">
        <v>77</v>
      </c>
    </row>
    <row r="197" spans="1:24" x14ac:dyDescent="0.3">
      <c r="A197" s="37">
        <f t="shared" si="9"/>
        <v>196</v>
      </c>
      <c r="B197" s="76" t="s">
        <v>1460</v>
      </c>
      <c r="C197" s="76" t="s">
        <v>1459</v>
      </c>
      <c r="D197" s="76" t="s">
        <v>2454</v>
      </c>
      <c r="E197" s="77">
        <v>605746954</v>
      </c>
      <c r="F197" s="77">
        <v>3000000</v>
      </c>
      <c r="G197" s="77" t="s">
        <v>2840</v>
      </c>
      <c r="H197" s="77" t="s">
        <v>2873</v>
      </c>
      <c r="I197" s="76" t="s">
        <v>2102</v>
      </c>
      <c r="J197" s="76" t="s">
        <v>4</v>
      </c>
      <c r="K197" s="76" t="str">
        <f>VLOOKUP($B197,'WILL TOKO SEP'!A198:AK937,37,0)</f>
        <v>DENPASAR UTARA</v>
      </c>
      <c r="L197" s="76" t="s">
        <v>2104</v>
      </c>
      <c r="M197" s="37" t="s">
        <v>3</v>
      </c>
      <c r="N197" s="79">
        <v>46149</v>
      </c>
      <c r="O197" s="79">
        <v>46192</v>
      </c>
      <c r="P197" s="79">
        <v>46230</v>
      </c>
      <c r="Q197" s="79">
        <v>46248</v>
      </c>
      <c r="R197" s="79" t="str">
        <f>IFERROR(VLOOKUP($B197,JADWAL!$G$6:$J$690,4,0),"")</f>
        <v/>
      </c>
      <c r="S197" s="77">
        <f t="shared" si="8"/>
        <v>0</v>
      </c>
      <c r="T197" s="77"/>
      <c r="U197" s="37" t="s">
        <v>2242</v>
      </c>
      <c r="V197" s="37" t="s">
        <v>2078</v>
      </c>
      <c r="W197" s="37"/>
      <c r="X197" s="37" t="e">
        <v>#N/A</v>
      </c>
    </row>
    <row r="198" spans="1:24" x14ac:dyDescent="0.3">
      <c r="A198" s="37">
        <f t="shared" si="9"/>
        <v>197</v>
      </c>
      <c r="B198" s="76" t="s">
        <v>1165</v>
      </c>
      <c r="C198" s="76" t="s">
        <v>1164</v>
      </c>
      <c r="D198" s="76" t="s">
        <v>2455</v>
      </c>
      <c r="E198" s="77">
        <v>520168431</v>
      </c>
      <c r="F198" s="77">
        <v>3500000</v>
      </c>
      <c r="G198" s="77" t="s">
        <v>2867</v>
      </c>
      <c r="H198" s="77" t="s">
        <v>2874</v>
      </c>
      <c r="I198" s="76" t="s">
        <v>2102</v>
      </c>
      <c r="J198" s="76" t="s">
        <v>4</v>
      </c>
      <c r="K198" s="76" t="str">
        <f>VLOOKUP($B198,'WILL TOKO SEP'!A199:AK938,37,0)</f>
        <v>DENPASAR BARAT</v>
      </c>
      <c r="L198" s="76" t="s">
        <v>2104</v>
      </c>
      <c r="M198" s="37" t="s">
        <v>3</v>
      </c>
      <c r="N198" s="78">
        <v>0</v>
      </c>
      <c r="O198" s="78">
        <v>0</v>
      </c>
      <c r="P198" s="79">
        <v>46217</v>
      </c>
      <c r="Q198" s="241">
        <v>0</v>
      </c>
      <c r="R198" s="79" t="str">
        <f>IFERROR(VLOOKUP($B198,JADWAL!$G$6:$J$690,4,0),"")</f>
        <v/>
      </c>
      <c r="S198" s="77">
        <f t="shared" si="8"/>
        <v>2</v>
      </c>
      <c r="T198" s="77"/>
      <c r="U198" s="37" t="s">
        <v>2242</v>
      </c>
      <c r="V198" s="37" t="s">
        <v>2250</v>
      </c>
      <c r="W198" s="37"/>
      <c r="X198" s="37" t="s">
        <v>77</v>
      </c>
    </row>
    <row r="199" spans="1:24" x14ac:dyDescent="0.3">
      <c r="A199" s="37">
        <f t="shared" si="9"/>
        <v>198</v>
      </c>
      <c r="B199" s="76" t="s">
        <v>1409</v>
      </c>
      <c r="C199" s="76" t="s">
        <v>1408</v>
      </c>
      <c r="D199" s="76" t="s">
        <v>2456</v>
      </c>
      <c r="E199" s="77">
        <v>445302082</v>
      </c>
      <c r="F199" s="77">
        <v>3000000</v>
      </c>
      <c r="G199" s="77" t="s">
        <v>2827</v>
      </c>
      <c r="H199" s="77" t="s">
        <v>2864</v>
      </c>
      <c r="I199" s="76" t="s">
        <v>2102</v>
      </c>
      <c r="J199" s="76" t="s">
        <v>48</v>
      </c>
      <c r="K199" s="76" t="str">
        <f>VLOOKUP($B199,'WILL TOKO SEP'!A200:AK939,37,0)</f>
        <v>TEJAKULA</v>
      </c>
      <c r="L199" s="76" t="s">
        <v>2104</v>
      </c>
      <c r="M199" s="37" t="s">
        <v>3</v>
      </c>
      <c r="N199" s="79">
        <v>46160</v>
      </c>
      <c r="O199" s="79">
        <v>46196</v>
      </c>
      <c r="P199" s="79">
        <v>46230</v>
      </c>
      <c r="Q199" s="79">
        <v>46249</v>
      </c>
      <c r="R199" s="79" t="str">
        <f>IFERROR(VLOOKUP($B199,JADWAL!$G$6:$J$690,4,0),"")</f>
        <v/>
      </c>
      <c r="S199" s="77">
        <f t="shared" si="8"/>
        <v>0</v>
      </c>
      <c r="T199" s="77"/>
      <c r="U199" s="37" t="s">
        <v>2242</v>
      </c>
      <c r="V199" s="37" t="s">
        <v>2250</v>
      </c>
      <c r="W199" s="37"/>
      <c r="X199" s="37" t="e">
        <v>#N/A</v>
      </c>
    </row>
    <row r="200" spans="1:24" x14ac:dyDescent="0.3">
      <c r="A200" s="37">
        <f t="shared" si="9"/>
        <v>199</v>
      </c>
      <c r="B200" s="76" t="s">
        <v>1772</v>
      </c>
      <c r="C200" s="76" t="s">
        <v>1771</v>
      </c>
      <c r="D200" s="76" t="s">
        <v>2457</v>
      </c>
      <c r="E200" s="77">
        <v>637014936</v>
      </c>
      <c r="F200" s="77">
        <v>4500000</v>
      </c>
      <c r="G200" s="77" t="s">
        <v>2867</v>
      </c>
      <c r="H200" s="77" t="s">
        <v>2875</v>
      </c>
      <c r="I200" s="76" t="s">
        <v>2102</v>
      </c>
      <c r="J200" s="76" t="s">
        <v>4</v>
      </c>
      <c r="K200" s="76" t="str">
        <f>VLOOKUP($B200,'WILL TOKO SEP'!A201:AK940,37,0)</f>
        <v>DENPASAR SELATAN</v>
      </c>
      <c r="L200" s="76" t="s">
        <v>2103</v>
      </c>
      <c r="M200" s="37" t="s">
        <v>3</v>
      </c>
      <c r="N200" s="78">
        <v>0</v>
      </c>
      <c r="O200" s="78">
        <v>0</v>
      </c>
      <c r="P200" s="79">
        <v>46205</v>
      </c>
      <c r="Q200" s="79">
        <v>46239</v>
      </c>
      <c r="R200" s="79" t="str">
        <f>IFERROR(VLOOKUP($B200,JADWAL!$G$6:$J$690,4,0),"")</f>
        <v/>
      </c>
      <c r="S200" s="77">
        <f t="shared" si="8"/>
        <v>2</v>
      </c>
      <c r="T200" s="77"/>
      <c r="U200" s="37" t="s">
        <v>2242</v>
      </c>
      <c r="V200" s="37" t="s">
        <v>2250</v>
      </c>
      <c r="W200" s="37"/>
      <c r="X200" s="37" t="e">
        <v>#N/A</v>
      </c>
    </row>
    <row r="201" spans="1:24" x14ac:dyDescent="0.3">
      <c r="A201" s="37">
        <f t="shared" si="9"/>
        <v>200</v>
      </c>
      <c r="B201" s="76" t="s">
        <v>564</v>
      </c>
      <c r="C201" s="76" t="s">
        <v>563</v>
      </c>
      <c r="D201" s="76" t="s">
        <v>2458</v>
      </c>
      <c r="E201" s="77">
        <v>627597226</v>
      </c>
      <c r="F201" s="77">
        <v>4000000</v>
      </c>
      <c r="G201" s="77" t="s">
        <v>2840</v>
      </c>
      <c r="H201" s="77" t="s">
        <v>2872</v>
      </c>
      <c r="I201" s="76" t="s">
        <v>2102</v>
      </c>
      <c r="J201" s="76" t="s">
        <v>48</v>
      </c>
      <c r="K201" s="76" t="e">
        <f>VLOOKUP($B201,'WILL TOKO SEP'!A202:AK941,37,0)</f>
        <v>#N/A</v>
      </c>
      <c r="L201" s="76" t="s">
        <v>2104</v>
      </c>
      <c r="M201" s="37" t="s">
        <v>3</v>
      </c>
      <c r="N201" s="79">
        <v>46168</v>
      </c>
      <c r="O201" s="79">
        <v>46186</v>
      </c>
      <c r="P201" s="78">
        <v>0</v>
      </c>
      <c r="Q201" s="79">
        <v>46258</v>
      </c>
      <c r="R201" s="79" t="str">
        <f>IFERROR(VLOOKUP($B201,JADWAL!$G$6:$J$690,4,0),"")</f>
        <v/>
      </c>
      <c r="S201" s="77">
        <f t="shared" si="8"/>
        <v>1</v>
      </c>
      <c r="T201" s="77"/>
      <c r="U201" s="37" t="s">
        <v>2242</v>
      </c>
      <c r="V201" s="37" t="s">
        <v>2250</v>
      </c>
      <c r="W201" s="37"/>
      <c r="X201" s="37" t="s">
        <v>44</v>
      </c>
    </row>
    <row r="202" spans="1:24" x14ac:dyDescent="0.3">
      <c r="A202" s="37">
        <f t="shared" si="9"/>
        <v>201</v>
      </c>
      <c r="B202" s="76" t="s">
        <v>952</v>
      </c>
      <c r="C202" s="76" t="s">
        <v>951</v>
      </c>
      <c r="D202" s="76" t="s">
        <v>2461</v>
      </c>
      <c r="E202" s="77">
        <v>526692736</v>
      </c>
      <c r="F202" s="77">
        <v>4500000</v>
      </c>
      <c r="G202" s="77" t="s">
        <v>2840</v>
      </c>
      <c r="H202" s="77" t="s">
        <v>2861</v>
      </c>
      <c r="I202" s="76" t="s">
        <v>2102</v>
      </c>
      <c r="J202" s="76" t="s">
        <v>28</v>
      </c>
      <c r="K202" s="76" t="str">
        <f>VLOOKUP($B202,'WILL TOKO SEP'!A203:AK942,37,0)</f>
        <v>GIANYAR</v>
      </c>
      <c r="L202" s="76" t="s">
        <v>2103</v>
      </c>
      <c r="M202" s="37" t="s">
        <v>3</v>
      </c>
      <c r="N202" s="78">
        <v>0</v>
      </c>
      <c r="O202" s="78">
        <v>0</v>
      </c>
      <c r="P202" s="79">
        <v>46225</v>
      </c>
      <c r="Q202" s="241">
        <v>0</v>
      </c>
      <c r="R202" s="79" t="str">
        <f>IFERROR(VLOOKUP($B202,JADWAL!$G$6:$J$690,4,0),"")</f>
        <v/>
      </c>
      <c r="S202" s="77">
        <f t="shared" si="8"/>
        <v>2</v>
      </c>
      <c r="T202" s="77"/>
      <c r="U202" s="37" t="s">
        <v>2242</v>
      </c>
      <c r="V202" s="37" t="s">
        <v>2250</v>
      </c>
      <c r="W202" s="37"/>
      <c r="X202" s="37" t="s">
        <v>27</v>
      </c>
    </row>
    <row r="203" spans="1:24" x14ac:dyDescent="0.3">
      <c r="A203" s="37">
        <f t="shared" si="9"/>
        <v>202</v>
      </c>
      <c r="B203" s="76" t="s">
        <v>574</v>
      </c>
      <c r="C203" s="76" t="s">
        <v>573</v>
      </c>
      <c r="D203" s="76" t="s">
        <v>2462</v>
      </c>
      <c r="E203" s="77">
        <v>458112451</v>
      </c>
      <c r="F203" s="77">
        <v>3500000</v>
      </c>
      <c r="G203" s="77" t="s">
        <v>2813</v>
      </c>
      <c r="H203" s="77" t="s">
        <v>2832</v>
      </c>
      <c r="I203" s="76" t="s">
        <v>2102</v>
      </c>
      <c r="J203" s="76" t="s">
        <v>9</v>
      </c>
      <c r="K203" s="76" t="e">
        <f>VLOOKUP($B203,'WILL TOKO SEP'!A204:AK943,37,0)</f>
        <v>#N/A</v>
      </c>
      <c r="L203" s="76" t="s">
        <v>2103</v>
      </c>
      <c r="M203" s="37" t="s">
        <v>3</v>
      </c>
      <c r="N203" s="79">
        <v>46164</v>
      </c>
      <c r="O203" s="79">
        <v>46202</v>
      </c>
      <c r="P203" s="78">
        <v>0</v>
      </c>
      <c r="Q203" s="79">
        <v>46258</v>
      </c>
      <c r="R203" s="79" t="str">
        <f>IFERROR(VLOOKUP($B203,JADWAL!$G$6:$J$690,4,0),"")</f>
        <v/>
      </c>
      <c r="S203" s="77">
        <f t="shared" si="8"/>
        <v>1</v>
      </c>
      <c r="T203" s="77"/>
      <c r="U203" s="37" t="s">
        <v>2242</v>
      </c>
      <c r="V203" s="37" t="s">
        <v>2250</v>
      </c>
      <c r="W203" s="37"/>
      <c r="X203" s="37" t="s">
        <v>124</v>
      </c>
    </row>
    <row r="204" spans="1:24" x14ac:dyDescent="0.3">
      <c r="A204" s="37">
        <f t="shared" si="9"/>
        <v>203</v>
      </c>
      <c r="B204" s="76" t="s">
        <v>541</v>
      </c>
      <c r="C204" s="76" t="s">
        <v>540</v>
      </c>
      <c r="D204" s="76" t="s">
        <v>2464</v>
      </c>
      <c r="E204" s="77">
        <v>650851157</v>
      </c>
      <c r="F204" s="77">
        <v>5000000</v>
      </c>
      <c r="G204" s="77" t="s">
        <v>2867</v>
      </c>
      <c r="H204" s="77" t="s">
        <v>2876</v>
      </c>
      <c r="I204" s="76" t="s">
        <v>2102</v>
      </c>
      <c r="J204" s="76" t="s">
        <v>9</v>
      </c>
      <c r="K204" s="76" t="e">
        <f>VLOOKUP($B204,'WILL TOKO SEP'!A205:AK944,37,0)</f>
        <v>#N/A</v>
      </c>
      <c r="L204" s="76" t="s">
        <v>2103</v>
      </c>
      <c r="M204" s="37" t="s">
        <v>3</v>
      </c>
      <c r="N204" s="78">
        <v>0</v>
      </c>
      <c r="O204" s="79">
        <v>46183</v>
      </c>
      <c r="P204" s="78">
        <v>0</v>
      </c>
      <c r="Q204" s="241">
        <v>0</v>
      </c>
      <c r="R204" s="79">
        <f>IFERROR(VLOOKUP($B204,JADWAL!$G$6:$J$690,4,0),"")</f>
        <v>46267</v>
      </c>
      <c r="S204" s="77">
        <f t="shared" si="8"/>
        <v>2</v>
      </c>
      <c r="T204" s="77"/>
      <c r="U204" s="37" t="s">
        <v>2242</v>
      </c>
      <c r="V204" s="37" t="s">
        <v>2250</v>
      </c>
      <c r="W204" s="37"/>
      <c r="X204" s="37" t="s">
        <v>124</v>
      </c>
    </row>
    <row r="205" spans="1:24" x14ac:dyDescent="0.3">
      <c r="A205" s="37">
        <f t="shared" si="9"/>
        <v>204</v>
      </c>
      <c r="B205" s="76" t="s">
        <v>550</v>
      </c>
      <c r="C205" s="76" t="s">
        <v>5788</v>
      </c>
      <c r="D205" s="76" t="s">
        <v>5207</v>
      </c>
      <c r="E205" s="77">
        <v>409591619</v>
      </c>
      <c r="F205" s="77">
        <v>2000000</v>
      </c>
      <c r="G205" s="77" t="s">
        <v>2817</v>
      </c>
      <c r="H205" s="77" t="s">
        <v>2852</v>
      </c>
      <c r="I205" s="76" t="s">
        <v>2102</v>
      </c>
      <c r="J205" s="76" t="s">
        <v>4</v>
      </c>
      <c r="K205" s="76" t="str">
        <f>VLOOKUP($B205,'WILL TOKO SEP'!A206:AK945,37,0)</f>
        <v>DENPASAR SELATAN</v>
      </c>
      <c r="L205" s="76" t="s">
        <v>2103</v>
      </c>
      <c r="M205" s="37" t="s">
        <v>3</v>
      </c>
      <c r="N205" s="78">
        <v>0</v>
      </c>
      <c r="O205" s="79">
        <v>46177</v>
      </c>
      <c r="P205" s="78">
        <v>0</v>
      </c>
      <c r="Q205" s="79">
        <v>46261</v>
      </c>
      <c r="R205" s="79" t="str">
        <f>IFERROR(VLOOKUP($B205,JADWAL!$G$6:$J$690,4,0),"")</f>
        <v/>
      </c>
      <c r="S205" s="77">
        <f t="shared" si="8"/>
        <v>2</v>
      </c>
      <c r="T205" s="77"/>
      <c r="U205" s="37" t="s">
        <v>2242</v>
      </c>
      <c r="V205" s="37" t="s">
        <v>2250</v>
      </c>
      <c r="W205" s="37"/>
      <c r="X205" s="37" t="s">
        <v>2</v>
      </c>
    </row>
    <row r="206" spans="1:24" x14ac:dyDescent="0.3">
      <c r="A206" s="37">
        <f t="shared" si="9"/>
        <v>205</v>
      </c>
      <c r="B206" s="76" t="s">
        <v>1309</v>
      </c>
      <c r="C206" s="76" t="s">
        <v>5711</v>
      </c>
      <c r="D206" s="76" t="s">
        <v>2466</v>
      </c>
      <c r="E206" s="77">
        <v>472905098</v>
      </c>
      <c r="F206" s="77">
        <v>4000000</v>
      </c>
      <c r="G206" s="77" t="s">
        <v>2817</v>
      </c>
      <c r="H206" s="77" t="s">
        <v>2818</v>
      </c>
      <c r="I206" s="76" t="s">
        <v>2102</v>
      </c>
      <c r="J206" s="76" t="s">
        <v>4</v>
      </c>
      <c r="K206" s="76" t="str">
        <f>VLOOKUP($B206,'WILL TOKO SEP'!A207:AK946,37,0)</f>
        <v>DENPASAR SELATAN</v>
      </c>
      <c r="L206" s="76" t="s">
        <v>2103</v>
      </c>
      <c r="M206" s="37" t="s">
        <v>3</v>
      </c>
      <c r="N206" s="78">
        <v>0</v>
      </c>
      <c r="O206" s="78">
        <v>0</v>
      </c>
      <c r="P206" s="79">
        <v>46210</v>
      </c>
      <c r="Q206" s="241">
        <v>0</v>
      </c>
      <c r="R206" s="79">
        <f>IFERROR(VLOOKUP($B206,JADWAL!$G$6:$J$690,4,0),"")</f>
        <v>46269</v>
      </c>
      <c r="S206" s="77">
        <f t="shared" si="8"/>
        <v>2</v>
      </c>
      <c r="T206" s="77"/>
      <c r="U206" s="37" t="s">
        <v>2242</v>
      </c>
      <c r="V206" s="37" t="s">
        <v>2250</v>
      </c>
      <c r="W206" s="37"/>
      <c r="X206" s="37">
        <v>0</v>
      </c>
    </row>
    <row r="207" spans="1:24" x14ac:dyDescent="0.3">
      <c r="A207" s="37">
        <f t="shared" si="9"/>
        <v>206</v>
      </c>
      <c r="B207" s="76" t="s">
        <v>1147</v>
      </c>
      <c r="C207" s="76" t="s">
        <v>1146</v>
      </c>
      <c r="D207" s="76" t="s">
        <v>2467</v>
      </c>
      <c r="E207" s="77">
        <v>699657917</v>
      </c>
      <c r="F207" s="77">
        <v>3500000</v>
      </c>
      <c r="G207" s="77" t="s">
        <v>2840</v>
      </c>
      <c r="H207" s="77" t="s">
        <v>2873</v>
      </c>
      <c r="I207" s="76" t="s">
        <v>2102</v>
      </c>
      <c r="J207" s="76" t="s">
        <v>36</v>
      </c>
      <c r="K207" s="76" t="str">
        <f>VLOOKUP($B207,'WILL TOKO SEP'!A208:AK947,37,0)</f>
        <v>BATURITI</v>
      </c>
      <c r="L207" s="76" t="s">
        <v>2104</v>
      </c>
      <c r="M207" s="37" t="s">
        <v>3</v>
      </c>
      <c r="N207" s="79">
        <v>46154</v>
      </c>
      <c r="O207" s="79">
        <v>46183</v>
      </c>
      <c r="P207" s="79">
        <v>46218</v>
      </c>
      <c r="Q207" s="241">
        <v>0</v>
      </c>
      <c r="R207" s="79" t="str">
        <f>IFERROR(VLOOKUP($B207,JADWAL!$G$6:$J$690,4,0),"")</f>
        <v/>
      </c>
      <c r="S207" s="77">
        <f t="shared" si="8"/>
        <v>0</v>
      </c>
      <c r="T207" s="77"/>
      <c r="U207" s="37" t="s">
        <v>2242</v>
      </c>
      <c r="V207" s="37" t="s">
        <v>2250</v>
      </c>
      <c r="W207" s="37"/>
      <c r="X207" s="37" t="s">
        <v>13</v>
      </c>
    </row>
    <row r="208" spans="1:24" x14ac:dyDescent="0.3">
      <c r="A208" s="37">
        <f t="shared" si="9"/>
        <v>207</v>
      </c>
      <c r="B208" s="76" t="s">
        <v>1610</v>
      </c>
      <c r="C208" s="76" t="s">
        <v>1609</v>
      </c>
      <c r="D208" s="76" t="s">
        <v>2468</v>
      </c>
      <c r="E208" s="77">
        <v>353659063</v>
      </c>
      <c r="F208" s="77">
        <v>2000000</v>
      </c>
      <c r="G208" s="77" t="s">
        <v>2827</v>
      </c>
      <c r="H208" s="77" t="s">
        <v>2828</v>
      </c>
      <c r="I208" s="76" t="s">
        <v>2102</v>
      </c>
      <c r="J208" s="76" t="s">
        <v>48</v>
      </c>
      <c r="K208" s="76" t="e">
        <f>VLOOKUP($B208,'WILL TOKO SEP'!A209:AK948,37,0)</f>
        <v>#N/A</v>
      </c>
      <c r="L208" s="76" t="s">
        <v>2104</v>
      </c>
      <c r="M208" s="37" t="s">
        <v>3</v>
      </c>
      <c r="N208" s="79">
        <v>46164</v>
      </c>
      <c r="O208" s="79">
        <v>46200</v>
      </c>
      <c r="P208" s="79">
        <v>46231</v>
      </c>
      <c r="Q208" s="79">
        <v>46244</v>
      </c>
      <c r="R208" s="79" t="str">
        <f>IFERROR(VLOOKUP($B208,JADWAL!$G$6:$J$690,4,0),"")</f>
        <v/>
      </c>
      <c r="S208" s="77">
        <f t="shared" si="8"/>
        <v>0</v>
      </c>
      <c r="T208" s="77"/>
      <c r="U208" s="37" t="s">
        <v>2242</v>
      </c>
      <c r="V208" s="37" t="s">
        <v>2250</v>
      </c>
      <c r="W208" s="37"/>
      <c r="X208" s="37" t="e">
        <v>#N/A</v>
      </c>
    </row>
    <row r="209" spans="1:24" x14ac:dyDescent="0.3">
      <c r="A209" s="37">
        <f t="shared" si="9"/>
        <v>208</v>
      </c>
      <c r="B209" s="76" t="s">
        <v>1342</v>
      </c>
      <c r="C209" s="76" t="s">
        <v>1341</v>
      </c>
      <c r="D209" s="76" t="s">
        <v>2470</v>
      </c>
      <c r="E209" s="77">
        <v>465024139</v>
      </c>
      <c r="F209" s="77">
        <v>3000000</v>
      </c>
      <c r="G209" s="77" t="s">
        <v>2840</v>
      </c>
      <c r="H209" s="77" t="s">
        <v>2861</v>
      </c>
      <c r="I209" s="76" t="s">
        <v>2102</v>
      </c>
      <c r="J209" s="76" t="s">
        <v>28</v>
      </c>
      <c r="K209" s="76" t="e">
        <f>VLOOKUP($B209,'WILL TOKO SEP'!A210:AK949,37,0)</f>
        <v>#N/A</v>
      </c>
      <c r="L209" s="76" t="s">
        <v>2103</v>
      </c>
      <c r="M209" s="37" t="s">
        <v>3</v>
      </c>
      <c r="N209" s="79">
        <v>46171</v>
      </c>
      <c r="O209" s="78">
        <v>0</v>
      </c>
      <c r="P209" s="79">
        <v>46209</v>
      </c>
      <c r="Q209" s="241">
        <v>0</v>
      </c>
      <c r="R209" s="79" t="str">
        <f>IFERROR(VLOOKUP($B209,JADWAL!$G$6:$J$690,4,0),"")</f>
        <v/>
      </c>
      <c r="S209" s="77">
        <f t="shared" si="8"/>
        <v>1</v>
      </c>
      <c r="T209" s="77"/>
      <c r="U209" s="37" t="s">
        <v>2242</v>
      </c>
      <c r="V209" s="37" t="s">
        <v>2250</v>
      </c>
      <c r="W209" s="37"/>
      <c r="X209" s="37" t="s">
        <v>27</v>
      </c>
    </row>
    <row r="210" spans="1:24" x14ac:dyDescent="0.3">
      <c r="A210" s="37">
        <f t="shared" si="9"/>
        <v>209</v>
      </c>
      <c r="B210" s="76" t="s">
        <v>816</v>
      </c>
      <c r="C210" s="76" t="s">
        <v>815</v>
      </c>
      <c r="D210" s="76" t="s">
        <v>2474</v>
      </c>
      <c r="E210" s="77">
        <v>370775105</v>
      </c>
      <c r="F210" s="77">
        <v>1000000</v>
      </c>
      <c r="G210" s="77" t="s">
        <v>2815</v>
      </c>
      <c r="H210" s="77" t="s">
        <v>2855</v>
      </c>
      <c r="I210" s="76" t="s">
        <v>2102</v>
      </c>
      <c r="J210" s="76" t="s">
        <v>28</v>
      </c>
      <c r="K210" s="76" t="e">
        <f>VLOOKUP($B210,'WILL TOKO SEP'!A211:AK950,37,0)</f>
        <v>#N/A</v>
      </c>
      <c r="L210" s="76" t="s">
        <v>2103</v>
      </c>
      <c r="M210" s="37" t="s">
        <v>3</v>
      </c>
      <c r="N210" s="78">
        <v>0</v>
      </c>
      <c r="O210" s="79">
        <v>46199</v>
      </c>
      <c r="P210" s="79">
        <v>46230</v>
      </c>
      <c r="Q210" s="241">
        <v>0</v>
      </c>
      <c r="R210" s="79" t="str">
        <f>IFERROR(VLOOKUP($B210,JADWAL!$G$6:$J$690,4,0),"")</f>
        <v/>
      </c>
      <c r="S210" s="77">
        <f t="shared" si="8"/>
        <v>1</v>
      </c>
      <c r="T210" s="77"/>
      <c r="U210" s="37" t="s">
        <v>2242</v>
      </c>
      <c r="V210" s="37" t="s">
        <v>2250</v>
      </c>
      <c r="W210" s="37"/>
      <c r="X210" s="37" t="s">
        <v>27</v>
      </c>
    </row>
    <row r="211" spans="1:24" x14ac:dyDescent="0.3">
      <c r="A211" s="37">
        <f t="shared" si="9"/>
        <v>210</v>
      </c>
      <c r="B211" s="76" t="s">
        <v>1110</v>
      </c>
      <c r="C211" s="76" t="s">
        <v>1109</v>
      </c>
      <c r="D211" s="76" t="s">
        <v>2475</v>
      </c>
      <c r="E211" s="77">
        <v>407884181</v>
      </c>
      <c r="F211" s="77">
        <v>3000000</v>
      </c>
      <c r="G211" s="77" t="s">
        <v>2813</v>
      </c>
      <c r="H211" s="77" t="s">
        <v>2824</v>
      </c>
      <c r="I211" s="76" t="s">
        <v>2102</v>
      </c>
      <c r="J211" s="76" t="s">
        <v>9</v>
      </c>
      <c r="K211" s="76" t="e">
        <f>VLOOKUP($B211,'WILL TOKO SEP'!A212:AK951,37,0)</f>
        <v>#N/A</v>
      </c>
      <c r="L211" s="76" t="s">
        <v>2103</v>
      </c>
      <c r="M211" s="37" t="s">
        <v>3</v>
      </c>
      <c r="N211" s="78">
        <v>0</v>
      </c>
      <c r="O211" s="79">
        <v>46181</v>
      </c>
      <c r="P211" s="79">
        <v>46219</v>
      </c>
      <c r="Q211" s="241">
        <v>0</v>
      </c>
      <c r="R211" s="79" t="str">
        <f>IFERROR(VLOOKUP($B211,JADWAL!$G$6:$J$690,4,0),"")</f>
        <v/>
      </c>
      <c r="S211" s="77">
        <f t="shared" si="8"/>
        <v>1</v>
      </c>
      <c r="T211" s="77"/>
      <c r="U211" s="37" t="s">
        <v>2242</v>
      </c>
      <c r="V211" s="37" t="s">
        <v>2250</v>
      </c>
      <c r="W211" s="37"/>
      <c r="X211" s="37" t="s">
        <v>124</v>
      </c>
    </row>
    <row r="212" spans="1:24" x14ac:dyDescent="0.3">
      <c r="A212" s="37">
        <f t="shared" si="9"/>
        <v>211</v>
      </c>
      <c r="B212" s="76" t="s">
        <v>771</v>
      </c>
      <c r="C212" s="76" t="s">
        <v>770</v>
      </c>
      <c r="D212" s="76" t="s">
        <v>2476</v>
      </c>
      <c r="E212" s="77">
        <v>527279135</v>
      </c>
      <c r="F212" s="77">
        <v>4000000</v>
      </c>
      <c r="G212" s="77" t="s">
        <v>2815</v>
      </c>
      <c r="H212" s="77" t="s">
        <v>2816</v>
      </c>
      <c r="I212" s="76" t="s">
        <v>2102</v>
      </c>
      <c r="J212" s="76" t="s">
        <v>28</v>
      </c>
      <c r="K212" s="76" t="e">
        <f>VLOOKUP($B212,'WILL TOKO SEP'!A213:AK952,37,0)</f>
        <v>#N/A</v>
      </c>
      <c r="L212" s="76" t="s">
        <v>2103</v>
      </c>
      <c r="M212" s="37" t="s">
        <v>3</v>
      </c>
      <c r="N212" s="79">
        <v>46163</v>
      </c>
      <c r="O212" s="78">
        <v>0</v>
      </c>
      <c r="P212" s="79">
        <v>46232</v>
      </c>
      <c r="Q212" s="241">
        <v>0</v>
      </c>
      <c r="R212" s="79" t="str">
        <f>IFERROR(VLOOKUP($B212,JADWAL!$G$6:$J$690,4,0),"")</f>
        <v/>
      </c>
      <c r="S212" s="77">
        <f t="shared" si="8"/>
        <v>1</v>
      </c>
      <c r="T212" s="77"/>
      <c r="U212" s="37" t="s">
        <v>2242</v>
      </c>
      <c r="V212" s="37" t="s">
        <v>2250</v>
      </c>
      <c r="W212" s="37"/>
      <c r="X212" s="37" t="s">
        <v>27</v>
      </c>
    </row>
    <row r="213" spans="1:24" x14ac:dyDescent="0.3">
      <c r="A213" s="37">
        <f t="shared" si="9"/>
        <v>212</v>
      </c>
      <c r="B213" s="76" t="s">
        <v>865</v>
      </c>
      <c r="C213" s="76" t="s">
        <v>864</v>
      </c>
      <c r="D213" s="76" t="s">
        <v>2477</v>
      </c>
      <c r="E213" s="77">
        <v>484727413</v>
      </c>
      <c r="F213" s="77">
        <v>3500000</v>
      </c>
      <c r="G213" s="77" t="s">
        <v>2827</v>
      </c>
      <c r="H213" s="77" t="s">
        <v>2828</v>
      </c>
      <c r="I213" s="76" t="s">
        <v>2102</v>
      </c>
      <c r="J213" s="76" t="s">
        <v>48</v>
      </c>
      <c r="K213" s="76" t="e">
        <f>VLOOKUP($B213,'WILL TOKO SEP'!A214:AK953,37,0)</f>
        <v>#N/A</v>
      </c>
      <c r="L213" s="76" t="s">
        <v>2104</v>
      </c>
      <c r="M213" s="37" t="s">
        <v>3</v>
      </c>
      <c r="N213" s="79">
        <v>46165</v>
      </c>
      <c r="O213" s="79">
        <v>46179</v>
      </c>
      <c r="P213" s="79">
        <v>46228</v>
      </c>
      <c r="Q213" s="241">
        <v>0</v>
      </c>
      <c r="R213" s="79" t="str">
        <f>IFERROR(VLOOKUP($B213,JADWAL!$G$6:$J$690,4,0),"")</f>
        <v/>
      </c>
      <c r="S213" s="77">
        <f t="shared" si="8"/>
        <v>0</v>
      </c>
      <c r="T213" s="77"/>
      <c r="U213" s="37" t="s">
        <v>2242</v>
      </c>
      <c r="V213" s="37" t="s">
        <v>2250</v>
      </c>
      <c r="W213" s="37"/>
      <c r="X213" s="37" t="s">
        <v>44</v>
      </c>
    </row>
    <row r="214" spans="1:24" x14ac:dyDescent="0.3">
      <c r="A214" s="37">
        <f t="shared" si="9"/>
        <v>213</v>
      </c>
      <c r="B214" s="76" t="s">
        <v>696</v>
      </c>
      <c r="C214" s="76" t="s">
        <v>695</v>
      </c>
      <c r="D214" s="76" t="s">
        <v>2479</v>
      </c>
      <c r="E214" s="77">
        <v>482626161</v>
      </c>
      <c r="F214" s="77">
        <v>3500000</v>
      </c>
      <c r="G214" s="77" t="s">
        <v>2813</v>
      </c>
      <c r="H214" s="77" t="s">
        <v>2858</v>
      </c>
      <c r="I214" s="76" t="s">
        <v>2102</v>
      </c>
      <c r="J214" s="76" t="s">
        <v>36</v>
      </c>
      <c r="K214" s="76" t="str">
        <f>VLOOKUP($B214,'WILL TOKO SEP'!A215:AK954,37,0)</f>
        <v>KEDIRI</v>
      </c>
      <c r="L214" s="76" t="s">
        <v>2104</v>
      </c>
      <c r="M214" s="37" t="s">
        <v>3</v>
      </c>
      <c r="N214" s="78">
        <v>0</v>
      </c>
      <c r="O214" s="79">
        <v>46179</v>
      </c>
      <c r="P214" s="79">
        <v>46234</v>
      </c>
      <c r="Q214" s="241">
        <v>0</v>
      </c>
      <c r="R214" s="79" t="str">
        <f>IFERROR(VLOOKUP($B214,JADWAL!$G$6:$J$690,4,0),"")</f>
        <v/>
      </c>
      <c r="S214" s="77">
        <f t="shared" si="8"/>
        <v>1</v>
      </c>
      <c r="T214" s="77"/>
      <c r="U214" s="37" t="s">
        <v>2242</v>
      </c>
      <c r="V214" s="37" t="s">
        <v>2250</v>
      </c>
      <c r="W214" s="37"/>
      <c r="X214" s="37" t="s">
        <v>13</v>
      </c>
    </row>
    <row r="215" spans="1:24" x14ac:dyDescent="0.3">
      <c r="A215" s="37">
        <f t="shared" si="9"/>
        <v>214</v>
      </c>
      <c r="B215" s="76" t="s">
        <v>1248</v>
      </c>
      <c r="C215" s="76" t="s">
        <v>5774</v>
      </c>
      <c r="D215" s="76" t="s">
        <v>2480</v>
      </c>
      <c r="E215" s="77">
        <v>439725715</v>
      </c>
      <c r="F215" s="77">
        <v>2000000</v>
      </c>
      <c r="G215" s="77" t="s">
        <v>2840</v>
      </c>
      <c r="H215" s="77" t="s">
        <v>2872</v>
      </c>
      <c r="I215" s="76" t="s">
        <v>2102</v>
      </c>
      <c r="J215" s="76" t="s">
        <v>48</v>
      </c>
      <c r="K215" s="76" t="str">
        <f>VLOOKUP($B215,'WILL TOKO SEP'!A216:AK955,37,0)</f>
        <v>SERIRIT</v>
      </c>
      <c r="L215" s="76" t="s">
        <v>2104</v>
      </c>
      <c r="M215" s="37" t="s">
        <v>3</v>
      </c>
      <c r="N215" s="78">
        <v>0</v>
      </c>
      <c r="O215" s="78">
        <v>0</v>
      </c>
      <c r="P215" s="79">
        <v>46213</v>
      </c>
      <c r="Q215" s="241">
        <v>0</v>
      </c>
      <c r="R215" s="79" t="str">
        <f>IFERROR(VLOOKUP($B215,JADWAL!$G$6:$J$690,4,0),"")</f>
        <v/>
      </c>
      <c r="S215" s="77">
        <f t="shared" si="8"/>
        <v>2</v>
      </c>
      <c r="T215" s="77"/>
      <c r="U215" s="37" t="s">
        <v>2242</v>
      </c>
      <c r="V215" s="37" t="s">
        <v>2250</v>
      </c>
      <c r="W215" s="37"/>
      <c r="X215" s="37" t="s">
        <v>44</v>
      </c>
    </row>
    <row r="216" spans="1:24" x14ac:dyDescent="0.3">
      <c r="A216" s="37">
        <f t="shared" si="9"/>
        <v>215</v>
      </c>
      <c r="B216" s="76" t="s">
        <v>1406</v>
      </c>
      <c r="C216" s="76" t="s">
        <v>1405</v>
      </c>
      <c r="D216" s="76" t="s">
        <v>2482</v>
      </c>
      <c r="E216" s="77">
        <v>459376007</v>
      </c>
      <c r="F216" s="77">
        <v>2000000</v>
      </c>
      <c r="G216" s="77" t="s">
        <v>2830</v>
      </c>
      <c r="H216" s="77" t="s">
        <v>2838</v>
      </c>
      <c r="I216" s="76" t="s">
        <v>2102</v>
      </c>
      <c r="J216" s="76" t="s">
        <v>9</v>
      </c>
      <c r="K216" s="76" t="str">
        <f>VLOOKUP($B216,'WILL TOKO SEP'!A217:AK956,37,0)</f>
        <v>ABIANSEMAL</v>
      </c>
      <c r="L216" s="76" t="s">
        <v>2104</v>
      </c>
      <c r="M216" s="37" t="s">
        <v>3</v>
      </c>
      <c r="N216" s="79">
        <v>46168</v>
      </c>
      <c r="O216" s="79">
        <v>46193</v>
      </c>
      <c r="P216" s="79">
        <v>46232</v>
      </c>
      <c r="Q216" s="79">
        <v>46249</v>
      </c>
      <c r="R216" s="79" t="str">
        <f>IFERROR(VLOOKUP($B216,JADWAL!$G$6:$J$690,4,0),"")</f>
        <v/>
      </c>
      <c r="S216" s="77">
        <f t="shared" si="8"/>
        <v>0</v>
      </c>
      <c r="T216" s="77"/>
      <c r="U216" s="37" t="s">
        <v>2242</v>
      </c>
      <c r="V216" s="37" t="s">
        <v>2078</v>
      </c>
      <c r="W216" s="37"/>
      <c r="X216" s="37" t="e">
        <v>#N/A</v>
      </c>
    </row>
    <row r="217" spans="1:24" x14ac:dyDescent="0.3">
      <c r="A217" s="37">
        <f t="shared" si="9"/>
        <v>216</v>
      </c>
      <c r="B217" s="76" t="s">
        <v>862</v>
      </c>
      <c r="C217" s="76" t="s">
        <v>861</v>
      </c>
      <c r="D217" s="76" t="s">
        <v>2486</v>
      </c>
      <c r="E217" s="77">
        <v>521532256</v>
      </c>
      <c r="F217" s="77">
        <v>3500000</v>
      </c>
      <c r="G217" s="77" t="s">
        <v>2817</v>
      </c>
      <c r="H217" s="77" t="s">
        <v>2865</v>
      </c>
      <c r="I217" s="76" t="s">
        <v>2102</v>
      </c>
      <c r="J217" s="76" t="s">
        <v>9</v>
      </c>
      <c r="K217" s="76" t="str">
        <f>VLOOKUP($B217,'WILL TOKO SEP'!A218:AK957,37,0)</f>
        <v>KUTA</v>
      </c>
      <c r="L217" s="76" t="s">
        <v>2104</v>
      </c>
      <c r="M217" s="37" t="s">
        <v>3</v>
      </c>
      <c r="N217" s="78">
        <v>0</v>
      </c>
      <c r="O217" s="78">
        <v>0</v>
      </c>
      <c r="P217" s="79">
        <v>46228</v>
      </c>
      <c r="Q217" s="241">
        <v>0</v>
      </c>
      <c r="R217" s="79" t="str">
        <f>IFERROR(VLOOKUP($B217,JADWAL!$G$6:$J$690,4,0),"")</f>
        <v/>
      </c>
      <c r="S217" s="77">
        <f t="shared" si="8"/>
        <v>2</v>
      </c>
      <c r="T217" s="77"/>
      <c r="U217" s="37" t="s">
        <v>2242</v>
      </c>
      <c r="V217" s="37" t="s">
        <v>2250</v>
      </c>
      <c r="W217" s="37"/>
      <c r="X217" s="37" t="s">
        <v>124</v>
      </c>
    </row>
    <row r="218" spans="1:24" x14ac:dyDescent="0.3">
      <c r="A218" s="37">
        <f t="shared" si="9"/>
        <v>217</v>
      </c>
      <c r="B218" s="76" t="s">
        <v>1680</v>
      </c>
      <c r="C218" s="76" t="s">
        <v>1679</v>
      </c>
      <c r="D218" s="76" t="s">
        <v>2487</v>
      </c>
      <c r="E218" s="77">
        <v>431522735</v>
      </c>
      <c r="F218" s="77">
        <v>2500000</v>
      </c>
      <c r="G218" s="77" t="s">
        <v>2813</v>
      </c>
      <c r="H218" s="77" t="s">
        <v>2814</v>
      </c>
      <c r="I218" s="76" t="s">
        <v>2102</v>
      </c>
      <c r="J218" s="76" t="s">
        <v>9</v>
      </c>
      <c r="K218" s="76" t="str">
        <f>VLOOKUP($B218,'WILL TOKO SEP'!A219:AK958,37,0)</f>
        <v>KUTA SELATAN</v>
      </c>
      <c r="L218" s="76" t="s">
        <v>2103</v>
      </c>
      <c r="M218" s="37" t="s">
        <v>3</v>
      </c>
      <c r="N218" s="79">
        <v>46161</v>
      </c>
      <c r="O218" s="79">
        <v>46179</v>
      </c>
      <c r="P218" s="78">
        <v>0</v>
      </c>
      <c r="Q218" s="79">
        <v>46241</v>
      </c>
      <c r="R218" s="79" t="str">
        <f>IFERROR(VLOOKUP($B218,JADWAL!$G$6:$J$690,4,0),"")</f>
        <v/>
      </c>
      <c r="S218" s="77">
        <f t="shared" si="8"/>
        <v>1</v>
      </c>
      <c r="T218" s="77"/>
      <c r="U218" s="37" t="s">
        <v>2242</v>
      </c>
      <c r="V218" s="37" t="s">
        <v>2250</v>
      </c>
      <c r="W218" s="37"/>
      <c r="X218" s="37" t="e">
        <v>#N/A</v>
      </c>
    </row>
    <row r="219" spans="1:24" x14ac:dyDescent="0.3">
      <c r="A219" s="37">
        <f t="shared" si="9"/>
        <v>218</v>
      </c>
      <c r="B219" s="76" t="s">
        <v>1428</v>
      </c>
      <c r="C219" s="76" t="s">
        <v>1427</v>
      </c>
      <c r="D219" s="76" t="s">
        <v>2490</v>
      </c>
      <c r="E219" s="77">
        <v>358913968</v>
      </c>
      <c r="F219" s="77">
        <v>2500000</v>
      </c>
      <c r="G219" s="77" t="s">
        <v>2813</v>
      </c>
      <c r="H219" s="77" t="s">
        <v>2863</v>
      </c>
      <c r="I219" s="76" t="s">
        <v>2102</v>
      </c>
      <c r="J219" s="76" t="s">
        <v>9</v>
      </c>
      <c r="K219" s="76" t="str">
        <f>VLOOKUP($B219,'WILL TOKO SEP'!A220:AK959,37,0)</f>
        <v>KUTA</v>
      </c>
      <c r="L219" s="76" t="s">
        <v>2104</v>
      </c>
      <c r="M219" s="37" t="s">
        <v>3</v>
      </c>
      <c r="N219" s="78">
        <v>0</v>
      </c>
      <c r="O219" s="78">
        <v>0</v>
      </c>
      <c r="P219" s="79">
        <v>46204</v>
      </c>
      <c r="Q219" s="79">
        <v>46249</v>
      </c>
      <c r="R219" s="79" t="str">
        <f>IFERROR(VLOOKUP($B219,JADWAL!$G$6:$J$690,4,0),"")</f>
        <v/>
      </c>
      <c r="S219" s="77">
        <f t="shared" si="8"/>
        <v>2</v>
      </c>
      <c r="T219" s="77"/>
      <c r="U219" s="37" t="s">
        <v>2242</v>
      </c>
      <c r="V219" s="37" t="s">
        <v>2250</v>
      </c>
      <c r="W219" s="37"/>
      <c r="X219" s="37" t="e">
        <v>#N/A</v>
      </c>
    </row>
    <row r="220" spans="1:24" x14ac:dyDescent="0.3">
      <c r="A220" s="37">
        <f t="shared" si="9"/>
        <v>219</v>
      </c>
      <c r="B220" s="76" t="s">
        <v>1131</v>
      </c>
      <c r="C220" s="76" t="s">
        <v>5795</v>
      </c>
      <c r="D220" s="76" t="s">
        <v>2492</v>
      </c>
      <c r="E220" s="77">
        <v>418879250</v>
      </c>
      <c r="F220" s="77">
        <v>2000000</v>
      </c>
      <c r="G220" s="77" t="s">
        <v>2817</v>
      </c>
      <c r="H220" s="77" t="s">
        <v>2852</v>
      </c>
      <c r="I220" s="76" t="s">
        <v>2102</v>
      </c>
      <c r="J220" s="76" t="s">
        <v>4</v>
      </c>
      <c r="K220" s="76" t="str">
        <f>VLOOKUP($B220,'WILL TOKO SEP'!A221:AK960,37,0)</f>
        <v>DENPASAR SELATAN</v>
      </c>
      <c r="L220" s="76" t="s">
        <v>2103</v>
      </c>
      <c r="M220" s="37" t="s">
        <v>3</v>
      </c>
      <c r="N220" s="78">
        <v>0</v>
      </c>
      <c r="O220" s="78">
        <v>0</v>
      </c>
      <c r="P220" s="79">
        <v>46218</v>
      </c>
      <c r="Q220" s="241">
        <v>0</v>
      </c>
      <c r="R220" s="79">
        <f>IFERROR(VLOOKUP($B220,JADWAL!$G$6:$J$690,4,0),"")</f>
        <v>46272</v>
      </c>
      <c r="S220" s="77">
        <f t="shared" si="8"/>
        <v>2</v>
      </c>
      <c r="T220" s="77"/>
      <c r="U220" s="37" t="s">
        <v>2242</v>
      </c>
      <c r="V220" s="37" t="s">
        <v>2250</v>
      </c>
      <c r="W220" s="37"/>
      <c r="X220" s="37">
        <v>0</v>
      </c>
    </row>
    <row r="221" spans="1:24" x14ac:dyDescent="0.3">
      <c r="A221" s="37">
        <f t="shared" si="9"/>
        <v>220</v>
      </c>
      <c r="B221" s="76" t="s">
        <v>1603</v>
      </c>
      <c r="C221" s="76" t="s">
        <v>1602</v>
      </c>
      <c r="D221" s="76" t="s">
        <v>2493</v>
      </c>
      <c r="E221" s="77">
        <v>413180437</v>
      </c>
      <c r="F221" s="77">
        <v>2000000</v>
      </c>
      <c r="G221" s="77" t="s">
        <v>2813</v>
      </c>
      <c r="H221" s="77" t="s">
        <v>2863</v>
      </c>
      <c r="I221" s="76" t="s">
        <v>2102</v>
      </c>
      <c r="J221" s="76" t="s">
        <v>9</v>
      </c>
      <c r="K221" s="76" t="str">
        <f>VLOOKUP($B221,'WILL TOKO SEP'!A222:AK961,37,0)</f>
        <v>KUTA</v>
      </c>
      <c r="L221" s="76" t="s">
        <v>2104</v>
      </c>
      <c r="M221" s="37" t="s">
        <v>3</v>
      </c>
      <c r="N221" s="78">
        <v>0</v>
      </c>
      <c r="O221" s="79">
        <v>46179</v>
      </c>
      <c r="P221" s="78">
        <v>0</v>
      </c>
      <c r="Q221" s="79">
        <v>46244</v>
      </c>
      <c r="R221" s="79" t="str">
        <f>IFERROR(VLOOKUP($B221,JADWAL!$G$6:$J$690,4,0),"")</f>
        <v/>
      </c>
      <c r="S221" s="77">
        <f t="shared" si="8"/>
        <v>2</v>
      </c>
      <c r="T221" s="77"/>
      <c r="U221" s="37" t="s">
        <v>2242</v>
      </c>
      <c r="V221" s="37" t="s">
        <v>2250</v>
      </c>
      <c r="W221" s="37"/>
      <c r="X221" s="37" t="e">
        <v>#N/A</v>
      </c>
    </row>
    <row r="222" spans="1:24" x14ac:dyDescent="0.3">
      <c r="A222" s="37">
        <f t="shared" si="9"/>
        <v>221</v>
      </c>
      <c r="B222" s="76" t="s">
        <v>1693</v>
      </c>
      <c r="C222" s="76" t="s">
        <v>1692</v>
      </c>
      <c r="D222" s="76" t="s">
        <v>2494</v>
      </c>
      <c r="E222" s="77">
        <v>495842411</v>
      </c>
      <c r="F222" s="77">
        <v>2500000</v>
      </c>
      <c r="G222" s="77" t="s">
        <v>2825</v>
      </c>
      <c r="H222" s="77" t="s">
        <v>2836</v>
      </c>
      <c r="I222" s="76" t="s">
        <v>2102</v>
      </c>
      <c r="J222" s="76" t="s">
        <v>36</v>
      </c>
      <c r="K222" s="76" t="str">
        <f>VLOOKUP($B222,'WILL TOKO SEP'!A223:AK962,37,0)</f>
        <v>TABANAN</v>
      </c>
      <c r="L222" s="76" t="s">
        <v>2104</v>
      </c>
      <c r="M222" s="37" t="s">
        <v>3</v>
      </c>
      <c r="N222" s="78">
        <v>0</v>
      </c>
      <c r="O222" s="79">
        <v>46195</v>
      </c>
      <c r="P222" s="79">
        <v>46216</v>
      </c>
      <c r="Q222" s="79">
        <v>46241</v>
      </c>
      <c r="R222" s="79" t="str">
        <f>IFERROR(VLOOKUP($B222,JADWAL!$G$6:$J$690,4,0),"")</f>
        <v/>
      </c>
      <c r="S222" s="77">
        <f t="shared" si="8"/>
        <v>1</v>
      </c>
      <c r="T222" s="77"/>
      <c r="U222" s="37" t="s">
        <v>2242</v>
      </c>
      <c r="V222" s="37" t="s">
        <v>2250</v>
      </c>
      <c r="W222" s="37"/>
      <c r="X222" s="37" t="e">
        <v>#N/A</v>
      </c>
    </row>
    <row r="223" spans="1:24" x14ac:dyDescent="0.3">
      <c r="A223" s="37">
        <f t="shared" si="9"/>
        <v>222</v>
      </c>
      <c r="B223" s="76" t="s">
        <v>802</v>
      </c>
      <c r="C223" s="76" t="s">
        <v>801</v>
      </c>
      <c r="D223" s="76" t="s">
        <v>2495</v>
      </c>
      <c r="E223" s="77">
        <v>410315467</v>
      </c>
      <c r="F223" s="77">
        <v>3500000</v>
      </c>
      <c r="G223" s="77" t="s">
        <v>2840</v>
      </c>
      <c r="H223" s="77" t="s">
        <v>2873</v>
      </c>
      <c r="I223" s="76" t="s">
        <v>2102</v>
      </c>
      <c r="J223" s="76" t="s">
        <v>9</v>
      </c>
      <c r="K223" s="76" t="str">
        <f>VLOOKUP($B223,'WILL TOKO SEP'!A224:AK963,37,0)</f>
        <v>MENGWI</v>
      </c>
      <c r="L223" s="76" t="s">
        <v>2104</v>
      </c>
      <c r="M223" s="37" t="s">
        <v>3</v>
      </c>
      <c r="N223" s="79">
        <v>46155</v>
      </c>
      <c r="O223" s="78">
        <v>0</v>
      </c>
      <c r="P223" s="79">
        <v>46231</v>
      </c>
      <c r="Q223" s="241">
        <v>0</v>
      </c>
      <c r="R223" s="79" t="str">
        <f>IFERROR(VLOOKUP($B223,JADWAL!$G$6:$J$690,4,0),"")</f>
        <v/>
      </c>
      <c r="S223" s="77">
        <f t="shared" si="8"/>
        <v>1</v>
      </c>
      <c r="T223" s="77"/>
      <c r="U223" s="37" t="s">
        <v>2242</v>
      </c>
      <c r="V223" s="37" t="s">
        <v>2250</v>
      </c>
      <c r="W223" s="37"/>
      <c r="X223" s="37" t="s">
        <v>20</v>
      </c>
    </row>
    <row r="224" spans="1:24" x14ac:dyDescent="0.3">
      <c r="A224" s="37">
        <f t="shared" si="9"/>
        <v>223</v>
      </c>
      <c r="B224" s="76" t="s">
        <v>825</v>
      </c>
      <c r="C224" s="76" t="s">
        <v>824</v>
      </c>
      <c r="D224" s="76" t="s">
        <v>2496</v>
      </c>
      <c r="E224" s="77">
        <v>540874357</v>
      </c>
      <c r="F224" s="77">
        <v>3500000</v>
      </c>
      <c r="G224" s="77" t="s">
        <v>2840</v>
      </c>
      <c r="H224" s="77" t="s">
        <v>2861</v>
      </c>
      <c r="I224" s="76" t="s">
        <v>2102</v>
      </c>
      <c r="J224" s="76" t="s">
        <v>28</v>
      </c>
      <c r="K224" s="76" t="str">
        <f>VLOOKUP($B224,'WILL TOKO SEP'!A225:AK964,37,0)</f>
        <v>UBUD</v>
      </c>
      <c r="L224" s="76" t="s">
        <v>2103</v>
      </c>
      <c r="M224" s="37" t="s">
        <v>3</v>
      </c>
      <c r="N224" s="78">
        <v>0</v>
      </c>
      <c r="O224" s="78">
        <v>0</v>
      </c>
      <c r="P224" s="79">
        <v>46230</v>
      </c>
      <c r="Q224" s="241">
        <v>0</v>
      </c>
      <c r="R224" s="79" t="str">
        <f>IFERROR(VLOOKUP($B224,JADWAL!$G$6:$J$690,4,0),"")</f>
        <v/>
      </c>
      <c r="S224" s="77">
        <f t="shared" si="8"/>
        <v>2</v>
      </c>
      <c r="T224" s="77"/>
      <c r="U224" s="37" t="s">
        <v>2242</v>
      </c>
      <c r="V224" s="37" t="s">
        <v>2250</v>
      </c>
      <c r="W224" s="37"/>
      <c r="X224" s="37" t="s">
        <v>27</v>
      </c>
    </row>
    <row r="225" spans="1:24" x14ac:dyDescent="0.3">
      <c r="A225" s="37">
        <f t="shared" si="9"/>
        <v>224</v>
      </c>
      <c r="B225" s="76" t="s">
        <v>911</v>
      </c>
      <c r="C225" s="76" t="s">
        <v>910</v>
      </c>
      <c r="D225" s="76" t="s">
        <v>2497</v>
      </c>
      <c r="E225" s="77">
        <v>395978570</v>
      </c>
      <c r="F225" s="77">
        <v>2500000</v>
      </c>
      <c r="G225" s="77" t="s">
        <v>2819</v>
      </c>
      <c r="H225" s="77" t="s">
        <v>2823</v>
      </c>
      <c r="I225" s="76" t="s">
        <v>2102</v>
      </c>
      <c r="J225" s="76" t="s">
        <v>9</v>
      </c>
      <c r="K225" s="76" t="e">
        <f>VLOOKUP($B225,'WILL TOKO SEP'!A226:AK965,37,0)</f>
        <v>#N/A</v>
      </c>
      <c r="L225" s="76" t="s">
        <v>2104</v>
      </c>
      <c r="M225" s="37" t="s">
        <v>3</v>
      </c>
      <c r="N225" s="78">
        <v>0</v>
      </c>
      <c r="O225" s="78">
        <v>0</v>
      </c>
      <c r="P225" s="79">
        <v>46227</v>
      </c>
      <c r="Q225" s="79">
        <v>46253</v>
      </c>
      <c r="R225" s="79" t="str">
        <f>IFERROR(VLOOKUP($B225,JADWAL!$G$6:$J$690,4,0),"")</f>
        <v/>
      </c>
      <c r="S225" s="77">
        <f t="shared" si="8"/>
        <v>2</v>
      </c>
      <c r="T225" s="77"/>
      <c r="U225" s="37" t="s">
        <v>2242</v>
      </c>
      <c r="V225" s="37" t="s">
        <v>2250</v>
      </c>
      <c r="W225" s="37"/>
      <c r="X225" s="37" t="s">
        <v>20</v>
      </c>
    </row>
    <row r="226" spans="1:24" x14ac:dyDescent="0.3">
      <c r="A226" s="37">
        <f t="shared" si="9"/>
        <v>225</v>
      </c>
      <c r="B226" s="76" t="s">
        <v>881</v>
      </c>
      <c r="C226" s="76" t="s">
        <v>880</v>
      </c>
      <c r="D226" s="76" t="s">
        <v>2498</v>
      </c>
      <c r="E226" s="77">
        <v>557866856</v>
      </c>
      <c r="F226" s="77">
        <v>4000000</v>
      </c>
      <c r="G226" s="77" t="s">
        <v>2867</v>
      </c>
      <c r="H226" s="77" t="s">
        <v>2874</v>
      </c>
      <c r="I226" s="76" t="s">
        <v>2102</v>
      </c>
      <c r="J226" s="76" t="s">
        <v>4</v>
      </c>
      <c r="K226" s="76" t="e">
        <f>VLOOKUP($B226,'WILL TOKO SEP'!A227:AK966,37,0)</f>
        <v>#N/A</v>
      </c>
      <c r="L226" s="76" t="s">
        <v>2104</v>
      </c>
      <c r="M226" s="37" t="s">
        <v>3</v>
      </c>
      <c r="N226" s="78">
        <v>0</v>
      </c>
      <c r="O226" s="78">
        <v>0</v>
      </c>
      <c r="P226" s="79">
        <v>46227</v>
      </c>
      <c r="Q226" s="241">
        <v>0</v>
      </c>
      <c r="R226" s="79" t="str">
        <f>IFERROR(VLOOKUP($B226,JADWAL!$G$6:$J$690,4,0),"")</f>
        <v/>
      </c>
      <c r="S226" s="77">
        <f t="shared" si="8"/>
        <v>2</v>
      </c>
      <c r="T226" s="77"/>
      <c r="U226" s="37" t="s">
        <v>2242</v>
      </c>
      <c r="V226" s="37" t="s">
        <v>2250</v>
      </c>
      <c r="W226" s="37"/>
      <c r="X226" s="37" t="s">
        <v>77</v>
      </c>
    </row>
    <row r="227" spans="1:24" x14ac:dyDescent="0.3">
      <c r="A227" s="37">
        <f t="shared" si="9"/>
        <v>226</v>
      </c>
      <c r="B227" s="76" t="s">
        <v>530</v>
      </c>
      <c r="C227" s="76" t="s">
        <v>529</v>
      </c>
      <c r="D227" s="76" t="s">
        <v>2499</v>
      </c>
      <c r="E227" s="77">
        <v>565649628</v>
      </c>
      <c r="F227" s="77">
        <v>3000000</v>
      </c>
      <c r="G227" s="77" t="s">
        <v>2825</v>
      </c>
      <c r="H227" s="77" t="s">
        <v>2853</v>
      </c>
      <c r="I227" s="76" t="s">
        <v>2102</v>
      </c>
      <c r="J227" s="76" t="s">
        <v>9</v>
      </c>
      <c r="K227" s="76" t="e">
        <f>VLOOKUP($B227,'WILL TOKO SEP'!A228:AK967,37,0)</f>
        <v>#N/A</v>
      </c>
      <c r="L227" s="76" t="s">
        <v>2104</v>
      </c>
      <c r="M227" s="37" t="s">
        <v>3</v>
      </c>
      <c r="N227" s="78">
        <v>0</v>
      </c>
      <c r="O227" s="79">
        <v>46203</v>
      </c>
      <c r="P227" s="78">
        <v>0</v>
      </c>
      <c r="Q227" s="241">
        <v>0</v>
      </c>
      <c r="R227" s="79" t="str">
        <f>IFERROR(VLOOKUP($B227,JADWAL!$G$6:$J$690,4,0),"")</f>
        <v/>
      </c>
      <c r="S227" s="77">
        <f t="shared" si="8"/>
        <v>2</v>
      </c>
      <c r="T227" s="77"/>
      <c r="U227" s="37" t="s">
        <v>2242</v>
      </c>
      <c r="V227" s="37" t="s">
        <v>2250</v>
      </c>
      <c r="W227" s="37"/>
      <c r="X227" s="37" t="s">
        <v>20</v>
      </c>
    </row>
    <row r="228" spans="1:24" x14ac:dyDescent="0.3">
      <c r="A228" s="37">
        <f t="shared" si="9"/>
        <v>227</v>
      </c>
      <c r="B228" s="76" t="s">
        <v>1154</v>
      </c>
      <c r="C228" s="76" t="s">
        <v>5771</v>
      </c>
      <c r="D228" s="76" t="s">
        <v>5140</v>
      </c>
      <c r="E228" s="77">
        <v>452517709</v>
      </c>
      <c r="F228" s="77">
        <v>2500000</v>
      </c>
      <c r="G228" s="77" t="s">
        <v>2819</v>
      </c>
      <c r="H228" s="77" t="s">
        <v>2823</v>
      </c>
      <c r="I228" s="76" t="s">
        <v>2102</v>
      </c>
      <c r="J228" s="76" t="s">
        <v>4</v>
      </c>
      <c r="K228" s="76" t="str">
        <f>VLOOKUP($B228,'WILL TOKO SEP'!A229:AK968,37,0)</f>
        <v>DENPASAR BARAT</v>
      </c>
      <c r="L228" s="76" t="s">
        <v>2104</v>
      </c>
      <c r="M228" s="37" t="s">
        <v>3</v>
      </c>
      <c r="N228" s="78">
        <v>0</v>
      </c>
      <c r="O228" s="78">
        <v>0</v>
      </c>
      <c r="P228" s="79">
        <v>46217</v>
      </c>
      <c r="Q228" s="241">
        <v>0</v>
      </c>
      <c r="R228" s="79">
        <f>IFERROR(VLOOKUP($B228,JADWAL!$G$6:$J$690,4,0),"")</f>
        <v>46268</v>
      </c>
      <c r="S228" s="77">
        <f t="shared" si="8"/>
        <v>2</v>
      </c>
      <c r="T228" s="77"/>
      <c r="U228" s="37" t="s">
        <v>2242</v>
      </c>
      <c r="V228" s="37" t="s">
        <v>2250</v>
      </c>
      <c r="W228" s="37"/>
      <c r="X228" s="37">
        <v>0</v>
      </c>
    </row>
    <row r="229" spans="1:24" x14ac:dyDescent="0.3">
      <c r="A229" s="37">
        <f t="shared" si="9"/>
        <v>228</v>
      </c>
      <c r="B229" s="76" t="s">
        <v>1158</v>
      </c>
      <c r="C229" s="76" t="s">
        <v>1157</v>
      </c>
      <c r="D229" s="76" t="s">
        <v>2500</v>
      </c>
      <c r="E229" s="77">
        <v>390602984</v>
      </c>
      <c r="F229" s="77">
        <v>3000000</v>
      </c>
      <c r="G229" s="77" t="s">
        <v>2815</v>
      </c>
      <c r="H229" s="77" t="s">
        <v>2855</v>
      </c>
      <c r="I229" s="76" t="s">
        <v>2102</v>
      </c>
      <c r="J229" s="76" t="s">
        <v>28</v>
      </c>
      <c r="K229" s="76" t="e">
        <f>VLOOKUP($B229,'WILL TOKO SEP'!A230:AK969,37,0)</f>
        <v>#N/A</v>
      </c>
      <c r="L229" s="76" t="s">
        <v>2103</v>
      </c>
      <c r="M229" s="37" t="s">
        <v>3</v>
      </c>
      <c r="N229" s="78">
        <v>0</v>
      </c>
      <c r="O229" s="79">
        <v>46184</v>
      </c>
      <c r="P229" s="79">
        <v>46217</v>
      </c>
      <c r="Q229" s="241">
        <v>0</v>
      </c>
      <c r="R229" s="79" t="str">
        <f>IFERROR(VLOOKUP($B229,JADWAL!$G$6:$J$690,4,0),"")</f>
        <v/>
      </c>
      <c r="S229" s="77">
        <f t="shared" si="8"/>
        <v>1</v>
      </c>
      <c r="T229" s="77"/>
      <c r="U229" s="37" t="s">
        <v>2242</v>
      </c>
      <c r="V229" s="37" t="s">
        <v>2250</v>
      </c>
      <c r="W229" s="37"/>
      <c r="X229" s="37" t="s">
        <v>27</v>
      </c>
    </row>
    <row r="230" spans="1:24" x14ac:dyDescent="0.3">
      <c r="A230" s="37">
        <f t="shared" si="9"/>
        <v>229</v>
      </c>
      <c r="B230" s="76" t="s">
        <v>1451</v>
      </c>
      <c r="C230" s="76" t="s">
        <v>5767</v>
      </c>
      <c r="D230" s="76" t="s">
        <v>2501</v>
      </c>
      <c r="E230" s="77">
        <v>418622401</v>
      </c>
      <c r="F230" s="77">
        <v>3000000</v>
      </c>
      <c r="G230" s="77" t="s">
        <v>2821</v>
      </c>
      <c r="H230" s="77" t="s">
        <v>2833</v>
      </c>
      <c r="I230" s="76" t="s">
        <v>2102</v>
      </c>
      <c r="J230" s="76" t="s">
        <v>36</v>
      </c>
      <c r="K230" s="76" t="e">
        <f>VLOOKUP($B230,'WILL TOKO SEP'!A231:AK970,37,0)</f>
        <v>#N/A</v>
      </c>
      <c r="L230" s="76" t="s">
        <v>2104</v>
      </c>
      <c r="M230" s="37" t="s">
        <v>3</v>
      </c>
      <c r="N230" s="79">
        <v>46155</v>
      </c>
      <c r="O230" s="79">
        <v>46182</v>
      </c>
      <c r="P230" s="78">
        <v>0</v>
      </c>
      <c r="Q230" s="79">
        <v>46248</v>
      </c>
      <c r="R230" s="79" t="str">
        <f>IFERROR(VLOOKUP($B230,JADWAL!$G$6:$J$690,4,0),"")</f>
        <v/>
      </c>
      <c r="S230" s="77">
        <f t="shared" si="8"/>
        <v>1</v>
      </c>
      <c r="T230" s="77"/>
      <c r="U230" s="37" t="s">
        <v>2242</v>
      </c>
      <c r="V230" s="37" t="s">
        <v>2078</v>
      </c>
      <c r="W230" s="37"/>
      <c r="X230" s="37" t="e">
        <v>#N/A</v>
      </c>
    </row>
    <row r="231" spans="1:24" x14ac:dyDescent="0.3">
      <c r="A231" s="37">
        <f t="shared" si="9"/>
        <v>230</v>
      </c>
      <c r="B231" s="76" t="s">
        <v>1108</v>
      </c>
      <c r="C231" s="76" t="s">
        <v>1107</v>
      </c>
      <c r="D231" s="76" t="s">
        <v>2502</v>
      </c>
      <c r="E231" s="77">
        <v>746247308</v>
      </c>
      <c r="F231" s="77">
        <v>4500000</v>
      </c>
      <c r="G231" s="77" t="s">
        <v>2840</v>
      </c>
      <c r="H231" s="77" t="s">
        <v>2873</v>
      </c>
      <c r="I231" s="76" t="s">
        <v>2102</v>
      </c>
      <c r="J231" s="76" t="s">
        <v>9</v>
      </c>
      <c r="K231" s="76" t="str">
        <f>VLOOKUP($B231,'WILL TOKO SEP'!A232:AK971,37,0)</f>
        <v>KUTA UTARA</v>
      </c>
      <c r="L231" s="76" t="s">
        <v>2104</v>
      </c>
      <c r="M231" s="37" t="s">
        <v>3</v>
      </c>
      <c r="N231" s="78">
        <v>0</v>
      </c>
      <c r="O231" s="78">
        <v>0</v>
      </c>
      <c r="P231" s="79">
        <v>46219</v>
      </c>
      <c r="Q231" s="241">
        <v>0</v>
      </c>
      <c r="R231" s="79" t="str">
        <f>IFERROR(VLOOKUP($B231,JADWAL!$G$6:$J$690,4,0),"")</f>
        <v/>
      </c>
      <c r="S231" s="77">
        <f t="shared" si="8"/>
        <v>2</v>
      </c>
      <c r="T231" s="77"/>
      <c r="U231" s="37" t="s">
        <v>2242</v>
      </c>
      <c r="V231" s="37" t="s">
        <v>2250</v>
      </c>
      <c r="W231" s="37"/>
      <c r="X231" s="37" t="s">
        <v>20</v>
      </c>
    </row>
    <row r="232" spans="1:24" x14ac:dyDescent="0.3">
      <c r="A232" s="37">
        <f t="shared" si="9"/>
        <v>231</v>
      </c>
      <c r="B232" s="76" t="s">
        <v>1184</v>
      </c>
      <c r="C232" s="76" t="s">
        <v>1183</v>
      </c>
      <c r="D232" s="76" t="s">
        <v>2503</v>
      </c>
      <c r="E232" s="77">
        <v>479512608</v>
      </c>
      <c r="F232" s="77">
        <v>2500000</v>
      </c>
      <c r="G232" s="77" t="s">
        <v>2825</v>
      </c>
      <c r="H232" s="77" t="s">
        <v>2826</v>
      </c>
      <c r="I232" s="76" t="s">
        <v>2102</v>
      </c>
      <c r="J232" s="76" t="s">
        <v>9</v>
      </c>
      <c r="K232" s="76" t="e">
        <f>VLOOKUP($B232,'WILL TOKO SEP'!A233:AK972,37,0)</f>
        <v>#N/A</v>
      </c>
      <c r="L232" s="76" t="s">
        <v>2104</v>
      </c>
      <c r="M232" s="37" t="s">
        <v>3</v>
      </c>
      <c r="N232" s="79">
        <v>46172</v>
      </c>
      <c r="O232" s="78">
        <v>0</v>
      </c>
      <c r="P232" s="79">
        <v>46216</v>
      </c>
      <c r="Q232" s="241">
        <v>0</v>
      </c>
      <c r="R232" s="79" t="str">
        <f>IFERROR(VLOOKUP($B232,JADWAL!$G$6:$J$690,4,0),"")</f>
        <v/>
      </c>
      <c r="S232" s="77">
        <f t="shared" si="8"/>
        <v>1</v>
      </c>
      <c r="T232" s="77"/>
      <c r="U232" s="37" t="s">
        <v>2242</v>
      </c>
      <c r="V232" s="37" t="s">
        <v>2250</v>
      </c>
      <c r="W232" s="37"/>
      <c r="X232" s="37" t="s">
        <v>20</v>
      </c>
    </row>
    <row r="233" spans="1:24" x14ac:dyDescent="0.3">
      <c r="A233" s="37">
        <f t="shared" si="9"/>
        <v>232</v>
      </c>
      <c r="B233" s="76" t="s">
        <v>822</v>
      </c>
      <c r="C233" s="76" t="s">
        <v>821</v>
      </c>
      <c r="D233" s="76" t="s">
        <v>2504</v>
      </c>
      <c r="E233" s="77">
        <v>679352320</v>
      </c>
      <c r="F233" s="77">
        <v>4500000</v>
      </c>
      <c r="G233" s="77" t="s">
        <v>2825</v>
      </c>
      <c r="H233" s="77" t="s">
        <v>2826</v>
      </c>
      <c r="I233" s="76" t="s">
        <v>2102</v>
      </c>
      <c r="J233" s="76" t="s">
        <v>9</v>
      </c>
      <c r="K233" s="76" t="e">
        <f>VLOOKUP($B233,'WILL TOKO SEP'!A234:AK973,37,0)</f>
        <v>#N/A</v>
      </c>
      <c r="L233" s="76" t="s">
        <v>2104</v>
      </c>
      <c r="M233" s="37" t="s">
        <v>3</v>
      </c>
      <c r="N233" s="78">
        <v>0</v>
      </c>
      <c r="O233" s="78">
        <v>0</v>
      </c>
      <c r="P233" s="79">
        <v>46230</v>
      </c>
      <c r="Q233" s="241">
        <v>0</v>
      </c>
      <c r="R233" s="79" t="str">
        <f>IFERROR(VLOOKUP($B233,JADWAL!$G$6:$J$690,4,0),"")</f>
        <v/>
      </c>
      <c r="S233" s="77">
        <f t="shared" si="8"/>
        <v>2</v>
      </c>
      <c r="T233" s="77"/>
      <c r="U233" s="37" t="s">
        <v>2242</v>
      </c>
      <c r="V233" s="37" t="s">
        <v>2250</v>
      </c>
      <c r="W233" s="37"/>
      <c r="X233" s="37" t="s">
        <v>20</v>
      </c>
    </row>
    <row r="234" spans="1:24" x14ac:dyDescent="0.3">
      <c r="A234" s="37">
        <f t="shared" si="9"/>
        <v>233</v>
      </c>
      <c r="B234" s="76" t="s">
        <v>1013</v>
      </c>
      <c r="C234" s="76" t="s">
        <v>1012</v>
      </c>
      <c r="D234" s="76" t="s">
        <v>2506</v>
      </c>
      <c r="E234" s="77">
        <v>407166009</v>
      </c>
      <c r="F234" s="77">
        <v>2500000</v>
      </c>
      <c r="G234" s="77" t="s">
        <v>2817</v>
      </c>
      <c r="H234" s="77" t="s">
        <v>2852</v>
      </c>
      <c r="I234" s="76" t="s">
        <v>2102</v>
      </c>
      <c r="J234" s="76" t="s">
        <v>4</v>
      </c>
      <c r="K234" s="76" t="str">
        <f>VLOOKUP($B234,'WILL TOKO SEP'!A235:AK974,37,0)</f>
        <v>DENPASAR SELATAN</v>
      </c>
      <c r="L234" s="76" t="s">
        <v>2103</v>
      </c>
      <c r="M234" s="37" t="s">
        <v>3</v>
      </c>
      <c r="N234" s="78">
        <v>0</v>
      </c>
      <c r="O234" s="79">
        <v>46202</v>
      </c>
      <c r="P234" s="79">
        <v>46223</v>
      </c>
      <c r="Q234" s="79">
        <v>46261</v>
      </c>
      <c r="R234" s="79" t="str">
        <f>IFERROR(VLOOKUP($B234,JADWAL!$G$6:$J$690,4,0),"")</f>
        <v/>
      </c>
      <c r="S234" s="77">
        <f t="shared" si="8"/>
        <v>1</v>
      </c>
      <c r="T234" s="77"/>
      <c r="U234" s="37" t="s">
        <v>2242</v>
      </c>
      <c r="V234" s="37" t="s">
        <v>2250</v>
      </c>
      <c r="W234" s="37"/>
      <c r="X234" s="37">
        <v>0</v>
      </c>
    </row>
    <row r="235" spans="1:24" x14ac:dyDescent="0.3">
      <c r="A235" s="37">
        <f t="shared" si="9"/>
        <v>234</v>
      </c>
      <c r="B235" s="76" t="s">
        <v>1068</v>
      </c>
      <c r="C235" s="76" t="s">
        <v>1067</v>
      </c>
      <c r="D235" s="76" t="s">
        <v>2507</v>
      </c>
      <c r="E235" s="77">
        <v>505966677</v>
      </c>
      <c r="F235" s="77">
        <v>1500000</v>
      </c>
      <c r="G235" s="77" t="s">
        <v>2819</v>
      </c>
      <c r="H235" s="77" t="s">
        <v>2823</v>
      </c>
      <c r="I235" s="76" t="s">
        <v>2102</v>
      </c>
      <c r="J235" s="76" t="s">
        <v>4</v>
      </c>
      <c r="K235" s="76" t="e">
        <f>VLOOKUP($B235,'WILL TOKO SEP'!A236:AK975,37,0)</f>
        <v>#N/A</v>
      </c>
      <c r="L235" s="76" t="s">
        <v>2104</v>
      </c>
      <c r="M235" s="37" t="s">
        <v>3</v>
      </c>
      <c r="N235" s="78">
        <v>0</v>
      </c>
      <c r="O235" s="78">
        <v>0</v>
      </c>
      <c r="P235" s="79">
        <v>46220</v>
      </c>
      <c r="Q235" s="241">
        <v>0</v>
      </c>
      <c r="R235" s="79" t="str">
        <f>IFERROR(VLOOKUP($B235,JADWAL!$G$6:$J$690,4,0),"")</f>
        <v/>
      </c>
      <c r="S235" s="77">
        <f t="shared" si="8"/>
        <v>2</v>
      </c>
      <c r="T235" s="77"/>
      <c r="U235" s="37" t="s">
        <v>2242</v>
      </c>
      <c r="V235" s="37" t="s">
        <v>2250</v>
      </c>
      <c r="W235" s="37"/>
      <c r="X235" s="37" t="s">
        <v>20</v>
      </c>
    </row>
    <row r="236" spans="1:24" x14ac:dyDescent="0.3">
      <c r="A236" s="37">
        <f t="shared" si="9"/>
        <v>235</v>
      </c>
      <c r="B236" s="76" t="s">
        <v>931</v>
      </c>
      <c r="C236" s="76" t="s">
        <v>5743</v>
      </c>
      <c r="D236" s="76" t="s">
        <v>2508</v>
      </c>
      <c r="E236" s="77">
        <v>467152738</v>
      </c>
      <c r="F236" s="77">
        <v>2000000</v>
      </c>
      <c r="G236" s="77" t="s">
        <v>2840</v>
      </c>
      <c r="H236" s="77" t="s">
        <v>2843</v>
      </c>
      <c r="I236" s="76" t="s">
        <v>2102</v>
      </c>
      <c r="J236" s="76" t="s">
        <v>90</v>
      </c>
      <c r="K236" s="76" t="str">
        <f>VLOOKUP($B236,'WILL TOKO SEP'!A237:AK976,37,0)</f>
        <v>MENDOYO</v>
      </c>
      <c r="L236" s="76" t="s">
        <v>2104</v>
      </c>
      <c r="M236" s="37" t="s">
        <v>3</v>
      </c>
      <c r="N236" s="79">
        <v>46164</v>
      </c>
      <c r="O236" s="79">
        <v>46200</v>
      </c>
      <c r="P236" s="79">
        <v>46226</v>
      </c>
      <c r="Q236" s="241">
        <v>0</v>
      </c>
      <c r="R236" s="79" t="str">
        <f>IFERROR(VLOOKUP($B236,JADWAL!$G$6:$J$690,4,0),"")</f>
        <v/>
      </c>
      <c r="S236" s="77">
        <f t="shared" si="8"/>
        <v>0</v>
      </c>
      <c r="T236" s="77"/>
      <c r="U236" s="37" t="s">
        <v>2242</v>
      </c>
      <c r="V236" s="37" t="s">
        <v>2250</v>
      </c>
      <c r="W236" s="37"/>
      <c r="X236" s="37" t="s">
        <v>13</v>
      </c>
    </row>
    <row r="237" spans="1:24" x14ac:dyDescent="0.3">
      <c r="A237" s="37">
        <f t="shared" si="9"/>
        <v>236</v>
      </c>
      <c r="B237" s="76" t="s">
        <v>1843</v>
      </c>
      <c r="C237" s="76" t="s">
        <v>1842</v>
      </c>
      <c r="D237" s="76" t="s">
        <v>2509</v>
      </c>
      <c r="E237" s="77">
        <v>421489370</v>
      </c>
      <c r="F237" s="77">
        <v>2000000</v>
      </c>
      <c r="G237" s="77" t="s">
        <v>2813</v>
      </c>
      <c r="H237" s="77" t="s">
        <v>2863</v>
      </c>
      <c r="I237" s="76" t="s">
        <v>2102</v>
      </c>
      <c r="J237" s="76" t="s">
        <v>9</v>
      </c>
      <c r="K237" s="76" t="str">
        <f>VLOOKUP($B237,'WILL TOKO SEP'!A238:AK977,37,0)</f>
        <v>KUTA</v>
      </c>
      <c r="L237" s="76" t="s">
        <v>2104</v>
      </c>
      <c r="M237" s="37" t="s">
        <v>3</v>
      </c>
      <c r="N237" s="79">
        <v>46172</v>
      </c>
      <c r="O237" s="78">
        <v>0</v>
      </c>
      <c r="P237" s="78">
        <v>0</v>
      </c>
      <c r="Q237" s="79">
        <v>46237</v>
      </c>
      <c r="R237" s="79" t="str">
        <f>IFERROR(VLOOKUP($B237,JADWAL!$G$6:$J$690,4,0),"")</f>
        <v/>
      </c>
      <c r="S237" s="77">
        <f t="shared" si="8"/>
        <v>2</v>
      </c>
      <c r="T237" s="77"/>
      <c r="U237" s="37" t="s">
        <v>2242</v>
      </c>
      <c r="V237" s="37" t="s">
        <v>2250</v>
      </c>
      <c r="W237" s="37"/>
      <c r="X237" s="37" t="e">
        <v>#N/A</v>
      </c>
    </row>
    <row r="238" spans="1:24" x14ac:dyDescent="0.3">
      <c r="A238" s="37">
        <f t="shared" si="9"/>
        <v>237</v>
      </c>
      <c r="B238" s="76" t="s">
        <v>1607</v>
      </c>
      <c r="C238" s="76" t="s">
        <v>1606</v>
      </c>
      <c r="D238" s="76" t="s">
        <v>2510</v>
      </c>
      <c r="E238" s="77">
        <v>324381450</v>
      </c>
      <c r="F238" s="77">
        <v>1500000</v>
      </c>
      <c r="G238" s="77" t="s">
        <v>2815</v>
      </c>
      <c r="H238" s="77" t="s">
        <v>2829</v>
      </c>
      <c r="I238" s="76" t="s">
        <v>2102</v>
      </c>
      <c r="J238" s="76" t="s">
        <v>28</v>
      </c>
      <c r="K238" s="76" t="e">
        <f>VLOOKUP($B238,'WILL TOKO SEP'!A239:AK978,37,0)</f>
        <v>#N/A</v>
      </c>
      <c r="L238" s="76" t="s">
        <v>2103</v>
      </c>
      <c r="M238" s="37" t="s">
        <v>3</v>
      </c>
      <c r="N238" s="78">
        <v>0</v>
      </c>
      <c r="O238" s="79">
        <v>46183</v>
      </c>
      <c r="P238" s="78">
        <v>0</v>
      </c>
      <c r="Q238" s="79">
        <v>46244</v>
      </c>
      <c r="R238" s="79" t="str">
        <f>IFERROR(VLOOKUP($B238,JADWAL!$G$6:$J$690,4,0),"")</f>
        <v/>
      </c>
      <c r="S238" s="77">
        <f t="shared" si="8"/>
        <v>2</v>
      </c>
      <c r="T238" s="77"/>
      <c r="U238" s="37" t="s">
        <v>2242</v>
      </c>
      <c r="V238" s="37" t="s">
        <v>2250</v>
      </c>
      <c r="W238" s="37"/>
      <c r="X238" s="37" t="e">
        <v>#N/A</v>
      </c>
    </row>
    <row r="239" spans="1:24" x14ac:dyDescent="0.3">
      <c r="A239" s="37">
        <f t="shared" si="9"/>
        <v>238</v>
      </c>
      <c r="B239" s="76" t="s">
        <v>1414</v>
      </c>
      <c r="C239" s="76" t="s">
        <v>1413</v>
      </c>
      <c r="D239" s="76" t="s">
        <v>2511</v>
      </c>
      <c r="E239" s="77">
        <v>300921700</v>
      </c>
      <c r="F239" s="77">
        <v>2000000</v>
      </c>
      <c r="G239" s="77" t="s">
        <v>2813</v>
      </c>
      <c r="H239" s="77" t="s">
        <v>2863</v>
      </c>
      <c r="I239" s="76" t="s">
        <v>2102</v>
      </c>
      <c r="J239" s="76" t="s">
        <v>9</v>
      </c>
      <c r="K239" s="76" t="e">
        <f>VLOOKUP($B239,'WILL TOKO SEP'!A240:AK979,37,0)</f>
        <v>#N/A</v>
      </c>
      <c r="L239" s="76" t="s">
        <v>2104</v>
      </c>
      <c r="M239" s="37" t="s">
        <v>3</v>
      </c>
      <c r="N239" s="79">
        <v>46153</v>
      </c>
      <c r="O239" s="78">
        <v>0</v>
      </c>
      <c r="P239" s="79">
        <v>46218</v>
      </c>
      <c r="Q239" s="79">
        <v>46249</v>
      </c>
      <c r="R239" s="79" t="str">
        <f>IFERROR(VLOOKUP($B239,JADWAL!$G$6:$J$690,4,0),"")</f>
        <v/>
      </c>
      <c r="S239" s="77">
        <f t="shared" si="8"/>
        <v>1</v>
      </c>
      <c r="T239" s="77"/>
      <c r="U239" s="37" t="s">
        <v>2242</v>
      </c>
      <c r="V239" s="37" t="s">
        <v>2250</v>
      </c>
      <c r="W239" s="37"/>
      <c r="X239" s="37" t="e">
        <v>#N/A</v>
      </c>
    </row>
    <row r="240" spans="1:24" x14ac:dyDescent="0.3">
      <c r="A240" s="37">
        <f t="shared" si="9"/>
        <v>239</v>
      </c>
      <c r="B240" s="76" t="s">
        <v>1575</v>
      </c>
      <c r="C240" s="76" t="s">
        <v>1574</v>
      </c>
      <c r="D240" s="76" t="s">
        <v>2512</v>
      </c>
      <c r="E240" s="77">
        <v>420411678</v>
      </c>
      <c r="F240" s="77">
        <v>2500000</v>
      </c>
      <c r="G240" s="77" t="s">
        <v>2817</v>
      </c>
      <c r="H240" s="77" t="s">
        <v>2865</v>
      </c>
      <c r="I240" s="76" t="s">
        <v>2102</v>
      </c>
      <c r="J240" s="76" t="s">
        <v>9</v>
      </c>
      <c r="K240" s="76" t="e">
        <f>VLOOKUP($B240,'WILL TOKO SEP'!A241:AK980,37,0)</f>
        <v>#N/A</v>
      </c>
      <c r="L240" s="76" t="s">
        <v>2104</v>
      </c>
      <c r="M240" s="37" t="s">
        <v>3</v>
      </c>
      <c r="N240" s="78">
        <v>0</v>
      </c>
      <c r="O240" s="79">
        <v>46190</v>
      </c>
      <c r="P240" s="79">
        <v>46226</v>
      </c>
      <c r="Q240" s="79">
        <v>46245</v>
      </c>
      <c r="R240" s="79">
        <f>IFERROR(VLOOKUP($B240,JADWAL!$G$6:$J$690,4,0),"")</f>
        <v>46270</v>
      </c>
      <c r="S240" s="77">
        <f t="shared" si="8"/>
        <v>1</v>
      </c>
      <c r="T240" s="77"/>
      <c r="U240" s="37" t="s">
        <v>2242</v>
      </c>
      <c r="V240" s="37" t="s">
        <v>2078</v>
      </c>
      <c r="W240" s="37"/>
      <c r="X240" s="37" t="e">
        <v>#N/A</v>
      </c>
    </row>
    <row r="241" spans="1:24" x14ac:dyDescent="0.3">
      <c r="A241" s="37">
        <f t="shared" si="9"/>
        <v>240</v>
      </c>
      <c r="B241" s="76" t="s">
        <v>1537</v>
      </c>
      <c r="C241" s="76" t="s">
        <v>1536</v>
      </c>
      <c r="D241" s="76" t="s">
        <v>2513</v>
      </c>
      <c r="E241" s="77">
        <v>693435433</v>
      </c>
      <c r="F241" s="77">
        <v>4500000</v>
      </c>
      <c r="G241" s="77" t="s">
        <v>2867</v>
      </c>
      <c r="H241" s="77" t="s">
        <v>2874</v>
      </c>
      <c r="I241" s="76" t="s">
        <v>2102</v>
      </c>
      <c r="J241" s="76" t="s">
        <v>4</v>
      </c>
      <c r="K241" s="76" t="e">
        <f>VLOOKUP($B241,'WILL TOKO SEP'!A242:AK981,37,0)</f>
        <v>#N/A</v>
      </c>
      <c r="L241" s="76" t="s">
        <v>2104</v>
      </c>
      <c r="M241" s="37" t="s">
        <v>3</v>
      </c>
      <c r="N241" s="79">
        <v>46157</v>
      </c>
      <c r="O241" s="79">
        <v>46197</v>
      </c>
      <c r="P241" s="79">
        <v>46224</v>
      </c>
      <c r="Q241" s="79">
        <v>46246</v>
      </c>
      <c r="R241" s="79" t="str">
        <f>IFERROR(VLOOKUP($B241,JADWAL!$G$6:$J$690,4,0),"")</f>
        <v/>
      </c>
      <c r="S241" s="77">
        <f t="shared" si="8"/>
        <v>0</v>
      </c>
      <c r="T241" s="77"/>
      <c r="U241" s="37" t="s">
        <v>2242</v>
      </c>
      <c r="V241" s="37" t="s">
        <v>2250</v>
      </c>
      <c r="W241" s="37"/>
      <c r="X241" s="37" t="e">
        <v>#N/A</v>
      </c>
    </row>
    <row r="242" spans="1:24" x14ac:dyDescent="0.3">
      <c r="A242" s="37">
        <f t="shared" si="9"/>
        <v>241</v>
      </c>
      <c r="B242" s="76" t="s">
        <v>588</v>
      </c>
      <c r="C242" s="76" t="s">
        <v>587</v>
      </c>
      <c r="D242" s="76" t="s">
        <v>5440</v>
      </c>
      <c r="E242" s="77">
        <v>528581029</v>
      </c>
      <c r="F242" s="77">
        <v>2000000</v>
      </c>
      <c r="G242" s="77" t="s">
        <v>2821</v>
      </c>
      <c r="H242" s="77" t="s">
        <v>2846</v>
      </c>
      <c r="I242" s="76" t="s">
        <v>2102</v>
      </c>
      <c r="J242" s="76" t="s">
        <v>36</v>
      </c>
      <c r="K242" s="76" t="str">
        <f>VLOOKUP($B242,'WILL TOKO SEP'!A243:AK982,37,0)</f>
        <v>TABANAN</v>
      </c>
      <c r="L242" s="76" t="s">
        <v>2104</v>
      </c>
      <c r="M242" s="37" t="s">
        <v>3</v>
      </c>
      <c r="N242" s="79">
        <v>46161</v>
      </c>
      <c r="O242" s="79">
        <v>46195</v>
      </c>
      <c r="P242" s="78">
        <v>0</v>
      </c>
      <c r="Q242" s="241">
        <v>0</v>
      </c>
      <c r="R242" s="79" t="str">
        <f>IFERROR(VLOOKUP($B242,JADWAL!$G$6:$J$690,4,0),"")</f>
        <v/>
      </c>
      <c r="S242" s="77">
        <f t="shared" si="8"/>
        <v>1</v>
      </c>
      <c r="T242" s="77"/>
      <c r="U242" s="37" t="s">
        <v>2242</v>
      </c>
      <c r="V242" s="37" t="s">
        <v>2250</v>
      </c>
      <c r="W242" s="37"/>
      <c r="X242" s="37" t="s">
        <v>13</v>
      </c>
    </row>
    <row r="243" spans="1:24" x14ac:dyDescent="0.3">
      <c r="A243" s="37">
        <f t="shared" si="9"/>
        <v>242</v>
      </c>
      <c r="B243" s="76" t="s">
        <v>1499</v>
      </c>
      <c r="C243" s="76" t="s">
        <v>1498</v>
      </c>
      <c r="D243" s="76" t="s">
        <v>2515</v>
      </c>
      <c r="E243" s="77">
        <v>364667650</v>
      </c>
      <c r="F243" s="77">
        <v>2500000</v>
      </c>
      <c r="G243" s="77" t="s">
        <v>2825</v>
      </c>
      <c r="H243" s="77" t="s">
        <v>2826</v>
      </c>
      <c r="I243" s="76" t="s">
        <v>2102</v>
      </c>
      <c r="J243" s="76" t="s">
        <v>9</v>
      </c>
      <c r="K243" s="76" t="e">
        <f>VLOOKUP($B243,'WILL TOKO SEP'!A244:AK983,37,0)</f>
        <v>#N/A</v>
      </c>
      <c r="L243" s="76" t="s">
        <v>2104</v>
      </c>
      <c r="M243" s="37" t="s">
        <v>3</v>
      </c>
      <c r="N243" s="79">
        <v>46148</v>
      </c>
      <c r="O243" s="78">
        <v>0</v>
      </c>
      <c r="P243" s="79">
        <v>46218</v>
      </c>
      <c r="Q243" s="79">
        <v>46247</v>
      </c>
      <c r="R243" s="79" t="str">
        <f>IFERROR(VLOOKUP($B243,JADWAL!$G$6:$J$690,4,0),"")</f>
        <v/>
      </c>
      <c r="S243" s="77">
        <f t="shared" si="8"/>
        <v>1</v>
      </c>
      <c r="T243" s="77"/>
      <c r="U243" s="37" t="s">
        <v>2242</v>
      </c>
      <c r="V243" s="37" t="s">
        <v>2250</v>
      </c>
      <c r="W243" s="37"/>
      <c r="X243" s="37" t="e">
        <v>#N/A</v>
      </c>
    </row>
    <row r="244" spans="1:24" x14ac:dyDescent="0.3">
      <c r="A244" s="37">
        <f t="shared" si="9"/>
        <v>243</v>
      </c>
      <c r="B244" s="76" t="s">
        <v>1361</v>
      </c>
      <c r="C244" s="76" t="s">
        <v>5736</v>
      </c>
      <c r="D244" s="76" t="s">
        <v>2516</v>
      </c>
      <c r="E244" s="77">
        <v>494739563</v>
      </c>
      <c r="F244" s="77">
        <v>4500000</v>
      </c>
      <c r="G244" s="77" t="s">
        <v>2815</v>
      </c>
      <c r="H244" s="77" t="s">
        <v>2857</v>
      </c>
      <c r="I244" s="76" t="s">
        <v>2102</v>
      </c>
      <c r="J244" s="76" t="s">
        <v>28</v>
      </c>
      <c r="K244" s="76" t="str">
        <f>VLOOKUP($B244,'WILL TOKO SEP'!A245:AK984,37,0)</f>
        <v>UBUD</v>
      </c>
      <c r="L244" s="76" t="s">
        <v>2103</v>
      </c>
      <c r="M244" s="37" t="s">
        <v>3</v>
      </c>
      <c r="N244" s="78">
        <v>0</v>
      </c>
      <c r="O244" s="79">
        <v>46190</v>
      </c>
      <c r="P244" s="79">
        <v>46207</v>
      </c>
      <c r="Q244" s="241">
        <v>0</v>
      </c>
      <c r="R244" s="79" t="str">
        <f>IFERROR(VLOOKUP($B244,JADWAL!$G$6:$J$690,4,0),"")</f>
        <v/>
      </c>
      <c r="S244" s="77">
        <f t="shared" si="8"/>
        <v>1</v>
      </c>
      <c r="T244" s="77"/>
      <c r="U244" s="37" t="s">
        <v>2242</v>
      </c>
      <c r="V244" s="37" t="s">
        <v>2250</v>
      </c>
      <c r="W244" s="37"/>
      <c r="X244" s="37" t="s">
        <v>27</v>
      </c>
    </row>
    <row r="245" spans="1:24" x14ac:dyDescent="0.3">
      <c r="A245" s="37">
        <f t="shared" si="9"/>
        <v>244</v>
      </c>
      <c r="B245" s="76" t="s">
        <v>1882</v>
      </c>
      <c r="C245" s="76" t="s">
        <v>5705</v>
      </c>
      <c r="D245" s="76" t="s">
        <v>2517</v>
      </c>
      <c r="E245" s="77">
        <v>527096011</v>
      </c>
      <c r="F245" s="77">
        <v>3000000</v>
      </c>
      <c r="G245" s="77" t="s">
        <v>2813</v>
      </c>
      <c r="H245" s="77" t="s">
        <v>2871</v>
      </c>
      <c r="I245" s="76" t="s">
        <v>2102</v>
      </c>
      <c r="J245" s="76" t="s">
        <v>9</v>
      </c>
      <c r="K245" s="76" t="e">
        <f>VLOOKUP($B245,'WILL TOKO SEP'!A246:AK985,37,0)</f>
        <v>#N/A</v>
      </c>
      <c r="L245" s="76" t="s">
        <v>2104</v>
      </c>
      <c r="M245" s="37" t="s">
        <v>3</v>
      </c>
      <c r="N245" s="78">
        <v>0</v>
      </c>
      <c r="O245" s="78">
        <v>0</v>
      </c>
      <c r="P245" s="79">
        <v>46207</v>
      </c>
      <c r="Q245" s="79">
        <v>46235</v>
      </c>
      <c r="R245" s="79" t="str">
        <f>IFERROR(VLOOKUP($B245,JADWAL!$G$6:$J$690,4,0),"")</f>
        <v/>
      </c>
      <c r="S245" s="77">
        <f t="shared" si="8"/>
        <v>2</v>
      </c>
      <c r="T245" s="77"/>
      <c r="U245" s="37" t="s">
        <v>2242</v>
      </c>
      <c r="V245" s="37" t="s">
        <v>2250</v>
      </c>
      <c r="W245" s="37"/>
      <c r="X245" s="37" t="e">
        <v>#N/A</v>
      </c>
    </row>
    <row r="246" spans="1:24" x14ac:dyDescent="0.3">
      <c r="A246" s="37">
        <f t="shared" si="9"/>
        <v>245</v>
      </c>
      <c r="B246" s="76" t="s">
        <v>1764</v>
      </c>
      <c r="C246" s="76" t="s">
        <v>1763</v>
      </c>
      <c r="D246" s="76" t="s">
        <v>2519</v>
      </c>
      <c r="E246" s="77">
        <v>401923342</v>
      </c>
      <c r="F246" s="77">
        <v>2500000</v>
      </c>
      <c r="G246" s="77" t="s">
        <v>2817</v>
      </c>
      <c r="H246" s="77" t="s">
        <v>2852</v>
      </c>
      <c r="I246" s="76" t="s">
        <v>2102</v>
      </c>
      <c r="J246" s="76" t="s">
        <v>4</v>
      </c>
      <c r="K246" s="76" t="str">
        <f>VLOOKUP($B246,'WILL TOKO SEP'!A247:AK986,37,0)</f>
        <v>DENPASAR TIMUR</v>
      </c>
      <c r="L246" s="76" t="s">
        <v>2103</v>
      </c>
      <c r="M246" s="37" t="s">
        <v>3</v>
      </c>
      <c r="N246" s="79">
        <v>46167</v>
      </c>
      <c r="O246" s="79">
        <v>46198</v>
      </c>
      <c r="P246" s="79">
        <v>46231</v>
      </c>
      <c r="Q246" s="79">
        <v>46239</v>
      </c>
      <c r="R246" s="79" t="str">
        <f>IFERROR(VLOOKUP($B246,JADWAL!$G$6:$J$690,4,0),"")</f>
        <v/>
      </c>
      <c r="S246" s="77">
        <f t="shared" si="8"/>
        <v>0</v>
      </c>
      <c r="T246" s="77"/>
      <c r="U246" s="37" t="s">
        <v>2242</v>
      </c>
      <c r="V246" s="37" t="s">
        <v>2078</v>
      </c>
      <c r="W246" s="37"/>
      <c r="X246" s="37" t="e">
        <v>#N/A</v>
      </c>
    </row>
    <row r="247" spans="1:24" x14ac:dyDescent="0.3">
      <c r="A247" s="37">
        <f t="shared" si="9"/>
        <v>246</v>
      </c>
      <c r="B247" s="76" t="s">
        <v>1521</v>
      </c>
      <c r="C247" s="76" t="s">
        <v>1520</v>
      </c>
      <c r="D247" s="76" t="s">
        <v>2522</v>
      </c>
      <c r="E247" s="77">
        <v>425876009</v>
      </c>
      <c r="F247" s="77">
        <v>4000000</v>
      </c>
      <c r="G247" s="77" t="s">
        <v>2813</v>
      </c>
      <c r="H247" s="77" t="s">
        <v>2863</v>
      </c>
      <c r="I247" s="76" t="s">
        <v>2102</v>
      </c>
      <c r="J247" s="76" t="s">
        <v>9</v>
      </c>
      <c r="K247" s="76" t="str">
        <f>VLOOKUP($B247,'WILL TOKO SEP'!A248:AK987,37,0)</f>
        <v>KUTA</v>
      </c>
      <c r="L247" s="76" t="s">
        <v>2104</v>
      </c>
      <c r="M247" s="37" t="s">
        <v>3</v>
      </c>
      <c r="N247" s="79">
        <v>46155</v>
      </c>
      <c r="O247" s="79">
        <v>46188</v>
      </c>
      <c r="P247" s="79">
        <v>46204</v>
      </c>
      <c r="Q247" s="79">
        <v>46246</v>
      </c>
      <c r="R247" s="79">
        <f>IFERROR(VLOOKUP($B247,JADWAL!$G$6:$J$690,4,0),"")</f>
        <v>46270</v>
      </c>
      <c r="S247" s="77">
        <f t="shared" si="8"/>
        <v>0</v>
      </c>
      <c r="T247" s="77"/>
      <c r="U247" s="37" t="s">
        <v>2242</v>
      </c>
      <c r="V247" s="37" t="s">
        <v>2078</v>
      </c>
      <c r="W247" s="37"/>
      <c r="X247" s="37" t="e">
        <v>#N/A</v>
      </c>
    </row>
    <row r="248" spans="1:24" x14ac:dyDescent="0.3">
      <c r="A248" s="37">
        <f t="shared" si="9"/>
        <v>247</v>
      </c>
      <c r="B248" s="76" t="s">
        <v>1086</v>
      </c>
      <c r="C248" s="76" t="s">
        <v>1085</v>
      </c>
      <c r="D248" s="76" t="s">
        <v>2523</v>
      </c>
      <c r="E248" s="77">
        <v>385906862</v>
      </c>
      <c r="F248" s="77">
        <v>2000000</v>
      </c>
      <c r="G248" s="77" t="s">
        <v>2827</v>
      </c>
      <c r="H248" s="77" t="s">
        <v>2848</v>
      </c>
      <c r="I248" s="76" t="s">
        <v>2102</v>
      </c>
      <c r="J248" s="76" t="s">
        <v>48</v>
      </c>
      <c r="K248" s="76" t="str">
        <f>VLOOKUP($B248,'WILL TOKO SEP'!A249:AK988,37,0)</f>
        <v>GEROKGAK</v>
      </c>
      <c r="L248" s="76" t="s">
        <v>2104</v>
      </c>
      <c r="M248" s="37" t="s">
        <v>3</v>
      </c>
      <c r="N248" s="79">
        <v>46163</v>
      </c>
      <c r="O248" s="79">
        <v>46198</v>
      </c>
      <c r="P248" s="79">
        <v>46220</v>
      </c>
      <c r="Q248" s="241">
        <v>0</v>
      </c>
      <c r="R248" s="79" t="str">
        <f>IFERROR(VLOOKUP($B248,JADWAL!$G$6:$J$690,4,0),"")</f>
        <v/>
      </c>
      <c r="S248" s="77">
        <f t="shared" si="8"/>
        <v>0</v>
      </c>
      <c r="T248" s="77"/>
      <c r="U248" s="37" t="s">
        <v>2242</v>
      </c>
      <c r="V248" s="37" t="s">
        <v>2250</v>
      </c>
      <c r="W248" s="37"/>
      <c r="X248" s="37" t="s">
        <v>44</v>
      </c>
    </row>
    <row r="249" spans="1:24" x14ac:dyDescent="0.3">
      <c r="A249" s="37">
        <f t="shared" si="9"/>
        <v>248</v>
      </c>
      <c r="B249" s="76" t="s">
        <v>1719</v>
      </c>
      <c r="C249" s="76" t="s">
        <v>5759</v>
      </c>
      <c r="D249" s="76" t="s">
        <v>2525</v>
      </c>
      <c r="E249" s="77">
        <v>450296971</v>
      </c>
      <c r="F249" s="77">
        <v>2500000</v>
      </c>
      <c r="G249" s="77" t="s">
        <v>2813</v>
      </c>
      <c r="H249" s="77" t="s">
        <v>2824</v>
      </c>
      <c r="I249" s="76" t="s">
        <v>2102</v>
      </c>
      <c r="J249" s="76" t="s">
        <v>9</v>
      </c>
      <c r="K249" s="76" t="str">
        <f>VLOOKUP($B249,'WILL TOKO SEP'!A250:AK989,37,0)</f>
        <v>KUTA SELATAN</v>
      </c>
      <c r="L249" s="76" t="s">
        <v>2103</v>
      </c>
      <c r="M249" s="37" t="s">
        <v>3</v>
      </c>
      <c r="N249" s="79">
        <v>46163</v>
      </c>
      <c r="O249" s="78">
        <v>0</v>
      </c>
      <c r="P249" s="78">
        <v>0</v>
      </c>
      <c r="Q249" s="79">
        <v>46240</v>
      </c>
      <c r="R249" s="79" t="str">
        <f>IFERROR(VLOOKUP($B249,JADWAL!$G$6:$J$690,4,0),"")</f>
        <v/>
      </c>
      <c r="S249" s="77">
        <f t="shared" si="8"/>
        <v>2</v>
      </c>
      <c r="T249" s="77"/>
      <c r="U249" s="37" t="s">
        <v>2242</v>
      </c>
      <c r="V249" s="37" t="s">
        <v>2250</v>
      </c>
      <c r="W249" s="37"/>
      <c r="X249" s="37" t="e">
        <v>#N/A</v>
      </c>
    </row>
    <row r="250" spans="1:24" x14ac:dyDescent="0.3">
      <c r="A250" s="37">
        <f t="shared" si="9"/>
        <v>249</v>
      </c>
      <c r="B250" s="76" t="s">
        <v>538</v>
      </c>
      <c r="C250" s="76" t="s">
        <v>537</v>
      </c>
      <c r="D250" s="76" t="s">
        <v>2526</v>
      </c>
      <c r="E250" s="77">
        <v>581701384</v>
      </c>
      <c r="F250" s="77">
        <v>4500000</v>
      </c>
      <c r="G250" s="77" t="s">
        <v>2867</v>
      </c>
      <c r="H250" s="77" t="s">
        <v>2875</v>
      </c>
      <c r="I250" s="76" t="s">
        <v>2102</v>
      </c>
      <c r="J250" s="76" t="s">
        <v>4</v>
      </c>
      <c r="K250" s="76" t="str">
        <f>VLOOKUP($B250,'WILL TOKO SEP'!A251:AK990,37,0)</f>
        <v>DENPASAR SELATAN</v>
      </c>
      <c r="L250" s="76" t="s">
        <v>2103</v>
      </c>
      <c r="M250" s="37" t="s">
        <v>3</v>
      </c>
      <c r="N250" s="78">
        <v>0</v>
      </c>
      <c r="O250" s="79">
        <v>46183</v>
      </c>
      <c r="P250" s="78">
        <v>0</v>
      </c>
      <c r="Q250" s="241">
        <v>0</v>
      </c>
      <c r="R250" s="79" t="str">
        <f>IFERROR(VLOOKUP($B250,JADWAL!$G$6:$J$690,4,0),"")</f>
        <v/>
      </c>
      <c r="S250" s="77">
        <f t="shared" si="8"/>
        <v>2</v>
      </c>
      <c r="T250" s="77"/>
      <c r="U250" s="37" t="s">
        <v>2242</v>
      </c>
      <c r="V250" s="37" t="s">
        <v>2250</v>
      </c>
      <c r="W250" s="37"/>
      <c r="X250" s="37" t="s">
        <v>2</v>
      </c>
    </row>
    <row r="251" spans="1:24" x14ac:dyDescent="0.3">
      <c r="A251" s="37">
        <f t="shared" si="9"/>
        <v>250</v>
      </c>
      <c r="B251" s="76" t="s">
        <v>890</v>
      </c>
      <c r="C251" s="76" t="s">
        <v>889</v>
      </c>
      <c r="D251" s="76" t="s">
        <v>2527</v>
      </c>
      <c r="E251" s="77">
        <v>0</v>
      </c>
      <c r="F251" s="77">
        <v>2000000</v>
      </c>
      <c r="G251" s="77" t="s">
        <v>2827</v>
      </c>
      <c r="H251" s="77" t="s">
        <v>2848</v>
      </c>
      <c r="I251" s="76" t="s">
        <v>2102</v>
      </c>
      <c r="J251" s="76" t="s">
        <v>48</v>
      </c>
      <c r="K251" s="76" t="str">
        <f>VLOOKUP($B251,'WILL TOKO SEP'!A252:AK991,37,0)</f>
        <v>GEROKGAK</v>
      </c>
      <c r="L251" s="76" t="s">
        <v>2104</v>
      </c>
      <c r="M251" s="37" t="s">
        <v>3</v>
      </c>
      <c r="N251" s="79">
        <v>46154</v>
      </c>
      <c r="O251" s="79">
        <v>46199</v>
      </c>
      <c r="P251" s="79">
        <v>46227</v>
      </c>
      <c r="Q251" s="241">
        <v>0</v>
      </c>
      <c r="R251" s="79" t="str">
        <f>IFERROR(VLOOKUP($B251,JADWAL!$G$6:$J$690,4,0),"")</f>
        <v/>
      </c>
      <c r="S251" s="77">
        <f t="shared" si="8"/>
        <v>0</v>
      </c>
      <c r="T251" s="77"/>
      <c r="U251" s="37" t="s">
        <v>2242</v>
      </c>
      <c r="V251" s="37" t="s">
        <v>2250</v>
      </c>
      <c r="W251" s="37"/>
      <c r="X251" s="37" t="s">
        <v>44</v>
      </c>
    </row>
    <row r="252" spans="1:24" x14ac:dyDescent="0.3">
      <c r="A252" s="37">
        <f t="shared" si="9"/>
        <v>251</v>
      </c>
      <c r="B252" s="76" t="s">
        <v>1422</v>
      </c>
      <c r="C252" s="76" t="s">
        <v>1421</v>
      </c>
      <c r="D252" s="76" t="s">
        <v>2528</v>
      </c>
      <c r="E252" s="77">
        <v>398761989</v>
      </c>
      <c r="F252" s="77">
        <v>2000000</v>
      </c>
      <c r="G252" s="77" t="s">
        <v>2834</v>
      </c>
      <c r="H252" s="77" t="s">
        <v>2842</v>
      </c>
      <c r="I252" s="76" t="s">
        <v>2102</v>
      </c>
      <c r="J252" s="76" t="s">
        <v>58</v>
      </c>
      <c r="K252" s="76" t="str">
        <f>VLOOKUP($B252,'WILL TOKO SEP'!A253:AK992,37,0)</f>
        <v>BANJARANGKAN</v>
      </c>
      <c r="L252" s="76" t="s">
        <v>2104</v>
      </c>
      <c r="M252" s="37" t="s">
        <v>3</v>
      </c>
      <c r="N252" s="79">
        <v>46168</v>
      </c>
      <c r="O252" s="79">
        <v>46195</v>
      </c>
      <c r="P252" s="79">
        <v>46211</v>
      </c>
      <c r="Q252" s="79">
        <v>46249</v>
      </c>
      <c r="R252" s="79" t="str">
        <f>IFERROR(VLOOKUP($B252,JADWAL!$G$6:$J$690,4,0),"")</f>
        <v/>
      </c>
      <c r="S252" s="77">
        <f t="shared" si="8"/>
        <v>0</v>
      </c>
      <c r="T252" s="77"/>
      <c r="U252" s="37" t="s">
        <v>2242</v>
      </c>
      <c r="V252" s="37" t="s">
        <v>2078</v>
      </c>
      <c r="W252" s="37"/>
      <c r="X252" s="37" t="e">
        <v>#N/A</v>
      </c>
    </row>
    <row r="253" spans="1:24" x14ac:dyDescent="0.3">
      <c r="A253" s="37">
        <f t="shared" si="9"/>
        <v>252</v>
      </c>
      <c r="B253" s="76" t="s">
        <v>1851</v>
      </c>
      <c r="C253" s="76" t="s">
        <v>1850</v>
      </c>
      <c r="D253" s="76" t="s">
        <v>2530</v>
      </c>
      <c r="E253" s="77">
        <v>393469795</v>
      </c>
      <c r="F253" s="77">
        <v>2500000</v>
      </c>
      <c r="G253" s="77" t="s">
        <v>2834</v>
      </c>
      <c r="H253" s="77" t="s">
        <v>2835</v>
      </c>
      <c r="I253" s="76" t="s">
        <v>2102</v>
      </c>
      <c r="J253" s="76" t="s">
        <v>32</v>
      </c>
      <c r="K253" s="76" t="e">
        <f>VLOOKUP($B253,'WILL TOKO SEP'!A254:AK993,37,0)</f>
        <v>#N/A</v>
      </c>
      <c r="L253" s="76" t="s">
        <v>2104</v>
      </c>
      <c r="M253" s="37" t="s">
        <v>3</v>
      </c>
      <c r="N253" s="79">
        <v>46160</v>
      </c>
      <c r="O253" s="78">
        <v>0</v>
      </c>
      <c r="P253" s="78">
        <v>0</v>
      </c>
      <c r="Q253" s="79">
        <v>46237</v>
      </c>
      <c r="R253" s="79" t="str">
        <f>IFERROR(VLOOKUP($B253,JADWAL!$G$6:$J$690,4,0),"")</f>
        <v/>
      </c>
      <c r="S253" s="77">
        <f t="shared" si="8"/>
        <v>2</v>
      </c>
      <c r="T253" s="77"/>
      <c r="U253" s="37" t="s">
        <v>2242</v>
      </c>
      <c r="V253" s="37" t="s">
        <v>2250</v>
      </c>
      <c r="W253" s="37"/>
      <c r="X253" s="37" t="e">
        <v>#N/A</v>
      </c>
    </row>
    <row r="254" spans="1:24" x14ac:dyDescent="0.3">
      <c r="A254" s="37">
        <f t="shared" si="9"/>
        <v>253</v>
      </c>
      <c r="B254" s="76" t="s">
        <v>1094</v>
      </c>
      <c r="C254" s="76" t="s">
        <v>1093</v>
      </c>
      <c r="D254" s="76" t="s">
        <v>2531</v>
      </c>
      <c r="E254" s="77">
        <v>390659697</v>
      </c>
      <c r="F254" s="77">
        <v>2000000</v>
      </c>
      <c r="G254" s="77" t="s">
        <v>2821</v>
      </c>
      <c r="H254" s="77" t="s">
        <v>2846</v>
      </c>
      <c r="I254" s="76" t="s">
        <v>2102</v>
      </c>
      <c r="J254" s="76" t="s">
        <v>36</v>
      </c>
      <c r="K254" s="76" t="e">
        <f>VLOOKUP($B254,'WILL TOKO SEP'!A255:AK994,37,0)</f>
        <v>#N/A</v>
      </c>
      <c r="L254" s="76" t="s">
        <v>2104</v>
      </c>
      <c r="M254" s="37" t="s">
        <v>3</v>
      </c>
      <c r="N254" s="79">
        <v>46153</v>
      </c>
      <c r="O254" s="79">
        <v>46177</v>
      </c>
      <c r="P254" s="79">
        <v>46220</v>
      </c>
      <c r="Q254" s="241">
        <v>0</v>
      </c>
      <c r="R254" s="79" t="str">
        <f>IFERROR(VLOOKUP($B254,JADWAL!$G$6:$J$690,4,0),"")</f>
        <v/>
      </c>
      <c r="S254" s="77">
        <f t="shared" si="8"/>
        <v>0</v>
      </c>
      <c r="T254" s="77"/>
      <c r="U254" s="37" t="s">
        <v>2242</v>
      </c>
      <c r="V254" s="37" t="s">
        <v>2250</v>
      </c>
      <c r="W254" s="37"/>
      <c r="X254" s="37" t="s">
        <v>13</v>
      </c>
    </row>
    <row r="255" spans="1:24" x14ac:dyDescent="0.3">
      <c r="A255" s="37">
        <f t="shared" si="9"/>
        <v>254</v>
      </c>
      <c r="B255" s="76" t="s">
        <v>687</v>
      </c>
      <c r="C255" s="76" t="s">
        <v>686</v>
      </c>
      <c r="D255" s="76" t="s">
        <v>2532</v>
      </c>
      <c r="E255" s="77">
        <v>587152186</v>
      </c>
      <c r="F255" s="77">
        <v>4500000</v>
      </c>
      <c r="G255" s="77" t="s">
        <v>2840</v>
      </c>
      <c r="H255" s="77" t="s">
        <v>2861</v>
      </c>
      <c r="I255" s="76" t="s">
        <v>2102</v>
      </c>
      <c r="J255" s="76" t="s">
        <v>28</v>
      </c>
      <c r="K255" s="76" t="e">
        <f>VLOOKUP($B255,'WILL TOKO SEP'!A256:AK995,37,0)</f>
        <v>#N/A</v>
      </c>
      <c r="L255" s="76" t="s">
        <v>2103</v>
      </c>
      <c r="M255" s="37" t="s">
        <v>3</v>
      </c>
      <c r="N255" s="78">
        <v>0</v>
      </c>
      <c r="O255" s="79">
        <v>46198</v>
      </c>
      <c r="P255" s="79">
        <v>46234</v>
      </c>
      <c r="Q255" s="241">
        <v>0</v>
      </c>
      <c r="R255" s="79" t="str">
        <f>IFERROR(VLOOKUP($B255,JADWAL!$G$6:$J$690,4,0),"")</f>
        <v/>
      </c>
      <c r="S255" s="77">
        <f t="shared" si="8"/>
        <v>1</v>
      </c>
      <c r="T255" s="77"/>
      <c r="U255" s="37" t="s">
        <v>2242</v>
      </c>
      <c r="V255" s="37" t="s">
        <v>2250</v>
      </c>
      <c r="W255" s="37"/>
      <c r="X255" s="37" t="s">
        <v>27</v>
      </c>
    </row>
    <row r="256" spans="1:24" x14ac:dyDescent="0.3">
      <c r="A256" s="37">
        <f t="shared" si="9"/>
        <v>255</v>
      </c>
      <c r="B256" s="76" t="s">
        <v>1168</v>
      </c>
      <c r="C256" s="76" t="s">
        <v>5794</v>
      </c>
      <c r="D256" s="76" t="s">
        <v>2533</v>
      </c>
      <c r="E256" s="77">
        <v>375193537</v>
      </c>
      <c r="F256" s="77">
        <v>2000000</v>
      </c>
      <c r="G256" s="77" t="s">
        <v>2825</v>
      </c>
      <c r="H256" s="77" t="s">
        <v>2837</v>
      </c>
      <c r="I256" s="76" t="s">
        <v>2102</v>
      </c>
      <c r="J256" s="76" t="s">
        <v>9</v>
      </c>
      <c r="K256" s="76" t="str">
        <f>VLOOKUP($B256,'WILL TOKO SEP'!A257:AK996,37,0)</f>
        <v>MENGWI</v>
      </c>
      <c r="L256" s="76" t="s">
        <v>2104</v>
      </c>
      <c r="M256" s="37" t="s">
        <v>3</v>
      </c>
      <c r="N256" s="79">
        <v>46171</v>
      </c>
      <c r="O256" s="78">
        <v>0</v>
      </c>
      <c r="P256" s="79">
        <v>46217</v>
      </c>
      <c r="Q256" s="241">
        <v>0</v>
      </c>
      <c r="R256" s="79" t="str">
        <f>IFERROR(VLOOKUP($B256,JADWAL!$G$6:$J$690,4,0),"")</f>
        <v/>
      </c>
      <c r="S256" s="77">
        <f t="shared" si="8"/>
        <v>1</v>
      </c>
      <c r="T256" s="77"/>
      <c r="U256" s="37" t="s">
        <v>2242</v>
      </c>
      <c r="V256" s="37" t="s">
        <v>2250</v>
      </c>
      <c r="W256" s="37"/>
      <c r="X256" s="37" t="s">
        <v>13</v>
      </c>
    </row>
    <row r="257" spans="1:24" x14ac:dyDescent="0.3">
      <c r="A257" s="37">
        <f t="shared" si="9"/>
        <v>256</v>
      </c>
      <c r="B257" s="76" t="s">
        <v>737</v>
      </c>
      <c r="C257" s="76" t="s">
        <v>736</v>
      </c>
      <c r="D257" s="76" t="s">
        <v>2534</v>
      </c>
      <c r="E257" s="77">
        <v>518225583</v>
      </c>
      <c r="F257" s="77">
        <v>4000000</v>
      </c>
      <c r="G257" s="77" t="s">
        <v>2815</v>
      </c>
      <c r="H257" s="77" t="s">
        <v>2829</v>
      </c>
      <c r="I257" s="76" t="s">
        <v>2102</v>
      </c>
      <c r="J257" s="76" t="s">
        <v>28</v>
      </c>
      <c r="K257" s="76" t="e">
        <f>VLOOKUP($B257,'WILL TOKO SEP'!A258:AK997,37,0)</f>
        <v>#N/A</v>
      </c>
      <c r="L257" s="76" t="s">
        <v>2103</v>
      </c>
      <c r="M257" s="37" t="s">
        <v>3</v>
      </c>
      <c r="N257" s="79">
        <v>46163</v>
      </c>
      <c r="O257" s="78">
        <v>0</v>
      </c>
      <c r="P257" s="79">
        <v>46233</v>
      </c>
      <c r="Q257" s="241">
        <v>0</v>
      </c>
      <c r="R257" s="79" t="str">
        <f>IFERROR(VLOOKUP($B257,JADWAL!$G$6:$J$690,4,0),"")</f>
        <v/>
      </c>
      <c r="S257" s="77">
        <f t="shared" si="8"/>
        <v>1</v>
      </c>
      <c r="T257" s="77"/>
      <c r="U257" s="37" t="s">
        <v>2242</v>
      </c>
      <c r="V257" s="37" t="s">
        <v>2250</v>
      </c>
      <c r="W257" s="37"/>
      <c r="X257" s="37" t="s">
        <v>27</v>
      </c>
    </row>
    <row r="258" spans="1:24" x14ac:dyDescent="0.3">
      <c r="A258" s="37">
        <f t="shared" si="9"/>
        <v>257</v>
      </c>
      <c r="B258" s="76" t="s">
        <v>596</v>
      </c>
      <c r="C258" s="76" t="s">
        <v>595</v>
      </c>
      <c r="D258" s="76" t="s">
        <v>2535</v>
      </c>
      <c r="E258" s="77">
        <v>528989657</v>
      </c>
      <c r="F258" s="77">
        <v>3000000</v>
      </c>
      <c r="G258" s="77" t="s">
        <v>2834</v>
      </c>
      <c r="H258" s="77" t="s">
        <v>2835</v>
      </c>
      <c r="I258" s="76" t="s">
        <v>2102</v>
      </c>
      <c r="J258" s="76" t="s">
        <v>32</v>
      </c>
      <c r="K258" s="76" t="e">
        <f>VLOOKUP($B258,'WILL TOKO SEP'!A259:AK998,37,0)</f>
        <v>#N/A</v>
      </c>
      <c r="L258" s="76" t="s">
        <v>2104</v>
      </c>
      <c r="M258" s="37" t="s">
        <v>3</v>
      </c>
      <c r="N258" s="79">
        <v>46158</v>
      </c>
      <c r="O258" s="79">
        <v>46195</v>
      </c>
      <c r="P258" s="78">
        <v>0</v>
      </c>
      <c r="Q258" s="241">
        <v>0</v>
      </c>
      <c r="R258" s="79" t="str">
        <f>IFERROR(VLOOKUP($B258,JADWAL!$G$6:$J$690,4,0),"")</f>
        <v/>
      </c>
      <c r="S258" s="77">
        <f t="shared" ref="S258:S321" si="10">COUNTIF(N258:P258,"0")</f>
        <v>1</v>
      </c>
      <c r="T258" s="77"/>
      <c r="U258" s="37" t="s">
        <v>2242</v>
      </c>
      <c r="V258" s="37" t="s">
        <v>2250</v>
      </c>
      <c r="W258" s="37"/>
      <c r="X258" s="37" t="s">
        <v>27</v>
      </c>
    </row>
    <row r="259" spans="1:24" x14ac:dyDescent="0.3">
      <c r="A259" s="37">
        <f t="shared" si="9"/>
        <v>258</v>
      </c>
      <c r="B259" s="76" t="s">
        <v>1045</v>
      </c>
      <c r="C259" s="76" t="s">
        <v>1044</v>
      </c>
      <c r="D259" s="76" t="s">
        <v>5202</v>
      </c>
      <c r="E259" s="77">
        <v>545437299</v>
      </c>
      <c r="F259" s="77">
        <v>4500000</v>
      </c>
      <c r="G259" s="77" t="s">
        <v>2817</v>
      </c>
      <c r="H259" s="77" t="s">
        <v>2850</v>
      </c>
      <c r="I259" s="76" t="s">
        <v>2102</v>
      </c>
      <c r="J259" s="76" t="s">
        <v>4</v>
      </c>
      <c r="K259" s="76" t="str">
        <f>VLOOKUP($B259,'WILL TOKO SEP'!A260:AK999,37,0)</f>
        <v>DENPASAR TIMUR</v>
      </c>
      <c r="L259" s="76" t="s">
        <v>2103</v>
      </c>
      <c r="M259" s="37" t="s">
        <v>3</v>
      </c>
      <c r="N259" s="78">
        <v>0</v>
      </c>
      <c r="O259" s="79">
        <v>46176</v>
      </c>
      <c r="P259" s="79">
        <v>46221</v>
      </c>
      <c r="Q259" s="241">
        <v>0</v>
      </c>
      <c r="R259" s="79" t="str">
        <f>IFERROR(VLOOKUP($B259,JADWAL!$G$6:$J$690,4,0),"")</f>
        <v/>
      </c>
      <c r="S259" s="77">
        <f t="shared" si="10"/>
        <v>1</v>
      </c>
      <c r="T259" s="77"/>
      <c r="U259" s="37" t="s">
        <v>2242</v>
      </c>
      <c r="V259" s="37" t="s">
        <v>2250</v>
      </c>
      <c r="W259" s="37"/>
      <c r="X259" s="37" t="s">
        <v>77</v>
      </c>
    </row>
    <row r="260" spans="1:24" x14ac:dyDescent="0.3">
      <c r="A260" s="37">
        <f t="shared" ref="A260:A323" si="11">A259+1</f>
        <v>259</v>
      </c>
      <c r="B260" s="76" t="s">
        <v>1170</v>
      </c>
      <c r="C260" s="76" t="s">
        <v>1169</v>
      </c>
      <c r="D260" s="76" t="s">
        <v>2537</v>
      </c>
      <c r="E260" s="77">
        <v>438800769</v>
      </c>
      <c r="F260" s="77">
        <v>2000000</v>
      </c>
      <c r="G260" s="77" t="s">
        <v>2819</v>
      </c>
      <c r="H260" s="77" t="s">
        <v>2820</v>
      </c>
      <c r="I260" s="76" t="s">
        <v>2102</v>
      </c>
      <c r="J260" s="76" t="s">
        <v>4</v>
      </c>
      <c r="K260" s="76" t="e">
        <f>VLOOKUP($B260,'WILL TOKO SEP'!A261:AK1000,37,0)</f>
        <v>#N/A</v>
      </c>
      <c r="L260" s="76" t="s">
        <v>2104</v>
      </c>
      <c r="M260" s="37" t="s">
        <v>3</v>
      </c>
      <c r="N260" s="79">
        <v>46157</v>
      </c>
      <c r="O260" s="78">
        <v>0</v>
      </c>
      <c r="P260" s="79">
        <v>46217</v>
      </c>
      <c r="Q260" s="241">
        <v>0</v>
      </c>
      <c r="R260" s="79">
        <f>IFERROR(VLOOKUP($B260,JADWAL!$G$6:$J$690,4,0),"")</f>
        <v>46268</v>
      </c>
      <c r="S260" s="77">
        <f t="shared" si="10"/>
        <v>1</v>
      </c>
      <c r="T260" s="77"/>
      <c r="U260" s="37" t="s">
        <v>2242</v>
      </c>
      <c r="V260" s="37" t="s">
        <v>2250</v>
      </c>
      <c r="W260" s="37"/>
      <c r="X260" s="37">
        <v>0</v>
      </c>
    </row>
    <row r="261" spans="1:24" x14ac:dyDescent="0.3">
      <c r="A261" s="37">
        <f t="shared" si="11"/>
        <v>260</v>
      </c>
      <c r="B261" s="76" t="s">
        <v>1400</v>
      </c>
      <c r="C261" s="76" t="s">
        <v>1399</v>
      </c>
      <c r="D261" s="76" t="s">
        <v>5182</v>
      </c>
      <c r="E261" s="77">
        <v>356731825</v>
      </c>
      <c r="F261" s="77">
        <v>2500000</v>
      </c>
      <c r="G261" s="77" t="s">
        <v>2815</v>
      </c>
      <c r="H261" s="77" t="s">
        <v>2855</v>
      </c>
      <c r="I261" s="76" t="s">
        <v>2102</v>
      </c>
      <c r="J261" s="76" t="s">
        <v>28</v>
      </c>
      <c r="K261" s="76" t="str">
        <f>VLOOKUP($B261,'WILL TOKO SEP'!A262:AK1001,37,0)</f>
        <v>SUKAWATI</v>
      </c>
      <c r="L261" s="76" t="s">
        <v>2103</v>
      </c>
      <c r="M261" s="37" t="s">
        <v>3</v>
      </c>
      <c r="N261" s="79">
        <v>46146</v>
      </c>
      <c r="O261" s="78">
        <v>0</v>
      </c>
      <c r="P261" s="79">
        <v>46204</v>
      </c>
      <c r="Q261" s="241">
        <v>0</v>
      </c>
      <c r="R261" s="79">
        <f>IFERROR(VLOOKUP($B261,JADWAL!$G$6:$J$690,4,0),"")</f>
        <v>46266</v>
      </c>
      <c r="S261" s="77">
        <f t="shared" si="10"/>
        <v>1</v>
      </c>
      <c r="T261" s="77"/>
      <c r="U261" s="37" t="s">
        <v>2242</v>
      </c>
      <c r="V261" s="37" t="s">
        <v>2250</v>
      </c>
      <c r="W261" s="37"/>
      <c r="X261" s="37" t="s">
        <v>27</v>
      </c>
    </row>
    <row r="262" spans="1:24" x14ac:dyDescent="0.3">
      <c r="A262" s="37">
        <f t="shared" si="11"/>
        <v>261</v>
      </c>
      <c r="B262" s="76" t="s">
        <v>1412</v>
      </c>
      <c r="C262" s="76" t="s">
        <v>5787</v>
      </c>
      <c r="D262" s="76" t="s">
        <v>2539</v>
      </c>
      <c r="E262" s="77">
        <v>390966340</v>
      </c>
      <c r="F262" s="77">
        <v>2500000</v>
      </c>
      <c r="G262" s="77" t="s">
        <v>2817</v>
      </c>
      <c r="H262" s="77" t="s">
        <v>2850</v>
      </c>
      <c r="I262" s="76" t="s">
        <v>2102</v>
      </c>
      <c r="J262" s="76" t="s">
        <v>4</v>
      </c>
      <c r="K262" s="76" t="str">
        <f>VLOOKUP($B262,'WILL TOKO SEP'!A263:AK1002,37,0)</f>
        <v>DENPASAR TIMUR</v>
      </c>
      <c r="L262" s="76" t="s">
        <v>2103</v>
      </c>
      <c r="M262" s="37" t="s">
        <v>3</v>
      </c>
      <c r="N262" s="78">
        <v>0</v>
      </c>
      <c r="O262" s="79">
        <v>46184</v>
      </c>
      <c r="P262" s="79">
        <v>46228</v>
      </c>
      <c r="Q262" s="79">
        <v>46249</v>
      </c>
      <c r="R262" s="79" t="str">
        <f>IFERROR(VLOOKUP($B262,JADWAL!$G$6:$J$690,4,0),"")</f>
        <v/>
      </c>
      <c r="S262" s="77">
        <f t="shared" si="10"/>
        <v>1</v>
      </c>
      <c r="T262" s="77"/>
      <c r="U262" s="37" t="s">
        <v>2242</v>
      </c>
      <c r="V262" s="37" t="s">
        <v>2078</v>
      </c>
      <c r="W262" s="37"/>
      <c r="X262" s="37" t="e">
        <v>#N/A</v>
      </c>
    </row>
    <row r="263" spans="1:24" x14ac:dyDescent="0.3">
      <c r="A263" s="37">
        <f t="shared" si="11"/>
        <v>262</v>
      </c>
      <c r="B263" s="76" t="s">
        <v>604</v>
      </c>
      <c r="C263" s="76" t="s">
        <v>5697</v>
      </c>
      <c r="D263" s="76" t="s">
        <v>2540</v>
      </c>
      <c r="E263" s="77">
        <v>503355284</v>
      </c>
      <c r="F263" s="77">
        <v>3500000</v>
      </c>
      <c r="G263" s="77" t="s">
        <v>2817</v>
      </c>
      <c r="H263" s="77" t="s">
        <v>2865</v>
      </c>
      <c r="I263" s="76" t="s">
        <v>2102</v>
      </c>
      <c r="J263" s="76" t="s">
        <v>9</v>
      </c>
      <c r="K263" s="76" t="str">
        <f>VLOOKUP($B263,'WILL TOKO SEP'!A264:AK1003,37,0)</f>
        <v>KUTA</v>
      </c>
      <c r="L263" s="76" t="s">
        <v>2104</v>
      </c>
      <c r="M263" s="37" t="s">
        <v>3</v>
      </c>
      <c r="N263" s="79">
        <v>46162</v>
      </c>
      <c r="O263" s="79">
        <v>46196</v>
      </c>
      <c r="P263" s="78">
        <v>0</v>
      </c>
      <c r="Q263" s="241">
        <v>0</v>
      </c>
      <c r="R263" s="79" t="str">
        <f>IFERROR(VLOOKUP($B263,JADWAL!$G$6:$J$690,4,0),"")</f>
        <v/>
      </c>
      <c r="S263" s="77">
        <f t="shared" si="10"/>
        <v>1</v>
      </c>
      <c r="T263" s="77"/>
      <c r="U263" s="37" t="s">
        <v>2242</v>
      </c>
      <c r="V263" s="37" t="s">
        <v>2250</v>
      </c>
      <c r="W263" s="37"/>
      <c r="X263" s="37" t="s">
        <v>124</v>
      </c>
    </row>
    <row r="264" spans="1:24" x14ac:dyDescent="0.3">
      <c r="A264" s="37">
        <f t="shared" si="11"/>
        <v>263</v>
      </c>
      <c r="B264" s="76" t="s">
        <v>2091</v>
      </c>
      <c r="C264" s="76" t="s">
        <v>1389</v>
      </c>
      <c r="D264" s="76" t="s">
        <v>5140</v>
      </c>
      <c r="E264" s="77">
        <v>599698954</v>
      </c>
      <c r="F264" s="77">
        <v>4000000</v>
      </c>
      <c r="G264" s="77" t="s">
        <v>2819</v>
      </c>
      <c r="H264" s="77" t="s">
        <v>2862</v>
      </c>
      <c r="I264" s="76" t="s">
        <v>2102</v>
      </c>
      <c r="J264" s="76" t="s">
        <v>4</v>
      </c>
      <c r="K264" s="76" t="str">
        <f>VLOOKUP($B264,'WILL TOKO SEP'!A265:AK1004,37,0)</f>
        <v>DENPASAR BARAT</v>
      </c>
      <c r="L264" s="76" t="s">
        <v>2104</v>
      </c>
      <c r="M264" s="37" t="s">
        <v>3</v>
      </c>
      <c r="N264" s="78">
        <v>0</v>
      </c>
      <c r="O264" s="78">
        <v>0</v>
      </c>
      <c r="P264" s="79">
        <v>46205</v>
      </c>
      <c r="Q264" s="241">
        <v>0</v>
      </c>
      <c r="R264" s="79">
        <f>IFERROR(VLOOKUP($B264,JADWAL!$G$6:$J$690,4,0),"")</f>
        <v>46268</v>
      </c>
      <c r="S264" s="77">
        <f t="shared" si="10"/>
        <v>2</v>
      </c>
      <c r="T264" s="77"/>
      <c r="U264" s="37" t="s">
        <v>2242</v>
      </c>
      <c r="V264" s="37" t="s">
        <v>2250</v>
      </c>
      <c r="W264" s="37"/>
      <c r="X264" s="37" t="e">
        <v>#N/A</v>
      </c>
    </row>
    <row r="265" spans="1:24" x14ac:dyDescent="0.3">
      <c r="A265" s="37">
        <f t="shared" si="11"/>
        <v>264</v>
      </c>
      <c r="B265" s="76" t="s">
        <v>1762</v>
      </c>
      <c r="C265" s="76" t="s">
        <v>5721</v>
      </c>
      <c r="D265" s="76" t="s">
        <v>2541</v>
      </c>
      <c r="E265" s="77">
        <v>496530696</v>
      </c>
      <c r="F265" s="77">
        <v>2500000</v>
      </c>
      <c r="G265" s="77" t="s">
        <v>2813</v>
      </c>
      <c r="H265" s="77" t="s">
        <v>2814</v>
      </c>
      <c r="I265" s="76" t="s">
        <v>2102</v>
      </c>
      <c r="J265" s="76" t="s">
        <v>9</v>
      </c>
      <c r="K265" s="76" t="e">
        <f>VLOOKUP($B265,'WILL TOKO SEP'!A266:AK1005,37,0)</f>
        <v>#N/A</v>
      </c>
      <c r="L265" s="76" t="s">
        <v>2103</v>
      </c>
      <c r="M265" s="37" t="s">
        <v>3</v>
      </c>
      <c r="N265" s="79">
        <v>46146</v>
      </c>
      <c r="O265" s="78">
        <v>0</v>
      </c>
      <c r="P265" s="78">
        <v>0</v>
      </c>
      <c r="Q265" s="79">
        <v>46239</v>
      </c>
      <c r="R265" s="79" t="str">
        <f>IFERROR(VLOOKUP($B265,JADWAL!$G$6:$J$690,4,0),"")</f>
        <v/>
      </c>
      <c r="S265" s="77">
        <f t="shared" si="10"/>
        <v>2</v>
      </c>
      <c r="T265" s="77"/>
      <c r="U265" s="37" t="s">
        <v>2242</v>
      </c>
      <c r="V265" s="37" t="s">
        <v>2250</v>
      </c>
      <c r="W265" s="37"/>
      <c r="X265" s="37" t="e">
        <v>#N/A</v>
      </c>
    </row>
    <row r="266" spans="1:24" x14ac:dyDescent="0.3">
      <c r="A266" s="37">
        <f t="shared" si="11"/>
        <v>265</v>
      </c>
      <c r="B266" s="76" t="s">
        <v>790</v>
      </c>
      <c r="C266" s="76" t="s">
        <v>789</v>
      </c>
      <c r="D266" s="76" t="s">
        <v>2542</v>
      </c>
      <c r="E266" s="77">
        <v>345688743</v>
      </c>
      <c r="F266" s="77">
        <v>2000000</v>
      </c>
      <c r="G266" s="77" t="s">
        <v>2830</v>
      </c>
      <c r="H266" s="77" t="s">
        <v>2860</v>
      </c>
      <c r="I266" s="76" t="s">
        <v>2102</v>
      </c>
      <c r="J266" s="76" t="s">
        <v>28</v>
      </c>
      <c r="K266" s="76" t="e">
        <f>VLOOKUP($B266,'WILL TOKO SEP'!A267:AK1006,37,0)</f>
        <v>#N/A</v>
      </c>
      <c r="L266" s="76" t="s">
        <v>2103</v>
      </c>
      <c r="M266" s="37" t="s">
        <v>3</v>
      </c>
      <c r="N266" s="78">
        <v>0</v>
      </c>
      <c r="O266" s="79">
        <v>46198</v>
      </c>
      <c r="P266" s="79">
        <v>46231</v>
      </c>
      <c r="Q266" s="241">
        <v>0</v>
      </c>
      <c r="R266" s="79" t="str">
        <f>IFERROR(VLOOKUP($B266,JADWAL!$G$6:$J$690,4,0),"")</f>
        <v/>
      </c>
      <c r="S266" s="77">
        <f t="shared" si="10"/>
        <v>1</v>
      </c>
      <c r="T266" s="77"/>
      <c r="U266" s="37" t="s">
        <v>2242</v>
      </c>
      <c r="V266" s="37" t="s">
        <v>2250</v>
      </c>
      <c r="W266" s="37"/>
      <c r="X266" s="37" t="s">
        <v>27</v>
      </c>
    </row>
    <row r="267" spans="1:24" x14ac:dyDescent="0.3">
      <c r="A267" s="37">
        <f t="shared" si="11"/>
        <v>266</v>
      </c>
      <c r="B267" s="76" t="s">
        <v>1685</v>
      </c>
      <c r="C267" s="76" t="s">
        <v>1684</v>
      </c>
      <c r="D267" s="76" t="s">
        <v>2543</v>
      </c>
      <c r="E267" s="77">
        <v>367838617</v>
      </c>
      <c r="F267" s="77">
        <v>2000000</v>
      </c>
      <c r="G267" s="77" t="s">
        <v>2813</v>
      </c>
      <c r="H267" s="77" t="s">
        <v>2824</v>
      </c>
      <c r="I267" s="76" t="s">
        <v>2102</v>
      </c>
      <c r="J267" s="76" t="s">
        <v>9</v>
      </c>
      <c r="K267" s="76" t="e">
        <f>VLOOKUP($B267,'WILL TOKO SEP'!A268:AK1007,37,0)</f>
        <v>#N/A</v>
      </c>
      <c r="L267" s="76" t="s">
        <v>2103</v>
      </c>
      <c r="M267" s="37" t="s">
        <v>3</v>
      </c>
      <c r="N267" s="79">
        <v>46163</v>
      </c>
      <c r="O267" s="79">
        <v>46181</v>
      </c>
      <c r="P267" s="79">
        <v>46230</v>
      </c>
      <c r="Q267" s="79">
        <v>46241</v>
      </c>
      <c r="R267" s="79" t="str">
        <f>IFERROR(VLOOKUP($B267,JADWAL!$G$6:$J$690,4,0),"")</f>
        <v/>
      </c>
      <c r="S267" s="77">
        <f t="shared" si="10"/>
        <v>0</v>
      </c>
      <c r="T267" s="77"/>
      <c r="U267" s="37" t="s">
        <v>2242</v>
      </c>
      <c r="V267" s="37" t="s">
        <v>2078</v>
      </c>
      <c r="W267" s="37"/>
      <c r="X267" s="37" t="e">
        <v>#N/A</v>
      </c>
    </row>
    <row r="268" spans="1:24" x14ac:dyDescent="0.3">
      <c r="A268" s="37">
        <f t="shared" si="11"/>
        <v>267</v>
      </c>
      <c r="B268" s="76" t="s">
        <v>727</v>
      </c>
      <c r="C268" s="76" t="s">
        <v>726</v>
      </c>
      <c r="D268" s="76" t="s">
        <v>2544</v>
      </c>
      <c r="E268" s="77">
        <v>547452678</v>
      </c>
      <c r="F268" s="77">
        <v>2500000</v>
      </c>
      <c r="G268" s="77" t="s">
        <v>2819</v>
      </c>
      <c r="H268" s="77" t="s">
        <v>2862</v>
      </c>
      <c r="I268" s="76" t="s">
        <v>2102</v>
      </c>
      <c r="J268" s="76" t="s">
        <v>4</v>
      </c>
      <c r="K268" s="76" t="str">
        <f>VLOOKUP($B268,'WILL TOKO SEP'!A269:AK1008,37,0)</f>
        <v>DENPASAR BARAT</v>
      </c>
      <c r="L268" s="76" t="s">
        <v>2104</v>
      </c>
      <c r="M268" s="37" t="s">
        <v>3</v>
      </c>
      <c r="N268" s="78">
        <v>0</v>
      </c>
      <c r="O268" s="79">
        <v>46183</v>
      </c>
      <c r="P268" s="79">
        <v>46233</v>
      </c>
      <c r="Q268" s="241">
        <v>0</v>
      </c>
      <c r="R268" s="79" t="str">
        <f>IFERROR(VLOOKUP($B268,JADWAL!$G$6:$J$690,4,0),"")</f>
        <v/>
      </c>
      <c r="S268" s="77">
        <f t="shared" si="10"/>
        <v>1</v>
      </c>
      <c r="T268" s="77"/>
      <c r="U268" s="37" t="s">
        <v>2242</v>
      </c>
      <c r="V268" s="37" t="s">
        <v>2250</v>
      </c>
      <c r="W268" s="37"/>
      <c r="X268" s="37">
        <v>0</v>
      </c>
    </row>
    <row r="269" spans="1:24" x14ac:dyDescent="0.3">
      <c r="A269" s="37">
        <f t="shared" si="11"/>
        <v>268</v>
      </c>
      <c r="B269" s="76" t="s">
        <v>1621</v>
      </c>
      <c r="C269" s="76" t="s">
        <v>1620</v>
      </c>
      <c r="D269" s="76" t="s">
        <v>2545</v>
      </c>
      <c r="E269" s="77">
        <v>409515934</v>
      </c>
      <c r="F269" s="77">
        <v>2500000</v>
      </c>
      <c r="G269" s="77" t="s">
        <v>2817</v>
      </c>
      <c r="H269" s="77" t="s">
        <v>2852</v>
      </c>
      <c r="I269" s="76" t="s">
        <v>2102</v>
      </c>
      <c r="J269" s="76" t="s">
        <v>4</v>
      </c>
      <c r="K269" s="76" t="str">
        <f>VLOOKUP($B269,'WILL TOKO SEP'!A270:AK1009,37,0)</f>
        <v>DENPASAR SELATAN</v>
      </c>
      <c r="L269" s="76" t="s">
        <v>2103</v>
      </c>
      <c r="M269" s="37" t="s">
        <v>3</v>
      </c>
      <c r="N269" s="79">
        <v>46149</v>
      </c>
      <c r="O269" s="79">
        <v>46192</v>
      </c>
      <c r="P269" s="79">
        <v>46219</v>
      </c>
      <c r="Q269" s="79">
        <v>46244</v>
      </c>
      <c r="R269" s="79" t="str">
        <f>IFERROR(VLOOKUP($B269,JADWAL!$G$6:$J$690,4,0),"")</f>
        <v/>
      </c>
      <c r="S269" s="77">
        <f t="shared" si="10"/>
        <v>0</v>
      </c>
      <c r="T269" s="77"/>
      <c r="U269" s="37" t="s">
        <v>2242</v>
      </c>
      <c r="V269" s="37" t="s">
        <v>2078</v>
      </c>
      <c r="W269" s="37"/>
      <c r="X269" s="37" t="e">
        <v>#N/A</v>
      </c>
    </row>
    <row r="270" spans="1:24" x14ac:dyDescent="0.3">
      <c r="A270" s="37">
        <f t="shared" si="11"/>
        <v>269</v>
      </c>
      <c r="B270" s="76" t="s">
        <v>1853</v>
      </c>
      <c r="C270" s="76" t="s">
        <v>1852</v>
      </c>
      <c r="D270" s="76" t="s">
        <v>2546</v>
      </c>
      <c r="E270" s="77">
        <v>355891290</v>
      </c>
      <c r="F270" s="77">
        <v>2000000</v>
      </c>
      <c r="G270" s="77" t="s">
        <v>2834</v>
      </c>
      <c r="H270" s="77" t="s">
        <v>2835</v>
      </c>
      <c r="I270" s="76" t="s">
        <v>2102</v>
      </c>
      <c r="J270" s="76" t="s">
        <v>32</v>
      </c>
      <c r="K270" s="76" t="str">
        <f>VLOOKUP($B270,'WILL TOKO SEP'!A271:AK1010,37,0)</f>
        <v>BANGLI</v>
      </c>
      <c r="L270" s="76" t="s">
        <v>2104</v>
      </c>
      <c r="M270" s="37" t="s">
        <v>3</v>
      </c>
      <c r="N270" s="79">
        <v>46160</v>
      </c>
      <c r="O270" s="79">
        <v>46181</v>
      </c>
      <c r="P270" s="78">
        <v>0</v>
      </c>
      <c r="Q270" s="79">
        <v>46237</v>
      </c>
      <c r="R270" s="79" t="str">
        <f>IFERROR(VLOOKUP($B270,JADWAL!$G$6:$J$690,4,0),"")</f>
        <v/>
      </c>
      <c r="S270" s="77">
        <f t="shared" si="10"/>
        <v>1</v>
      </c>
      <c r="T270" s="77"/>
      <c r="U270" s="37" t="s">
        <v>2242</v>
      </c>
      <c r="V270" s="37" t="s">
        <v>2250</v>
      </c>
      <c r="W270" s="37"/>
      <c r="X270" s="37" t="e">
        <v>#N/A</v>
      </c>
    </row>
    <row r="271" spans="1:24" x14ac:dyDescent="0.3">
      <c r="A271" s="37">
        <f t="shared" si="11"/>
        <v>270</v>
      </c>
      <c r="B271" s="76" t="s">
        <v>1627</v>
      </c>
      <c r="C271" s="76" t="s">
        <v>1626</v>
      </c>
      <c r="D271" s="76" t="s">
        <v>2547</v>
      </c>
      <c r="E271" s="77">
        <v>390601238</v>
      </c>
      <c r="F271" s="77">
        <v>2000000</v>
      </c>
      <c r="G271" s="77" t="s">
        <v>2821</v>
      </c>
      <c r="H271" s="77" t="s">
        <v>2822</v>
      </c>
      <c r="I271" s="76" t="s">
        <v>2102</v>
      </c>
      <c r="J271" s="76" t="s">
        <v>36</v>
      </c>
      <c r="K271" s="76" t="str">
        <f>VLOOKUP($B271,'WILL TOKO SEP'!A272:AK1011,37,0)</f>
        <v>KEDIRI</v>
      </c>
      <c r="L271" s="76" t="s">
        <v>2104</v>
      </c>
      <c r="M271" s="37" t="s">
        <v>3</v>
      </c>
      <c r="N271" s="79">
        <v>46153</v>
      </c>
      <c r="O271" s="79">
        <v>46185</v>
      </c>
      <c r="P271" s="79">
        <v>46213</v>
      </c>
      <c r="Q271" s="79">
        <v>46244</v>
      </c>
      <c r="R271" s="79" t="str">
        <f>IFERROR(VLOOKUP($B271,JADWAL!$G$6:$J$690,4,0),"")</f>
        <v/>
      </c>
      <c r="S271" s="77">
        <f t="shared" si="10"/>
        <v>0</v>
      </c>
      <c r="T271" s="77"/>
      <c r="U271" s="37" t="s">
        <v>2242</v>
      </c>
      <c r="V271" s="37" t="s">
        <v>2250</v>
      </c>
      <c r="W271" s="37"/>
      <c r="X271" s="37" t="e">
        <v>#N/A</v>
      </c>
    </row>
    <row r="272" spans="1:24" x14ac:dyDescent="0.3">
      <c r="A272" s="37">
        <f t="shared" si="11"/>
        <v>271</v>
      </c>
      <c r="B272" s="76" t="s">
        <v>1561</v>
      </c>
      <c r="C272" s="76" t="s">
        <v>1560</v>
      </c>
      <c r="D272" s="76" t="s">
        <v>2548</v>
      </c>
      <c r="E272" s="77">
        <v>350429914</v>
      </c>
      <c r="F272" s="77">
        <v>2000000</v>
      </c>
      <c r="G272" s="77" t="s">
        <v>2819</v>
      </c>
      <c r="H272" s="77" t="s">
        <v>2823</v>
      </c>
      <c r="I272" s="76" t="s">
        <v>2102</v>
      </c>
      <c r="J272" s="76" t="s">
        <v>9</v>
      </c>
      <c r="K272" s="76" t="str">
        <f>VLOOKUP($B272,'WILL TOKO SEP'!A273:AK1012,37,0)</f>
        <v>KUTA UTARA</v>
      </c>
      <c r="L272" s="76" t="s">
        <v>2104</v>
      </c>
      <c r="M272" s="37" t="s">
        <v>3</v>
      </c>
      <c r="N272" s="79">
        <v>46162</v>
      </c>
      <c r="O272" s="79">
        <v>46188</v>
      </c>
      <c r="P272" s="78">
        <v>0</v>
      </c>
      <c r="Q272" s="79">
        <v>46245</v>
      </c>
      <c r="R272" s="79" t="str">
        <f>IFERROR(VLOOKUP($B272,JADWAL!$G$6:$J$690,4,0),"")</f>
        <v/>
      </c>
      <c r="S272" s="77">
        <f t="shared" si="10"/>
        <v>1</v>
      </c>
      <c r="T272" s="77"/>
      <c r="U272" s="37" t="s">
        <v>2242</v>
      </c>
      <c r="V272" s="37" t="s">
        <v>2250</v>
      </c>
      <c r="W272" s="37"/>
      <c r="X272" s="37" t="e">
        <v>#N/A</v>
      </c>
    </row>
    <row r="273" spans="1:24" x14ac:dyDescent="0.3">
      <c r="A273" s="37">
        <f t="shared" si="11"/>
        <v>272</v>
      </c>
      <c r="B273" s="76" t="s">
        <v>1447</v>
      </c>
      <c r="C273" s="76" t="s">
        <v>1446</v>
      </c>
      <c r="D273" s="76" t="s">
        <v>2549</v>
      </c>
      <c r="E273" s="77">
        <v>512771776</v>
      </c>
      <c r="F273" s="77">
        <v>3500000</v>
      </c>
      <c r="G273" s="77" t="s">
        <v>2813</v>
      </c>
      <c r="H273" s="77" t="s">
        <v>2832</v>
      </c>
      <c r="I273" s="76" t="s">
        <v>2102</v>
      </c>
      <c r="J273" s="76" t="s">
        <v>9</v>
      </c>
      <c r="K273" s="76" t="e">
        <f>VLOOKUP($B273,'WILL TOKO SEP'!A274:AK1013,37,0)</f>
        <v>#N/A</v>
      </c>
      <c r="L273" s="76" t="s">
        <v>2103</v>
      </c>
      <c r="M273" s="37" t="s">
        <v>3</v>
      </c>
      <c r="N273" s="78">
        <v>0</v>
      </c>
      <c r="O273" s="79">
        <v>46175</v>
      </c>
      <c r="P273" s="78">
        <v>0</v>
      </c>
      <c r="Q273" s="79">
        <v>46248</v>
      </c>
      <c r="R273" s="79" t="str">
        <f>IFERROR(VLOOKUP($B273,JADWAL!$G$6:$J$690,4,0),"")</f>
        <v/>
      </c>
      <c r="S273" s="77">
        <f t="shared" si="10"/>
        <v>2</v>
      </c>
      <c r="T273" s="77"/>
      <c r="U273" s="37" t="s">
        <v>2242</v>
      </c>
      <c r="V273" s="37" t="s">
        <v>2250</v>
      </c>
      <c r="W273" s="37"/>
      <c r="X273" s="37" t="e">
        <v>#N/A</v>
      </c>
    </row>
    <row r="274" spans="1:24" x14ac:dyDescent="0.3">
      <c r="A274" s="37">
        <f t="shared" si="11"/>
        <v>273</v>
      </c>
      <c r="B274" s="76" t="s">
        <v>730</v>
      </c>
      <c r="C274" s="76" t="s">
        <v>729</v>
      </c>
      <c r="D274" s="76" t="s">
        <v>5428</v>
      </c>
      <c r="E274" s="77">
        <v>514655916</v>
      </c>
      <c r="F274" s="77">
        <v>2000000</v>
      </c>
      <c r="G274" s="77" t="s">
        <v>2834</v>
      </c>
      <c r="H274" s="77" t="s">
        <v>2869</v>
      </c>
      <c r="I274" s="76" t="s">
        <v>2102</v>
      </c>
      <c r="J274" s="76" t="s">
        <v>40</v>
      </c>
      <c r="K274" s="76" t="str">
        <f>VLOOKUP($B274,'WILL TOKO SEP'!A275:AK1014,37,0)</f>
        <v>KARANGASEM</v>
      </c>
      <c r="L274" s="76" t="s">
        <v>2104</v>
      </c>
      <c r="M274" s="37" t="s">
        <v>3</v>
      </c>
      <c r="N274" s="79">
        <v>46171</v>
      </c>
      <c r="O274" s="79">
        <v>46192</v>
      </c>
      <c r="P274" s="79">
        <v>46233</v>
      </c>
      <c r="Q274" s="241">
        <v>0</v>
      </c>
      <c r="R274" s="79" t="str">
        <f>IFERROR(VLOOKUP($B274,JADWAL!$G$6:$J$690,4,0),"")</f>
        <v/>
      </c>
      <c r="S274" s="77">
        <f t="shared" si="10"/>
        <v>0</v>
      </c>
      <c r="T274" s="77"/>
      <c r="U274" s="37" t="s">
        <v>2242</v>
      </c>
      <c r="V274" s="37" t="s">
        <v>2250</v>
      </c>
      <c r="W274" s="37"/>
      <c r="X274" s="37" t="s">
        <v>27</v>
      </c>
    </row>
    <row r="275" spans="1:24" x14ac:dyDescent="0.3">
      <c r="A275" s="37">
        <f t="shared" si="11"/>
        <v>274</v>
      </c>
      <c r="B275" s="76" t="s">
        <v>1018</v>
      </c>
      <c r="C275" s="76" t="s">
        <v>1017</v>
      </c>
      <c r="D275" s="76" t="s">
        <v>2552</v>
      </c>
      <c r="E275" s="77">
        <v>272540483</v>
      </c>
      <c r="F275" s="77">
        <v>2500000</v>
      </c>
      <c r="G275" s="77" t="s">
        <v>2867</v>
      </c>
      <c r="H275" s="77" t="s">
        <v>2870</v>
      </c>
      <c r="I275" s="76" t="s">
        <v>2102</v>
      </c>
      <c r="J275" s="76" t="s">
        <v>9</v>
      </c>
      <c r="K275" s="76" t="e">
        <f>VLOOKUP($B275,'WILL TOKO SEP'!A276:AK1015,37,0)</f>
        <v>#N/A</v>
      </c>
      <c r="L275" s="76" t="s">
        <v>2104</v>
      </c>
      <c r="M275" s="37" t="s">
        <v>3</v>
      </c>
      <c r="N275" s="78">
        <v>0</v>
      </c>
      <c r="O275" s="78">
        <v>0</v>
      </c>
      <c r="P275" s="79">
        <v>46223</v>
      </c>
      <c r="Q275" s="79">
        <v>46255</v>
      </c>
      <c r="R275" s="79" t="str">
        <f>IFERROR(VLOOKUP($B275,JADWAL!$G$6:$J$690,4,0),"")</f>
        <v/>
      </c>
      <c r="S275" s="77">
        <f t="shared" si="10"/>
        <v>2</v>
      </c>
      <c r="T275" s="77"/>
      <c r="U275" s="37" t="s">
        <v>2242</v>
      </c>
      <c r="V275" s="37" t="s">
        <v>2250</v>
      </c>
      <c r="W275" s="37"/>
      <c r="X275" s="37" t="s">
        <v>124</v>
      </c>
    </row>
    <row r="276" spans="1:24" x14ac:dyDescent="0.3">
      <c r="A276" s="37">
        <f t="shared" si="11"/>
        <v>275</v>
      </c>
      <c r="B276" s="76" t="s">
        <v>520</v>
      </c>
      <c r="C276" s="76" t="s">
        <v>5707</v>
      </c>
      <c r="D276" s="76" t="s">
        <v>2555</v>
      </c>
      <c r="E276" s="77">
        <v>493424736</v>
      </c>
      <c r="F276" s="77">
        <v>3000000</v>
      </c>
      <c r="G276" s="77" t="s">
        <v>2817</v>
      </c>
      <c r="H276" s="77" t="s">
        <v>2865</v>
      </c>
      <c r="I276" s="76" t="s">
        <v>2102</v>
      </c>
      <c r="J276" s="76" t="s">
        <v>9</v>
      </c>
      <c r="K276" s="76" t="e">
        <f>VLOOKUP($B276,'WILL TOKO SEP'!A277:AK1016,37,0)</f>
        <v>#N/A</v>
      </c>
      <c r="L276" s="76" t="s">
        <v>2104</v>
      </c>
      <c r="M276" s="37" t="s">
        <v>3</v>
      </c>
      <c r="N276" s="78">
        <v>0</v>
      </c>
      <c r="O276" s="79">
        <v>46182</v>
      </c>
      <c r="P276" s="78">
        <v>0</v>
      </c>
      <c r="Q276" s="241">
        <v>0</v>
      </c>
      <c r="R276" s="79" t="str">
        <f>IFERROR(VLOOKUP($B276,JADWAL!$G$6:$J$690,4,0),"")</f>
        <v/>
      </c>
      <c r="S276" s="77">
        <f t="shared" si="10"/>
        <v>2</v>
      </c>
      <c r="T276" s="77"/>
      <c r="U276" s="37" t="s">
        <v>2242</v>
      </c>
      <c r="V276" s="37" t="s">
        <v>2250</v>
      </c>
      <c r="W276" s="37"/>
      <c r="X276" s="37" t="s">
        <v>124</v>
      </c>
    </row>
    <row r="277" spans="1:24" x14ac:dyDescent="0.3">
      <c r="A277" s="37">
        <f t="shared" si="11"/>
        <v>276</v>
      </c>
      <c r="B277" s="76" t="s">
        <v>1468</v>
      </c>
      <c r="C277" s="76" t="s">
        <v>1467</v>
      </c>
      <c r="D277" s="76" t="s">
        <v>2557</v>
      </c>
      <c r="E277" s="77">
        <v>336910940</v>
      </c>
      <c r="F277" s="77">
        <v>2000000</v>
      </c>
      <c r="G277" s="77" t="s">
        <v>2821</v>
      </c>
      <c r="H277" s="77" t="s">
        <v>2822</v>
      </c>
      <c r="I277" s="76" t="s">
        <v>2102</v>
      </c>
      <c r="J277" s="76" t="s">
        <v>36</v>
      </c>
      <c r="K277" s="76" t="str">
        <f>VLOOKUP($B277,'WILL TOKO SEP'!A278:AK1017,37,0)</f>
        <v>TABANAN</v>
      </c>
      <c r="L277" s="76" t="s">
        <v>2104</v>
      </c>
      <c r="M277" s="37" t="s">
        <v>3</v>
      </c>
      <c r="N277" s="79">
        <v>46160</v>
      </c>
      <c r="O277" s="79">
        <v>46184</v>
      </c>
      <c r="P277" s="79">
        <v>46220</v>
      </c>
      <c r="Q277" s="79">
        <v>46248</v>
      </c>
      <c r="R277" s="79" t="str">
        <f>IFERROR(VLOOKUP($B277,JADWAL!$G$6:$J$690,4,0),"")</f>
        <v/>
      </c>
      <c r="S277" s="77">
        <f t="shared" si="10"/>
        <v>0</v>
      </c>
      <c r="T277" s="77"/>
      <c r="U277" s="37" t="s">
        <v>2242</v>
      </c>
      <c r="V277" s="37" t="s">
        <v>2078</v>
      </c>
      <c r="W277" s="37"/>
      <c r="X277" s="37" t="e">
        <v>#N/A</v>
      </c>
    </row>
    <row r="278" spans="1:24" x14ac:dyDescent="0.3">
      <c r="A278" s="37">
        <f t="shared" si="11"/>
        <v>277</v>
      </c>
      <c r="B278" s="76" t="s">
        <v>1449</v>
      </c>
      <c r="C278" s="76" t="s">
        <v>1448</v>
      </c>
      <c r="D278" s="76" t="s">
        <v>2558</v>
      </c>
      <c r="E278" s="77">
        <v>514734750</v>
      </c>
      <c r="F278" s="77">
        <v>3500000</v>
      </c>
      <c r="G278" s="77" t="s">
        <v>2813</v>
      </c>
      <c r="H278" s="77" t="s">
        <v>2832</v>
      </c>
      <c r="I278" s="76" t="s">
        <v>2102</v>
      </c>
      <c r="J278" s="76" t="s">
        <v>9</v>
      </c>
      <c r="K278" s="76" t="e">
        <f>VLOOKUP($B278,'WILL TOKO SEP'!A279:AK1018,37,0)</f>
        <v>#N/A</v>
      </c>
      <c r="L278" s="76" t="s">
        <v>2103</v>
      </c>
      <c r="M278" s="37" t="s">
        <v>3</v>
      </c>
      <c r="N278" s="79">
        <v>46161</v>
      </c>
      <c r="O278" s="79">
        <v>46197</v>
      </c>
      <c r="P278" s="78">
        <v>0</v>
      </c>
      <c r="Q278" s="79">
        <v>46248</v>
      </c>
      <c r="R278" s="79" t="str">
        <f>IFERROR(VLOOKUP($B278,JADWAL!$G$6:$J$690,4,0),"")</f>
        <v/>
      </c>
      <c r="S278" s="77">
        <f t="shared" si="10"/>
        <v>1</v>
      </c>
      <c r="T278" s="77"/>
      <c r="U278" s="37" t="s">
        <v>2242</v>
      </c>
      <c r="V278" s="37" t="s">
        <v>2250</v>
      </c>
      <c r="W278" s="37"/>
      <c r="X278" s="37" t="e">
        <v>#N/A</v>
      </c>
    </row>
    <row r="279" spans="1:24" x14ac:dyDescent="0.3">
      <c r="A279" s="37">
        <f t="shared" si="11"/>
        <v>278</v>
      </c>
      <c r="B279" s="76" t="s">
        <v>555</v>
      </c>
      <c r="C279" s="76" t="s">
        <v>554</v>
      </c>
      <c r="D279" s="76" t="s">
        <v>5366</v>
      </c>
      <c r="E279" s="77">
        <v>601938654</v>
      </c>
      <c r="F279" s="77">
        <v>3000000</v>
      </c>
      <c r="G279" s="77" t="s">
        <v>2819</v>
      </c>
      <c r="H279" s="77" t="s">
        <v>2862</v>
      </c>
      <c r="I279" s="76" t="s">
        <v>2102</v>
      </c>
      <c r="J279" s="76" t="s">
        <v>4</v>
      </c>
      <c r="K279" s="76" t="str">
        <f>VLOOKUP($B279,'WILL TOKO SEP'!A280:AK1019,37,0)</f>
        <v>DENPASAR BARAT</v>
      </c>
      <c r="L279" s="76" t="s">
        <v>2104</v>
      </c>
      <c r="M279" s="37" t="s">
        <v>3</v>
      </c>
      <c r="N279" s="78">
        <v>0</v>
      </c>
      <c r="O279" s="79">
        <v>46182</v>
      </c>
      <c r="P279" s="78">
        <v>0</v>
      </c>
      <c r="Q279" s="241">
        <v>0</v>
      </c>
      <c r="R279" s="79">
        <f>IFERROR(VLOOKUP($B279,JADWAL!$G$6:$J$690,4,0),"")</f>
        <v>46267</v>
      </c>
      <c r="S279" s="77">
        <f t="shared" si="10"/>
        <v>2</v>
      </c>
      <c r="T279" s="77"/>
      <c r="U279" s="37" t="s">
        <v>2242</v>
      </c>
      <c r="V279" s="37" t="s">
        <v>2250</v>
      </c>
      <c r="W279" s="37"/>
      <c r="X279" s="37" t="s">
        <v>2</v>
      </c>
    </row>
    <row r="280" spans="1:24" x14ac:dyDescent="0.3">
      <c r="A280" s="37">
        <f t="shared" si="11"/>
        <v>279</v>
      </c>
      <c r="B280" s="76" t="s">
        <v>1346</v>
      </c>
      <c r="C280" s="76" t="s">
        <v>1345</v>
      </c>
      <c r="D280" s="76" t="s">
        <v>2560</v>
      </c>
      <c r="E280" s="77">
        <v>361852724</v>
      </c>
      <c r="F280" s="77">
        <v>2000000</v>
      </c>
      <c r="G280" s="77" t="s">
        <v>2813</v>
      </c>
      <c r="H280" s="77" t="s">
        <v>2863</v>
      </c>
      <c r="I280" s="76" t="s">
        <v>2102</v>
      </c>
      <c r="J280" s="76" t="s">
        <v>9</v>
      </c>
      <c r="K280" s="76" t="e">
        <f>VLOOKUP($B280,'WILL TOKO SEP'!A281:AK1020,37,0)</f>
        <v>#N/A</v>
      </c>
      <c r="L280" s="76" t="s">
        <v>2104</v>
      </c>
      <c r="M280" s="37" t="s">
        <v>3</v>
      </c>
      <c r="N280" s="78">
        <v>0</v>
      </c>
      <c r="O280" s="78">
        <v>0</v>
      </c>
      <c r="P280" s="79">
        <v>46209</v>
      </c>
      <c r="Q280" s="241">
        <v>0</v>
      </c>
      <c r="R280" s="79" t="str">
        <f>IFERROR(VLOOKUP($B280,JADWAL!$G$6:$J$690,4,0),"")</f>
        <v/>
      </c>
      <c r="S280" s="77">
        <f t="shared" si="10"/>
        <v>2</v>
      </c>
      <c r="T280" s="77"/>
      <c r="U280" s="37" t="s">
        <v>2242</v>
      </c>
      <c r="V280" s="37" t="s">
        <v>2250</v>
      </c>
      <c r="W280" s="37"/>
      <c r="X280" s="37" t="s">
        <v>124</v>
      </c>
    </row>
    <row r="281" spans="1:24" x14ac:dyDescent="0.3">
      <c r="A281" s="37">
        <f t="shared" si="11"/>
        <v>280</v>
      </c>
      <c r="B281" s="76" t="s">
        <v>1020</v>
      </c>
      <c r="C281" s="76" t="s">
        <v>1019</v>
      </c>
      <c r="D281" s="76" t="s">
        <v>2561</v>
      </c>
      <c r="E281" s="77">
        <v>445542243</v>
      </c>
      <c r="F281" s="77">
        <v>1500000</v>
      </c>
      <c r="G281" s="77" t="s">
        <v>2821</v>
      </c>
      <c r="H281" s="77" t="s">
        <v>2854</v>
      </c>
      <c r="I281" s="76" t="s">
        <v>2102</v>
      </c>
      <c r="J281" s="76" t="s">
        <v>4</v>
      </c>
      <c r="K281" s="76" t="str">
        <f>VLOOKUP($B281,'WILL TOKO SEP'!A282:AK1021,37,0)</f>
        <v>DENPASAR UTARA</v>
      </c>
      <c r="L281" s="76" t="s">
        <v>2104</v>
      </c>
      <c r="M281" s="37" t="s">
        <v>3</v>
      </c>
      <c r="N281" s="78">
        <v>0</v>
      </c>
      <c r="O281" s="79">
        <v>46175</v>
      </c>
      <c r="P281" s="79">
        <v>46223</v>
      </c>
      <c r="Q281" s="241">
        <v>0</v>
      </c>
      <c r="R281" s="79" t="str">
        <f>IFERROR(VLOOKUP($B281,JADWAL!$G$6:$J$690,4,0),"")</f>
        <v/>
      </c>
      <c r="S281" s="77">
        <f t="shared" si="10"/>
        <v>1</v>
      </c>
      <c r="T281" s="77"/>
      <c r="U281" s="37" t="s">
        <v>2242</v>
      </c>
      <c r="V281" s="37" t="s">
        <v>2250</v>
      </c>
      <c r="W281" s="37"/>
      <c r="X281" s="37" t="s">
        <v>77</v>
      </c>
    </row>
    <row r="282" spans="1:24" x14ac:dyDescent="0.3">
      <c r="A282" s="37">
        <f t="shared" si="11"/>
        <v>281</v>
      </c>
      <c r="B282" s="76" t="s">
        <v>1661</v>
      </c>
      <c r="C282" s="76" t="s">
        <v>1660</v>
      </c>
      <c r="D282" s="76" t="s">
        <v>5276</v>
      </c>
      <c r="E282" s="77">
        <v>444346693</v>
      </c>
      <c r="F282" s="77">
        <v>2000000</v>
      </c>
      <c r="G282" s="77" t="s">
        <v>2821</v>
      </c>
      <c r="H282" s="77" t="s">
        <v>2854</v>
      </c>
      <c r="I282" s="76" t="s">
        <v>2102</v>
      </c>
      <c r="J282" s="76" t="s">
        <v>4</v>
      </c>
      <c r="K282" s="76" t="str">
        <f>VLOOKUP($B282,'WILL TOKO SEP'!A283:AK1022,37,0)</f>
        <v>DENPASAR UTARA</v>
      </c>
      <c r="L282" s="76" t="s">
        <v>2104</v>
      </c>
      <c r="M282" s="37" t="s">
        <v>3</v>
      </c>
      <c r="N282" s="79">
        <v>46170</v>
      </c>
      <c r="O282" s="79">
        <v>46190</v>
      </c>
      <c r="P282" s="79">
        <v>46216</v>
      </c>
      <c r="Q282" s="79">
        <v>46242</v>
      </c>
      <c r="R282" s="79" t="str">
        <f>IFERROR(VLOOKUP($B282,JADWAL!$G$6:$J$690,4,0),"")</f>
        <v/>
      </c>
      <c r="S282" s="77">
        <f t="shared" si="10"/>
        <v>0</v>
      </c>
      <c r="T282" s="77"/>
      <c r="U282" s="37" t="s">
        <v>2242</v>
      </c>
      <c r="V282" s="37" t="s">
        <v>2078</v>
      </c>
      <c r="W282" s="37"/>
      <c r="X282" s="37" t="e">
        <v>#N/A</v>
      </c>
    </row>
    <row r="283" spans="1:24" x14ac:dyDescent="0.3">
      <c r="A283" s="37">
        <f t="shared" si="11"/>
        <v>282</v>
      </c>
      <c r="B283" s="76" t="s">
        <v>1008</v>
      </c>
      <c r="C283" s="76" t="s">
        <v>1007</v>
      </c>
      <c r="D283" s="76" t="s">
        <v>2565</v>
      </c>
      <c r="E283" s="77">
        <v>726987911</v>
      </c>
      <c r="F283" s="77">
        <v>5000000</v>
      </c>
      <c r="G283" s="77" t="s">
        <v>2840</v>
      </c>
      <c r="H283" s="77" t="s">
        <v>2861</v>
      </c>
      <c r="I283" s="76" t="s">
        <v>2102</v>
      </c>
      <c r="J283" s="76" t="s">
        <v>28</v>
      </c>
      <c r="K283" s="76" t="e">
        <f>VLOOKUP($B283,'WILL TOKO SEP'!A284:AK1023,37,0)</f>
        <v>#N/A</v>
      </c>
      <c r="L283" s="76" t="s">
        <v>2103</v>
      </c>
      <c r="M283" s="37" t="s">
        <v>3</v>
      </c>
      <c r="N283" s="78">
        <v>0</v>
      </c>
      <c r="O283" s="78">
        <v>0</v>
      </c>
      <c r="P283" s="79">
        <v>46223</v>
      </c>
      <c r="Q283" s="241">
        <v>0</v>
      </c>
      <c r="R283" s="79" t="str">
        <f>IFERROR(VLOOKUP($B283,JADWAL!$G$6:$J$690,4,0),"")</f>
        <v/>
      </c>
      <c r="S283" s="77">
        <f t="shared" si="10"/>
        <v>2</v>
      </c>
      <c r="T283" s="77"/>
      <c r="U283" s="37" t="s">
        <v>2242</v>
      </c>
      <c r="V283" s="37" t="s">
        <v>2250</v>
      </c>
      <c r="W283" s="37"/>
      <c r="X283" s="37" t="s">
        <v>27</v>
      </c>
    </row>
    <row r="284" spans="1:24" x14ac:dyDescent="0.3">
      <c r="A284" s="37">
        <f t="shared" si="11"/>
        <v>283</v>
      </c>
      <c r="B284" s="76" t="s">
        <v>594</v>
      </c>
      <c r="C284" s="76" t="s">
        <v>593</v>
      </c>
      <c r="D284" s="76" t="s">
        <v>2566</v>
      </c>
      <c r="E284" s="77">
        <v>447587725</v>
      </c>
      <c r="F284" s="77">
        <v>3500000</v>
      </c>
      <c r="G284" s="77" t="s">
        <v>2827</v>
      </c>
      <c r="H284" s="77" t="s">
        <v>2866</v>
      </c>
      <c r="I284" s="76" t="s">
        <v>2102</v>
      </c>
      <c r="J284" s="76" t="s">
        <v>48</v>
      </c>
      <c r="K284" s="76" t="e">
        <f>VLOOKUP($B284,'WILL TOKO SEP'!A285:AK1024,37,0)</f>
        <v>#N/A</v>
      </c>
      <c r="L284" s="76" t="s">
        <v>2104</v>
      </c>
      <c r="M284" s="37" t="s">
        <v>3</v>
      </c>
      <c r="N284" s="79">
        <v>46161</v>
      </c>
      <c r="O284" s="79">
        <v>46199</v>
      </c>
      <c r="P284" s="78">
        <v>0</v>
      </c>
      <c r="Q284" s="241">
        <v>0</v>
      </c>
      <c r="R284" s="79" t="str">
        <f>IFERROR(VLOOKUP($B284,JADWAL!$G$6:$J$690,4,0),"")</f>
        <v/>
      </c>
      <c r="S284" s="77">
        <f t="shared" si="10"/>
        <v>1</v>
      </c>
      <c r="T284" s="77"/>
      <c r="U284" s="37" t="s">
        <v>2242</v>
      </c>
      <c r="V284" s="37" t="s">
        <v>2250</v>
      </c>
      <c r="W284" s="37"/>
      <c r="X284" s="37" t="s">
        <v>44</v>
      </c>
    </row>
    <row r="285" spans="1:24" x14ac:dyDescent="0.3">
      <c r="A285" s="37">
        <f t="shared" si="11"/>
        <v>284</v>
      </c>
      <c r="B285" s="76" t="s">
        <v>1003</v>
      </c>
      <c r="C285" s="76" t="s">
        <v>1002</v>
      </c>
      <c r="D285" s="76" t="s">
        <v>2568</v>
      </c>
      <c r="E285" s="77">
        <v>411740136</v>
      </c>
      <c r="F285" s="77">
        <v>3000000</v>
      </c>
      <c r="G285" s="77" t="s">
        <v>2827</v>
      </c>
      <c r="H285" s="77" t="s">
        <v>2866</v>
      </c>
      <c r="I285" s="76" t="s">
        <v>2102</v>
      </c>
      <c r="J285" s="76" t="s">
        <v>48</v>
      </c>
      <c r="K285" s="76" t="str">
        <f>VLOOKUP($B285,'WILL TOKO SEP'!A286:AK1025,37,0)</f>
        <v>BANJAR</v>
      </c>
      <c r="L285" s="76" t="s">
        <v>2104</v>
      </c>
      <c r="M285" s="37" t="s">
        <v>3</v>
      </c>
      <c r="N285" s="78">
        <v>0</v>
      </c>
      <c r="O285" s="79">
        <v>46178</v>
      </c>
      <c r="P285" s="79">
        <v>46223</v>
      </c>
      <c r="Q285" s="241">
        <v>0</v>
      </c>
      <c r="R285" s="79" t="str">
        <f>IFERROR(VLOOKUP($B285,JADWAL!$G$6:$J$690,4,0),"")</f>
        <v/>
      </c>
      <c r="S285" s="77">
        <f t="shared" si="10"/>
        <v>1</v>
      </c>
      <c r="T285" s="77"/>
      <c r="U285" s="37" t="s">
        <v>2242</v>
      </c>
      <c r="V285" s="37" t="s">
        <v>2250</v>
      </c>
      <c r="W285" s="37"/>
      <c r="X285" s="37" t="s">
        <v>44</v>
      </c>
    </row>
    <row r="286" spans="1:24" x14ac:dyDescent="0.3">
      <c r="A286" s="37">
        <f t="shared" si="11"/>
        <v>285</v>
      </c>
      <c r="B286" s="76" t="s">
        <v>1381</v>
      </c>
      <c r="C286" s="76" t="s">
        <v>1380</v>
      </c>
      <c r="D286" s="76" t="s">
        <v>2570</v>
      </c>
      <c r="E286" s="77">
        <v>762285846</v>
      </c>
      <c r="F286" s="77">
        <v>6000000</v>
      </c>
      <c r="G286" s="77" t="s">
        <v>2813</v>
      </c>
      <c r="H286" s="77" t="s">
        <v>2814</v>
      </c>
      <c r="I286" s="76" t="s">
        <v>2102</v>
      </c>
      <c r="J286" s="76" t="s">
        <v>9</v>
      </c>
      <c r="K286" s="76" t="e">
        <f>VLOOKUP($B286,'WILL TOKO SEP'!A287:AK1026,37,0)</f>
        <v>#N/A</v>
      </c>
      <c r="L286" s="76" t="s">
        <v>2103</v>
      </c>
      <c r="M286" s="37" t="s">
        <v>3</v>
      </c>
      <c r="N286" s="79">
        <v>46146</v>
      </c>
      <c r="O286" s="78">
        <v>0</v>
      </c>
      <c r="P286" s="79">
        <v>46206</v>
      </c>
      <c r="Q286" s="241">
        <v>0</v>
      </c>
      <c r="R286" s="79">
        <f>IFERROR(VLOOKUP($B286,JADWAL!$G$6:$J$690,4,0),"")</f>
        <v>46269</v>
      </c>
      <c r="S286" s="77">
        <f t="shared" si="10"/>
        <v>1</v>
      </c>
      <c r="T286" s="77"/>
      <c r="U286" s="37" t="s">
        <v>2242</v>
      </c>
      <c r="V286" s="37" t="s">
        <v>2250</v>
      </c>
      <c r="W286" s="37"/>
      <c r="X286" s="37" t="s">
        <v>124</v>
      </c>
    </row>
    <row r="287" spans="1:24" x14ac:dyDescent="0.3">
      <c r="A287" s="37">
        <f t="shared" si="11"/>
        <v>286</v>
      </c>
      <c r="B287" s="76" t="s">
        <v>1689</v>
      </c>
      <c r="C287" s="76" t="s">
        <v>5783</v>
      </c>
      <c r="D287" s="76" t="s">
        <v>2571</v>
      </c>
      <c r="E287" s="77">
        <v>432946170</v>
      </c>
      <c r="F287" s="77">
        <v>2500000</v>
      </c>
      <c r="G287" s="77" t="s">
        <v>2813</v>
      </c>
      <c r="H287" s="77" t="s">
        <v>2824</v>
      </c>
      <c r="I287" s="76" t="s">
        <v>2102</v>
      </c>
      <c r="J287" s="76" t="s">
        <v>9</v>
      </c>
      <c r="K287" s="76" t="str">
        <f>VLOOKUP($B287,'WILL TOKO SEP'!A288:AK1027,37,0)</f>
        <v>KUTA SELATAN</v>
      </c>
      <c r="L287" s="76" t="s">
        <v>2103</v>
      </c>
      <c r="M287" s="37" t="s">
        <v>3</v>
      </c>
      <c r="N287" s="78">
        <v>0</v>
      </c>
      <c r="O287" s="78">
        <v>0</v>
      </c>
      <c r="P287" s="79">
        <v>46224</v>
      </c>
      <c r="Q287" s="79">
        <v>46241</v>
      </c>
      <c r="R287" s="79" t="str">
        <f>IFERROR(VLOOKUP($B287,JADWAL!$G$6:$J$690,4,0),"")</f>
        <v/>
      </c>
      <c r="S287" s="77">
        <f t="shared" si="10"/>
        <v>2</v>
      </c>
      <c r="T287" s="77"/>
      <c r="U287" s="37" t="s">
        <v>2242</v>
      </c>
      <c r="V287" s="37" t="s">
        <v>2250</v>
      </c>
      <c r="W287" s="37"/>
      <c r="X287" s="37" t="e">
        <v>#N/A</v>
      </c>
    </row>
    <row r="288" spans="1:24" x14ac:dyDescent="0.3">
      <c r="A288" s="37">
        <f t="shared" si="11"/>
        <v>287</v>
      </c>
      <c r="B288" s="76" t="s">
        <v>1284</v>
      </c>
      <c r="C288" s="76" t="s">
        <v>5698</v>
      </c>
      <c r="D288" s="76" t="s">
        <v>2572</v>
      </c>
      <c r="E288" s="77">
        <v>613434387</v>
      </c>
      <c r="F288" s="77">
        <v>3000000</v>
      </c>
      <c r="G288" s="77" t="s">
        <v>2830</v>
      </c>
      <c r="H288" s="77" t="s">
        <v>2860</v>
      </c>
      <c r="I288" s="76" t="s">
        <v>2102</v>
      </c>
      <c r="J288" s="76" t="s">
        <v>9</v>
      </c>
      <c r="K288" s="76" t="e">
        <f>VLOOKUP($B288,'WILL TOKO SEP'!A289:AK1028,37,0)</f>
        <v>#N/A</v>
      </c>
      <c r="L288" s="76" t="s">
        <v>2104</v>
      </c>
      <c r="M288" s="37" t="s">
        <v>3</v>
      </c>
      <c r="N288" s="79">
        <v>46162</v>
      </c>
      <c r="O288" s="78">
        <v>0</v>
      </c>
      <c r="P288" s="79">
        <v>46212</v>
      </c>
      <c r="Q288" s="241">
        <v>0</v>
      </c>
      <c r="R288" s="79">
        <f>IFERROR(VLOOKUP($B288,JADWAL!$G$6:$J$690,4,0),"")</f>
        <v>46268</v>
      </c>
      <c r="S288" s="77">
        <f t="shared" si="10"/>
        <v>1</v>
      </c>
      <c r="T288" s="77"/>
      <c r="U288" s="37" t="s">
        <v>2242</v>
      </c>
      <c r="V288" s="37" t="s">
        <v>2250</v>
      </c>
      <c r="W288" s="37"/>
      <c r="X288" s="37" t="s">
        <v>20</v>
      </c>
    </row>
    <row r="289" spans="1:24" x14ac:dyDescent="0.3">
      <c r="A289" s="37">
        <f t="shared" si="11"/>
        <v>288</v>
      </c>
      <c r="B289" s="76" t="s">
        <v>1138</v>
      </c>
      <c r="C289" s="76" t="s">
        <v>1137</v>
      </c>
      <c r="D289" s="76" t="s">
        <v>5255</v>
      </c>
      <c r="E289" s="77">
        <v>544368169</v>
      </c>
      <c r="F289" s="77">
        <v>4500000</v>
      </c>
      <c r="G289" s="77" t="s">
        <v>2867</v>
      </c>
      <c r="H289" s="77" t="s">
        <v>2875</v>
      </c>
      <c r="I289" s="76" t="s">
        <v>2102</v>
      </c>
      <c r="J289" s="76" t="s">
        <v>4</v>
      </c>
      <c r="K289" s="76" t="str">
        <f>VLOOKUP($B289,'WILL TOKO SEP'!A290:AK1029,37,0)</f>
        <v>DENPASAR TIMUR</v>
      </c>
      <c r="L289" s="76" t="s">
        <v>2103</v>
      </c>
      <c r="M289" s="37" t="s">
        <v>3</v>
      </c>
      <c r="N289" s="79">
        <v>46171</v>
      </c>
      <c r="O289" s="78">
        <v>0</v>
      </c>
      <c r="P289" s="79">
        <v>46218</v>
      </c>
      <c r="Q289" s="241">
        <v>0</v>
      </c>
      <c r="R289" s="79" t="str">
        <f>IFERROR(VLOOKUP($B289,JADWAL!$G$6:$J$690,4,0),"")</f>
        <v/>
      </c>
      <c r="S289" s="77">
        <f t="shared" si="10"/>
        <v>1</v>
      </c>
      <c r="T289" s="77"/>
      <c r="U289" s="37" t="s">
        <v>2242</v>
      </c>
      <c r="V289" s="37" t="s">
        <v>2250</v>
      </c>
      <c r="W289" s="37"/>
      <c r="X289" s="37" t="s">
        <v>2</v>
      </c>
    </row>
    <row r="290" spans="1:24" x14ac:dyDescent="0.3">
      <c r="A290" s="37">
        <f t="shared" si="11"/>
        <v>289</v>
      </c>
      <c r="B290" s="76" t="s">
        <v>1104</v>
      </c>
      <c r="C290" s="76" t="s">
        <v>5716</v>
      </c>
      <c r="D290" s="76" t="s">
        <v>2575</v>
      </c>
      <c r="E290" s="77">
        <v>532312825</v>
      </c>
      <c r="F290" s="77">
        <v>3500000</v>
      </c>
      <c r="G290" s="77" t="s">
        <v>2827</v>
      </c>
      <c r="H290" s="77" t="s">
        <v>2828</v>
      </c>
      <c r="I290" s="76" t="s">
        <v>2102</v>
      </c>
      <c r="J290" s="76" t="s">
        <v>48</v>
      </c>
      <c r="K290" s="76" t="e">
        <f>VLOOKUP($B290,'WILL TOKO SEP'!A291:AK1030,37,0)</f>
        <v>#N/A</v>
      </c>
      <c r="L290" s="76" t="s">
        <v>2104</v>
      </c>
      <c r="M290" s="37" t="s">
        <v>3</v>
      </c>
      <c r="N290" s="78">
        <v>0</v>
      </c>
      <c r="O290" s="78">
        <v>0</v>
      </c>
      <c r="P290" s="79">
        <v>46219</v>
      </c>
      <c r="Q290" s="241">
        <v>0</v>
      </c>
      <c r="R290" s="79" t="str">
        <f>IFERROR(VLOOKUP($B290,JADWAL!$G$6:$J$690,4,0),"")</f>
        <v/>
      </c>
      <c r="S290" s="77">
        <f t="shared" si="10"/>
        <v>2</v>
      </c>
      <c r="T290" s="77"/>
      <c r="U290" s="37" t="s">
        <v>2242</v>
      </c>
      <c r="V290" s="37" t="s">
        <v>2250</v>
      </c>
      <c r="W290" s="37"/>
      <c r="X290" s="37" t="s">
        <v>44</v>
      </c>
    </row>
    <row r="291" spans="1:24" x14ac:dyDescent="0.3">
      <c r="A291" s="37">
        <f t="shared" si="11"/>
        <v>290</v>
      </c>
      <c r="B291" s="76" t="s">
        <v>960</v>
      </c>
      <c r="C291" s="76" t="s">
        <v>959</v>
      </c>
      <c r="D291" s="76" t="s">
        <v>2577</v>
      </c>
      <c r="E291" s="77">
        <v>784020993</v>
      </c>
      <c r="F291" s="77">
        <v>4500000</v>
      </c>
      <c r="G291" s="77" t="s">
        <v>2840</v>
      </c>
      <c r="H291" s="77" t="s">
        <v>2843</v>
      </c>
      <c r="I291" s="76" t="s">
        <v>2102</v>
      </c>
      <c r="J291" s="76" t="s">
        <v>90</v>
      </c>
      <c r="K291" s="76" t="e">
        <f>VLOOKUP($B291,'WILL TOKO SEP'!A292:AK1031,37,0)</f>
        <v>#N/A</v>
      </c>
      <c r="L291" s="76" t="s">
        <v>2104</v>
      </c>
      <c r="M291" s="37" t="s">
        <v>3</v>
      </c>
      <c r="N291" s="79">
        <v>46163</v>
      </c>
      <c r="O291" s="79">
        <v>46197</v>
      </c>
      <c r="P291" s="79">
        <v>46225</v>
      </c>
      <c r="Q291" s="79">
        <v>46260</v>
      </c>
      <c r="R291" s="79" t="str">
        <f>IFERROR(VLOOKUP($B291,JADWAL!$G$6:$J$690,4,0),"")</f>
        <v/>
      </c>
      <c r="S291" s="77">
        <f t="shared" si="10"/>
        <v>0</v>
      </c>
      <c r="T291" s="77"/>
      <c r="U291" s="37" t="s">
        <v>2242</v>
      </c>
      <c r="V291" s="37" t="s">
        <v>2250</v>
      </c>
      <c r="W291" s="37"/>
      <c r="X291" s="37" t="s">
        <v>13</v>
      </c>
    </row>
    <row r="292" spans="1:24" x14ac:dyDescent="0.3">
      <c r="A292" s="37">
        <f t="shared" si="11"/>
        <v>291</v>
      </c>
      <c r="B292" s="76" t="s">
        <v>1741</v>
      </c>
      <c r="C292" s="76" t="s">
        <v>1740</v>
      </c>
      <c r="D292" s="76" t="s">
        <v>2582</v>
      </c>
      <c r="E292" s="77">
        <v>446860921</v>
      </c>
      <c r="F292" s="77">
        <v>3000000</v>
      </c>
      <c r="G292" s="77" t="s">
        <v>2813</v>
      </c>
      <c r="H292" s="77" t="s">
        <v>2858</v>
      </c>
      <c r="I292" s="76" t="s">
        <v>2102</v>
      </c>
      <c r="J292" s="76" t="s">
        <v>9</v>
      </c>
      <c r="K292" s="76" t="e">
        <f>VLOOKUP($B292,'WILL TOKO SEP'!A293:AK1032,37,0)</f>
        <v>#N/A</v>
      </c>
      <c r="L292" s="76" t="s">
        <v>2104</v>
      </c>
      <c r="M292" s="37" t="s">
        <v>3</v>
      </c>
      <c r="N292" s="79">
        <v>46158</v>
      </c>
      <c r="O292" s="79">
        <v>46179</v>
      </c>
      <c r="P292" s="79">
        <v>46205</v>
      </c>
      <c r="Q292" s="79">
        <v>46240</v>
      </c>
      <c r="R292" s="79" t="str">
        <f>IFERROR(VLOOKUP($B292,JADWAL!$G$6:$J$690,4,0),"")</f>
        <v/>
      </c>
      <c r="S292" s="77">
        <f t="shared" si="10"/>
        <v>0</v>
      </c>
      <c r="T292" s="77"/>
      <c r="U292" s="37" t="s">
        <v>2242</v>
      </c>
      <c r="V292" s="37" t="s">
        <v>2078</v>
      </c>
      <c r="W292" s="37"/>
      <c r="X292" s="37" t="e">
        <v>#N/A</v>
      </c>
    </row>
    <row r="293" spans="1:24" x14ac:dyDescent="0.3">
      <c r="A293" s="37">
        <f t="shared" si="11"/>
        <v>292</v>
      </c>
      <c r="B293" s="76" t="s">
        <v>1699</v>
      </c>
      <c r="C293" s="76" t="s">
        <v>1698</v>
      </c>
      <c r="D293" s="76" t="s">
        <v>5399</v>
      </c>
      <c r="E293" s="77">
        <v>791349665</v>
      </c>
      <c r="F293" s="77">
        <v>2000000</v>
      </c>
      <c r="G293" s="77" t="s">
        <v>2867</v>
      </c>
      <c r="H293" s="77" t="s">
        <v>2868</v>
      </c>
      <c r="I293" s="76" t="s">
        <v>2102</v>
      </c>
      <c r="J293" s="76" t="s">
        <v>4</v>
      </c>
      <c r="K293" s="76" t="str">
        <f>VLOOKUP($B293,'WILL TOKO SEP'!A294:AK1033,37,0)</f>
        <v>DENPASAR BARAT</v>
      </c>
      <c r="L293" s="76" t="s">
        <v>2104</v>
      </c>
      <c r="M293" s="37" t="s">
        <v>3</v>
      </c>
      <c r="N293" s="79">
        <v>46164</v>
      </c>
      <c r="O293" s="79">
        <v>46196</v>
      </c>
      <c r="P293" s="79">
        <v>46206</v>
      </c>
      <c r="Q293" s="79">
        <v>46241</v>
      </c>
      <c r="R293" s="79" t="str">
        <f>IFERROR(VLOOKUP($B293,JADWAL!$G$6:$J$690,4,0),"")</f>
        <v/>
      </c>
      <c r="S293" s="77">
        <f t="shared" si="10"/>
        <v>0</v>
      </c>
      <c r="T293" s="77"/>
      <c r="U293" s="37" t="s">
        <v>2242</v>
      </c>
      <c r="V293" s="37" t="s">
        <v>2078</v>
      </c>
      <c r="W293" s="37"/>
      <c r="X293" s="37" t="e">
        <v>#N/A</v>
      </c>
    </row>
    <row r="294" spans="1:24" x14ac:dyDescent="0.3">
      <c r="A294" s="37">
        <f t="shared" si="11"/>
        <v>293</v>
      </c>
      <c r="B294" s="76" t="s">
        <v>1372</v>
      </c>
      <c r="C294" s="76" t="s">
        <v>1371</v>
      </c>
      <c r="D294" s="76" t="s">
        <v>2584</v>
      </c>
      <c r="E294" s="77">
        <v>511623137</v>
      </c>
      <c r="F294" s="77">
        <v>4000000</v>
      </c>
      <c r="G294" s="77" t="s">
        <v>2817</v>
      </c>
      <c r="H294" s="77" t="s">
        <v>2851</v>
      </c>
      <c r="I294" s="76" t="s">
        <v>2102</v>
      </c>
      <c r="J294" s="76" t="s">
        <v>4</v>
      </c>
      <c r="K294" s="76" t="str">
        <f>VLOOKUP($B294,'WILL TOKO SEP'!A295:AK1034,37,0)</f>
        <v>DENPASAR SELATAN</v>
      </c>
      <c r="L294" s="76" t="s">
        <v>2103</v>
      </c>
      <c r="M294" s="37" t="s">
        <v>3</v>
      </c>
      <c r="N294" s="78">
        <v>0</v>
      </c>
      <c r="O294" s="78">
        <v>0</v>
      </c>
      <c r="P294" s="79">
        <v>46206</v>
      </c>
      <c r="Q294" s="241">
        <v>0</v>
      </c>
      <c r="R294" s="79">
        <f>IFERROR(VLOOKUP($B294,JADWAL!$G$6:$J$690,4,0),"")</f>
        <v>46266</v>
      </c>
      <c r="S294" s="77">
        <f t="shared" si="10"/>
        <v>2</v>
      </c>
      <c r="T294" s="77"/>
      <c r="U294" s="37" t="s">
        <v>2242</v>
      </c>
      <c r="V294" s="37" t="s">
        <v>2250</v>
      </c>
      <c r="W294" s="37"/>
      <c r="X294" s="37">
        <v>0</v>
      </c>
    </row>
    <row r="295" spans="1:24" x14ac:dyDescent="0.3">
      <c r="A295" s="37">
        <f t="shared" si="11"/>
        <v>294</v>
      </c>
      <c r="B295" s="76" t="s">
        <v>1653</v>
      </c>
      <c r="C295" s="76" t="s">
        <v>5731</v>
      </c>
      <c r="D295" s="76" t="s">
        <v>2585</v>
      </c>
      <c r="E295" s="77">
        <v>477455130</v>
      </c>
      <c r="F295" s="77">
        <v>3000000</v>
      </c>
      <c r="G295" s="77" t="s">
        <v>2821</v>
      </c>
      <c r="H295" s="77" t="s">
        <v>2833</v>
      </c>
      <c r="I295" s="76" t="s">
        <v>2102</v>
      </c>
      <c r="J295" s="76" t="s">
        <v>36</v>
      </c>
      <c r="K295" s="76" t="e">
        <f>VLOOKUP($B295,'WILL TOKO SEP'!A296:AK1035,37,0)</f>
        <v>#N/A</v>
      </c>
      <c r="L295" s="76" t="s">
        <v>2104</v>
      </c>
      <c r="M295" s="37" t="s">
        <v>3</v>
      </c>
      <c r="N295" s="78">
        <v>0</v>
      </c>
      <c r="O295" s="79">
        <v>46186</v>
      </c>
      <c r="P295" s="78">
        <v>0</v>
      </c>
      <c r="Q295" s="79">
        <v>46242</v>
      </c>
      <c r="R295" s="79" t="str">
        <f>IFERROR(VLOOKUP($B295,JADWAL!$G$6:$J$690,4,0),"")</f>
        <v/>
      </c>
      <c r="S295" s="77">
        <f t="shared" si="10"/>
        <v>2</v>
      </c>
      <c r="T295" s="77"/>
      <c r="U295" s="37" t="s">
        <v>2242</v>
      </c>
      <c r="V295" s="37" t="s">
        <v>2250</v>
      </c>
      <c r="W295" s="37"/>
      <c r="X295" s="37" t="e">
        <v>#N/A</v>
      </c>
    </row>
    <row r="296" spans="1:24" x14ac:dyDescent="0.3">
      <c r="A296" s="37">
        <f t="shared" si="11"/>
        <v>295</v>
      </c>
      <c r="B296" s="76" t="s">
        <v>622</v>
      </c>
      <c r="C296" s="76" t="s">
        <v>5730</v>
      </c>
      <c r="D296" s="76" t="s">
        <v>5433</v>
      </c>
      <c r="E296" s="77">
        <v>538391514</v>
      </c>
      <c r="F296" s="77">
        <v>2000000</v>
      </c>
      <c r="G296" s="77" t="s">
        <v>2827</v>
      </c>
      <c r="H296" s="77" t="s">
        <v>2864</v>
      </c>
      <c r="I296" s="76" t="s">
        <v>2102</v>
      </c>
      <c r="J296" s="76" t="s">
        <v>48</v>
      </c>
      <c r="K296" s="76" t="str">
        <f>VLOOKUP($B296,'WILL TOKO SEP'!A297:AK1036,37,0)</f>
        <v>TEJAKULA</v>
      </c>
      <c r="L296" s="76" t="s">
        <v>2104</v>
      </c>
      <c r="M296" s="37" t="s">
        <v>3</v>
      </c>
      <c r="N296" s="79">
        <v>46160</v>
      </c>
      <c r="O296" s="79">
        <v>46202</v>
      </c>
      <c r="P296" s="78">
        <v>0</v>
      </c>
      <c r="Q296" s="241">
        <v>0</v>
      </c>
      <c r="R296" s="79" t="str">
        <f>IFERROR(VLOOKUP($B296,JADWAL!$G$6:$J$690,4,0),"")</f>
        <v/>
      </c>
      <c r="S296" s="77">
        <f t="shared" si="10"/>
        <v>1</v>
      </c>
      <c r="T296" s="77"/>
      <c r="U296" s="37" t="s">
        <v>2242</v>
      </c>
      <c r="V296" s="37" t="s">
        <v>2250</v>
      </c>
      <c r="W296" s="37"/>
      <c r="X296" s="37" t="s">
        <v>44</v>
      </c>
    </row>
    <row r="297" spans="1:24" x14ac:dyDescent="0.3">
      <c r="A297" s="37">
        <f t="shared" si="11"/>
        <v>296</v>
      </c>
      <c r="B297" s="76" t="s">
        <v>567</v>
      </c>
      <c r="C297" s="76" t="s">
        <v>566</v>
      </c>
      <c r="D297" s="76" t="s">
        <v>5380</v>
      </c>
      <c r="E297" s="77">
        <v>528832263</v>
      </c>
      <c r="F297" s="77">
        <v>2500000</v>
      </c>
      <c r="G297" s="77" t="s">
        <v>2815</v>
      </c>
      <c r="H297" s="77" t="s">
        <v>2855</v>
      </c>
      <c r="I297" s="76" t="s">
        <v>2102</v>
      </c>
      <c r="J297" s="76" t="s">
        <v>28</v>
      </c>
      <c r="K297" s="76" t="str">
        <f>VLOOKUP($B297,'WILL TOKO SEP'!A298:AK1037,37,0)</f>
        <v xml:space="preserve">BLAHBATUH </v>
      </c>
      <c r="L297" s="76" t="s">
        <v>2103</v>
      </c>
      <c r="M297" s="37" t="s">
        <v>3</v>
      </c>
      <c r="N297" s="79">
        <v>46168</v>
      </c>
      <c r="O297" s="79">
        <v>46183</v>
      </c>
      <c r="P297" s="78">
        <v>0</v>
      </c>
      <c r="Q297" s="241">
        <v>0</v>
      </c>
      <c r="R297" s="79" t="str">
        <f>IFERROR(VLOOKUP($B297,JADWAL!$G$6:$J$690,4,0),"")</f>
        <v/>
      </c>
      <c r="S297" s="77">
        <f t="shared" si="10"/>
        <v>1</v>
      </c>
      <c r="T297" s="77"/>
      <c r="U297" s="37" t="s">
        <v>2242</v>
      </c>
      <c r="V297" s="37" t="s">
        <v>2250</v>
      </c>
      <c r="W297" s="37"/>
      <c r="X297" s="37" t="s">
        <v>27</v>
      </c>
    </row>
    <row r="298" spans="1:24" x14ac:dyDescent="0.3">
      <c r="A298" s="37">
        <f t="shared" si="11"/>
        <v>297</v>
      </c>
      <c r="B298" s="76" t="s">
        <v>1404</v>
      </c>
      <c r="C298" s="76" t="s">
        <v>5775</v>
      </c>
      <c r="D298" s="76" t="s">
        <v>2587</v>
      </c>
      <c r="E298" s="77">
        <v>419914755</v>
      </c>
      <c r="F298" s="77">
        <v>2000000</v>
      </c>
      <c r="G298" s="77" t="s">
        <v>2830</v>
      </c>
      <c r="H298" s="77" t="s">
        <v>2849</v>
      </c>
      <c r="I298" s="76" t="s">
        <v>2102</v>
      </c>
      <c r="J298" s="76" t="s">
        <v>4</v>
      </c>
      <c r="K298" s="76" t="str">
        <f>VLOOKUP($B298,'WILL TOKO SEP'!A299:AK1038,37,0)</f>
        <v>DENPASAR UTARA</v>
      </c>
      <c r="L298" s="76" t="s">
        <v>2104</v>
      </c>
      <c r="M298" s="37" t="s">
        <v>3</v>
      </c>
      <c r="N298" s="79">
        <v>46155</v>
      </c>
      <c r="O298" s="79">
        <v>46200</v>
      </c>
      <c r="P298" s="78">
        <v>0</v>
      </c>
      <c r="Q298" s="79">
        <v>46249</v>
      </c>
      <c r="R298" s="79" t="str">
        <f>IFERROR(VLOOKUP($B298,JADWAL!$G$6:$J$690,4,0),"")</f>
        <v/>
      </c>
      <c r="S298" s="77">
        <f t="shared" si="10"/>
        <v>1</v>
      </c>
      <c r="T298" s="77"/>
      <c r="U298" s="37" t="s">
        <v>2242</v>
      </c>
      <c r="V298" s="37" t="s">
        <v>2078</v>
      </c>
      <c r="W298" s="37"/>
      <c r="X298" s="37" t="e">
        <v>#N/A</v>
      </c>
    </row>
    <row r="299" spans="1:24" x14ac:dyDescent="0.3">
      <c r="A299" s="37">
        <f t="shared" si="11"/>
        <v>298</v>
      </c>
      <c r="B299" s="76" t="s">
        <v>1096</v>
      </c>
      <c r="C299" s="76" t="s">
        <v>1095</v>
      </c>
      <c r="D299" s="76" t="s">
        <v>2588</v>
      </c>
      <c r="E299" s="77">
        <v>463755489</v>
      </c>
      <c r="F299" s="77">
        <v>3500000</v>
      </c>
      <c r="G299" s="77" t="s">
        <v>2817</v>
      </c>
      <c r="H299" s="77" t="s">
        <v>2851</v>
      </c>
      <c r="I299" s="76" t="s">
        <v>2102</v>
      </c>
      <c r="J299" s="76" t="s">
        <v>9</v>
      </c>
      <c r="K299" s="76" t="e">
        <f>VLOOKUP($B299,'WILL TOKO SEP'!A300:AK1039,37,0)</f>
        <v>#N/A</v>
      </c>
      <c r="L299" s="76" t="s">
        <v>2104</v>
      </c>
      <c r="M299" s="37" t="s">
        <v>3</v>
      </c>
      <c r="N299" s="79">
        <v>46149</v>
      </c>
      <c r="O299" s="78">
        <v>0</v>
      </c>
      <c r="P299" s="79">
        <v>46220</v>
      </c>
      <c r="Q299" s="241">
        <v>0</v>
      </c>
      <c r="R299" s="79" t="str">
        <f>IFERROR(VLOOKUP($B299,JADWAL!$G$6:$J$690,4,0),"")</f>
        <v/>
      </c>
      <c r="S299" s="77">
        <f t="shared" si="10"/>
        <v>1</v>
      </c>
      <c r="T299" s="77"/>
      <c r="U299" s="37" t="s">
        <v>2242</v>
      </c>
      <c r="V299" s="37" t="s">
        <v>2250</v>
      </c>
      <c r="W299" s="37"/>
      <c r="X299" s="37" t="s">
        <v>124</v>
      </c>
    </row>
    <row r="300" spans="1:24" x14ac:dyDescent="0.3">
      <c r="A300" s="37">
        <f t="shared" si="11"/>
        <v>299</v>
      </c>
      <c r="B300" s="76" t="s">
        <v>1281</v>
      </c>
      <c r="C300" s="76" t="s">
        <v>1280</v>
      </c>
      <c r="D300" s="76" t="s">
        <v>2590</v>
      </c>
      <c r="E300" s="77">
        <v>474378867</v>
      </c>
      <c r="F300" s="77">
        <v>3000000</v>
      </c>
      <c r="G300" s="77" t="s">
        <v>2825</v>
      </c>
      <c r="H300" s="77" t="s">
        <v>2826</v>
      </c>
      <c r="I300" s="76" t="s">
        <v>2102</v>
      </c>
      <c r="J300" s="76" t="s">
        <v>9</v>
      </c>
      <c r="K300" s="76" t="e">
        <f>VLOOKUP($B300,'WILL TOKO SEP'!A301:AK1040,37,0)</f>
        <v>#N/A</v>
      </c>
      <c r="L300" s="76" t="s">
        <v>2104</v>
      </c>
      <c r="M300" s="37" t="s">
        <v>3</v>
      </c>
      <c r="N300" s="78">
        <v>0</v>
      </c>
      <c r="O300" s="78">
        <v>0</v>
      </c>
      <c r="P300" s="79">
        <v>46212</v>
      </c>
      <c r="Q300" s="241">
        <v>0</v>
      </c>
      <c r="R300" s="79" t="str">
        <f>IFERROR(VLOOKUP($B300,JADWAL!$G$6:$J$690,4,0),"")</f>
        <v/>
      </c>
      <c r="S300" s="77">
        <f t="shared" si="10"/>
        <v>2</v>
      </c>
      <c r="T300" s="77"/>
      <c r="U300" s="37" t="s">
        <v>2242</v>
      </c>
      <c r="V300" s="37" t="s">
        <v>2250</v>
      </c>
      <c r="W300" s="37"/>
      <c r="X300" s="37" t="s">
        <v>20</v>
      </c>
    </row>
    <row r="301" spans="1:24" x14ac:dyDescent="0.3">
      <c r="A301" s="37">
        <f t="shared" si="11"/>
        <v>300</v>
      </c>
      <c r="B301" s="76" t="s">
        <v>1577</v>
      </c>
      <c r="C301" s="76" t="s">
        <v>1576</v>
      </c>
      <c r="D301" s="76" t="s">
        <v>2591</v>
      </c>
      <c r="E301" s="77">
        <v>495280468</v>
      </c>
      <c r="F301" s="77">
        <v>3000000</v>
      </c>
      <c r="G301" s="77" t="s">
        <v>2827</v>
      </c>
      <c r="H301" s="77" t="s">
        <v>2828</v>
      </c>
      <c r="I301" s="76" t="s">
        <v>2102</v>
      </c>
      <c r="J301" s="76" t="s">
        <v>48</v>
      </c>
      <c r="K301" s="76" t="str">
        <f>VLOOKUP($B301,'WILL TOKO SEP'!A302:AK1041,37,0)</f>
        <v>BULELENG</v>
      </c>
      <c r="L301" s="76" t="s">
        <v>2104</v>
      </c>
      <c r="M301" s="37" t="s">
        <v>3</v>
      </c>
      <c r="N301" s="79">
        <v>46164</v>
      </c>
      <c r="O301" s="79">
        <v>46198</v>
      </c>
      <c r="P301" s="79">
        <v>46224</v>
      </c>
      <c r="Q301" s="79">
        <v>46245</v>
      </c>
      <c r="R301" s="79" t="str">
        <f>IFERROR(VLOOKUP($B301,JADWAL!$G$6:$J$690,4,0),"")</f>
        <v/>
      </c>
      <c r="S301" s="77">
        <f t="shared" si="10"/>
        <v>0</v>
      </c>
      <c r="T301" s="77"/>
      <c r="U301" s="37" t="s">
        <v>2242</v>
      </c>
      <c r="V301" s="37" t="s">
        <v>2250</v>
      </c>
      <c r="W301" s="37"/>
      <c r="X301" s="37" t="e">
        <v>#N/A</v>
      </c>
    </row>
    <row r="302" spans="1:24" x14ac:dyDescent="0.3">
      <c r="A302" s="37">
        <f t="shared" si="11"/>
        <v>301</v>
      </c>
      <c r="B302" s="76" t="s">
        <v>1328</v>
      </c>
      <c r="C302" s="76" t="s">
        <v>5791</v>
      </c>
      <c r="D302" s="76" t="s">
        <v>2593</v>
      </c>
      <c r="E302" s="77">
        <v>331097438</v>
      </c>
      <c r="F302" s="77">
        <v>2000000</v>
      </c>
      <c r="G302" s="77" t="s">
        <v>2817</v>
      </c>
      <c r="H302" s="77" t="s">
        <v>2865</v>
      </c>
      <c r="I302" s="76" t="s">
        <v>2102</v>
      </c>
      <c r="J302" s="76" t="s">
        <v>9</v>
      </c>
      <c r="K302" s="76" t="str">
        <f>VLOOKUP($B302,'WILL TOKO SEP'!A303:AK1042,37,0)</f>
        <v>KUTA</v>
      </c>
      <c r="L302" s="76" t="s">
        <v>2104</v>
      </c>
      <c r="M302" s="37" t="s">
        <v>3</v>
      </c>
      <c r="N302" s="78">
        <v>0</v>
      </c>
      <c r="O302" s="78">
        <v>0</v>
      </c>
      <c r="P302" s="79">
        <v>46210</v>
      </c>
      <c r="Q302" s="241">
        <v>0</v>
      </c>
      <c r="R302" s="79" t="str">
        <f>IFERROR(VLOOKUP($B302,JADWAL!$G$6:$J$690,4,0),"")</f>
        <v/>
      </c>
      <c r="S302" s="77">
        <f t="shared" si="10"/>
        <v>2</v>
      </c>
      <c r="T302" s="77"/>
      <c r="U302" s="37" t="s">
        <v>2242</v>
      </c>
      <c r="V302" s="37" t="s">
        <v>2250</v>
      </c>
      <c r="W302" s="37"/>
      <c r="X302" s="37" t="s">
        <v>124</v>
      </c>
    </row>
    <row r="303" spans="1:24" x14ac:dyDescent="0.3">
      <c r="A303" s="37">
        <f t="shared" si="11"/>
        <v>302</v>
      </c>
      <c r="B303" s="76" t="s">
        <v>1880</v>
      </c>
      <c r="C303" s="76" t="s">
        <v>1879</v>
      </c>
      <c r="D303" s="76" t="s">
        <v>2594</v>
      </c>
      <c r="E303" s="77">
        <v>349220690</v>
      </c>
      <c r="F303" s="77">
        <v>2000000</v>
      </c>
      <c r="G303" s="77" t="s">
        <v>2813</v>
      </c>
      <c r="H303" s="77" t="s">
        <v>2871</v>
      </c>
      <c r="I303" s="76" t="s">
        <v>2102</v>
      </c>
      <c r="J303" s="76" t="s">
        <v>9</v>
      </c>
      <c r="K303" s="76" t="e">
        <f>VLOOKUP($B303,'WILL TOKO SEP'!A304:AK1043,37,0)</f>
        <v>#N/A</v>
      </c>
      <c r="L303" s="76" t="s">
        <v>2104</v>
      </c>
      <c r="M303" s="37" t="s">
        <v>3</v>
      </c>
      <c r="N303" s="79">
        <v>46151</v>
      </c>
      <c r="O303" s="78">
        <v>0</v>
      </c>
      <c r="P303" s="79">
        <v>46226</v>
      </c>
      <c r="Q303" s="79">
        <v>46235</v>
      </c>
      <c r="R303" s="79" t="str">
        <f>IFERROR(VLOOKUP($B303,JADWAL!$G$6:$J$690,4,0),"")</f>
        <v/>
      </c>
      <c r="S303" s="77">
        <f t="shared" si="10"/>
        <v>1</v>
      </c>
      <c r="T303" s="77"/>
      <c r="U303" s="37" t="s">
        <v>2242</v>
      </c>
      <c r="V303" s="37" t="s">
        <v>2250</v>
      </c>
      <c r="W303" s="37"/>
      <c r="X303" s="37" t="e">
        <v>#N/A</v>
      </c>
    </row>
    <row r="304" spans="1:24" x14ac:dyDescent="0.3">
      <c r="A304" s="37">
        <f t="shared" si="11"/>
        <v>303</v>
      </c>
      <c r="B304" s="76" t="s">
        <v>1583</v>
      </c>
      <c r="C304" s="76" t="s">
        <v>1582</v>
      </c>
      <c r="D304" s="76" t="s">
        <v>2595</v>
      </c>
      <c r="E304" s="77">
        <v>449892117</v>
      </c>
      <c r="F304" s="77">
        <v>2000000</v>
      </c>
      <c r="G304" s="77" t="s">
        <v>2830</v>
      </c>
      <c r="H304" s="77" t="s">
        <v>2860</v>
      </c>
      <c r="I304" s="76" t="s">
        <v>2102</v>
      </c>
      <c r="J304" s="76" t="s">
        <v>9</v>
      </c>
      <c r="K304" s="76" t="e">
        <f>VLOOKUP($B304,'WILL TOKO SEP'!A305:AK1044,37,0)</f>
        <v>#N/A</v>
      </c>
      <c r="L304" s="76" t="s">
        <v>2104</v>
      </c>
      <c r="M304" s="37" t="s">
        <v>3</v>
      </c>
      <c r="N304" s="78">
        <v>0</v>
      </c>
      <c r="O304" s="78">
        <v>0</v>
      </c>
      <c r="P304" s="79">
        <v>46207</v>
      </c>
      <c r="Q304" s="79">
        <v>46245</v>
      </c>
      <c r="R304" s="79" t="str">
        <f>IFERROR(VLOOKUP($B304,JADWAL!$G$6:$J$690,4,0),"")</f>
        <v/>
      </c>
      <c r="S304" s="77">
        <f t="shared" si="10"/>
        <v>2</v>
      </c>
      <c r="T304" s="77"/>
      <c r="U304" s="37" t="s">
        <v>2242</v>
      </c>
      <c r="V304" s="37" t="s">
        <v>2250</v>
      </c>
      <c r="W304" s="37"/>
      <c r="X304" s="37" t="e">
        <v>#N/A</v>
      </c>
    </row>
    <row r="305" spans="1:24" x14ac:dyDescent="0.3">
      <c r="A305" s="37">
        <f t="shared" si="11"/>
        <v>304</v>
      </c>
      <c r="B305" s="76" t="s">
        <v>1141</v>
      </c>
      <c r="C305" s="76" t="s">
        <v>5704</v>
      </c>
      <c r="D305" s="76" t="s">
        <v>2597</v>
      </c>
      <c r="E305" s="77">
        <v>519727723</v>
      </c>
      <c r="F305" s="77">
        <v>3000000</v>
      </c>
      <c r="G305" s="77" t="s">
        <v>2827</v>
      </c>
      <c r="H305" s="77" t="s">
        <v>2848</v>
      </c>
      <c r="I305" s="76" t="s">
        <v>2102</v>
      </c>
      <c r="J305" s="76" t="s">
        <v>48</v>
      </c>
      <c r="K305" s="76" t="str">
        <f>VLOOKUP($B305,'WILL TOKO SEP'!A306:AK1045,37,0)</f>
        <v>SERIRIT</v>
      </c>
      <c r="L305" s="76" t="s">
        <v>2104</v>
      </c>
      <c r="M305" s="37" t="s">
        <v>3</v>
      </c>
      <c r="N305" s="79">
        <v>46167</v>
      </c>
      <c r="O305" s="78">
        <v>0</v>
      </c>
      <c r="P305" s="79">
        <v>46218</v>
      </c>
      <c r="Q305" s="241">
        <v>0</v>
      </c>
      <c r="R305" s="79" t="str">
        <f>IFERROR(VLOOKUP($B305,JADWAL!$G$6:$J$690,4,0),"")</f>
        <v/>
      </c>
      <c r="S305" s="77">
        <f t="shared" si="10"/>
        <v>1</v>
      </c>
      <c r="T305" s="77"/>
      <c r="U305" s="37" t="s">
        <v>2242</v>
      </c>
      <c r="V305" s="37" t="s">
        <v>2250</v>
      </c>
      <c r="W305" s="37"/>
      <c r="X305" s="37" t="s">
        <v>44</v>
      </c>
    </row>
    <row r="306" spans="1:24" x14ac:dyDescent="0.3">
      <c r="A306" s="37">
        <f t="shared" si="11"/>
        <v>305</v>
      </c>
      <c r="B306" s="76" t="s">
        <v>1210</v>
      </c>
      <c r="C306" s="76" t="s">
        <v>1209</v>
      </c>
      <c r="D306" s="76" t="s">
        <v>2599</v>
      </c>
      <c r="E306" s="77">
        <v>397486550</v>
      </c>
      <c r="F306" s="77">
        <v>2000000</v>
      </c>
      <c r="G306" s="77" t="s">
        <v>2827</v>
      </c>
      <c r="H306" s="77" t="s">
        <v>2848</v>
      </c>
      <c r="I306" s="76" t="s">
        <v>2102</v>
      </c>
      <c r="J306" s="76" t="s">
        <v>48</v>
      </c>
      <c r="K306" s="76" t="e">
        <f>VLOOKUP($B306,'WILL TOKO SEP'!A307:AK1046,37,0)</f>
        <v>#N/A</v>
      </c>
      <c r="L306" s="76" t="s">
        <v>2104</v>
      </c>
      <c r="M306" s="37" t="s">
        <v>3</v>
      </c>
      <c r="N306" s="79">
        <v>46163</v>
      </c>
      <c r="O306" s="78">
        <v>0</v>
      </c>
      <c r="P306" s="79">
        <v>46216</v>
      </c>
      <c r="Q306" s="79">
        <v>46260</v>
      </c>
      <c r="R306" s="79" t="str">
        <f>IFERROR(VLOOKUP($B306,JADWAL!$G$6:$J$690,4,0),"")</f>
        <v/>
      </c>
      <c r="S306" s="77">
        <f t="shared" si="10"/>
        <v>1</v>
      </c>
      <c r="T306" s="77"/>
      <c r="U306" s="37" t="s">
        <v>2242</v>
      </c>
      <c r="V306" s="37" t="s">
        <v>2250</v>
      </c>
      <c r="W306" s="37"/>
      <c r="X306" s="37" t="s">
        <v>44</v>
      </c>
    </row>
    <row r="307" spans="1:24" x14ac:dyDescent="0.3">
      <c r="A307" s="37">
        <f t="shared" si="11"/>
        <v>306</v>
      </c>
      <c r="B307" s="76" t="s">
        <v>1605</v>
      </c>
      <c r="C307" s="76" t="s">
        <v>1604</v>
      </c>
      <c r="D307" s="76" t="s">
        <v>2600</v>
      </c>
      <c r="E307" s="77">
        <v>360647419</v>
      </c>
      <c r="F307" s="77">
        <v>2500000</v>
      </c>
      <c r="G307" s="77" t="s">
        <v>2813</v>
      </c>
      <c r="H307" s="77" t="s">
        <v>2871</v>
      </c>
      <c r="I307" s="76" t="s">
        <v>2102</v>
      </c>
      <c r="J307" s="76" t="s">
        <v>9</v>
      </c>
      <c r="K307" s="76" t="e">
        <f>VLOOKUP($B307,'WILL TOKO SEP'!A308:AK1047,37,0)</f>
        <v>#N/A</v>
      </c>
      <c r="L307" s="76" t="s">
        <v>2104</v>
      </c>
      <c r="M307" s="37" t="s">
        <v>3</v>
      </c>
      <c r="N307" s="78">
        <v>0</v>
      </c>
      <c r="O307" s="79">
        <v>46195</v>
      </c>
      <c r="P307" s="78">
        <v>0</v>
      </c>
      <c r="Q307" s="79">
        <v>46244</v>
      </c>
      <c r="R307" s="79" t="str">
        <f>IFERROR(VLOOKUP($B307,JADWAL!$G$6:$J$690,4,0),"")</f>
        <v/>
      </c>
      <c r="S307" s="77">
        <f t="shared" si="10"/>
        <v>2</v>
      </c>
      <c r="T307" s="77"/>
      <c r="U307" s="37" t="s">
        <v>2242</v>
      </c>
      <c r="V307" s="37" t="s">
        <v>2250</v>
      </c>
      <c r="W307" s="37"/>
      <c r="X307" s="37" t="e">
        <v>#N/A</v>
      </c>
    </row>
    <row r="308" spans="1:24" x14ac:dyDescent="0.3">
      <c r="A308" s="37">
        <f t="shared" si="11"/>
        <v>307</v>
      </c>
      <c r="B308" s="76" t="s">
        <v>1089</v>
      </c>
      <c r="C308" s="76" t="s">
        <v>1088</v>
      </c>
      <c r="D308" s="76" t="s">
        <v>2604</v>
      </c>
      <c r="E308" s="77">
        <v>383910404</v>
      </c>
      <c r="F308" s="77">
        <v>2000000</v>
      </c>
      <c r="G308" s="77" t="s">
        <v>2827</v>
      </c>
      <c r="H308" s="77" t="s">
        <v>2848</v>
      </c>
      <c r="I308" s="76" t="s">
        <v>2102</v>
      </c>
      <c r="J308" s="76" t="s">
        <v>48</v>
      </c>
      <c r="K308" s="76" t="str">
        <f>VLOOKUP($B308,'WILL TOKO SEP'!A309:AK1048,37,0)</f>
        <v>GEROKGAK</v>
      </c>
      <c r="L308" s="76" t="s">
        <v>2104</v>
      </c>
      <c r="M308" s="37" t="s">
        <v>3</v>
      </c>
      <c r="N308" s="79">
        <v>46163</v>
      </c>
      <c r="O308" s="79">
        <v>46198</v>
      </c>
      <c r="P308" s="79">
        <v>46220</v>
      </c>
      <c r="Q308" s="241">
        <v>0</v>
      </c>
      <c r="R308" s="79" t="str">
        <f>IFERROR(VLOOKUP($B308,JADWAL!$G$6:$J$690,4,0),"")</f>
        <v/>
      </c>
      <c r="S308" s="77">
        <f t="shared" si="10"/>
        <v>0</v>
      </c>
      <c r="T308" s="77"/>
      <c r="U308" s="37" t="s">
        <v>2242</v>
      </c>
      <c r="V308" s="37" t="s">
        <v>2250</v>
      </c>
      <c r="W308" s="37"/>
      <c r="X308" s="37" t="s">
        <v>44</v>
      </c>
    </row>
    <row r="309" spans="1:24" x14ac:dyDescent="0.3">
      <c r="A309" s="37">
        <f t="shared" si="11"/>
        <v>308</v>
      </c>
      <c r="B309" s="76" t="s">
        <v>1005</v>
      </c>
      <c r="C309" s="76" t="s">
        <v>1004</v>
      </c>
      <c r="D309" s="76" t="s">
        <v>2605</v>
      </c>
      <c r="E309" s="77">
        <v>424383003</v>
      </c>
      <c r="F309" s="77">
        <v>3000000</v>
      </c>
      <c r="G309" s="77" t="s">
        <v>2813</v>
      </c>
      <c r="H309" s="77" t="s">
        <v>2863</v>
      </c>
      <c r="I309" s="76" t="s">
        <v>2102</v>
      </c>
      <c r="J309" s="76" t="s">
        <v>9</v>
      </c>
      <c r="K309" s="76" t="str">
        <f>VLOOKUP($B309,'WILL TOKO SEP'!A310:AK1049,37,0)</f>
        <v>KUTA</v>
      </c>
      <c r="L309" s="76" t="s">
        <v>2104</v>
      </c>
      <c r="M309" s="37" t="s">
        <v>3</v>
      </c>
      <c r="N309" s="78">
        <v>0</v>
      </c>
      <c r="O309" s="78">
        <v>0</v>
      </c>
      <c r="P309" s="79">
        <v>46223</v>
      </c>
      <c r="Q309" s="241">
        <v>0</v>
      </c>
      <c r="R309" s="79" t="str">
        <f>IFERROR(VLOOKUP($B309,JADWAL!$G$6:$J$690,4,0),"")</f>
        <v/>
      </c>
      <c r="S309" s="77">
        <f t="shared" si="10"/>
        <v>2</v>
      </c>
      <c r="T309" s="77"/>
      <c r="U309" s="37" t="s">
        <v>2242</v>
      </c>
      <c r="V309" s="37" t="s">
        <v>2250</v>
      </c>
      <c r="W309" s="37"/>
      <c r="X309" s="37" t="s">
        <v>124</v>
      </c>
    </row>
    <row r="310" spans="1:24" x14ac:dyDescent="0.3">
      <c r="A310" s="37">
        <f t="shared" si="11"/>
        <v>309</v>
      </c>
      <c r="B310" s="76" t="s">
        <v>769</v>
      </c>
      <c r="C310" s="76" t="s">
        <v>768</v>
      </c>
      <c r="D310" s="76" t="s">
        <v>2606</v>
      </c>
      <c r="E310" s="77">
        <v>414071175</v>
      </c>
      <c r="F310" s="77">
        <v>2500000</v>
      </c>
      <c r="G310" s="77" t="s">
        <v>2815</v>
      </c>
      <c r="H310" s="77" t="s">
        <v>2829</v>
      </c>
      <c r="I310" s="76" t="s">
        <v>2102</v>
      </c>
      <c r="J310" s="76" t="s">
        <v>28</v>
      </c>
      <c r="K310" s="76" t="str">
        <f>VLOOKUP($B310,'WILL TOKO SEP'!A311:AK1050,37,0)</f>
        <v>GIANYAR</v>
      </c>
      <c r="L310" s="76" t="s">
        <v>2103</v>
      </c>
      <c r="M310" s="37" t="s">
        <v>3</v>
      </c>
      <c r="N310" s="79">
        <v>46168</v>
      </c>
      <c r="O310" s="78">
        <v>0</v>
      </c>
      <c r="P310" s="79">
        <v>46232</v>
      </c>
      <c r="Q310" s="241">
        <v>0</v>
      </c>
      <c r="R310" s="79" t="str">
        <f>IFERROR(VLOOKUP($B310,JADWAL!$G$6:$J$690,4,0),"")</f>
        <v/>
      </c>
      <c r="S310" s="77">
        <f t="shared" si="10"/>
        <v>1</v>
      </c>
      <c r="T310" s="77"/>
      <c r="U310" s="37" t="s">
        <v>2242</v>
      </c>
      <c r="V310" s="37" t="s">
        <v>2250</v>
      </c>
      <c r="W310" s="37"/>
      <c r="X310" s="37" t="s">
        <v>27</v>
      </c>
    </row>
    <row r="311" spans="1:24" x14ac:dyDescent="0.3">
      <c r="A311" s="37">
        <f t="shared" si="11"/>
        <v>310</v>
      </c>
      <c r="B311" s="76" t="s">
        <v>813</v>
      </c>
      <c r="C311" s="76" t="s">
        <v>812</v>
      </c>
      <c r="D311" s="76" t="s">
        <v>2607</v>
      </c>
      <c r="E311" s="77">
        <v>506212012</v>
      </c>
      <c r="F311" s="77">
        <v>3500000</v>
      </c>
      <c r="G311" s="77" t="s">
        <v>2867</v>
      </c>
      <c r="H311" s="77" t="s">
        <v>2876</v>
      </c>
      <c r="I311" s="76" t="s">
        <v>2102</v>
      </c>
      <c r="J311" s="76" t="s">
        <v>9</v>
      </c>
      <c r="K311" s="76" t="e">
        <f>VLOOKUP($B311,'WILL TOKO SEP'!A312:AK1051,37,0)</f>
        <v>#N/A</v>
      </c>
      <c r="L311" s="76" t="s">
        <v>2103</v>
      </c>
      <c r="M311" s="37" t="s">
        <v>3</v>
      </c>
      <c r="N311" s="78">
        <v>0</v>
      </c>
      <c r="O311" s="78">
        <v>0</v>
      </c>
      <c r="P311" s="79">
        <v>46230</v>
      </c>
      <c r="Q311" s="241">
        <v>0</v>
      </c>
      <c r="R311" s="79" t="str">
        <f>IFERROR(VLOOKUP($B311,JADWAL!$G$6:$J$690,4,0),"")</f>
        <v/>
      </c>
      <c r="S311" s="77">
        <f t="shared" si="10"/>
        <v>2</v>
      </c>
      <c r="T311" s="77"/>
      <c r="U311" s="37" t="s">
        <v>2242</v>
      </c>
      <c r="V311" s="37" t="s">
        <v>2250</v>
      </c>
      <c r="W311" s="37"/>
      <c r="X311" s="37" t="s">
        <v>124</v>
      </c>
    </row>
    <row r="312" spans="1:24" x14ac:dyDescent="0.3">
      <c r="A312" s="37">
        <f t="shared" si="11"/>
        <v>311</v>
      </c>
      <c r="B312" s="76" t="s">
        <v>1250</v>
      </c>
      <c r="C312" s="76" t="s">
        <v>1249</v>
      </c>
      <c r="D312" s="76" t="s">
        <v>2608</v>
      </c>
      <c r="E312" s="77">
        <v>528695521</v>
      </c>
      <c r="F312" s="77">
        <v>3000000</v>
      </c>
      <c r="G312" s="77" t="s">
        <v>2819</v>
      </c>
      <c r="H312" s="77" t="s">
        <v>2862</v>
      </c>
      <c r="I312" s="76" t="s">
        <v>2102</v>
      </c>
      <c r="J312" s="76" t="s">
        <v>9</v>
      </c>
      <c r="K312" s="76" t="str">
        <f>VLOOKUP($B312,'WILL TOKO SEP'!A313:AK1052,37,0)</f>
        <v>KUTA UTARA</v>
      </c>
      <c r="L312" s="76" t="s">
        <v>2104</v>
      </c>
      <c r="M312" s="37" t="s">
        <v>3</v>
      </c>
      <c r="N312" s="78">
        <v>0</v>
      </c>
      <c r="O312" s="78">
        <v>0</v>
      </c>
      <c r="P312" s="79">
        <v>46213</v>
      </c>
      <c r="Q312" s="241">
        <v>0</v>
      </c>
      <c r="R312" s="79" t="str">
        <f>IFERROR(VLOOKUP($B312,JADWAL!$G$6:$J$690,4,0),"")</f>
        <v/>
      </c>
      <c r="S312" s="77">
        <f t="shared" si="10"/>
        <v>2</v>
      </c>
      <c r="T312" s="77"/>
      <c r="U312" s="37" t="s">
        <v>2242</v>
      </c>
      <c r="V312" s="37" t="s">
        <v>2250</v>
      </c>
      <c r="W312" s="37"/>
      <c r="X312" s="37" t="s">
        <v>20</v>
      </c>
    </row>
    <row r="313" spans="1:24" x14ac:dyDescent="0.3">
      <c r="A313" s="37">
        <f t="shared" si="11"/>
        <v>312</v>
      </c>
      <c r="B313" s="76" t="s">
        <v>1191</v>
      </c>
      <c r="C313" s="76" t="s">
        <v>1190</v>
      </c>
      <c r="D313" s="76" t="s">
        <v>2609</v>
      </c>
      <c r="E313" s="77">
        <v>397926090</v>
      </c>
      <c r="F313" s="77">
        <v>2500000</v>
      </c>
      <c r="G313" s="77" t="s">
        <v>2834</v>
      </c>
      <c r="H313" s="77" t="s">
        <v>2839</v>
      </c>
      <c r="I313" s="76" t="s">
        <v>2102</v>
      </c>
      <c r="J313" s="76" t="s">
        <v>32</v>
      </c>
      <c r="K313" s="76" t="str">
        <f>VLOOKUP($B313,'WILL TOKO SEP'!A314:AK1053,37,0)</f>
        <v>KINTAMANI</v>
      </c>
      <c r="L313" s="76" t="s">
        <v>2104</v>
      </c>
      <c r="M313" s="37" t="s">
        <v>3</v>
      </c>
      <c r="N313" s="79">
        <v>46157</v>
      </c>
      <c r="O313" s="78">
        <v>0</v>
      </c>
      <c r="P313" s="79">
        <v>46216</v>
      </c>
      <c r="Q313" s="241">
        <v>0</v>
      </c>
      <c r="R313" s="79" t="str">
        <f>IFERROR(VLOOKUP($B313,JADWAL!$G$6:$J$690,4,0),"")</f>
        <v/>
      </c>
      <c r="S313" s="77">
        <f t="shared" si="10"/>
        <v>1</v>
      </c>
      <c r="T313" s="77"/>
      <c r="U313" s="37" t="s">
        <v>2242</v>
      </c>
      <c r="V313" s="37" t="s">
        <v>2250</v>
      </c>
      <c r="W313" s="37"/>
      <c r="X313" s="37" t="s">
        <v>27</v>
      </c>
    </row>
    <row r="314" spans="1:24" x14ac:dyDescent="0.3">
      <c r="A314" s="37">
        <f t="shared" si="11"/>
        <v>313</v>
      </c>
      <c r="B314" s="76" t="s">
        <v>1163</v>
      </c>
      <c r="C314" s="76" t="s">
        <v>1162</v>
      </c>
      <c r="D314" s="76" t="s">
        <v>5479</v>
      </c>
      <c r="E314" s="77">
        <v>450977590</v>
      </c>
      <c r="F314" s="77">
        <v>2000000</v>
      </c>
      <c r="G314" s="77" t="s">
        <v>2817</v>
      </c>
      <c r="H314" s="77" t="s">
        <v>2850</v>
      </c>
      <c r="I314" s="76" t="s">
        <v>2102</v>
      </c>
      <c r="J314" s="76" t="s">
        <v>4</v>
      </c>
      <c r="K314" s="76" t="str">
        <f>VLOOKUP($B314,'WILL TOKO SEP'!A315:AK1054,37,0)</f>
        <v>DENPASAR TIMUR</v>
      </c>
      <c r="L314" s="76" t="s">
        <v>2103</v>
      </c>
      <c r="M314" s="37" t="s">
        <v>3</v>
      </c>
      <c r="N314" s="78">
        <v>0</v>
      </c>
      <c r="O314" s="78">
        <v>0</v>
      </c>
      <c r="P314" s="79">
        <v>46217</v>
      </c>
      <c r="Q314" s="241">
        <v>0</v>
      </c>
      <c r="R314" s="79" t="str">
        <f>IFERROR(VLOOKUP($B314,JADWAL!$G$6:$J$690,4,0),"")</f>
        <v/>
      </c>
      <c r="S314" s="77">
        <f t="shared" si="10"/>
        <v>2</v>
      </c>
      <c r="T314" s="77"/>
      <c r="U314" s="37" t="s">
        <v>2242</v>
      </c>
      <c r="V314" s="37" t="s">
        <v>2250</v>
      </c>
      <c r="W314" s="37"/>
      <c r="X314" s="37" t="s">
        <v>77</v>
      </c>
    </row>
    <row r="315" spans="1:24" x14ac:dyDescent="0.3">
      <c r="A315" s="37">
        <f t="shared" si="11"/>
        <v>314</v>
      </c>
      <c r="B315" s="76" t="s">
        <v>962</v>
      </c>
      <c r="C315" s="76" t="s">
        <v>961</v>
      </c>
      <c r="D315" s="76" t="s">
        <v>2613</v>
      </c>
      <c r="E315" s="77">
        <v>375929559</v>
      </c>
      <c r="F315" s="77">
        <v>2500000</v>
      </c>
      <c r="G315" s="77" t="s">
        <v>2827</v>
      </c>
      <c r="H315" s="77" t="s">
        <v>2866</v>
      </c>
      <c r="I315" s="76" t="s">
        <v>2102</v>
      </c>
      <c r="J315" s="76" t="s">
        <v>48</v>
      </c>
      <c r="K315" s="76" t="e">
        <f>VLOOKUP($B315,'WILL TOKO SEP'!A316:AK1055,37,0)</f>
        <v>#N/A</v>
      </c>
      <c r="L315" s="76" t="s">
        <v>2104</v>
      </c>
      <c r="M315" s="37" t="s">
        <v>3</v>
      </c>
      <c r="N315" s="79">
        <v>46161</v>
      </c>
      <c r="O315" s="79">
        <v>46195</v>
      </c>
      <c r="P315" s="79">
        <v>46225</v>
      </c>
      <c r="Q315" s="79">
        <v>46261</v>
      </c>
      <c r="R315" s="79" t="str">
        <f>IFERROR(VLOOKUP($B315,JADWAL!$G$6:$J$690,4,0),"")</f>
        <v/>
      </c>
      <c r="S315" s="77">
        <f t="shared" si="10"/>
        <v>0</v>
      </c>
      <c r="T315" s="77"/>
      <c r="U315" s="37" t="s">
        <v>2242</v>
      </c>
      <c r="V315" s="37" t="s">
        <v>2250</v>
      </c>
      <c r="W315" s="37"/>
      <c r="X315" s="37" t="s">
        <v>44</v>
      </c>
    </row>
    <row r="316" spans="1:24" x14ac:dyDescent="0.3">
      <c r="A316" s="37">
        <f t="shared" si="11"/>
        <v>315</v>
      </c>
      <c r="B316" s="76" t="s">
        <v>983</v>
      </c>
      <c r="C316" s="76" t="s">
        <v>5756</v>
      </c>
      <c r="D316" s="76" t="s">
        <v>2614</v>
      </c>
      <c r="E316" s="77">
        <v>468576724</v>
      </c>
      <c r="F316" s="77">
        <v>2500000</v>
      </c>
      <c r="G316" s="77" t="s">
        <v>2827</v>
      </c>
      <c r="H316" s="77" t="s">
        <v>2828</v>
      </c>
      <c r="I316" s="76" t="s">
        <v>2102</v>
      </c>
      <c r="J316" s="76" t="s">
        <v>48</v>
      </c>
      <c r="K316" s="76" t="str">
        <f>VLOOKUP($B316,'WILL TOKO SEP'!A317:AK1056,37,0)</f>
        <v>BULELENG</v>
      </c>
      <c r="L316" s="76" t="s">
        <v>2104</v>
      </c>
      <c r="M316" s="37" t="s">
        <v>3</v>
      </c>
      <c r="N316" s="78">
        <v>0</v>
      </c>
      <c r="O316" s="79">
        <v>46175</v>
      </c>
      <c r="P316" s="79">
        <v>46224</v>
      </c>
      <c r="Q316" s="241">
        <v>0</v>
      </c>
      <c r="R316" s="79" t="str">
        <f>IFERROR(VLOOKUP($B316,JADWAL!$G$6:$J$690,4,0),"")</f>
        <v/>
      </c>
      <c r="S316" s="77">
        <f t="shared" si="10"/>
        <v>1</v>
      </c>
      <c r="T316" s="77"/>
      <c r="U316" s="37" t="s">
        <v>2242</v>
      </c>
      <c r="V316" s="37" t="s">
        <v>2250</v>
      </c>
      <c r="W316" s="37"/>
      <c r="X316" s="37" t="s">
        <v>44</v>
      </c>
    </row>
    <row r="317" spans="1:24" x14ac:dyDescent="0.3">
      <c r="A317" s="37">
        <f t="shared" si="11"/>
        <v>316</v>
      </c>
      <c r="B317" s="76" t="s">
        <v>1730</v>
      </c>
      <c r="C317" s="76" t="s">
        <v>1729</v>
      </c>
      <c r="D317" s="76" t="s">
        <v>2615</v>
      </c>
      <c r="E317" s="77">
        <v>433630590</v>
      </c>
      <c r="F317" s="77">
        <v>3500000</v>
      </c>
      <c r="G317" s="77" t="s">
        <v>2819</v>
      </c>
      <c r="H317" s="77" t="s">
        <v>2823</v>
      </c>
      <c r="I317" s="76" t="s">
        <v>2102</v>
      </c>
      <c r="J317" s="76" t="s">
        <v>9</v>
      </c>
      <c r="K317" s="76" t="e">
        <f>VLOOKUP($B317,'WILL TOKO SEP'!A318:AK1057,37,0)</f>
        <v>#N/A</v>
      </c>
      <c r="L317" s="76" t="s">
        <v>2104</v>
      </c>
      <c r="M317" s="37" t="s">
        <v>3</v>
      </c>
      <c r="N317" s="78">
        <v>0</v>
      </c>
      <c r="O317" s="78">
        <v>0</v>
      </c>
      <c r="P317" s="79">
        <v>46224</v>
      </c>
      <c r="Q317" s="79">
        <v>46240</v>
      </c>
      <c r="R317" s="79">
        <f>IFERROR(VLOOKUP($B317,JADWAL!$G$6:$J$690,4,0),"")</f>
        <v>46269</v>
      </c>
      <c r="S317" s="77">
        <f t="shared" si="10"/>
        <v>2</v>
      </c>
      <c r="T317" s="77"/>
      <c r="U317" s="37" t="s">
        <v>2242</v>
      </c>
      <c r="V317" s="37" t="s">
        <v>2250</v>
      </c>
      <c r="W317" s="37"/>
      <c r="X317" s="37" t="e">
        <v>#N/A</v>
      </c>
    </row>
    <row r="318" spans="1:24" x14ac:dyDescent="0.3">
      <c r="A318" s="37">
        <f t="shared" si="11"/>
        <v>317</v>
      </c>
      <c r="B318" s="76" t="s">
        <v>878</v>
      </c>
      <c r="C318" s="76" t="s">
        <v>5734</v>
      </c>
      <c r="D318" s="76" t="s">
        <v>2616</v>
      </c>
      <c r="E318" s="77">
        <v>514917150</v>
      </c>
      <c r="F318" s="77">
        <v>2500000</v>
      </c>
      <c r="G318" s="77" t="s">
        <v>2840</v>
      </c>
      <c r="H318" s="77" t="s">
        <v>2843</v>
      </c>
      <c r="I318" s="76" t="s">
        <v>2102</v>
      </c>
      <c r="J318" s="76" t="s">
        <v>90</v>
      </c>
      <c r="K318" s="76" t="str">
        <f>VLOOKUP($B318,'WILL TOKO SEP'!A319:AK1058,37,0)</f>
        <v>NEGARA</v>
      </c>
      <c r="L318" s="76" t="s">
        <v>2104</v>
      </c>
      <c r="M318" s="37" t="s">
        <v>3</v>
      </c>
      <c r="N318" s="78">
        <v>0</v>
      </c>
      <c r="O318" s="79">
        <v>46198</v>
      </c>
      <c r="P318" s="79">
        <v>46227</v>
      </c>
      <c r="Q318" s="79">
        <v>46261</v>
      </c>
      <c r="R318" s="79" t="str">
        <f>IFERROR(VLOOKUP($B318,JADWAL!$G$6:$J$690,4,0),"")</f>
        <v/>
      </c>
      <c r="S318" s="77">
        <f t="shared" si="10"/>
        <v>1</v>
      </c>
      <c r="T318" s="77"/>
      <c r="U318" s="37" t="s">
        <v>2242</v>
      </c>
      <c r="V318" s="37" t="s">
        <v>2250</v>
      </c>
      <c r="W318" s="37"/>
      <c r="X318" s="37" t="s">
        <v>13</v>
      </c>
    </row>
    <row r="319" spans="1:24" x14ac:dyDescent="0.3">
      <c r="A319" s="37">
        <f t="shared" si="11"/>
        <v>318</v>
      </c>
      <c r="B319" s="76" t="s">
        <v>1269</v>
      </c>
      <c r="C319" s="76" t="s">
        <v>5713</v>
      </c>
      <c r="D319" s="76" t="s">
        <v>5418</v>
      </c>
      <c r="E319" s="77">
        <v>550830903</v>
      </c>
      <c r="F319" s="77">
        <v>2000000</v>
      </c>
      <c r="G319" s="77" t="s">
        <v>2834</v>
      </c>
      <c r="H319" s="77" t="s">
        <v>2869</v>
      </c>
      <c r="I319" s="76" t="s">
        <v>2102</v>
      </c>
      <c r="J319" s="76" t="s">
        <v>40</v>
      </c>
      <c r="K319" s="76" t="str">
        <f>VLOOKUP($B319,'WILL TOKO SEP'!A320:AK1059,37,0)</f>
        <v>KUBU</v>
      </c>
      <c r="L319" s="76" t="s">
        <v>2104</v>
      </c>
      <c r="M319" s="37" t="s">
        <v>3</v>
      </c>
      <c r="N319" s="78">
        <v>0</v>
      </c>
      <c r="O319" s="78">
        <v>0</v>
      </c>
      <c r="P319" s="79">
        <v>46212</v>
      </c>
      <c r="Q319" s="241">
        <v>0</v>
      </c>
      <c r="R319" s="79" t="str">
        <f>IFERROR(VLOOKUP($B319,JADWAL!$G$6:$J$690,4,0),"")</f>
        <v/>
      </c>
      <c r="S319" s="77">
        <f t="shared" si="10"/>
        <v>2</v>
      </c>
      <c r="T319" s="77"/>
      <c r="U319" s="37" t="s">
        <v>2242</v>
      </c>
      <c r="V319" s="37" t="s">
        <v>2250</v>
      </c>
      <c r="W319" s="37"/>
      <c r="X319" s="37" t="s">
        <v>27</v>
      </c>
    </row>
    <row r="320" spans="1:24" x14ac:dyDescent="0.3">
      <c r="A320" s="37">
        <f t="shared" si="11"/>
        <v>319</v>
      </c>
      <c r="B320" s="76" t="s">
        <v>486</v>
      </c>
      <c r="C320" s="76" t="s">
        <v>485</v>
      </c>
      <c r="D320" s="76" t="s">
        <v>5685</v>
      </c>
      <c r="E320" s="77">
        <v>0</v>
      </c>
      <c r="F320" s="77">
        <v>0</v>
      </c>
      <c r="G320" s="77" t="s">
        <v>2830</v>
      </c>
      <c r="H320" s="77" t="s">
        <v>2849</v>
      </c>
      <c r="I320" s="76" t="s">
        <v>2102</v>
      </c>
      <c r="J320" s="76" t="s">
        <v>1837</v>
      </c>
      <c r="K320" s="76" t="str">
        <f>VLOOKUP($B320,'WILL TOKO SEP'!A321:AK1060,37,0)</f>
        <v>Kuta Utara</v>
      </c>
      <c r="L320" s="76" t="s">
        <v>2104</v>
      </c>
      <c r="M320" s="37" t="s">
        <v>3</v>
      </c>
      <c r="N320" s="78">
        <v>0</v>
      </c>
      <c r="O320" s="78">
        <v>0</v>
      </c>
      <c r="P320" s="78">
        <v>0</v>
      </c>
      <c r="Q320" s="241">
        <v>0</v>
      </c>
      <c r="R320" s="79" t="str">
        <f>IFERROR(VLOOKUP($B320,JADWAL!$G$6:$J$690,4,0),"")</f>
        <v/>
      </c>
      <c r="S320" s="77">
        <f t="shared" si="10"/>
        <v>3</v>
      </c>
      <c r="T320" s="77"/>
      <c r="U320" s="37" t="s">
        <v>2243</v>
      </c>
      <c r="V320" s="37" t="s">
        <v>2250</v>
      </c>
      <c r="W320" s="37"/>
      <c r="X320" s="37">
        <v>0</v>
      </c>
    </row>
    <row r="321" spans="1:24" x14ac:dyDescent="0.3">
      <c r="A321" s="37">
        <f t="shared" si="11"/>
        <v>320</v>
      </c>
      <c r="B321" s="76" t="s">
        <v>988</v>
      </c>
      <c r="C321" s="76" t="s">
        <v>987</v>
      </c>
      <c r="D321" s="76" t="s">
        <v>2621</v>
      </c>
      <c r="E321" s="77">
        <v>533249814</v>
      </c>
      <c r="F321" s="77">
        <v>3000000</v>
      </c>
      <c r="G321" s="77" t="s">
        <v>2815</v>
      </c>
      <c r="H321" s="77" t="s">
        <v>2855</v>
      </c>
      <c r="I321" s="76" t="s">
        <v>2102</v>
      </c>
      <c r="J321" s="76" t="s">
        <v>28</v>
      </c>
      <c r="K321" s="76" t="e">
        <f>VLOOKUP($B321,'WILL TOKO SEP'!A322:AK1061,37,0)</f>
        <v>#N/A</v>
      </c>
      <c r="L321" s="76" t="s">
        <v>2103</v>
      </c>
      <c r="M321" s="37" t="s">
        <v>3</v>
      </c>
      <c r="N321" s="78">
        <v>0</v>
      </c>
      <c r="O321" s="78">
        <v>0</v>
      </c>
      <c r="P321" s="79">
        <v>46224</v>
      </c>
      <c r="Q321" s="241">
        <v>0</v>
      </c>
      <c r="R321" s="79" t="str">
        <f>IFERROR(VLOOKUP($B321,JADWAL!$G$6:$J$690,4,0),"")</f>
        <v/>
      </c>
      <c r="S321" s="77">
        <f t="shared" si="10"/>
        <v>2</v>
      </c>
      <c r="T321" s="77"/>
      <c r="U321" s="37" t="s">
        <v>2242</v>
      </c>
      <c r="V321" s="37" t="s">
        <v>2250</v>
      </c>
      <c r="W321" s="37"/>
      <c r="X321" s="37" t="s">
        <v>27</v>
      </c>
    </row>
    <row r="322" spans="1:24" x14ac:dyDescent="0.3">
      <c r="A322" s="37">
        <f t="shared" si="11"/>
        <v>321</v>
      </c>
      <c r="B322" s="76" t="s">
        <v>1855</v>
      </c>
      <c r="C322" s="76" t="s">
        <v>1854</v>
      </c>
      <c r="D322" s="76" t="s">
        <v>2622</v>
      </c>
      <c r="E322" s="77">
        <v>440777455</v>
      </c>
      <c r="F322" s="77">
        <v>2500000</v>
      </c>
      <c r="G322" s="77" t="s">
        <v>2817</v>
      </c>
      <c r="H322" s="77" t="s">
        <v>2851</v>
      </c>
      <c r="I322" s="76" t="s">
        <v>2102</v>
      </c>
      <c r="J322" s="76" t="s">
        <v>9</v>
      </c>
      <c r="K322" s="76" t="e">
        <f>VLOOKUP($B322,'WILL TOKO SEP'!A323:AK1062,37,0)</f>
        <v>#N/A</v>
      </c>
      <c r="L322" s="76" t="s">
        <v>2104</v>
      </c>
      <c r="M322" s="37" t="s">
        <v>3</v>
      </c>
      <c r="N322" s="79">
        <v>46157</v>
      </c>
      <c r="O322" s="78">
        <v>0</v>
      </c>
      <c r="P322" s="78">
        <v>0</v>
      </c>
      <c r="Q322" s="79">
        <v>46237</v>
      </c>
      <c r="R322" s="79" t="str">
        <f>IFERROR(VLOOKUP($B322,JADWAL!$G$6:$J$690,4,0),"")</f>
        <v/>
      </c>
      <c r="S322" s="77">
        <f t="shared" ref="S322:S385" si="12">COUNTIF(N322:P322,"0")</f>
        <v>2</v>
      </c>
      <c r="T322" s="77"/>
      <c r="U322" s="37" t="s">
        <v>2242</v>
      </c>
      <c r="V322" s="37" t="s">
        <v>2250</v>
      </c>
      <c r="W322" s="37"/>
      <c r="X322" s="37" t="e">
        <v>#N/A</v>
      </c>
    </row>
    <row r="323" spans="1:24" x14ac:dyDescent="0.3">
      <c r="A323" s="37">
        <f t="shared" si="11"/>
        <v>322</v>
      </c>
      <c r="B323" s="76" t="s">
        <v>1695</v>
      </c>
      <c r="C323" s="76" t="s">
        <v>1694</v>
      </c>
      <c r="D323" s="76" t="s">
        <v>2624</v>
      </c>
      <c r="E323" s="77">
        <v>398336746</v>
      </c>
      <c r="F323" s="77">
        <v>2500000</v>
      </c>
      <c r="G323" s="77" t="s">
        <v>2825</v>
      </c>
      <c r="H323" s="77" t="s">
        <v>2836</v>
      </c>
      <c r="I323" s="76" t="s">
        <v>2102</v>
      </c>
      <c r="J323" s="76" t="s">
        <v>36</v>
      </c>
      <c r="K323" s="76" t="e">
        <f>VLOOKUP($B323,'WILL TOKO SEP'!A324:AK1063,37,0)</f>
        <v>#N/A</v>
      </c>
      <c r="L323" s="76" t="s">
        <v>2104</v>
      </c>
      <c r="M323" s="37" t="s">
        <v>3</v>
      </c>
      <c r="N323" s="79">
        <v>46149</v>
      </c>
      <c r="O323" s="79">
        <v>46195</v>
      </c>
      <c r="P323" s="79">
        <v>46216</v>
      </c>
      <c r="Q323" s="79">
        <v>46241</v>
      </c>
      <c r="R323" s="79" t="str">
        <f>IFERROR(VLOOKUP($B323,JADWAL!$G$6:$J$690,4,0),"")</f>
        <v/>
      </c>
      <c r="S323" s="77">
        <f t="shared" si="12"/>
        <v>0</v>
      </c>
      <c r="T323" s="77"/>
      <c r="U323" s="37" t="s">
        <v>2242</v>
      </c>
      <c r="V323" s="37" t="s">
        <v>2078</v>
      </c>
      <c r="W323" s="37"/>
      <c r="X323" s="37" t="e">
        <v>#N/A</v>
      </c>
    </row>
    <row r="324" spans="1:24" x14ac:dyDescent="0.3">
      <c r="A324" s="37">
        <f t="shared" ref="A324:A387" si="13">A323+1</f>
        <v>323</v>
      </c>
      <c r="B324" s="76" t="s">
        <v>570</v>
      </c>
      <c r="C324" s="76" t="s">
        <v>569</v>
      </c>
      <c r="D324" s="76" t="s">
        <v>2625</v>
      </c>
      <c r="E324" s="77">
        <v>552228270</v>
      </c>
      <c r="F324" s="77">
        <v>3000000</v>
      </c>
      <c r="G324" s="77" t="s">
        <v>2834</v>
      </c>
      <c r="H324" s="77" t="s">
        <v>2835</v>
      </c>
      <c r="I324" s="76" t="s">
        <v>2102</v>
      </c>
      <c r="J324" s="76" t="s">
        <v>32</v>
      </c>
      <c r="K324" s="76" t="e">
        <f>VLOOKUP($B324,'WILL TOKO SEP'!A325:AK1064,37,0)</f>
        <v>#N/A</v>
      </c>
      <c r="L324" s="76" t="s">
        <v>2104</v>
      </c>
      <c r="M324" s="37" t="s">
        <v>3</v>
      </c>
      <c r="N324" s="79">
        <v>46167</v>
      </c>
      <c r="O324" s="79">
        <v>46198</v>
      </c>
      <c r="P324" s="78">
        <v>0</v>
      </c>
      <c r="Q324" s="241">
        <v>0</v>
      </c>
      <c r="R324" s="79" t="str">
        <f>IFERROR(VLOOKUP($B324,JADWAL!$G$6:$J$690,4,0),"")</f>
        <v/>
      </c>
      <c r="S324" s="77">
        <f t="shared" si="12"/>
        <v>1</v>
      </c>
      <c r="T324" s="77"/>
      <c r="U324" s="37" t="s">
        <v>2242</v>
      </c>
      <c r="V324" s="37" t="s">
        <v>2250</v>
      </c>
      <c r="W324" s="37"/>
      <c r="X324" s="37" t="s">
        <v>27</v>
      </c>
    </row>
    <row r="325" spans="1:24" x14ac:dyDescent="0.3">
      <c r="A325" s="37">
        <f t="shared" si="13"/>
        <v>324</v>
      </c>
      <c r="B325" s="76" t="s">
        <v>1186</v>
      </c>
      <c r="C325" s="76" t="s">
        <v>5776</v>
      </c>
      <c r="D325" s="76" t="s">
        <v>2626</v>
      </c>
      <c r="E325" s="77">
        <v>419255120</v>
      </c>
      <c r="F325" s="77">
        <v>2000000</v>
      </c>
      <c r="G325" s="77" t="s">
        <v>2825</v>
      </c>
      <c r="H325" s="77" t="s">
        <v>2837</v>
      </c>
      <c r="I325" s="76" t="s">
        <v>2102</v>
      </c>
      <c r="J325" s="76" t="s">
        <v>9</v>
      </c>
      <c r="K325" s="76" t="e">
        <f>VLOOKUP($B325,'WILL TOKO SEP'!A326:AK1065,37,0)</f>
        <v>#N/A</v>
      </c>
      <c r="L325" s="76" t="s">
        <v>2104</v>
      </c>
      <c r="M325" s="37" t="s">
        <v>3</v>
      </c>
      <c r="N325" s="79">
        <v>46168</v>
      </c>
      <c r="O325" s="78">
        <v>0</v>
      </c>
      <c r="P325" s="79">
        <v>46216</v>
      </c>
      <c r="Q325" s="241">
        <v>0</v>
      </c>
      <c r="R325" s="79" t="str">
        <f>IFERROR(VLOOKUP($B325,JADWAL!$G$6:$J$690,4,0),"")</f>
        <v/>
      </c>
      <c r="S325" s="77">
        <f t="shared" si="12"/>
        <v>1</v>
      </c>
      <c r="T325" s="77"/>
      <c r="U325" s="37" t="s">
        <v>2242</v>
      </c>
      <c r="V325" s="37" t="s">
        <v>2250</v>
      </c>
      <c r="W325" s="37"/>
      <c r="X325" s="37" t="s">
        <v>20</v>
      </c>
    </row>
    <row r="326" spans="1:24" x14ac:dyDescent="0.3">
      <c r="A326" s="37">
        <f t="shared" si="13"/>
        <v>325</v>
      </c>
      <c r="B326" s="76" t="s">
        <v>1876</v>
      </c>
      <c r="C326" s="76" t="s">
        <v>1875</v>
      </c>
      <c r="D326" s="76" t="s">
        <v>2627</v>
      </c>
      <c r="E326" s="77">
        <v>533704721</v>
      </c>
      <c r="F326" s="77">
        <v>3000000</v>
      </c>
      <c r="G326" s="77" t="s">
        <v>2819</v>
      </c>
      <c r="H326" s="77" t="s">
        <v>2820</v>
      </c>
      <c r="I326" s="76" t="s">
        <v>2102</v>
      </c>
      <c r="J326" s="76" t="s">
        <v>4</v>
      </c>
      <c r="K326" s="76" t="str">
        <f>VLOOKUP($B326,'WILL TOKO SEP'!A327:AK1066,37,0)</f>
        <v>DENPASAR UTARA</v>
      </c>
      <c r="L326" s="76" t="s">
        <v>2104</v>
      </c>
      <c r="M326" s="37" t="s">
        <v>3</v>
      </c>
      <c r="N326" s="78">
        <v>0</v>
      </c>
      <c r="O326" s="79">
        <v>46179</v>
      </c>
      <c r="P326" s="78">
        <v>0</v>
      </c>
      <c r="Q326" s="79">
        <v>46235</v>
      </c>
      <c r="R326" s="79" t="str">
        <f>IFERROR(VLOOKUP($B326,JADWAL!$G$6:$J$690,4,0),"")</f>
        <v/>
      </c>
      <c r="S326" s="77">
        <f t="shared" si="12"/>
        <v>2</v>
      </c>
      <c r="T326" s="77"/>
      <c r="U326" s="37" t="s">
        <v>2242</v>
      </c>
      <c r="V326" s="37" t="s">
        <v>2250</v>
      </c>
      <c r="W326" s="37"/>
      <c r="X326" s="37" t="e">
        <v>#N/A</v>
      </c>
    </row>
    <row r="327" spans="1:24" x14ac:dyDescent="0.3">
      <c r="A327" s="37">
        <f t="shared" si="13"/>
        <v>326</v>
      </c>
      <c r="B327" s="76" t="s">
        <v>1076</v>
      </c>
      <c r="C327" s="76" t="s">
        <v>1075</v>
      </c>
      <c r="D327" s="76" t="s">
        <v>2631</v>
      </c>
      <c r="E327" s="77">
        <v>764297741</v>
      </c>
      <c r="F327" s="77">
        <v>5500000</v>
      </c>
      <c r="G327" s="77" t="s">
        <v>2813</v>
      </c>
      <c r="H327" s="77" t="s">
        <v>2858</v>
      </c>
      <c r="I327" s="76" t="s">
        <v>2102</v>
      </c>
      <c r="J327" s="76" t="s">
        <v>9</v>
      </c>
      <c r="K327" s="76" t="e">
        <f>VLOOKUP($B327,'WILL TOKO SEP'!A328:AK1067,37,0)</f>
        <v>#N/A</v>
      </c>
      <c r="L327" s="76" t="s">
        <v>2104</v>
      </c>
      <c r="M327" s="37" t="s">
        <v>3</v>
      </c>
      <c r="N327" s="78">
        <v>0</v>
      </c>
      <c r="O327" s="78">
        <v>0</v>
      </c>
      <c r="P327" s="79">
        <v>46220</v>
      </c>
      <c r="Q327" s="241">
        <v>0</v>
      </c>
      <c r="R327" s="79" t="str">
        <f>IFERROR(VLOOKUP($B327,JADWAL!$G$6:$J$690,4,0),"")</f>
        <v/>
      </c>
      <c r="S327" s="77">
        <f t="shared" si="12"/>
        <v>2</v>
      </c>
      <c r="T327" s="77"/>
      <c r="U327" s="37" t="s">
        <v>2242</v>
      </c>
      <c r="V327" s="37" t="s">
        <v>2250</v>
      </c>
      <c r="W327" s="37"/>
      <c r="X327" s="37" t="s">
        <v>20</v>
      </c>
    </row>
    <row r="328" spans="1:24" x14ac:dyDescent="0.3">
      <c r="A328" s="37">
        <f t="shared" si="13"/>
        <v>327</v>
      </c>
      <c r="B328" s="76" t="s">
        <v>955</v>
      </c>
      <c r="C328" s="76" t="s">
        <v>954</v>
      </c>
      <c r="D328" s="76" t="s">
        <v>2633</v>
      </c>
      <c r="E328" s="77">
        <v>601120383</v>
      </c>
      <c r="F328" s="77">
        <v>4000000</v>
      </c>
      <c r="G328" s="77" t="s">
        <v>2819</v>
      </c>
      <c r="H328" s="77" t="s">
        <v>2823</v>
      </c>
      <c r="I328" s="76" t="s">
        <v>2102</v>
      </c>
      <c r="J328" s="76" t="s">
        <v>4</v>
      </c>
      <c r="K328" s="76" t="e">
        <f>VLOOKUP($B328,'WILL TOKO SEP'!A329:AK1068,37,0)</f>
        <v>#N/A</v>
      </c>
      <c r="L328" s="76" t="s">
        <v>2104</v>
      </c>
      <c r="M328" s="37" t="s">
        <v>3</v>
      </c>
      <c r="N328" s="79">
        <v>46172</v>
      </c>
      <c r="O328" s="78">
        <v>0</v>
      </c>
      <c r="P328" s="79">
        <v>46225</v>
      </c>
      <c r="Q328" s="241">
        <v>0</v>
      </c>
      <c r="R328" s="79" t="str">
        <f>IFERROR(VLOOKUP($B328,JADWAL!$G$6:$J$690,4,0),"")</f>
        <v/>
      </c>
      <c r="S328" s="77">
        <f t="shared" si="12"/>
        <v>1</v>
      </c>
      <c r="T328" s="77"/>
      <c r="U328" s="37" t="s">
        <v>2242</v>
      </c>
      <c r="V328" s="37" t="s">
        <v>2250</v>
      </c>
      <c r="W328" s="37"/>
      <c r="X328" s="37" t="s">
        <v>20</v>
      </c>
    </row>
    <row r="329" spans="1:24" x14ac:dyDescent="0.3">
      <c r="A329" s="37">
        <f t="shared" si="13"/>
        <v>328</v>
      </c>
      <c r="B329" s="76" t="s">
        <v>525</v>
      </c>
      <c r="C329" s="76" t="s">
        <v>524</v>
      </c>
      <c r="D329" s="76" t="s">
        <v>2634</v>
      </c>
      <c r="E329" s="77">
        <v>453607279</v>
      </c>
      <c r="F329" s="77">
        <v>3500000</v>
      </c>
      <c r="G329" s="77" t="s">
        <v>2830</v>
      </c>
      <c r="H329" s="77" t="s">
        <v>2831</v>
      </c>
      <c r="I329" s="76" t="s">
        <v>2102</v>
      </c>
      <c r="J329" s="76" t="s">
        <v>4</v>
      </c>
      <c r="K329" s="76" t="e">
        <f>VLOOKUP($B329,'WILL TOKO SEP'!A330:AK1069,37,0)</f>
        <v>#N/A</v>
      </c>
      <c r="L329" s="76" t="s">
        <v>2103</v>
      </c>
      <c r="M329" s="37" t="s">
        <v>3</v>
      </c>
      <c r="N329" s="78">
        <v>0</v>
      </c>
      <c r="O329" s="79">
        <v>46179</v>
      </c>
      <c r="P329" s="78">
        <v>0</v>
      </c>
      <c r="Q329" s="241">
        <v>0</v>
      </c>
      <c r="R329" s="79">
        <f>IFERROR(VLOOKUP($B329,JADWAL!$G$6:$J$690,4,0),"")</f>
        <v>46269</v>
      </c>
      <c r="S329" s="77">
        <f t="shared" si="12"/>
        <v>2</v>
      </c>
      <c r="T329" s="77"/>
      <c r="U329" s="37" t="s">
        <v>2242</v>
      </c>
      <c r="V329" s="37" t="s">
        <v>2250</v>
      </c>
      <c r="W329" s="37"/>
      <c r="X329" s="37" t="s">
        <v>2</v>
      </c>
    </row>
    <row r="330" spans="1:24" x14ac:dyDescent="0.3">
      <c r="A330" s="37">
        <f t="shared" si="13"/>
        <v>329</v>
      </c>
      <c r="B330" s="76" t="s">
        <v>940</v>
      </c>
      <c r="C330" s="76" t="s">
        <v>939</v>
      </c>
      <c r="D330" s="76" t="s">
        <v>2635</v>
      </c>
      <c r="E330" s="77">
        <v>592607140</v>
      </c>
      <c r="F330" s="77">
        <v>4000000</v>
      </c>
      <c r="G330" s="77" t="s">
        <v>2840</v>
      </c>
      <c r="H330" s="77" t="s">
        <v>2872</v>
      </c>
      <c r="I330" s="76" t="s">
        <v>2102</v>
      </c>
      <c r="J330" s="76" t="s">
        <v>48</v>
      </c>
      <c r="K330" s="76" t="e">
        <f>VLOOKUP($B330,'WILL TOKO SEP'!A331:AK1070,37,0)</f>
        <v>#N/A</v>
      </c>
      <c r="L330" s="76" t="s">
        <v>2104</v>
      </c>
      <c r="M330" s="37" t="s">
        <v>3</v>
      </c>
      <c r="N330" s="79">
        <v>46158</v>
      </c>
      <c r="O330" s="79">
        <v>46197</v>
      </c>
      <c r="P330" s="79">
        <v>46226</v>
      </c>
      <c r="Q330" s="241">
        <v>0</v>
      </c>
      <c r="R330" s="79" t="str">
        <f>IFERROR(VLOOKUP($B330,JADWAL!$G$6:$J$690,4,0),"")</f>
        <v/>
      </c>
      <c r="S330" s="77">
        <f t="shared" si="12"/>
        <v>0</v>
      </c>
      <c r="T330" s="77"/>
      <c r="U330" s="37" t="s">
        <v>2242</v>
      </c>
      <c r="V330" s="37" t="s">
        <v>2250</v>
      </c>
      <c r="W330" s="37"/>
      <c r="X330" s="37" t="s">
        <v>44</v>
      </c>
    </row>
    <row r="331" spans="1:24" x14ac:dyDescent="0.3">
      <c r="A331" s="37">
        <f t="shared" si="13"/>
        <v>330</v>
      </c>
      <c r="B331" s="76" t="s">
        <v>1758</v>
      </c>
      <c r="C331" s="76" t="s">
        <v>1757</v>
      </c>
      <c r="D331" s="76" t="s">
        <v>2636</v>
      </c>
      <c r="E331" s="77">
        <v>438558186</v>
      </c>
      <c r="F331" s="77">
        <v>2500000</v>
      </c>
      <c r="G331" s="77" t="s">
        <v>2819</v>
      </c>
      <c r="H331" s="77" t="s">
        <v>2856</v>
      </c>
      <c r="I331" s="76" t="s">
        <v>2102</v>
      </c>
      <c r="J331" s="76" t="s">
        <v>9</v>
      </c>
      <c r="K331" s="76" t="e">
        <f>VLOOKUP($B331,'WILL TOKO SEP'!A332:AK1071,37,0)</f>
        <v>#N/A</v>
      </c>
      <c r="L331" s="76" t="s">
        <v>2104</v>
      </c>
      <c r="M331" s="37" t="s">
        <v>3</v>
      </c>
      <c r="N331" s="79">
        <v>46161</v>
      </c>
      <c r="O331" s="78">
        <v>0</v>
      </c>
      <c r="P331" s="78">
        <v>0</v>
      </c>
      <c r="Q331" s="79">
        <v>46239</v>
      </c>
      <c r="R331" s="79" t="str">
        <f>IFERROR(VLOOKUP($B331,JADWAL!$G$6:$J$690,4,0),"")</f>
        <v/>
      </c>
      <c r="S331" s="77">
        <f t="shared" si="12"/>
        <v>2</v>
      </c>
      <c r="T331" s="77"/>
      <c r="U331" s="37" t="s">
        <v>2242</v>
      </c>
      <c r="V331" s="37" t="s">
        <v>2250</v>
      </c>
      <c r="W331" s="37"/>
      <c r="X331" s="37" t="e">
        <v>#N/A</v>
      </c>
    </row>
    <row r="332" spans="1:24" x14ac:dyDescent="0.3">
      <c r="A332" s="37">
        <f t="shared" si="13"/>
        <v>331</v>
      </c>
      <c r="B332" s="76" t="s">
        <v>1541</v>
      </c>
      <c r="C332" s="76" t="s">
        <v>1540</v>
      </c>
      <c r="D332" s="76" t="s">
        <v>2638</v>
      </c>
      <c r="E332" s="77">
        <v>555800288</v>
      </c>
      <c r="F332" s="77">
        <v>2500000</v>
      </c>
      <c r="G332" s="77" t="s">
        <v>2840</v>
      </c>
      <c r="H332" s="77" t="s">
        <v>2841</v>
      </c>
      <c r="I332" s="76" t="s">
        <v>2102</v>
      </c>
      <c r="J332" s="76" t="s">
        <v>4</v>
      </c>
      <c r="K332" s="76" t="e">
        <f>VLOOKUP($B332,'WILL TOKO SEP'!A333:AK1072,37,0)</f>
        <v>#N/A</v>
      </c>
      <c r="L332" s="76" t="s">
        <v>2103</v>
      </c>
      <c r="M332" s="37" t="s">
        <v>3</v>
      </c>
      <c r="N332" s="79">
        <v>46155</v>
      </c>
      <c r="O332" s="79">
        <v>46185</v>
      </c>
      <c r="P332" s="79">
        <v>46205</v>
      </c>
      <c r="Q332" s="79">
        <v>46246</v>
      </c>
      <c r="R332" s="79" t="str">
        <f>IFERROR(VLOOKUP($B332,JADWAL!$G$6:$J$690,4,0),"")</f>
        <v/>
      </c>
      <c r="S332" s="77">
        <f t="shared" si="12"/>
        <v>0</v>
      </c>
      <c r="T332" s="77"/>
      <c r="U332" s="37" t="s">
        <v>2242</v>
      </c>
      <c r="V332" s="37" t="s">
        <v>2078</v>
      </c>
      <c r="W332" s="37"/>
      <c r="X332" s="37" t="e">
        <v>#N/A</v>
      </c>
    </row>
    <row r="333" spans="1:24" x14ac:dyDescent="0.3">
      <c r="A333" s="37">
        <f t="shared" si="13"/>
        <v>332</v>
      </c>
      <c r="B333" s="76" t="s">
        <v>1419</v>
      </c>
      <c r="C333" s="76" t="s">
        <v>1418</v>
      </c>
      <c r="D333" s="76" t="s">
        <v>2639</v>
      </c>
      <c r="E333" s="77">
        <v>411034333</v>
      </c>
      <c r="F333" s="77">
        <v>2500000</v>
      </c>
      <c r="G333" s="77" t="s">
        <v>2830</v>
      </c>
      <c r="H333" s="77" t="s">
        <v>2838</v>
      </c>
      <c r="I333" s="76" t="s">
        <v>2102</v>
      </c>
      <c r="J333" s="76" t="s">
        <v>4</v>
      </c>
      <c r="K333" s="76" t="e">
        <f>VLOOKUP($B333,'WILL TOKO SEP'!A334:AK1073,37,0)</f>
        <v>#N/A</v>
      </c>
      <c r="L333" s="76" t="s">
        <v>2104</v>
      </c>
      <c r="M333" s="37" t="s">
        <v>3</v>
      </c>
      <c r="N333" s="78">
        <v>0</v>
      </c>
      <c r="O333" s="78">
        <v>0</v>
      </c>
      <c r="P333" s="79">
        <v>46211</v>
      </c>
      <c r="Q333" s="79">
        <v>46249</v>
      </c>
      <c r="R333" s="79" t="str">
        <f>IFERROR(VLOOKUP($B333,JADWAL!$G$6:$J$690,4,0),"")</f>
        <v/>
      </c>
      <c r="S333" s="77">
        <f t="shared" si="12"/>
        <v>2</v>
      </c>
      <c r="T333" s="77"/>
      <c r="U333" s="37" t="s">
        <v>2242</v>
      </c>
      <c r="V333" s="37" t="s">
        <v>2250</v>
      </c>
      <c r="W333" s="37"/>
      <c r="X333" s="37" t="e">
        <v>#N/A</v>
      </c>
    </row>
    <row r="334" spans="1:24" x14ac:dyDescent="0.3">
      <c r="A334" s="37">
        <f t="shared" si="13"/>
        <v>333</v>
      </c>
      <c r="B334" s="76" t="s">
        <v>602</v>
      </c>
      <c r="C334" s="76" t="s">
        <v>601</v>
      </c>
      <c r="D334" s="76" t="s">
        <v>2641</v>
      </c>
      <c r="E334" s="77">
        <v>623457415</v>
      </c>
      <c r="F334" s="77">
        <v>3500000</v>
      </c>
      <c r="G334" s="77" t="s">
        <v>2834</v>
      </c>
      <c r="H334" s="77" t="s">
        <v>2844</v>
      </c>
      <c r="I334" s="76" t="s">
        <v>2102</v>
      </c>
      <c r="J334" s="76" t="s">
        <v>58</v>
      </c>
      <c r="K334" s="76" t="e">
        <f>VLOOKUP($B334,'WILL TOKO SEP'!A335:AK1074,37,0)</f>
        <v>#N/A</v>
      </c>
      <c r="L334" s="76" t="s">
        <v>2104</v>
      </c>
      <c r="M334" s="37" t="s">
        <v>3</v>
      </c>
      <c r="N334" s="79">
        <v>46148</v>
      </c>
      <c r="O334" s="79">
        <v>46197</v>
      </c>
      <c r="P334" s="78">
        <v>0</v>
      </c>
      <c r="Q334" s="241">
        <v>0</v>
      </c>
      <c r="R334" s="79">
        <f>IFERROR(VLOOKUP($B334,JADWAL!$G$6:$J$690,4,0),"")</f>
        <v>46268</v>
      </c>
      <c r="S334" s="77">
        <f t="shared" si="12"/>
        <v>1</v>
      </c>
      <c r="T334" s="77"/>
      <c r="U334" s="37" t="s">
        <v>2242</v>
      </c>
      <c r="V334" s="37" t="s">
        <v>2250</v>
      </c>
      <c r="W334" s="37"/>
      <c r="X334" s="37" t="s">
        <v>27</v>
      </c>
    </row>
    <row r="335" spans="1:24" x14ac:dyDescent="0.3">
      <c r="A335" s="37">
        <f t="shared" si="13"/>
        <v>334</v>
      </c>
      <c r="B335" s="76" t="s">
        <v>1559</v>
      </c>
      <c r="C335" s="76" t="s">
        <v>1558</v>
      </c>
      <c r="D335" s="76" t="s">
        <v>2642</v>
      </c>
      <c r="E335" s="77">
        <v>331154138</v>
      </c>
      <c r="F335" s="77">
        <v>2000000</v>
      </c>
      <c r="G335" s="77" t="s">
        <v>2813</v>
      </c>
      <c r="H335" s="77" t="s">
        <v>2863</v>
      </c>
      <c r="I335" s="76" t="s">
        <v>2102</v>
      </c>
      <c r="J335" s="76" t="s">
        <v>9</v>
      </c>
      <c r="K335" s="76" t="e">
        <f>VLOOKUP($B335,'WILL TOKO SEP'!A336:AK1075,37,0)</f>
        <v>#N/A</v>
      </c>
      <c r="L335" s="76" t="s">
        <v>2104</v>
      </c>
      <c r="M335" s="37" t="s">
        <v>3</v>
      </c>
      <c r="N335" s="79">
        <v>46162</v>
      </c>
      <c r="O335" s="79">
        <v>46191</v>
      </c>
      <c r="P335" s="78">
        <v>0</v>
      </c>
      <c r="Q335" s="79">
        <v>46245</v>
      </c>
      <c r="R335" s="79" t="str">
        <f>IFERROR(VLOOKUP($B335,JADWAL!$G$6:$J$690,4,0),"")</f>
        <v/>
      </c>
      <c r="S335" s="77">
        <f t="shared" si="12"/>
        <v>1</v>
      </c>
      <c r="T335" s="77"/>
      <c r="U335" s="37" t="s">
        <v>2242</v>
      </c>
      <c r="V335" s="37" t="s">
        <v>2250</v>
      </c>
      <c r="W335" s="37"/>
      <c r="X335" s="37" t="e">
        <v>#N/A</v>
      </c>
    </row>
    <row r="336" spans="1:24" x14ac:dyDescent="0.3">
      <c r="A336" s="37">
        <f t="shared" si="13"/>
        <v>335</v>
      </c>
      <c r="B336" s="76" t="s">
        <v>872</v>
      </c>
      <c r="C336" s="76" t="s">
        <v>871</v>
      </c>
      <c r="D336" s="76" t="s">
        <v>2644</v>
      </c>
      <c r="E336" s="77">
        <v>528043546</v>
      </c>
      <c r="F336" s="77">
        <v>3000000</v>
      </c>
      <c r="G336" s="77" t="s">
        <v>2825</v>
      </c>
      <c r="H336" s="77" t="s">
        <v>2837</v>
      </c>
      <c r="I336" s="76" t="s">
        <v>2102</v>
      </c>
      <c r="J336" s="76" t="s">
        <v>9</v>
      </c>
      <c r="K336" s="76" t="str">
        <f>VLOOKUP($B336,'WILL TOKO SEP'!A337:AK1076,37,0)</f>
        <v>MENGWI</v>
      </c>
      <c r="L336" s="76" t="s">
        <v>2104</v>
      </c>
      <c r="M336" s="37" t="s">
        <v>3</v>
      </c>
      <c r="N336" s="79">
        <v>46144</v>
      </c>
      <c r="O336" s="78">
        <v>0</v>
      </c>
      <c r="P336" s="79">
        <v>46228</v>
      </c>
      <c r="Q336" s="241">
        <v>0</v>
      </c>
      <c r="R336" s="79" t="str">
        <f>IFERROR(VLOOKUP($B336,JADWAL!$G$6:$J$690,4,0),"")</f>
        <v/>
      </c>
      <c r="S336" s="77">
        <f t="shared" si="12"/>
        <v>1</v>
      </c>
      <c r="T336" s="77"/>
      <c r="U336" s="37" t="s">
        <v>2242</v>
      </c>
      <c r="V336" s="37" t="s">
        <v>2250</v>
      </c>
      <c r="W336" s="37"/>
      <c r="X336" s="37" t="s">
        <v>20</v>
      </c>
    </row>
    <row r="337" spans="1:24" x14ac:dyDescent="0.3">
      <c r="A337" s="37">
        <f t="shared" si="13"/>
        <v>336</v>
      </c>
      <c r="B337" s="76" t="s">
        <v>1517</v>
      </c>
      <c r="C337" s="76" t="s">
        <v>1516</v>
      </c>
      <c r="D337" s="76" t="s">
        <v>2646</v>
      </c>
      <c r="E337" s="77">
        <v>505739975</v>
      </c>
      <c r="F337" s="77">
        <v>3000000</v>
      </c>
      <c r="G337" s="77" t="s">
        <v>2840</v>
      </c>
      <c r="H337" s="77" t="s">
        <v>2872</v>
      </c>
      <c r="I337" s="76" t="s">
        <v>2102</v>
      </c>
      <c r="J337" s="76" t="s">
        <v>48</v>
      </c>
      <c r="K337" s="76" t="str">
        <f>VLOOKUP($B337,'WILL TOKO SEP'!A338:AK1077,37,0)</f>
        <v>BULELENG</v>
      </c>
      <c r="L337" s="76" t="s">
        <v>2104</v>
      </c>
      <c r="M337" s="37" t="s">
        <v>3</v>
      </c>
      <c r="N337" s="79">
        <v>46165</v>
      </c>
      <c r="O337" s="78">
        <v>0</v>
      </c>
      <c r="P337" s="78">
        <v>0</v>
      </c>
      <c r="Q337" s="79">
        <v>46246</v>
      </c>
      <c r="R337" s="79" t="str">
        <f>IFERROR(VLOOKUP($B337,JADWAL!$G$6:$J$690,4,0),"")</f>
        <v/>
      </c>
      <c r="S337" s="77">
        <f t="shared" si="12"/>
        <v>2</v>
      </c>
      <c r="T337" s="77"/>
      <c r="U337" s="37" t="s">
        <v>2242</v>
      </c>
      <c r="V337" s="37" t="s">
        <v>2250</v>
      </c>
      <c r="W337" s="37"/>
      <c r="X337" s="37" t="e">
        <v>#N/A</v>
      </c>
    </row>
    <row r="338" spans="1:24" x14ac:dyDescent="0.3">
      <c r="A338" s="37">
        <f t="shared" si="13"/>
        <v>337</v>
      </c>
      <c r="B338" s="76" t="s">
        <v>1221</v>
      </c>
      <c r="C338" s="76" t="s">
        <v>5748</v>
      </c>
      <c r="D338" s="76" t="s">
        <v>2647</v>
      </c>
      <c r="E338" s="77">
        <v>470770827</v>
      </c>
      <c r="F338" s="77">
        <v>3000000</v>
      </c>
      <c r="G338" s="77" t="s">
        <v>2815</v>
      </c>
      <c r="H338" s="77" t="s">
        <v>2816</v>
      </c>
      <c r="I338" s="76" t="s">
        <v>2102</v>
      </c>
      <c r="J338" s="76" t="s">
        <v>28</v>
      </c>
      <c r="K338" s="76" t="e">
        <f>VLOOKUP($B338,'WILL TOKO SEP'!A339:AK1078,37,0)</f>
        <v>#N/A</v>
      </c>
      <c r="L338" s="76" t="s">
        <v>2103</v>
      </c>
      <c r="M338" s="37" t="s">
        <v>3</v>
      </c>
      <c r="N338" s="78">
        <v>0</v>
      </c>
      <c r="O338" s="78">
        <v>0</v>
      </c>
      <c r="P338" s="79">
        <v>46214</v>
      </c>
      <c r="Q338" s="241">
        <v>0</v>
      </c>
      <c r="R338" s="79" t="str">
        <f>IFERROR(VLOOKUP($B338,JADWAL!$G$6:$J$690,4,0),"")</f>
        <v/>
      </c>
      <c r="S338" s="77">
        <f t="shared" si="12"/>
        <v>2</v>
      </c>
      <c r="T338" s="77"/>
      <c r="U338" s="37" t="s">
        <v>2242</v>
      </c>
      <c r="V338" s="37" t="s">
        <v>2250</v>
      </c>
      <c r="W338" s="37"/>
      <c r="X338" s="37" t="s">
        <v>27</v>
      </c>
    </row>
    <row r="339" spans="1:24" x14ac:dyDescent="0.3">
      <c r="A339" s="37">
        <f t="shared" si="13"/>
        <v>338</v>
      </c>
      <c r="B339" s="76" t="s">
        <v>996</v>
      </c>
      <c r="C339" s="76" t="s">
        <v>995</v>
      </c>
      <c r="D339" s="76" t="s">
        <v>5632</v>
      </c>
      <c r="E339" s="77">
        <v>649585976</v>
      </c>
      <c r="F339" s="77">
        <v>2000000</v>
      </c>
      <c r="G339" s="77" t="s">
        <v>2819</v>
      </c>
      <c r="H339" s="77" t="s">
        <v>2862</v>
      </c>
      <c r="I339" s="76" t="s">
        <v>2102</v>
      </c>
      <c r="J339" s="76" t="s">
        <v>4</v>
      </c>
      <c r="K339" s="76" t="str">
        <f>VLOOKUP($B339,'WILL TOKO SEP'!A340:AK1079,37,0)</f>
        <v>Denpasar Barat</v>
      </c>
      <c r="L339" s="76" t="s">
        <v>2104</v>
      </c>
      <c r="M339" s="37" t="s">
        <v>3</v>
      </c>
      <c r="N339" s="79">
        <v>46149</v>
      </c>
      <c r="O339" s="79">
        <v>46191</v>
      </c>
      <c r="P339" s="79">
        <v>46224</v>
      </c>
      <c r="Q339" s="241">
        <v>0</v>
      </c>
      <c r="R339" s="79" t="str">
        <f>IFERROR(VLOOKUP($B339,JADWAL!$G$6:$J$690,4,0),"")</f>
        <v/>
      </c>
      <c r="S339" s="77">
        <f t="shared" si="12"/>
        <v>0</v>
      </c>
      <c r="T339" s="77"/>
      <c r="U339" s="37" t="s">
        <v>2242</v>
      </c>
      <c r="V339" s="37" t="s">
        <v>2250</v>
      </c>
      <c r="W339" s="37"/>
      <c r="X339" s="37">
        <v>0</v>
      </c>
    </row>
    <row r="340" spans="1:24" x14ac:dyDescent="0.3">
      <c r="A340" s="37">
        <f t="shared" si="13"/>
        <v>339</v>
      </c>
      <c r="B340" s="76" t="s">
        <v>1878</v>
      </c>
      <c r="C340" s="76" t="s">
        <v>1877</v>
      </c>
      <c r="D340" s="76" t="s">
        <v>5305</v>
      </c>
      <c r="E340" s="77">
        <v>492558211</v>
      </c>
      <c r="F340" s="77">
        <v>2500000</v>
      </c>
      <c r="G340" s="77" t="s">
        <v>2867</v>
      </c>
      <c r="H340" s="77" t="s">
        <v>2875</v>
      </c>
      <c r="I340" s="76" t="s">
        <v>2102</v>
      </c>
      <c r="J340" s="76" t="s">
        <v>4</v>
      </c>
      <c r="K340" s="76" t="str">
        <f>VLOOKUP($B340,'WILL TOKO SEP'!A341:AK1080,37,0)</f>
        <v>DENPASAR SELATAN</v>
      </c>
      <c r="L340" s="76" t="s">
        <v>2103</v>
      </c>
      <c r="M340" s="37" t="s">
        <v>3</v>
      </c>
      <c r="N340" s="79">
        <v>46167</v>
      </c>
      <c r="O340" s="78">
        <v>0</v>
      </c>
      <c r="P340" s="78">
        <v>0</v>
      </c>
      <c r="Q340" s="79">
        <v>46235</v>
      </c>
      <c r="R340" s="79" t="str">
        <f>IFERROR(VLOOKUP($B340,JADWAL!$G$6:$J$690,4,0),"")</f>
        <v/>
      </c>
      <c r="S340" s="77">
        <f t="shared" si="12"/>
        <v>2</v>
      </c>
      <c r="T340" s="77"/>
      <c r="U340" s="37" t="s">
        <v>2242</v>
      </c>
      <c r="V340" s="37" t="s">
        <v>2250</v>
      </c>
      <c r="W340" s="37"/>
      <c r="X340" s="37" t="e">
        <v>#N/A</v>
      </c>
    </row>
    <row r="341" spans="1:24" x14ac:dyDescent="0.3">
      <c r="A341" s="37">
        <f t="shared" si="13"/>
        <v>340</v>
      </c>
      <c r="B341" s="76" t="s">
        <v>992</v>
      </c>
      <c r="C341" s="76" t="s">
        <v>991</v>
      </c>
      <c r="D341" s="76" t="s">
        <v>5531</v>
      </c>
      <c r="E341" s="77">
        <v>365744938</v>
      </c>
      <c r="F341" s="77">
        <v>2000000</v>
      </c>
      <c r="G341" s="77" t="s">
        <v>2834</v>
      </c>
      <c r="H341" s="77" t="s">
        <v>2842</v>
      </c>
      <c r="I341" s="76" t="s">
        <v>2102</v>
      </c>
      <c r="J341" s="76" t="s">
        <v>32</v>
      </c>
      <c r="K341" s="76" t="str">
        <f>VLOOKUP($B341,'WILL TOKO SEP'!A342:AK1081,37,0)</f>
        <v>KINTAMANI</v>
      </c>
      <c r="L341" s="76" t="s">
        <v>2104</v>
      </c>
      <c r="M341" s="37" t="s">
        <v>3</v>
      </c>
      <c r="N341" s="79">
        <v>46157</v>
      </c>
      <c r="O341" s="78">
        <v>0</v>
      </c>
      <c r="P341" s="79">
        <v>46224</v>
      </c>
      <c r="Q341" s="241">
        <v>0</v>
      </c>
      <c r="R341" s="79" t="str">
        <f>IFERROR(VLOOKUP($B341,JADWAL!$G$6:$J$690,4,0),"")</f>
        <v/>
      </c>
      <c r="S341" s="77">
        <f t="shared" si="12"/>
        <v>1</v>
      </c>
      <c r="T341" s="77"/>
      <c r="U341" s="37" t="s">
        <v>2242</v>
      </c>
      <c r="V341" s="37" t="s">
        <v>2250</v>
      </c>
      <c r="W341" s="37"/>
      <c r="X341" s="37" t="s">
        <v>27</v>
      </c>
    </row>
    <row r="342" spans="1:24" x14ac:dyDescent="0.3">
      <c r="A342" s="37">
        <f t="shared" si="13"/>
        <v>341</v>
      </c>
      <c r="B342" s="76" t="s">
        <v>1564</v>
      </c>
      <c r="C342" s="76" t="s">
        <v>5752</v>
      </c>
      <c r="D342" s="76" t="s">
        <v>2649</v>
      </c>
      <c r="E342" s="77">
        <v>464255474</v>
      </c>
      <c r="F342" s="77">
        <v>2000000</v>
      </c>
      <c r="G342" s="77" t="s">
        <v>2819</v>
      </c>
      <c r="H342" s="77" t="s">
        <v>2862</v>
      </c>
      <c r="I342" s="76" t="s">
        <v>2102</v>
      </c>
      <c r="J342" s="76" t="s">
        <v>9</v>
      </c>
      <c r="K342" s="76" t="e">
        <f>VLOOKUP($B342,'WILL TOKO SEP'!A343:AK1082,37,0)</f>
        <v>#N/A</v>
      </c>
      <c r="L342" s="76" t="s">
        <v>2104</v>
      </c>
      <c r="M342" s="37" t="s">
        <v>3</v>
      </c>
      <c r="N342" s="79">
        <v>46155</v>
      </c>
      <c r="O342" s="79">
        <v>46192</v>
      </c>
      <c r="P342" s="78">
        <v>0</v>
      </c>
      <c r="Q342" s="79">
        <v>46245</v>
      </c>
      <c r="R342" s="79" t="str">
        <f>IFERROR(VLOOKUP($B342,JADWAL!$G$6:$J$690,4,0),"")</f>
        <v/>
      </c>
      <c r="S342" s="77">
        <f t="shared" si="12"/>
        <v>1</v>
      </c>
      <c r="T342" s="77"/>
      <c r="U342" s="37" t="s">
        <v>2242</v>
      </c>
      <c r="V342" s="37" t="s">
        <v>2250</v>
      </c>
      <c r="W342" s="37"/>
      <c r="X342" s="37" t="e">
        <v>#N/A</v>
      </c>
    </row>
    <row r="343" spans="1:24" x14ac:dyDescent="0.3">
      <c r="A343" s="37">
        <f t="shared" si="13"/>
        <v>342</v>
      </c>
      <c r="B343" s="76" t="s">
        <v>1359</v>
      </c>
      <c r="C343" s="76" t="s">
        <v>1358</v>
      </c>
      <c r="D343" s="76" t="s">
        <v>2650</v>
      </c>
      <c r="E343" s="77">
        <v>511427413</v>
      </c>
      <c r="F343" s="77">
        <v>3500000</v>
      </c>
      <c r="G343" s="77" t="s">
        <v>2834</v>
      </c>
      <c r="H343" s="77" t="s">
        <v>2844</v>
      </c>
      <c r="I343" s="76" t="s">
        <v>2102</v>
      </c>
      <c r="J343" s="76" t="s">
        <v>28</v>
      </c>
      <c r="K343" s="76" t="e">
        <f>VLOOKUP($B343,'WILL TOKO SEP'!A344:AK1083,37,0)</f>
        <v>#N/A</v>
      </c>
      <c r="L343" s="76" t="s">
        <v>2103</v>
      </c>
      <c r="M343" s="37" t="s">
        <v>3</v>
      </c>
      <c r="N343" s="78">
        <v>0</v>
      </c>
      <c r="O343" s="78">
        <v>0</v>
      </c>
      <c r="P343" s="79">
        <v>46207</v>
      </c>
      <c r="Q343" s="241">
        <v>0</v>
      </c>
      <c r="R343" s="79" t="str">
        <f>IFERROR(VLOOKUP($B343,JADWAL!$G$6:$J$690,4,0),"")</f>
        <v/>
      </c>
      <c r="S343" s="77">
        <f t="shared" si="12"/>
        <v>2</v>
      </c>
      <c r="T343" s="77"/>
      <c r="U343" s="37" t="s">
        <v>2242</v>
      </c>
      <c r="V343" s="37" t="s">
        <v>2250</v>
      </c>
      <c r="W343" s="37"/>
      <c r="X343" s="37" t="s">
        <v>27</v>
      </c>
    </row>
    <row r="344" spans="1:24" x14ac:dyDescent="0.3">
      <c r="A344" s="37">
        <f t="shared" si="13"/>
        <v>343</v>
      </c>
      <c r="B344" s="76" t="s">
        <v>1300</v>
      </c>
      <c r="C344" s="76" t="s">
        <v>1299</v>
      </c>
      <c r="D344" s="76" t="s">
        <v>5551</v>
      </c>
      <c r="E344" s="77">
        <v>529757116</v>
      </c>
      <c r="F344" s="77">
        <v>2000000</v>
      </c>
      <c r="G344" s="77" t="s">
        <v>2813</v>
      </c>
      <c r="H344" s="77" t="s">
        <v>2871</v>
      </c>
      <c r="I344" s="76" t="s">
        <v>2102</v>
      </c>
      <c r="J344" s="76" t="s">
        <v>9</v>
      </c>
      <c r="K344" s="76" t="str">
        <f>VLOOKUP($B344,'WILL TOKO SEP'!A345:AK1084,37,0)</f>
        <v>Kuta</v>
      </c>
      <c r="L344" s="76" t="s">
        <v>2104</v>
      </c>
      <c r="M344" s="37" t="s">
        <v>3</v>
      </c>
      <c r="N344" s="78">
        <v>0</v>
      </c>
      <c r="O344" s="78">
        <v>0</v>
      </c>
      <c r="P344" s="79">
        <v>46211</v>
      </c>
      <c r="Q344" s="241">
        <v>0</v>
      </c>
      <c r="R344" s="79" t="str">
        <f>IFERROR(VLOOKUP($B344,JADWAL!$G$6:$J$690,4,0),"")</f>
        <v/>
      </c>
      <c r="S344" s="77">
        <f t="shared" si="12"/>
        <v>2</v>
      </c>
      <c r="T344" s="77"/>
      <c r="U344" s="37" t="s">
        <v>2242</v>
      </c>
      <c r="V344" s="37" t="s">
        <v>2250</v>
      </c>
      <c r="W344" s="37"/>
      <c r="X344" s="37" t="s">
        <v>124</v>
      </c>
    </row>
    <row r="345" spans="1:24" x14ac:dyDescent="0.3">
      <c r="A345" s="37">
        <f t="shared" si="13"/>
        <v>344</v>
      </c>
      <c r="B345" s="76" t="s">
        <v>702</v>
      </c>
      <c r="C345" s="76" t="s">
        <v>701</v>
      </c>
      <c r="D345" s="76" t="s">
        <v>2651</v>
      </c>
      <c r="E345" s="77">
        <v>751479256</v>
      </c>
      <c r="F345" s="77">
        <v>4500000</v>
      </c>
      <c r="G345" s="77" t="s">
        <v>2821</v>
      </c>
      <c r="H345" s="77" t="s">
        <v>2846</v>
      </c>
      <c r="I345" s="76" t="s">
        <v>2102</v>
      </c>
      <c r="J345" s="76" t="s">
        <v>36</v>
      </c>
      <c r="K345" s="76" t="e">
        <f>VLOOKUP($B345,'WILL TOKO SEP'!A346:AK1085,37,0)</f>
        <v>#N/A</v>
      </c>
      <c r="L345" s="76" t="s">
        <v>2104</v>
      </c>
      <c r="M345" s="37" t="s">
        <v>3</v>
      </c>
      <c r="N345" s="79">
        <v>46170</v>
      </c>
      <c r="O345" s="78">
        <v>0</v>
      </c>
      <c r="P345" s="79">
        <v>46234</v>
      </c>
      <c r="Q345" s="241">
        <v>0</v>
      </c>
      <c r="R345" s="79" t="str">
        <f>IFERROR(VLOOKUP($B345,JADWAL!$G$6:$J$690,4,0),"")</f>
        <v/>
      </c>
      <c r="S345" s="77">
        <f t="shared" si="12"/>
        <v>1</v>
      </c>
      <c r="T345" s="77"/>
      <c r="U345" s="37" t="s">
        <v>2242</v>
      </c>
      <c r="V345" s="37" t="s">
        <v>2250</v>
      </c>
      <c r="W345" s="37"/>
      <c r="X345" s="37" t="s">
        <v>13</v>
      </c>
    </row>
    <row r="346" spans="1:24" x14ac:dyDescent="0.3">
      <c r="A346" s="37">
        <f t="shared" si="13"/>
        <v>345</v>
      </c>
      <c r="B346" s="76" t="s">
        <v>1857</v>
      </c>
      <c r="C346" s="76" t="s">
        <v>5770</v>
      </c>
      <c r="D346" s="76" t="s">
        <v>2652</v>
      </c>
      <c r="E346" s="77">
        <v>404861080</v>
      </c>
      <c r="F346" s="77">
        <v>3000000</v>
      </c>
      <c r="G346" s="77" t="s">
        <v>2817</v>
      </c>
      <c r="H346" s="77" t="s">
        <v>2850</v>
      </c>
      <c r="I346" s="76" t="s">
        <v>2102</v>
      </c>
      <c r="J346" s="76" t="s">
        <v>4</v>
      </c>
      <c r="K346" s="76" t="str">
        <f>VLOOKUP($B346,'WILL TOKO SEP'!A347:AK1086,37,0)</f>
        <v>DENPASAR TIMUR</v>
      </c>
      <c r="L346" s="76" t="s">
        <v>2103</v>
      </c>
      <c r="M346" s="37" t="s">
        <v>3</v>
      </c>
      <c r="N346" s="79">
        <v>46148</v>
      </c>
      <c r="O346" s="78">
        <v>0</v>
      </c>
      <c r="P346" s="78">
        <v>0</v>
      </c>
      <c r="Q346" s="79">
        <v>46237</v>
      </c>
      <c r="R346" s="79" t="str">
        <f>IFERROR(VLOOKUP($B346,JADWAL!$G$6:$J$690,4,0),"")</f>
        <v/>
      </c>
      <c r="S346" s="77">
        <f t="shared" si="12"/>
        <v>2</v>
      </c>
      <c r="T346" s="77"/>
      <c r="U346" s="37" t="s">
        <v>2242</v>
      </c>
      <c r="V346" s="37" t="s">
        <v>2250</v>
      </c>
      <c r="W346" s="37"/>
      <c r="X346" s="37" t="e">
        <v>#N/A</v>
      </c>
    </row>
    <row r="347" spans="1:24" x14ac:dyDescent="0.3">
      <c r="A347" s="37">
        <f t="shared" si="13"/>
        <v>346</v>
      </c>
      <c r="B347" s="76" t="s">
        <v>778</v>
      </c>
      <c r="C347" s="76" t="s">
        <v>777</v>
      </c>
      <c r="D347" s="76" t="s">
        <v>2653</v>
      </c>
      <c r="E347" s="77">
        <v>675667798</v>
      </c>
      <c r="F347" s="77">
        <v>4500000</v>
      </c>
      <c r="G347" s="77" t="s">
        <v>2867</v>
      </c>
      <c r="H347" s="77" t="s">
        <v>2874</v>
      </c>
      <c r="I347" s="76" t="s">
        <v>2102</v>
      </c>
      <c r="J347" s="76" t="s">
        <v>4</v>
      </c>
      <c r="K347" s="76" t="str">
        <f>VLOOKUP($B347,'WILL TOKO SEP'!A348:AK1087,37,0)</f>
        <v>DENPASAR UTARA</v>
      </c>
      <c r="L347" s="76" t="s">
        <v>2104</v>
      </c>
      <c r="M347" s="37" t="s">
        <v>3</v>
      </c>
      <c r="N347" s="79">
        <v>46163</v>
      </c>
      <c r="O347" s="79">
        <v>46195</v>
      </c>
      <c r="P347" s="79">
        <v>46232</v>
      </c>
      <c r="Q347" s="241">
        <v>0</v>
      </c>
      <c r="R347" s="79" t="str">
        <f>IFERROR(VLOOKUP($B347,JADWAL!$G$6:$J$690,4,0),"")</f>
        <v/>
      </c>
      <c r="S347" s="77">
        <f t="shared" si="12"/>
        <v>0</v>
      </c>
      <c r="T347" s="77"/>
      <c r="U347" s="37" t="s">
        <v>2242</v>
      </c>
      <c r="V347" s="37" t="s">
        <v>2250</v>
      </c>
      <c r="W347" s="37"/>
      <c r="X347" s="37" t="s">
        <v>20</v>
      </c>
    </row>
    <row r="348" spans="1:24" x14ac:dyDescent="0.3">
      <c r="A348" s="37">
        <f t="shared" si="13"/>
        <v>347</v>
      </c>
      <c r="B348" s="76" t="s">
        <v>1615</v>
      </c>
      <c r="C348" s="76" t="s">
        <v>1614</v>
      </c>
      <c r="D348" s="76" t="s">
        <v>2654</v>
      </c>
      <c r="E348" s="77">
        <v>427862712</v>
      </c>
      <c r="F348" s="77">
        <v>2500000</v>
      </c>
      <c r="G348" s="77" t="s">
        <v>2825</v>
      </c>
      <c r="H348" s="77" t="s">
        <v>2826</v>
      </c>
      <c r="I348" s="76" t="s">
        <v>2102</v>
      </c>
      <c r="J348" s="76" t="s">
        <v>9</v>
      </c>
      <c r="K348" s="76" t="str">
        <f>VLOOKUP($B348,'WILL TOKO SEP'!A349:AK1088,37,0)</f>
        <v>KUTA UTARA</v>
      </c>
      <c r="L348" s="76" t="s">
        <v>2104</v>
      </c>
      <c r="M348" s="37" t="s">
        <v>3</v>
      </c>
      <c r="N348" s="79">
        <v>46155</v>
      </c>
      <c r="O348" s="79">
        <v>46192</v>
      </c>
      <c r="P348" s="79">
        <v>46224</v>
      </c>
      <c r="Q348" s="79">
        <v>46244</v>
      </c>
      <c r="R348" s="79" t="str">
        <f>IFERROR(VLOOKUP($B348,JADWAL!$G$6:$J$690,4,0),"")</f>
        <v/>
      </c>
      <c r="S348" s="77">
        <f t="shared" si="12"/>
        <v>0</v>
      </c>
      <c r="T348" s="77"/>
      <c r="U348" s="37" t="s">
        <v>2242</v>
      </c>
      <c r="V348" s="37" t="s">
        <v>2078</v>
      </c>
      <c r="W348" s="37"/>
      <c r="X348" s="37" t="e">
        <v>#N/A</v>
      </c>
    </row>
    <row r="349" spans="1:24" x14ac:dyDescent="0.3">
      <c r="A349" s="37">
        <f t="shared" si="13"/>
        <v>348</v>
      </c>
      <c r="B349" s="76" t="s">
        <v>1259</v>
      </c>
      <c r="C349" s="76" t="s">
        <v>1258</v>
      </c>
      <c r="D349" s="76" t="s">
        <v>2656</v>
      </c>
      <c r="E349" s="77">
        <v>430388467</v>
      </c>
      <c r="F349" s="77">
        <v>2000000</v>
      </c>
      <c r="G349" s="77" t="s">
        <v>2821</v>
      </c>
      <c r="H349" s="77" t="s">
        <v>2846</v>
      </c>
      <c r="I349" s="76" t="s">
        <v>2102</v>
      </c>
      <c r="J349" s="76" t="s">
        <v>36</v>
      </c>
      <c r="K349" s="76" t="str">
        <f>VLOOKUP($B349,'WILL TOKO SEP'!A350:AK1089,37,0)</f>
        <v>TABANAN</v>
      </c>
      <c r="L349" s="76" t="s">
        <v>2104</v>
      </c>
      <c r="M349" s="37" t="s">
        <v>3</v>
      </c>
      <c r="N349" s="79">
        <v>46157</v>
      </c>
      <c r="O349" s="79">
        <v>46188</v>
      </c>
      <c r="P349" s="79">
        <v>46213</v>
      </c>
      <c r="Q349" s="241">
        <v>0</v>
      </c>
      <c r="R349" s="79" t="str">
        <f>IFERROR(VLOOKUP($B349,JADWAL!$G$6:$J$690,4,0),"")</f>
        <v/>
      </c>
      <c r="S349" s="77">
        <f t="shared" si="12"/>
        <v>0</v>
      </c>
      <c r="T349" s="77"/>
      <c r="U349" s="37" t="s">
        <v>2242</v>
      </c>
      <c r="V349" s="37" t="s">
        <v>2250</v>
      </c>
      <c r="W349" s="37"/>
      <c r="X349" s="37" t="s">
        <v>13</v>
      </c>
    </row>
    <row r="350" spans="1:24" x14ac:dyDescent="0.3">
      <c r="A350" s="37">
        <f t="shared" si="13"/>
        <v>349</v>
      </c>
      <c r="B350" s="76" t="s">
        <v>1683</v>
      </c>
      <c r="C350" s="76" t="s">
        <v>1682</v>
      </c>
      <c r="D350" s="76" t="s">
        <v>2657</v>
      </c>
      <c r="E350" s="77">
        <v>628089076</v>
      </c>
      <c r="F350" s="77">
        <v>4000000</v>
      </c>
      <c r="G350" s="77" t="s">
        <v>2819</v>
      </c>
      <c r="H350" s="77" t="s">
        <v>2856</v>
      </c>
      <c r="I350" s="76" t="s">
        <v>2102</v>
      </c>
      <c r="J350" s="76" t="s">
        <v>9</v>
      </c>
      <c r="K350" s="76" t="e">
        <f>VLOOKUP($B350,'WILL TOKO SEP'!A351:AK1090,37,0)</f>
        <v>#N/A</v>
      </c>
      <c r="L350" s="76" t="s">
        <v>2104</v>
      </c>
      <c r="M350" s="37" t="s">
        <v>3</v>
      </c>
      <c r="N350" s="79">
        <v>46154</v>
      </c>
      <c r="O350" s="78">
        <v>0</v>
      </c>
      <c r="P350" s="78">
        <v>0</v>
      </c>
      <c r="Q350" s="79">
        <v>46241</v>
      </c>
      <c r="R350" s="79" t="str">
        <f>IFERROR(VLOOKUP($B350,JADWAL!$G$6:$J$690,4,0),"")</f>
        <v/>
      </c>
      <c r="S350" s="77">
        <f t="shared" si="12"/>
        <v>2</v>
      </c>
      <c r="T350" s="77"/>
      <c r="U350" s="37" t="s">
        <v>2242</v>
      </c>
      <c r="V350" s="37" t="s">
        <v>2250</v>
      </c>
      <c r="W350" s="37"/>
      <c r="X350" s="37" t="e">
        <v>#N/A</v>
      </c>
    </row>
    <row r="351" spans="1:24" x14ac:dyDescent="0.3">
      <c r="A351" s="37">
        <f t="shared" si="13"/>
        <v>350</v>
      </c>
      <c r="B351" s="76" t="s">
        <v>1081</v>
      </c>
      <c r="C351" s="76" t="s">
        <v>1080</v>
      </c>
      <c r="D351" s="76" t="s">
        <v>2658</v>
      </c>
      <c r="E351" s="77">
        <v>376165127</v>
      </c>
      <c r="F351" s="77">
        <v>2000000</v>
      </c>
      <c r="G351" s="77" t="s">
        <v>2834</v>
      </c>
      <c r="H351" s="77" t="s">
        <v>2844</v>
      </c>
      <c r="I351" s="76" t="s">
        <v>2102</v>
      </c>
      <c r="J351" s="76" t="s">
        <v>28</v>
      </c>
      <c r="K351" s="76" t="str">
        <f>VLOOKUP($B351,'WILL TOKO SEP'!A352:AK1091,37,0)</f>
        <v>GIANYAR</v>
      </c>
      <c r="L351" s="76" t="s">
        <v>2103</v>
      </c>
      <c r="M351" s="37" t="s">
        <v>3</v>
      </c>
      <c r="N351" s="79">
        <v>46170</v>
      </c>
      <c r="O351" s="78">
        <v>0</v>
      </c>
      <c r="P351" s="79">
        <v>46220</v>
      </c>
      <c r="Q351" s="241">
        <v>0</v>
      </c>
      <c r="R351" s="79" t="str">
        <f>IFERROR(VLOOKUP($B351,JADWAL!$G$6:$J$690,4,0),"")</f>
        <v/>
      </c>
      <c r="S351" s="77">
        <f t="shared" si="12"/>
        <v>1</v>
      </c>
      <c r="T351" s="77"/>
      <c r="U351" s="37" t="s">
        <v>2242</v>
      </c>
      <c r="V351" s="37" t="s">
        <v>2250</v>
      </c>
      <c r="W351" s="37"/>
      <c r="X351" s="37" t="s">
        <v>27</v>
      </c>
    </row>
    <row r="352" spans="1:24" x14ac:dyDescent="0.3">
      <c r="A352" s="37">
        <f t="shared" si="13"/>
        <v>351</v>
      </c>
      <c r="B352" s="76" t="s">
        <v>1601</v>
      </c>
      <c r="C352" s="76" t="s">
        <v>1600</v>
      </c>
      <c r="D352" s="76" t="s">
        <v>2659</v>
      </c>
      <c r="E352" s="77">
        <v>340185782</v>
      </c>
      <c r="F352" s="77">
        <v>3000000</v>
      </c>
      <c r="G352" s="77" t="s">
        <v>2813</v>
      </c>
      <c r="H352" s="77" t="s">
        <v>2814</v>
      </c>
      <c r="I352" s="76" t="s">
        <v>2102</v>
      </c>
      <c r="J352" s="76" t="s">
        <v>9</v>
      </c>
      <c r="K352" s="76" t="str">
        <f>VLOOKUP($B352,'WILL TOKO SEP'!A353:AK1092,37,0)</f>
        <v>KUTA SELATAN</v>
      </c>
      <c r="L352" s="76" t="s">
        <v>2103</v>
      </c>
      <c r="M352" s="37" t="s">
        <v>3</v>
      </c>
      <c r="N352" s="78">
        <v>0</v>
      </c>
      <c r="O352" s="79">
        <v>46175</v>
      </c>
      <c r="P352" s="78">
        <v>0</v>
      </c>
      <c r="Q352" s="79">
        <v>46244</v>
      </c>
      <c r="R352" s="79" t="str">
        <f>IFERROR(VLOOKUP($B352,JADWAL!$G$6:$J$690,4,0),"")</f>
        <v/>
      </c>
      <c r="S352" s="77">
        <f t="shared" si="12"/>
        <v>2</v>
      </c>
      <c r="T352" s="77"/>
      <c r="U352" s="37" t="s">
        <v>2242</v>
      </c>
      <c r="V352" s="37" t="s">
        <v>2250</v>
      </c>
      <c r="W352" s="37"/>
      <c r="X352" s="37" t="e">
        <v>#N/A</v>
      </c>
    </row>
    <row r="353" spans="1:24" x14ac:dyDescent="0.3">
      <c r="A353" s="37">
        <f t="shared" si="13"/>
        <v>352</v>
      </c>
      <c r="B353" s="76" t="s">
        <v>1379</v>
      </c>
      <c r="C353" s="76" t="s">
        <v>1378</v>
      </c>
      <c r="D353" s="76" t="s">
        <v>2660</v>
      </c>
      <c r="E353" s="77">
        <v>538368140</v>
      </c>
      <c r="F353" s="77">
        <v>3000000</v>
      </c>
      <c r="G353" s="77" t="s">
        <v>2867</v>
      </c>
      <c r="H353" s="77" t="s">
        <v>2876</v>
      </c>
      <c r="I353" s="76" t="s">
        <v>2102</v>
      </c>
      <c r="J353" s="76" t="s">
        <v>9</v>
      </c>
      <c r="K353" s="76" t="e">
        <f>VLOOKUP($B353,'WILL TOKO SEP'!A354:AK1093,37,0)</f>
        <v>#N/A</v>
      </c>
      <c r="L353" s="76" t="s">
        <v>2103</v>
      </c>
      <c r="M353" s="37" t="s">
        <v>3</v>
      </c>
      <c r="N353" s="78">
        <v>0</v>
      </c>
      <c r="O353" s="78">
        <v>0</v>
      </c>
      <c r="P353" s="79">
        <v>46206</v>
      </c>
      <c r="Q353" s="241">
        <v>0</v>
      </c>
      <c r="R353" s="79">
        <f>IFERROR(VLOOKUP($B353,JADWAL!$G$6:$J$690,4,0),"")</f>
        <v>46269</v>
      </c>
      <c r="S353" s="77">
        <f t="shared" si="12"/>
        <v>2</v>
      </c>
      <c r="T353" s="77"/>
      <c r="U353" s="37" t="s">
        <v>2242</v>
      </c>
      <c r="V353" s="37" t="s">
        <v>2250</v>
      </c>
      <c r="W353" s="37"/>
      <c r="X353" s="37" t="s">
        <v>124</v>
      </c>
    </row>
    <row r="354" spans="1:24" x14ac:dyDescent="0.3">
      <c r="A354" s="37">
        <f t="shared" si="13"/>
        <v>353</v>
      </c>
      <c r="B354" s="76" t="s">
        <v>1322</v>
      </c>
      <c r="C354" s="76" t="s">
        <v>1321</v>
      </c>
      <c r="D354" s="76" t="s">
        <v>2661</v>
      </c>
      <c r="E354" s="77">
        <v>0</v>
      </c>
      <c r="F354" s="77">
        <v>3000000</v>
      </c>
      <c r="G354" s="77" t="s">
        <v>2827</v>
      </c>
      <c r="H354" s="77" t="s">
        <v>2864</v>
      </c>
      <c r="I354" s="76" t="s">
        <v>2102</v>
      </c>
      <c r="J354" s="76" t="s">
        <v>48</v>
      </c>
      <c r="K354" s="76" t="str">
        <f>VLOOKUP($B354,'WILL TOKO SEP'!A355:AK1094,37,0)</f>
        <v>TEJAKULA</v>
      </c>
      <c r="L354" s="76" t="s">
        <v>2104</v>
      </c>
      <c r="M354" s="37" t="s">
        <v>3</v>
      </c>
      <c r="N354" s="79">
        <v>46162</v>
      </c>
      <c r="O354" s="78">
        <v>0</v>
      </c>
      <c r="P354" s="79">
        <v>46210</v>
      </c>
      <c r="Q354" s="241">
        <v>0</v>
      </c>
      <c r="R354" s="79" t="str">
        <f>IFERROR(VLOOKUP($B354,JADWAL!$G$6:$J$690,4,0),"")</f>
        <v/>
      </c>
      <c r="S354" s="77">
        <f t="shared" si="12"/>
        <v>1</v>
      </c>
      <c r="T354" s="77"/>
      <c r="U354" s="37" t="s">
        <v>2242</v>
      </c>
      <c r="V354" s="37" t="s">
        <v>2250</v>
      </c>
      <c r="W354" s="37"/>
      <c r="X354" s="37" t="s">
        <v>44</v>
      </c>
    </row>
    <row r="355" spans="1:24" x14ac:dyDescent="0.3">
      <c r="A355" s="37">
        <f t="shared" si="13"/>
        <v>354</v>
      </c>
      <c r="B355" s="76" t="s">
        <v>699</v>
      </c>
      <c r="C355" s="76" t="s">
        <v>698</v>
      </c>
      <c r="D355" s="76" t="s">
        <v>2663</v>
      </c>
      <c r="E355" s="77">
        <v>149591663</v>
      </c>
      <c r="F355" s="77">
        <v>2000000</v>
      </c>
      <c r="G355" s="77" t="s">
        <v>2867</v>
      </c>
      <c r="H355" s="77" t="s">
        <v>2870</v>
      </c>
      <c r="I355" s="76" t="s">
        <v>2102</v>
      </c>
      <c r="J355" s="76" t="s">
        <v>9</v>
      </c>
      <c r="K355" s="76" t="str">
        <f>VLOOKUP($B355,'WILL TOKO SEP'!A356:AK1095,37,0)</f>
        <v>KUTA</v>
      </c>
      <c r="L355" s="76" t="s">
        <v>2104</v>
      </c>
      <c r="M355" s="37" t="s">
        <v>3</v>
      </c>
      <c r="N355" s="79">
        <v>46171</v>
      </c>
      <c r="O355" s="79">
        <v>46184</v>
      </c>
      <c r="P355" s="79">
        <v>46234</v>
      </c>
      <c r="Q355" s="241">
        <v>0</v>
      </c>
      <c r="R355" s="79" t="str">
        <f>IFERROR(VLOOKUP($B355,JADWAL!$G$6:$J$690,4,0),"")</f>
        <v/>
      </c>
      <c r="S355" s="77">
        <f t="shared" si="12"/>
        <v>0</v>
      </c>
      <c r="T355" s="77"/>
      <c r="U355" s="37" t="s">
        <v>2242</v>
      </c>
      <c r="V355" s="37" t="s">
        <v>2250</v>
      </c>
      <c r="W355" s="37"/>
      <c r="X355" s="37" t="s">
        <v>124</v>
      </c>
    </row>
    <row r="356" spans="1:24" x14ac:dyDescent="0.3">
      <c r="A356" s="37">
        <f t="shared" si="13"/>
        <v>355</v>
      </c>
      <c r="B356" s="76" t="s">
        <v>1182</v>
      </c>
      <c r="C356" s="76" t="s">
        <v>5751</v>
      </c>
      <c r="D356" s="76" t="s">
        <v>2664</v>
      </c>
      <c r="E356" s="77">
        <v>488571098</v>
      </c>
      <c r="F356" s="77">
        <v>2500000</v>
      </c>
      <c r="G356" s="77" t="s">
        <v>2819</v>
      </c>
      <c r="H356" s="77" t="s">
        <v>2820</v>
      </c>
      <c r="I356" s="76" t="s">
        <v>2102</v>
      </c>
      <c r="J356" s="76" t="s">
        <v>4</v>
      </c>
      <c r="K356" s="76" t="str">
        <f>VLOOKUP($B356,'WILL TOKO SEP'!A357:AK1096,37,0)</f>
        <v>DENPASAR BARAT</v>
      </c>
      <c r="L356" s="76" t="s">
        <v>2104</v>
      </c>
      <c r="M356" s="37" t="s">
        <v>3</v>
      </c>
      <c r="N356" s="78">
        <v>0</v>
      </c>
      <c r="O356" s="78">
        <v>0</v>
      </c>
      <c r="P356" s="79">
        <v>46216</v>
      </c>
      <c r="Q356" s="241">
        <v>0</v>
      </c>
      <c r="R356" s="79" t="str">
        <f>IFERROR(VLOOKUP($B356,JADWAL!$G$6:$J$690,4,0),"")</f>
        <v/>
      </c>
      <c r="S356" s="77">
        <f t="shared" si="12"/>
        <v>2</v>
      </c>
      <c r="T356" s="77"/>
      <c r="U356" s="37" t="s">
        <v>2242</v>
      </c>
      <c r="V356" s="37" t="s">
        <v>2250</v>
      </c>
      <c r="W356" s="37"/>
      <c r="X356" s="37">
        <v>0</v>
      </c>
    </row>
    <row r="357" spans="1:24" x14ac:dyDescent="0.3">
      <c r="A357" s="37">
        <f t="shared" si="13"/>
        <v>356</v>
      </c>
      <c r="B357" s="76" t="s">
        <v>1112</v>
      </c>
      <c r="C357" s="76" t="s">
        <v>5726</v>
      </c>
      <c r="D357" s="76" t="s">
        <v>2666</v>
      </c>
      <c r="E357" s="77">
        <v>481009946</v>
      </c>
      <c r="F357" s="77">
        <v>2500000</v>
      </c>
      <c r="G357" s="77" t="s">
        <v>2819</v>
      </c>
      <c r="H357" s="77" t="s">
        <v>2862</v>
      </c>
      <c r="I357" s="76" t="s">
        <v>2102</v>
      </c>
      <c r="J357" s="76" t="s">
        <v>9</v>
      </c>
      <c r="K357" s="76" t="str">
        <f>VLOOKUP($B357,'WILL TOKO SEP'!A358:AK1097,37,0)</f>
        <v>KUTA UTARA</v>
      </c>
      <c r="L357" s="76" t="s">
        <v>2104</v>
      </c>
      <c r="M357" s="37" t="s">
        <v>3</v>
      </c>
      <c r="N357" s="79">
        <v>46149</v>
      </c>
      <c r="O357" s="78">
        <v>0</v>
      </c>
      <c r="P357" s="79">
        <v>46219</v>
      </c>
      <c r="Q357" s="79">
        <v>46260</v>
      </c>
      <c r="R357" s="79" t="str">
        <f>IFERROR(VLOOKUP($B357,JADWAL!$G$6:$J$690,4,0),"")</f>
        <v/>
      </c>
      <c r="S357" s="77">
        <f t="shared" si="12"/>
        <v>1</v>
      </c>
      <c r="T357" s="77"/>
      <c r="U357" s="37" t="s">
        <v>2242</v>
      </c>
      <c r="V357" s="37" t="s">
        <v>2250</v>
      </c>
      <c r="W357" s="37"/>
      <c r="X357" s="37" t="s">
        <v>20</v>
      </c>
    </row>
    <row r="358" spans="1:24" x14ac:dyDescent="0.3">
      <c r="A358" s="37">
        <f t="shared" si="13"/>
        <v>357</v>
      </c>
      <c r="B358" s="76" t="s">
        <v>1133</v>
      </c>
      <c r="C358" s="76" t="s">
        <v>5749</v>
      </c>
      <c r="D358" s="76" t="s">
        <v>2667</v>
      </c>
      <c r="E358" s="77">
        <v>500469689</v>
      </c>
      <c r="F358" s="77">
        <v>2500000</v>
      </c>
      <c r="G358" s="77" t="s">
        <v>2819</v>
      </c>
      <c r="H358" s="77" t="s">
        <v>2820</v>
      </c>
      <c r="I358" s="76" t="s">
        <v>2102</v>
      </c>
      <c r="J358" s="76" t="s">
        <v>9</v>
      </c>
      <c r="K358" s="76" t="e">
        <f>VLOOKUP($B358,'WILL TOKO SEP'!A359:AK1098,37,0)</f>
        <v>#N/A</v>
      </c>
      <c r="L358" s="76" t="s">
        <v>2104</v>
      </c>
      <c r="M358" s="37" t="s">
        <v>3</v>
      </c>
      <c r="N358" s="78">
        <v>0</v>
      </c>
      <c r="O358" s="78">
        <v>0</v>
      </c>
      <c r="P358" s="79">
        <v>46218</v>
      </c>
      <c r="Q358" s="241">
        <v>0</v>
      </c>
      <c r="R358" s="79" t="str">
        <f>IFERROR(VLOOKUP($B358,JADWAL!$G$6:$J$690,4,0),"")</f>
        <v/>
      </c>
      <c r="S358" s="77">
        <f t="shared" si="12"/>
        <v>2</v>
      </c>
      <c r="T358" s="77"/>
      <c r="U358" s="37" t="s">
        <v>2242</v>
      </c>
      <c r="V358" s="37" t="s">
        <v>2250</v>
      </c>
      <c r="W358" s="37"/>
      <c r="X358" s="37" t="s">
        <v>20</v>
      </c>
    </row>
    <row r="359" spans="1:24" x14ac:dyDescent="0.3">
      <c r="A359" s="37">
        <f t="shared" si="13"/>
        <v>358</v>
      </c>
      <c r="B359" s="76" t="s">
        <v>1274</v>
      </c>
      <c r="C359" s="76" t="s">
        <v>1273</v>
      </c>
      <c r="D359" s="76" t="s">
        <v>5450</v>
      </c>
      <c r="E359" s="77">
        <v>507610784</v>
      </c>
      <c r="F359" s="77">
        <v>2000000</v>
      </c>
      <c r="G359" s="77" t="s">
        <v>2830</v>
      </c>
      <c r="H359" s="77" t="s">
        <v>2847</v>
      </c>
      <c r="I359" s="76" t="s">
        <v>2102</v>
      </c>
      <c r="J359" s="76" t="s">
        <v>4</v>
      </c>
      <c r="K359" s="76" t="str">
        <f>VLOOKUP($B359,'WILL TOKO SEP'!A360:AK1099,37,0)</f>
        <v>DENPASAR BARAT</v>
      </c>
      <c r="L359" s="76" t="s">
        <v>2104</v>
      </c>
      <c r="M359" s="37" t="s">
        <v>3</v>
      </c>
      <c r="N359" s="78">
        <v>0</v>
      </c>
      <c r="O359" s="78">
        <v>0</v>
      </c>
      <c r="P359" s="79">
        <v>46212</v>
      </c>
      <c r="Q359" s="241">
        <v>0</v>
      </c>
      <c r="R359" s="79" t="str">
        <f>IFERROR(VLOOKUP($B359,JADWAL!$G$6:$J$690,4,0),"")</f>
        <v/>
      </c>
      <c r="S359" s="77">
        <f t="shared" si="12"/>
        <v>2</v>
      </c>
      <c r="T359" s="77"/>
      <c r="U359" s="37" t="s">
        <v>2242</v>
      </c>
      <c r="V359" s="37" t="s">
        <v>2250</v>
      </c>
      <c r="W359" s="37"/>
      <c r="X359" s="37" t="s">
        <v>77</v>
      </c>
    </row>
    <row r="360" spans="1:24" x14ac:dyDescent="0.3">
      <c r="A360" s="37">
        <f t="shared" si="13"/>
        <v>359</v>
      </c>
      <c r="B360" s="76" t="s">
        <v>1072</v>
      </c>
      <c r="C360" s="76" t="s">
        <v>1071</v>
      </c>
      <c r="D360" s="76" t="s">
        <v>2669</v>
      </c>
      <c r="E360" s="77">
        <v>242599423</v>
      </c>
      <c r="F360" s="77">
        <v>2000000</v>
      </c>
      <c r="G360" s="77" t="s">
        <v>2819</v>
      </c>
      <c r="H360" s="77" t="s">
        <v>2823</v>
      </c>
      <c r="I360" s="76" t="s">
        <v>2102</v>
      </c>
      <c r="J360" s="76" t="s">
        <v>4</v>
      </c>
      <c r="K360" s="76" t="e">
        <f>VLOOKUP($B360,'WILL TOKO SEP'!A361:AK1100,37,0)</f>
        <v>#N/A</v>
      </c>
      <c r="L360" s="76" t="s">
        <v>2104</v>
      </c>
      <c r="M360" s="37" t="s">
        <v>3</v>
      </c>
      <c r="N360" s="78">
        <v>0</v>
      </c>
      <c r="O360" s="79">
        <v>46178</v>
      </c>
      <c r="P360" s="79">
        <v>46220</v>
      </c>
      <c r="Q360" s="241">
        <v>0</v>
      </c>
      <c r="R360" s="79" t="str">
        <f>IFERROR(VLOOKUP($B360,JADWAL!$G$6:$J$690,4,0),"")</f>
        <v/>
      </c>
      <c r="S360" s="77">
        <f t="shared" si="12"/>
        <v>1</v>
      </c>
      <c r="T360" s="77"/>
      <c r="U360" s="37" t="s">
        <v>2242</v>
      </c>
      <c r="V360" s="37" t="s">
        <v>2250</v>
      </c>
      <c r="W360" s="37"/>
      <c r="X360" s="37">
        <v>0</v>
      </c>
    </row>
    <row r="361" spans="1:24" x14ac:dyDescent="0.3">
      <c r="A361" s="37">
        <f t="shared" si="13"/>
        <v>360</v>
      </c>
      <c r="B361" s="76" t="s">
        <v>713</v>
      </c>
      <c r="C361" s="76" t="s">
        <v>5722</v>
      </c>
      <c r="D361" s="76" t="s">
        <v>2671</v>
      </c>
      <c r="E361" s="77">
        <v>521291157</v>
      </c>
      <c r="F361" s="77">
        <v>2000000</v>
      </c>
      <c r="G361" s="77" t="s">
        <v>2827</v>
      </c>
      <c r="H361" s="77" t="s">
        <v>2848</v>
      </c>
      <c r="I361" s="76" t="s">
        <v>2102</v>
      </c>
      <c r="J361" s="76" t="s">
        <v>48</v>
      </c>
      <c r="K361" s="76" t="str">
        <f>VLOOKUP($B361,'WILL TOKO SEP'!A362:AK1101,37,0)</f>
        <v>BANJAR</v>
      </c>
      <c r="L361" s="76" t="s">
        <v>2104</v>
      </c>
      <c r="M361" s="37" t="s">
        <v>3</v>
      </c>
      <c r="N361" s="79">
        <v>46151</v>
      </c>
      <c r="O361" s="79">
        <v>46178</v>
      </c>
      <c r="P361" s="79">
        <v>46234</v>
      </c>
      <c r="Q361" s="241">
        <v>0</v>
      </c>
      <c r="R361" s="79" t="str">
        <f>IFERROR(VLOOKUP($B361,JADWAL!$G$6:$J$690,4,0),"")</f>
        <v/>
      </c>
      <c r="S361" s="77">
        <f t="shared" si="12"/>
        <v>0</v>
      </c>
      <c r="T361" s="77"/>
      <c r="U361" s="37" t="s">
        <v>2242</v>
      </c>
      <c r="V361" s="37" t="s">
        <v>2250</v>
      </c>
      <c r="W361" s="37"/>
      <c r="X361" s="37" t="s">
        <v>44</v>
      </c>
    </row>
    <row r="362" spans="1:24" x14ac:dyDescent="0.3">
      <c r="A362" s="37">
        <f t="shared" si="13"/>
        <v>361</v>
      </c>
      <c r="B362" s="76" t="s">
        <v>1276</v>
      </c>
      <c r="C362" s="76" t="s">
        <v>5778</v>
      </c>
      <c r="D362" s="76" t="s">
        <v>2672</v>
      </c>
      <c r="E362" s="77">
        <v>424027850</v>
      </c>
      <c r="F362" s="77">
        <v>2000000</v>
      </c>
      <c r="G362" s="77" t="s">
        <v>2813</v>
      </c>
      <c r="H362" s="77" t="s">
        <v>2863</v>
      </c>
      <c r="I362" s="76" t="s">
        <v>2102</v>
      </c>
      <c r="J362" s="76" t="s">
        <v>9</v>
      </c>
      <c r="K362" s="76" t="e">
        <f>VLOOKUP($B362,'WILL TOKO SEP'!A363:AK1102,37,0)</f>
        <v>#N/A</v>
      </c>
      <c r="L362" s="76" t="s">
        <v>2104</v>
      </c>
      <c r="M362" s="37" t="s">
        <v>3</v>
      </c>
      <c r="N362" s="78">
        <v>0</v>
      </c>
      <c r="O362" s="78">
        <v>0</v>
      </c>
      <c r="P362" s="79">
        <v>46212</v>
      </c>
      <c r="Q362" s="241">
        <v>0</v>
      </c>
      <c r="R362" s="79" t="str">
        <f>IFERROR(VLOOKUP($B362,JADWAL!$G$6:$J$690,4,0),"")</f>
        <v/>
      </c>
      <c r="S362" s="77">
        <f t="shared" si="12"/>
        <v>2</v>
      </c>
      <c r="T362" s="77"/>
      <c r="U362" s="37" t="s">
        <v>2242</v>
      </c>
      <c r="V362" s="37" t="s">
        <v>2250</v>
      </c>
      <c r="W362" s="37"/>
      <c r="X362" s="37" t="s">
        <v>124</v>
      </c>
    </row>
    <row r="363" spans="1:24" x14ac:dyDescent="0.3">
      <c r="A363" s="37">
        <f t="shared" si="13"/>
        <v>362</v>
      </c>
      <c r="B363" s="76" t="s">
        <v>845</v>
      </c>
      <c r="C363" s="76" t="s">
        <v>844</v>
      </c>
      <c r="D363" s="76" t="s">
        <v>2673</v>
      </c>
      <c r="E363" s="77">
        <v>548950941</v>
      </c>
      <c r="F363" s="77">
        <v>3000000</v>
      </c>
      <c r="G363" s="77" t="s">
        <v>2830</v>
      </c>
      <c r="H363" s="77" t="s">
        <v>2860</v>
      </c>
      <c r="I363" s="76" t="s">
        <v>2102</v>
      </c>
      <c r="J363" s="76" t="s">
        <v>9</v>
      </c>
      <c r="K363" s="76" t="str">
        <f>VLOOKUP($B363,'WILL TOKO SEP'!A364:AK1103,37,0)</f>
        <v>ABIANSEMAL</v>
      </c>
      <c r="L363" s="76" t="s">
        <v>2104</v>
      </c>
      <c r="M363" s="37" t="s">
        <v>3</v>
      </c>
      <c r="N363" s="78">
        <v>0</v>
      </c>
      <c r="O363" s="78">
        <v>0</v>
      </c>
      <c r="P363" s="79">
        <v>46228</v>
      </c>
      <c r="Q363" s="241">
        <v>0</v>
      </c>
      <c r="R363" s="79" t="str">
        <f>IFERROR(VLOOKUP($B363,JADWAL!$G$6:$J$690,4,0),"")</f>
        <v/>
      </c>
      <c r="S363" s="77">
        <f t="shared" si="12"/>
        <v>2</v>
      </c>
      <c r="T363" s="77"/>
      <c r="U363" s="37" t="s">
        <v>2242</v>
      </c>
      <c r="V363" s="37" t="s">
        <v>2250</v>
      </c>
      <c r="W363" s="37"/>
      <c r="X363" s="37" t="s">
        <v>20</v>
      </c>
    </row>
    <row r="364" spans="1:24" x14ac:dyDescent="0.3">
      <c r="A364" s="37">
        <f t="shared" si="13"/>
        <v>363</v>
      </c>
      <c r="B364" s="76" t="s">
        <v>1083</v>
      </c>
      <c r="C364" s="76" t="s">
        <v>1082</v>
      </c>
      <c r="D364" s="76" t="s">
        <v>2674</v>
      </c>
      <c r="E364" s="77">
        <v>512970911</v>
      </c>
      <c r="F364" s="77">
        <v>2000000</v>
      </c>
      <c r="G364" s="77" t="s">
        <v>2819</v>
      </c>
      <c r="H364" s="77" t="s">
        <v>2856</v>
      </c>
      <c r="I364" s="76" t="s">
        <v>2102</v>
      </c>
      <c r="J364" s="76" t="s">
        <v>9</v>
      </c>
      <c r="K364" s="76" t="str">
        <f>VLOOKUP($B364,'WILL TOKO SEP'!A365:AK1104,37,0)</f>
        <v>KUTA UTARA</v>
      </c>
      <c r="L364" s="76" t="s">
        <v>2104</v>
      </c>
      <c r="M364" s="37" t="s">
        <v>3</v>
      </c>
      <c r="N364" s="79">
        <v>46165</v>
      </c>
      <c r="O364" s="78">
        <v>0</v>
      </c>
      <c r="P364" s="79">
        <v>46220</v>
      </c>
      <c r="Q364" s="241">
        <v>0</v>
      </c>
      <c r="R364" s="79" t="str">
        <f>IFERROR(VLOOKUP($B364,JADWAL!$G$6:$J$690,4,0),"")</f>
        <v/>
      </c>
      <c r="S364" s="77">
        <f t="shared" si="12"/>
        <v>1</v>
      </c>
      <c r="T364" s="77"/>
      <c r="U364" s="37" t="s">
        <v>2242</v>
      </c>
      <c r="V364" s="37" t="s">
        <v>2250</v>
      </c>
      <c r="W364" s="37"/>
      <c r="X364" s="37" t="s">
        <v>20</v>
      </c>
    </row>
    <row r="365" spans="1:24" x14ac:dyDescent="0.3">
      <c r="A365" s="37">
        <f t="shared" si="13"/>
        <v>364</v>
      </c>
      <c r="B365" s="76" t="s">
        <v>1535</v>
      </c>
      <c r="C365" s="76" t="s">
        <v>1534</v>
      </c>
      <c r="D365" s="76" t="s">
        <v>2675</v>
      </c>
      <c r="E365" s="77">
        <v>549808546</v>
      </c>
      <c r="F365" s="77">
        <v>3500000</v>
      </c>
      <c r="G365" s="77" t="s">
        <v>2821</v>
      </c>
      <c r="H365" s="77" t="s">
        <v>2833</v>
      </c>
      <c r="I365" s="76" t="s">
        <v>2102</v>
      </c>
      <c r="J365" s="76" t="s">
        <v>36</v>
      </c>
      <c r="K365" s="76" t="e">
        <f>VLOOKUP($B365,'WILL TOKO SEP'!A366:AK1105,37,0)</f>
        <v>#N/A</v>
      </c>
      <c r="L365" s="76" t="s">
        <v>2104</v>
      </c>
      <c r="M365" s="37" t="s">
        <v>3</v>
      </c>
      <c r="N365" s="78">
        <v>0</v>
      </c>
      <c r="O365" s="78">
        <v>0</v>
      </c>
      <c r="P365" s="78">
        <v>0</v>
      </c>
      <c r="Q365" s="79">
        <v>46246</v>
      </c>
      <c r="R365" s="79" t="str">
        <f>IFERROR(VLOOKUP($B365,JADWAL!$G$6:$J$690,4,0),"")</f>
        <v/>
      </c>
      <c r="S365" s="77">
        <f t="shared" si="12"/>
        <v>3</v>
      </c>
      <c r="T365" s="77"/>
      <c r="U365" s="37" t="s">
        <v>2242</v>
      </c>
      <c r="V365" s="37" t="s">
        <v>2250</v>
      </c>
      <c r="W365" s="37"/>
      <c r="X365" s="37" t="e">
        <v>#N/A</v>
      </c>
    </row>
    <row r="366" spans="1:24" x14ac:dyDescent="0.3">
      <c r="A366" s="37">
        <f t="shared" si="13"/>
        <v>365</v>
      </c>
      <c r="B366" s="76" t="s">
        <v>1760</v>
      </c>
      <c r="C366" s="76" t="s">
        <v>5773</v>
      </c>
      <c r="D366" s="76" t="s">
        <v>2676</v>
      </c>
      <c r="E366" s="77">
        <v>399962003</v>
      </c>
      <c r="F366" s="77">
        <v>3000000</v>
      </c>
      <c r="G366" s="77" t="s">
        <v>2813</v>
      </c>
      <c r="H366" s="77" t="s">
        <v>2832</v>
      </c>
      <c r="I366" s="76" t="s">
        <v>2102</v>
      </c>
      <c r="J366" s="76" t="s">
        <v>9</v>
      </c>
      <c r="K366" s="76" t="str">
        <f>VLOOKUP($B366,'WILL TOKO SEP'!A367:AK1106,37,0)</f>
        <v>KUTA SELATAN</v>
      </c>
      <c r="L366" s="76" t="s">
        <v>2103</v>
      </c>
      <c r="M366" s="37" t="s">
        <v>3</v>
      </c>
      <c r="N366" s="79">
        <v>46147</v>
      </c>
      <c r="O366" s="78">
        <v>0</v>
      </c>
      <c r="P366" s="78">
        <v>0</v>
      </c>
      <c r="Q366" s="79">
        <v>46239</v>
      </c>
      <c r="R366" s="79" t="str">
        <f>IFERROR(VLOOKUP($B366,JADWAL!$G$6:$J$690,4,0),"")</f>
        <v/>
      </c>
      <c r="S366" s="77">
        <f t="shared" si="12"/>
        <v>2</v>
      </c>
      <c r="T366" s="77"/>
      <c r="U366" s="37" t="s">
        <v>2242</v>
      </c>
      <c r="V366" s="37" t="s">
        <v>2250</v>
      </c>
      <c r="W366" s="37"/>
      <c r="X366" s="37" t="e">
        <v>#N/A</v>
      </c>
    </row>
    <row r="367" spans="1:24" x14ac:dyDescent="0.3">
      <c r="A367" s="37">
        <f t="shared" si="13"/>
        <v>366</v>
      </c>
      <c r="B367" s="76" t="s">
        <v>1074</v>
      </c>
      <c r="C367" s="76" t="s">
        <v>5703</v>
      </c>
      <c r="D367" s="76" t="s">
        <v>5520</v>
      </c>
      <c r="E367" s="77">
        <v>453716362</v>
      </c>
      <c r="F367" s="77">
        <v>2000000</v>
      </c>
      <c r="G367" s="77" t="s">
        <v>2815</v>
      </c>
      <c r="H367" s="77" t="s">
        <v>2816</v>
      </c>
      <c r="I367" s="76" t="s">
        <v>2102</v>
      </c>
      <c r="J367" s="76" t="s">
        <v>28</v>
      </c>
      <c r="K367" s="76" t="str">
        <f>VLOOKUP($B367,'WILL TOKO SEP'!A368:AK1107,37,0)</f>
        <v>SUKAWATI</v>
      </c>
      <c r="L367" s="76" t="s">
        <v>2103</v>
      </c>
      <c r="M367" s="37" t="s">
        <v>3</v>
      </c>
      <c r="N367" s="78">
        <v>0</v>
      </c>
      <c r="O367" s="78">
        <v>0</v>
      </c>
      <c r="P367" s="79">
        <v>46220</v>
      </c>
      <c r="Q367" s="241">
        <v>0</v>
      </c>
      <c r="R367" s="79" t="str">
        <f>IFERROR(VLOOKUP($B367,JADWAL!$G$6:$J$690,4,0),"")</f>
        <v/>
      </c>
      <c r="S367" s="77">
        <f t="shared" si="12"/>
        <v>2</v>
      </c>
      <c r="T367" s="77"/>
      <c r="U367" s="37" t="s">
        <v>2242</v>
      </c>
      <c r="V367" s="37" t="s">
        <v>2250</v>
      </c>
      <c r="W367" s="37"/>
      <c r="X367" s="37" t="s">
        <v>27</v>
      </c>
    </row>
    <row r="368" spans="1:24" x14ac:dyDescent="0.3">
      <c r="A368" s="37">
        <f t="shared" si="13"/>
        <v>367</v>
      </c>
      <c r="B368" s="76" t="s">
        <v>690</v>
      </c>
      <c r="C368" s="76" t="s">
        <v>5755</v>
      </c>
      <c r="D368" s="76" t="s">
        <v>2679</v>
      </c>
      <c r="E368" s="77">
        <v>465801067</v>
      </c>
      <c r="F368" s="77">
        <v>3000000</v>
      </c>
      <c r="G368" s="77" t="s">
        <v>2815</v>
      </c>
      <c r="H368" s="77" t="s">
        <v>2829</v>
      </c>
      <c r="I368" s="76" t="s">
        <v>2102</v>
      </c>
      <c r="J368" s="76" t="s">
        <v>28</v>
      </c>
      <c r="K368" s="76" t="e">
        <f>VLOOKUP($B368,'WILL TOKO SEP'!A369:AK1108,37,0)</f>
        <v>#N/A</v>
      </c>
      <c r="L368" s="76" t="s">
        <v>2103</v>
      </c>
      <c r="M368" s="37" t="s">
        <v>3</v>
      </c>
      <c r="N368" s="78">
        <v>0</v>
      </c>
      <c r="O368" s="79">
        <v>46188</v>
      </c>
      <c r="P368" s="79">
        <v>46234</v>
      </c>
      <c r="Q368" s="241">
        <v>0</v>
      </c>
      <c r="R368" s="79" t="str">
        <f>IFERROR(VLOOKUP($B368,JADWAL!$G$6:$J$690,4,0),"")</f>
        <v/>
      </c>
      <c r="S368" s="77">
        <f t="shared" si="12"/>
        <v>1</v>
      </c>
      <c r="T368" s="77"/>
      <c r="U368" s="37" t="s">
        <v>2242</v>
      </c>
      <c r="V368" s="37" t="s">
        <v>2250</v>
      </c>
      <c r="W368" s="37"/>
      <c r="X368" s="37" t="s">
        <v>27</v>
      </c>
    </row>
    <row r="369" spans="1:24" x14ac:dyDescent="0.3">
      <c r="A369" s="37">
        <f t="shared" si="13"/>
        <v>368</v>
      </c>
      <c r="B369" s="76" t="s">
        <v>1106</v>
      </c>
      <c r="C369" s="76" t="s">
        <v>5769</v>
      </c>
      <c r="D369" s="76" t="s">
        <v>2680</v>
      </c>
      <c r="E369" s="77">
        <v>424333511</v>
      </c>
      <c r="F369" s="77">
        <v>2000000</v>
      </c>
      <c r="G369" s="77" t="s">
        <v>2819</v>
      </c>
      <c r="H369" s="77" t="s">
        <v>2862</v>
      </c>
      <c r="I369" s="76" t="s">
        <v>2102</v>
      </c>
      <c r="J369" s="76" t="s">
        <v>9</v>
      </c>
      <c r="K369" s="76" t="e">
        <f>VLOOKUP($B369,'WILL TOKO SEP'!A370:AK1109,37,0)</f>
        <v>#N/A</v>
      </c>
      <c r="L369" s="76" t="s">
        <v>2104</v>
      </c>
      <c r="M369" s="37" t="s">
        <v>3</v>
      </c>
      <c r="N369" s="78">
        <v>0</v>
      </c>
      <c r="O369" s="78">
        <v>0</v>
      </c>
      <c r="P369" s="79">
        <v>46219</v>
      </c>
      <c r="Q369" s="79">
        <v>46260</v>
      </c>
      <c r="R369" s="79" t="str">
        <f>IFERROR(VLOOKUP($B369,JADWAL!$G$6:$J$690,4,0),"")</f>
        <v/>
      </c>
      <c r="S369" s="77">
        <f t="shared" si="12"/>
        <v>2</v>
      </c>
      <c r="T369" s="77"/>
      <c r="U369" s="37" t="s">
        <v>2242</v>
      </c>
      <c r="V369" s="37" t="s">
        <v>2250</v>
      </c>
      <c r="W369" s="37"/>
      <c r="X369" s="37" t="s">
        <v>20</v>
      </c>
    </row>
    <row r="370" spans="1:24" x14ac:dyDescent="0.3">
      <c r="A370" s="37">
        <f t="shared" si="13"/>
        <v>369</v>
      </c>
      <c r="B370" s="76" t="s">
        <v>1417</v>
      </c>
      <c r="C370" s="76" t="s">
        <v>1416</v>
      </c>
      <c r="D370" s="76" t="s">
        <v>2681</v>
      </c>
      <c r="E370" s="77">
        <v>397497803</v>
      </c>
      <c r="F370" s="77">
        <v>2000000</v>
      </c>
      <c r="G370" s="77" t="s">
        <v>2821</v>
      </c>
      <c r="H370" s="77" t="s">
        <v>2833</v>
      </c>
      <c r="I370" s="76" t="s">
        <v>2102</v>
      </c>
      <c r="J370" s="76" t="s">
        <v>36</v>
      </c>
      <c r="K370" s="76" t="e">
        <f>VLOOKUP($B370,'WILL TOKO SEP'!A371:AK1110,37,0)</f>
        <v>#N/A</v>
      </c>
      <c r="L370" s="76" t="s">
        <v>2104</v>
      </c>
      <c r="M370" s="37" t="s">
        <v>3</v>
      </c>
      <c r="N370" s="79">
        <v>46147</v>
      </c>
      <c r="O370" s="79">
        <v>46195</v>
      </c>
      <c r="P370" s="79">
        <v>46212</v>
      </c>
      <c r="Q370" s="79">
        <v>46249</v>
      </c>
      <c r="R370" s="79" t="str">
        <f>IFERROR(VLOOKUP($B370,JADWAL!$G$6:$J$690,4,0),"")</f>
        <v/>
      </c>
      <c r="S370" s="77">
        <f t="shared" si="12"/>
        <v>0</v>
      </c>
      <c r="T370" s="77"/>
      <c r="U370" s="37" t="s">
        <v>2242</v>
      </c>
      <c r="V370" s="37" t="s">
        <v>2250</v>
      </c>
      <c r="W370" s="37"/>
      <c r="X370" s="37" t="e">
        <v>#N/A</v>
      </c>
    </row>
    <row r="371" spans="1:24" x14ac:dyDescent="0.3">
      <c r="A371" s="37">
        <f t="shared" si="13"/>
        <v>370</v>
      </c>
      <c r="B371" s="76" t="s">
        <v>717</v>
      </c>
      <c r="C371" s="76" t="s">
        <v>716</v>
      </c>
      <c r="D371" s="76" t="s">
        <v>2682</v>
      </c>
      <c r="E371" s="77">
        <v>675629520</v>
      </c>
      <c r="F371" s="77">
        <v>5000000</v>
      </c>
      <c r="G371" s="77" t="s">
        <v>2867</v>
      </c>
      <c r="H371" s="77" t="s">
        <v>2870</v>
      </c>
      <c r="I371" s="76" t="s">
        <v>2102</v>
      </c>
      <c r="J371" s="76" t="s">
        <v>9</v>
      </c>
      <c r="K371" s="76" t="str">
        <f>VLOOKUP($B371,'WILL TOKO SEP'!A372:AK1111,37,0)</f>
        <v>KUTA SELATAN</v>
      </c>
      <c r="L371" s="76" t="s">
        <v>2103</v>
      </c>
      <c r="M371" s="37" t="s">
        <v>3</v>
      </c>
      <c r="N371" s="79">
        <v>46148</v>
      </c>
      <c r="O371" s="78">
        <v>0</v>
      </c>
      <c r="P371" s="79">
        <v>46234</v>
      </c>
      <c r="Q371" s="241">
        <v>0</v>
      </c>
      <c r="R371" s="79">
        <f>IFERROR(VLOOKUP($B371,JADWAL!$G$6:$J$690,4,0),"")</f>
        <v>46267</v>
      </c>
      <c r="S371" s="77">
        <f t="shared" si="12"/>
        <v>1</v>
      </c>
      <c r="T371" s="77"/>
      <c r="U371" s="37" t="s">
        <v>2242</v>
      </c>
      <c r="V371" s="37" t="s">
        <v>2250</v>
      </c>
      <c r="W371" s="37"/>
      <c r="X371" s="37" t="s">
        <v>124</v>
      </c>
    </row>
    <row r="372" spans="1:24" x14ac:dyDescent="0.3">
      <c r="A372" s="37">
        <f t="shared" si="13"/>
        <v>371</v>
      </c>
      <c r="B372" s="76" t="s">
        <v>856</v>
      </c>
      <c r="C372" s="76" t="s">
        <v>855</v>
      </c>
      <c r="D372" s="76" t="s">
        <v>5423</v>
      </c>
      <c r="E372" s="77">
        <v>434311814</v>
      </c>
      <c r="F372" s="77">
        <v>2000000</v>
      </c>
      <c r="G372" s="77" t="s">
        <v>2815</v>
      </c>
      <c r="H372" s="77" t="s">
        <v>2855</v>
      </c>
      <c r="I372" s="76" t="s">
        <v>2102</v>
      </c>
      <c r="J372" s="76" t="s">
        <v>4</v>
      </c>
      <c r="K372" s="76" t="str">
        <f>VLOOKUP($B372,'WILL TOKO SEP'!A373:AK1112,37,0)</f>
        <v>DENPASAR TIMUR</v>
      </c>
      <c r="L372" s="76" t="s">
        <v>2103</v>
      </c>
      <c r="M372" s="37" t="s">
        <v>3</v>
      </c>
      <c r="N372" s="78">
        <v>0</v>
      </c>
      <c r="O372" s="78">
        <v>0</v>
      </c>
      <c r="P372" s="79">
        <v>46228</v>
      </c>
      <c r="Q372" s="241">
        <v>0</v>
      </c>
      <c r="R372" s="79" t="str">
        <f>IFERROR(VLOOKUP($B372,JADWAL!$G$6:$J$690,4,0),"")</f>
        <v/>
      </c>
      <c r="S372" s="77">
        <f t="shared" si="12"/>
        <v>2</v>
      </c>
      <c r="T372" s="77"/>
      <c r="U372" s="37" t="s">
        <v>2242</v>
      </c>
      <c r="V372" s="37" t="s">
        <v>2250</v>
      </c>
      <c r="W372" s="37"/>
      <c r="X372" s="37" t="s">
        <v>77</v>
      </c>
    </row>
    <row r="373" spans="1:24" x14ac:dyDescent="0.3">
      <c r="A373" s="37">
        <f t="shared" si="13"/>
        <v>372</v>
      </c>
      <c r="B373" s="76" t="s">
        <v>893</v>
      </c>
      <c r="C373" s="76" t="s">
        <v>892</v>
      </c>
      <c r="D373" s="76" t="s">
        <v>2683</v>
      </c>
      <c r="E373" s="77">
        <v>361583740</v>
      </c>
      <c r="F373" s="77">
        <v>2000000</v>
      </c>
      <c r="G373" s="77" t="s">
        <v>2840</v>
      </c>
      <c r="H373" s="77" t="s">
        <v>2872</v>
      </c>
      <c r="I373" s="76" t="s">
        <v>2102</v>
      </c>
      <c r="J373" s="76" t="s">
        <v>48</v>
      </c>
      <c r="K373" s="76" t="e">
        <f>VLOOKUP($B373,'WILL TOKO SEP'!A374:AK1113,37,0)</f>
        <v>#N/A</v>
      </c>
      <c r="L373" s="76" t="s">
        <v>2104</v>
      </c>
      <c r="M373" s="37" t="s">
        <v>3</v>
      </c>
      <c r="N373" s="79">
        <v>46153</v>
      </c>
      <c r="O373" s="79">
        <v>46199</v>
      </c>
      <c r="P373" s="79">
        <v>46227</v>
      </c>
      <c r="Q373" s="241">
        <v>0</v>
      </c>
      <c r="R373" s="79" t="str">
        <f>IFERROR(VLOOKUP($B373,JADWAL!$G$6:$J$690,4,0),"")</f>
        <v/>
      </c>
      <c r="S373" s="77">
        <f t="shared" si="12"/>
        <v>0</v>
      </c>
      <c r="T373" s="77"/>
      <c r="U373" s="37" t="s">
        <v>2242</v>
      </c>
      <c r="V373" s="37" t="s">
        <v>2250</v>
      </c>
      <c r="W373" s="37"/>
      <c r="X373" s="37" t="s">
        <v>44</v>
      </c>
    </row>
    <row r="374" spans="1:24" x14ac:dyDescent="0.3">
      <c r="A374" s="37">
        <f t="shared" si="13"/>
        <v>373</v>
      </c>
      <c r="B374" s="76" t="s">
        <v>747</v>
      </c>
      <c r="C374" s="76" t="s">
        <v>746</v>
      </c>
      <c r="D374" s="76" t="s">
        <v>2684</v>
      </c>
      <c r="E374" s="77">
        <v>480851992</v>
      </c>
      <c r="F374" s="77">
        <v>3000000</v>
      </c>
      <c r="G374" s="77" t="s">
        <v>2821</v>
      </c>
      <c r="H374" s="77" t="s">
        <v>2845</v>
      </c>
      <c r="I374" s="76" t="s">
        <v>2102</v>
      </c>
      <c r="J374" s="76" t="s">
        <v>36</v>
      </c>
      <c r="K374" s="76" t="e">
        <f>VLOOKUP($B374,'WILL TOKO SEP'!A375:AK1114,37,0)</f>
        <v>#N/A</v>
      </c>
      <c r="L374" s="76" t="s">
        <v>2104</v>
      </c>
      <c r="M374" s="37" t="s">
        <v>3</v>
      </c>
      <c r="N374" s="79">
        <v>46148</v>
      </c>
      <c r="O374" s="78">
        <v>0</v>
      </c>
      <c r="P374" s="79">
        <v>46233</v>
      </c>
      <c r="Q374" s="241">
        <v>0</v>
      </c>
      <c r="R374" s="79" t="str">
        <f>IFERROR(VLOOKUP($B374,JADWAL!$G$6:$J$690,4,0),"")</f>
        <v/>
      </c>
      <c r="S374" s="77">
        <f t="shared" si="12"/>
        <v>1</v>
      </c>
      <c r="T374" s="77"/>
      <c r="U374" s="37" t="s">
        <v>2242</v>
      </c>
      <c r="V374" s="37" t="s">
        <v>2250</v>
      </c>
      <c r="W374" s="37"/>
      <c r="X374" s="37" t="s">
        <v>13</v>
      </c>
    </row>
    <row r="375" spans="1:24" x14ac:dyDescent="0.3">
      <c r="A375" s="37">
        <f t="shared" si="13"/>
        <v>374</v>
      </c>
      <c r="B375" s="76" t="s">
        <v>964</v>
      </c>
      <c r="C375" s="76" t="s">
        <v>5745</v>
      </c>
      <c r="D375" s="76" t="s">
        <v>2686</v>
      </c>
      <c r="E375" s="77">
        <v>441734928</v>
      </c>
      <c r="F375" s="77">
        <v>3000000</v>
      </c>
      <c r="G375" s="77" t="s">
        <v>2827</v>
      </c>
      <c r="H375" s="77" t="s">
        <v>2866</v>
      </c>
      <c r="I375" s="76" t="s">
        <v>2102</v>
      </c>
      <c r="J375" s="76" t="s">
        <v>48</v>
      </c>
      <c r="K375" s="76" t="str">
        <f>VLOOKUP($B375,'WILL TOKO SEP'!A376:AK1115,37,0)</f>
        <v>BULELENG</v>
      </c>
      <c r="L375" s="76" t="s">
        <v>2104</v>
      </c>
      <c r="M375" s="37" t="s">
        <v>3</v>
      </c>
      <c r="N375" s="79">
        <v>46155</v>
      </c>
      <c r="O375" s="79">
        <v>46198</v>
      </c>
      <c r="P375" s="79">
        <v>46225</v>
      </c>
      <c r="Q375" s="241">
        <v>0</v>
      </c>
      <c r="R375" s="79" t="str">
        <f>IFERROR(VLOOKUP($B375,JADWAL!$G$6:$J$690,4,0),"")</f>
        <v/>
      </c>
      <c r="S375" s="77">
        <f t="shared" si="12"/>
        <v>0</v>
      </c>
      <c r="T375" s="77"/>
      <c r="U375" s="37" t="s">
        <v>2242</v>
      </c>
      <c r="V375" s="37" t="s">
        <v>2250</v>
      </c>
      <c r="W375" s="37"/>
      <c r="X375" s="37" t="s">
        <v>44</v>
      </c>
    </row>
    <row r="376" spans="1:24" x14ac:dyDescent="0.3">
      <c r="A376" s="37">
        <f t="shared" si="13"/>
        <v>375</v>
      </c>
      <c r="B376" s="76" t="s">
        <v>1489</v>
      </c>
      <c r="C376" s="76" t="s">
        <v>5710</v>
      </c>
      <c r="D376" s="76" t="s">
        <v>2688</v>
      </c>
      <c r="E376" s="77">
        <v>497493214</v>
      </c>
      <c r="F376" s="77">
        <v>3500000</v>
      </c>
      <c r="G376" s="77" t="s">
        <v>2840</v>
      </c>
      <c r="H376" s="77" t="s">
        <v>2841</v>
      </c>
      <c r="I376" s="76" t="s">
        <v>2102</v>
      </c>
      <c r="J376" s="76" t="s">
        <v>28</v>
      </c>
      <c r="K376" s="76" t="e">
        <f>VLOOKUP($B376,'WILL TOKO SEP'!A377:AK1116,37,0)</f>
        <v>#N/A</v>
      </c>
      <c r="L376" s="76" t="s">
        <v>2103</v>
      </c>
      <c r="M376" s="37" t="s">
        <v>3</v>
      </c>
      <c r="N376" s="79">
        <v>46172</v>
      </c>
      <c r="O376" s="79">
        <v>46198</v>
      </c>
      <c r="P376" s="79">
        <v>46231</v>
      </c>
      <c r="Q376" s="79">
        <v>46247</v>
      </c>
      <c r="R376" s="79" t="str">
        <f>IFERROR(VLOOKUP($B376,JADWAL!$G$6:$J$690,4,0),"")</f>
        <v/>
      </c>
      <c r="S376" s="77">
        <f t="shared" si="12"/>
        <v>0</v>
      </c>
      <c r="T376" s="77"/>
      <c r="U376" s="37" t="s">
        <v>2242</v>
      </c>
      <c r="V376" s="37" t="s">
        <v>2078</v>
      </c>
      <c r="W376" s="37"/>
      <c r="X376" s="37" t="e">
        <v>#N/A</v>
      </c>
    </row>
    <row r="377" spans="1:24" x14ac:dyDescent="0.3">
      <c r="A377" s="37">
        <f t="shared" si="13"/>
        <v>376</v>
      </c>
      <c r="B377" s="76" t="s">
        <v>920</v>
      </c>
      <c r="C377" s="76" t="s">
        <v>919</v>
      </c>
      <c r="D377" s="76" t="s">
        <v>2690</v>
      </c>
      <c r="E377" s="77">
        <v>474061038</v>
      </c>
      <c r="F377" s="77">
        <v>2500000</v>
      </c>
      <c r="G377" s="77" t="s">
        <v>2821</v>
      </c>
      <c r="H377" s="77" t="s">
        <v>2845</v>
      </c>
      <c r="I377" s="76" t="s">
        <v>2102</v>
      </c>
      <c r="J377" s="76" t="s">
        <v>90</v>
      </c>
      <c r="K377" s="76" t="str">
        <f>VLOOKUP($B377,'WILL TOKO SEP'!A378:AK1117,37,0)</f>
        <v>MENDOYO</v>
      </c>
      <c r="L377" s="76" t="s">
        <v>2104</v>
      </c>
      <c r="M377" s="37" t="s">
        <v>3</v>
      </c>
      <c r="N377" s="78">
        <v>0</v>
      </c>
      <c r="O377" s="78">
        <v>0</v>
      </c>
      <c r="P377" s="79">
        <v>46226</v>
      </c>
      <c r="Q377" s="241">
        <v>0</v>
      </c>
      <c r="R377" s="79" t="str">
        <f>IFERROR(VLOOKUP($B377,JADWAL!$G$6:$J$690,4,0),"")</f>
        <v/>
      </c>
      <c r="S377" s="77">
        <f t="shared" si="12"/>
        <v>2</v>
      </c>
      <c r="T377" s="77"/>
      <c r="U377" s="37" t="s">
        <v>2242</v>
      </c>
      <c r="V377" s="37" t="s">
        <v>2250</v>
      </c>
      <c r="W377" s="37"/>
      <c r="X377" s="37" t="s">
        <v>13</v>
      </c>
    </row>
    <row r="378" spans="1:24" x14ac:dyDescent="0.3">
      <c r="A378" s="37">
        <f t="shared" si="13"/>
        <v>377</v>
      </c>
      <c r="B378" s="76" t="s">
        <v>1664</v>
      </c>
      <c r="C378" s="76" t="s">
        <v>1663</v>
      </c>
      <c r="D378" s="76" t="s">
        <v>2691</v>
      </c>
      <c r="E378" s="77">
        <v>430290802</v>
      </c>
      <c r="F378" s="77">
        <v>2000000</v>
      </c>
      <c r="G378" s="77" t="s">
        <v>2819</v>
      </c>
      <c r="H378" s="77" t="s">
        <v>2820</v>
      </c>
      <c r="I378" s="76" t="s">
        <v>2102</v>
      </c>
      <c r="J378" s="76" t="s">
        <v>4</v>
      </c>
      <c r="K378" s="76" t="str">
        <f>VLOOKUP($B378,'WILL TOKO SEP'!A379:AK1118,37,0)</f>
        <v>DENPASAR BARAT</v>
      </c>
      <c r="L378" s="76" t="s">
        <v>2104</v>
      </c>
      <c r="M378" s="37" t="s">
        <v>3</v>
      </c>
      <c r="N378" s="79">
        <v>46170</v>
      </c>
      <c r="O378" s="79">
        <v>46198</v>
      </c>
      <c r="P378" s="79">
        <v>46216</v>
      </c>
      <c r="Q378" s="79">
        <v>46242</v>
      </c>
      <c r="R378" s="79" t="str">
        <f>IFERROR(VLOOKUP($B378,JADWAL!$G$6:$J$690,4,0),"")</f>
        <v/>
      </c>
      <c r="S378" s="77">
        <f t="shared" si="12"/>
        <v>0</v>
      </c>
      <c r="T378" s="77"/>
      <c r="U378" s="37" t="s">
        <v>2242</v>
      </c>
      <c r="V378" s="37" t="s">
        <v>2078</v>
      </c>
      <c r="W378" s="37"/>
      <c r="X378" s="37" t="e">
        <v>#N/A</v>
      </c>
    </row>
    <row r="379" spans="1:24" x14ac:dyDescent="0.3">
      <c r="A379" s="37">
        <f t="shared" si="13"/>
        <v>378</v>
      </c>
      <c r="B379" s="76" t="s">
        <v>1476</v>
      </c>
      <c r="C379" s="76" t="s">
        <v>1475</v>
      </c>
      <c r="D379" s="76" t="s">
        <v>5166</v>
      </c>
      <c r="E379" s="77">
        <v>431540381</v>
      </c>
      <c r="F379" s="77">
        <v>2500000</v>
      </c>
      <c r="G379" s="77" t="s">
        <v>2830</v>
      </c>
      <c r="H379" s="77" t="s">
        <v>2849</v>
      </c>
      <c r="I379" s="76" t="s">
        <v>2102</v>
      </c>
      <c r="J379" s="76" t="s">
        <v>4</v>
      </c>
      <c r="K379" s="76" t="str">
        <f>VLOOKUP($B379,'WILL TOKO SEP'!A380:AK1119,37,0)</f>
        <v>DENPASAR TIMUR</v>
      </c>
      <c r="L379" s="76" t="s">
        <v>2103</v>
      </c>
      <c r="M379" s="37" t="s">
        <v>3</v>
      </c>
      <c r="N379" s="78">
        <v>0</v>
      </c>
      <c r="O379" s="79">
        <v>46182</v>
      </c>
      <c r="P379" s="79">
        <v>46231</v>
      </c>
      <c r="Q379" s="79">
        <v>46247</v>
      </c>
      <c r="R379" s="79" t="str">
        <f>IFERROR(VLOOKUP($B379,JADWAL!$G$6:$J$690,4,0),"")</f>
        <v/>
      </c>
      <c r="S379" s="77">
        <f t="shared" si="12"/>
        <v>1</v>
      </c>
      <c r="T379" s="77"/>
      <c r="U379" s="37" t="s">
        <v>2242</v>
      </c>
      <c r="V379" s="37" t="s">
        <v>2078</v>
      </c>
      <c r="W379" s="37"/>
      <c r="X379" s="37" t="e">
        <v>#N/A</v>
      </c>
    </row>
    <row r="380" spans="1:24" x14ac:dyDescent="0.3">
      <c r="A380" s="37">
        <f t="shared" si="13"/>
        <v>379</v>
      </c>
      <c r="B380" s="76" t="s">
        <v>1715</v>
      </c>
      <c r="C380" s="76" t="s">
        <v>1714</v>
      </c>
      <c r="D380" s="76" t="s">
        <v>5257</v>
      </c>
      <c r="E380" s="77">
        <v>403380015</v>
      </c>
      <c r="F380" s="77">
        <v>2500000</v>
      </c>
      <c r="G380" s="77" t="s">
        <v>2815</v>
      </c>
      <c r="H380" s="77" t="s">
        <v>2816</v>
      </c>
      <c r="I380" s="76" t="s">
        <v>2102</v>
      </c>
      <c r="J380" s="76" t="s">
        <v>28</v>
      </c>
      <c r="K380" s="76" t="str">
        <f>VLOOKUP($B380,'WILL TOKO SEP'!A381:AK1120,37,0)</f>
        <v>SUKAWATI</v>
      </c>
      <c r="L380" s="76" t="s">
        <v>2103</v>
      </c>
      <c r="M380" s="37" t="s">
        <v>3</v>
      </c>
      <c r="N380" s="78">
        <v>0</v>
      </c>
      <c r="O380" s="79">
        <v>46182</v>
      </c>
      <c r="P380" s="78">
        <v>0</v>
      </c>
      <c r="Q380" s="79">
        <v>46240</v>
      </c>
      <c r="R380" s="79" t="str">
        <f>IFERROR(VLOOKUP($B380,JADWAL!$G$6:$J$690,4,0),"")</f>
        <v/>
      </c>
      <c r="S380" s="77">
        <f t="shared" si="12"/>
        <v>2</v>
      </c>
      <c r="T380" s="77"/>
      <c r="U380" s="37" t="s">
        <v>2242</v>
      </c>
      <c r="V380" s="37" t="s">
        <v>2250</v>
      </c>
      <c r="W380" s="37"/>
      <c r="X380" s="37" t="e">
        <v>#N/A</v>
      </c>
    </row>
    <row r="381" spans="1:24" x14ac:dyDescent="0.3">
      <c r="A381" s="37">
        <f t="shared" si="13"/>
        <v>380</v>
      </c>
      <c r="B381" s="76" t="s">
        <v>741</v>
      </c>
      <c r="C381" s="76" t="s">
        <v>740</v>
      </c>
      <c r="D381" s="76" t="s">
        <v>2694</v>
      </c>
      <c r="E381" s="77">
        <v>368110326</v>
      </c>
      <c r="F381" s="77">
        <v>2500000</v>
      </c>
      <c r="G381" s="77" t="s">
        <v>2819</v>
      </c>
      <c r="H381" s="77" t="s">
        <v>2820</v>
      </c>
      <c r="I381" s="76" t="s">
        <v>2102</v>
      </c>
      <c r="J381" s="76" t="s">
        <v>4</v>
      </c>
      <c r="K381" s="76" t="str">
        <f>VLOOKUP($B381,'WILL TOKO SEP'!A382:AK1121,37,0)</f>
        <v>DENPASAR UTARA</v>
      </c>
      <c r="L381" s="76" t="s">
        <v>2104</v>
      </c>
      <c r="M381" s="37" t="s">
        <v>3</v>
      </c>
      <c r="N381" s="79">
        <v>46148</v>
      </c>
      <c r="O381" s="78">
        <v>0</v>
      </c>
      <c r="P381" s="79">
        <v>46233</v>
      </c>
      <c r="Q381" s="241">
        <v>0</v>
      </c>
      <c r="R381" s="79" t="str">
        <f>IFERROR(VLOOKUP($B381,JADWAL!$G$6:$J$690,4,0),"")</f>
        <v/>
      </c>
      <c r="S381" s="77">
        <f t="shared" si="12"/>
        <v>1</v>
      </c>
      <c r="T381" s="77"/>
      <c r="U381" s="37" t="s">
        <v>2242</v>
      </c>
      <c r="V381" s="37" t="s">
        <v>2250</v>
      </c>
      <c r="W381" s="37"/>
      <c r="X381" s="37">
        <v>0</v>
      </c>
    </row>
    <row r="382" spans="1:24" x14ac:dyDescent="0.3">
      <c r="A382" s="37">
        <f t="shared" si="13"/>
        <v>381</v>
      </c>
      <c r="B382" s="76" t="s">
        <v>1049</v>
      </c>
      <c r="C382" s="76" t="s">
        <v>1048</v>
      </c>
      <c r="D382" s="76" t="s">
        <v>2696</v>
      </c>
      <c r="E382" s="77">
        <v>467267050</v>
      </c>
      <c r="F382" s="77">
        <v>2500000</v>
      </c>
      <c r="G382" s="77" t="s">
        <v>2815</v>
      </c>
      <c r="H382" s="77" t="s">
        <v>2816</v>
      </c>
      <c r="I382" s="76" t="s">
        <v>2102</v>
      </c>
      <c r="J382" s="76" t="s">
        <v>28</v>
      </c>
      <c r="K382" s="76" t="str">
        <f>VLOOKUP($B382,'WILL TOKO SEP'!A383:AK1122,37,0)</f>
        <v>UBUD</v>
      </c>
      <c r="L382" s="76" t="s">
        <v>2103</v>
      </c>
      <c r="M382" s="37" t="s">
        <v>3</v>
      </c>
      <c r="N382" s="79">
        <v>46171</v>
      </c>
      <c r="O382" s="78">
        <v>0</v>
      </c>
      <c r="P382" s="79">
        <v>46221</v>
      </c>
      <c r="Q382" s="241">
        <v>0</v>
      </c>
      <c r="R382" s="79" t="str">
        <f>IFERROR(VLOOKUP($B382,JADWAL!$G$6:$J$690,4,0),"")</f>
        <v/>
      </c>
      <c r="S382" s="77">
        <f t="shared" si="12"/>
        <v>1</v>
      </c>
      <c r="T382" s="77"/>
      <c r="U382" s="37" t="s">
        <v>2242</v>
      </c>
      <c r="V382" s="37" t="s">
        <v>2250</v>
      </c>
      <c r="W382" s="37"/>
      <c r="X382" s="37" t="s">
        <v>27</v>
      </c>
    </row>
    <row r="383" spans="1:24" x14ac:dyDescent="0.3">
      <c r="A383" s="37">
        <f t="shared" si="13"/>
        <v>382</v>
      </c>
      <c r="B383" s="76" t="s">
        <v>1505</v>
      </c>
      <c r="C383" s="76" t="s">
        <v>1504</v>
      </c>
      <c r="D383" s="76" t="s">
        <v>2700</v>
      </c>
      <c r="E383" s="77">
        <v>399075857</v>
      </c>
      <c r="F383" s="77">
        <v>2500000</v>
      </c>
      <c r="G383" s="77" t="s">
        <v>2821</v>
      </c>
      <c r="H383" s="77" t="s">
        <v>2854</v>
      </c>
      <c r="I383" s="76" t="s">
        <v>2102</v>
      </c>
      <c r="J383" s="76" t="s">
        <v>4</v>
      </c>
      <c r="K383" s="76" t="e">
        <f>VLOOKUP($B383,'WILL TOKO SEP'!A384:AK1123,37,0)</f>
        <v>#N/A</v>
      </c>
      <c r="L383" s="76" t="s">
        <v>2104</v>
      </c>
      <c r="M383" s="37" t="s">
        <v>3</v>
      </c>
      <c r="N383" s="79">
        <v>46158</v>
      </c>
      <c r="O383" s="79">
        <v>46175</v>
      </c>
      <c r="P383" s="79">
        <v>46216</v>
      </c>
      <c r="Q383" s="79">
        <v>46247</v>
      </c>
      <c r="R383" s="79" t="str">
        <f>IFERROR(VLOOKUP($B383,JADWAL!$G$6:$J$690,4,0),"")</f>
        <v/>
      </c>
      <c r="S383" s="77">
        <f t="shared" si="12"/>
        <v>0</v>
      </c>
      <c r="T383" s="77"/>
      <c r="U383" s="37" t="s">
        <v>2242</v>
      </c>
      <c r="V383" s="37" t="s">
        <v>2078</v>
      </c>
      <c r="W383" s="37"/>
      <c r="X383" s="37" t="e">
        <v>#N/A</v>
      </c>
    </row>
    <row r="384" spans="1:24" x14ac:dyDescent="0.3">
      <c r="A384" s="37">
        <f t="shared" si="13"/>
        <v>383</v>
      </c>
      <c r="B384" s="76" t="s">
        <v>853</v>
      </c>
      <c r="C384" s="76" t="s">
        <v>5724</v>
      </c>
      <c r="D384" s="76" t="s">
        <v>2701</v>
      </c>
      <c r="E384" s="77">
        <v>500461834</v>
      </c>
      <c r="F384" s="77">
        <v>2000000</v>
      </c>
      <c r="G384" s="77" t="s">
        <v>2821</v>
      </c>
      <c r="H384" s="77" t="s">
        <v>2854</v>
      </c>
      <c r="I384" s="76" t="s">
        <v>2102</v>
      </c>
      <c r="J384" s="76" t="s">
        <v>4</v>
      </c>
      <c r="K384" s="76" t="str">
        <f>VLOOKUP($B384,'WILL TOKO SEP'!A385:AK1124,37,0)</f>
        <v>DENPASAR UTARA</v>
      </c>
      <c r="L384" s="76" t="s">
        <v>2104</v>
      </c>
      <c r="M384" s="37" t="s">
        <v>3</v>
      </c>
      <c r="N384" s="78">
        <v>0</v>
      </c>
      <c r="O384" s="78">
        <v>0</v>
      </c>
      <c r="P384" s="79">
        <v>46228</v>
      </c>
      <c r="Q384" s="241">
        <v>0</v>
      </c>
      <c r="R384" s="79">
        <f>IFERROR(VLOOKUP($B384,JADWAL!$G$6:$J$690,4,0),"")</f>
        <v>46268</v>
      </c>
      <c r="S384" s="77">
        <f t="shared" si="12"/>
        <v>2</v>
      </c>
      <c r="T384" s="77"/>
      <c r="U384" s="37" t="s">
        <v>2242</v>
      </c>
      <c r="V384" s="37" t="s">
        <v>2250</v>
      </c>
      <c r="W384" s="37"/>
      <c r="X384" s="37" t="s">
        <v>77</v>
      </c>
    </row>
    <row r="385" spans="1:24" x14ac:dyDescent="0.3">
      <c r="A385" s="37">
        <f t="shared" si="13"/>
        <v>384</v>
      </c>
      <c r="B385" s="76" t="s">
        <v>1623</v>
      </c>
      <c r="C385" s="76" t="s">
        <v>1622</v>
      </c>
      <c r="D385" s="76" t="s">
        <v>2704</v>
      </c>
      <c r="E385" s="77">
        <v>411969038</v>
      </c>
      <c r="F385" s="77">
        <v>2500000</v>
      </c>
      <c r="G385" s="77" t="s">
        <v>2825</v>
      </c>
      <c r="H385" s="77" t="s">
        <v>2836</v>
      </c>
      <c r="I385" s="76" t="s">
        <v>2102</v>
      </c>
      <c r="J385" s="76" t="s">
        <v>36</v>
      </c>
      <c r="K385" s="76" t="e">
        <f>VLOOKUP($B385,'WILL TOKO SEP'!A386:AK1125,37,0)</f>
        <v>#N/A</v>
      </c>
      <c r="L385" s="76" t="s">
        <v>2104</v>
      </c>
      <c r="M385" s="37" t="s">
        <v>3</v>
      </c>
      <c r="N385" s="79">
        <v>46149</v>
      </c>
      <c r="O385" s="78">
        <v>0</v>
      </c>
      <c r="P385" s="79">
        <v>46216</v>
      </c>
      <c r="Q385" s="79">
        <v>46244</v>
      </c>
      <c r="R385" s="79" t="str">
        <f>IFERROR(VLOOKUP($B385,JADWAL!$G$6:$J$690,4,0),"")</f>
        <v/>
      </c>
      <c r="S385" s="77">
        <f t="shared" si="12"/>
        <v>1</v>
      </c>
      <c r="T385" s="77"/>
      <c r="U385" s="37" t="s">
        <v>2242</v>
      </c>
      <c r="V385" s="37" t="s">
        <v>2250</v>
      </c>
      <c r="W385" s="37"/>
      <c r="X385" s="37" t="e">
        <v>#N/A</v>
      </c>
    </row>
    <row r="386" spans="1:24" x14ac:dyDescent="0.3">
      <c r="A386" s="37">
        <f t="shared" si="13"/>
        <v>385</v>
      </c>
      <c r="B386" s="76" t="s">
        <v>704</v>
      </c>
      <c r="C386" s="76" t="s">
        <v>703</v>
      </c>
      <c r="D386" s="76" t="s">
        <v>5383</v>
      </c>
      <c r="E386" s="77">
        <v>431845277</v>
      </c>
      <c r="F386" s="77">
        <v>2000000</v>
      </c>
      <c r="G386" s="77" t="s">
        <v>2817</v>
      </c>
      <c r="H386" s="77" t="s">
        <v>2818</v>
      </c>
      <c r="I386" s="76" t="s">
        <v>2102</v>
      </c>
      <c r="J386" s="76" t="s">
        <v>4</v>
      </c>
      <c r="K386" s="76" t="str">
        <f>VLOOKUP($B386,'WILL TOKO SEP'!A387:AK1126,37,0)</f>
        <v>DENPASAR BARAT</v>
      </c>
      <c r="L386" s="76" t="s">
        <v>2104</v>
      </c>
      <c r="M386" s="37" t="s">
        <v>3</v>
      </c>
      <c r="N386" s="79">
        <v>46154</v>
      </c>
      <c r="O386" s="78">
        <v>0</v>
      </c>
      <c r="P386" s="79">
        <v>46234</v>
      </c>
      <c r="Q386" s="241">
        <v>0</v>
      </c>
      <c r="R386" s="79">
        <f>IFERROR(VLOOKUP($B386,JADWAL!$G$6:$J$690,4,0),"")</f>
        <v>46267</v>
      </c>
      <c r="S386" s="77">
        <f t="shared" ref="S386:S449" si="14">COUNTIF(N386:P386,"0")</f>
        <v>1</v>
      </c>
      <c r="T386" s="77"/>
      <c r="U386" s="37" t="s">
        <v>2242</v>
      </c>
      <c r="V386" s="37" t="s">
        <v>2250</v>
      </c>
      <c r="W386" s="37"/>
      <c r="X386" s="37">
        <v>0</v>
      </c>
    </row>
    <row r="387" spans="1:24" x14ac:dyDescent="0.3">
      <c r="A387" s="37">
        <f t="shared" si="13"/>
        <v>386</v>
      </c>
      <c r="B387" s="76" t="s">
        <v>794</v>
      </c>
      <c r="C387" s="76" t="s">
        <v>793</v>
      </c>
      <c r="D387" s="76" t="s">
        <v>2705</v>
      </c>
      <c r="E387" s="77">
        <v>493282520</v>
      </c>
      <c r="F387" s="77">
        <v>3000000</v>
      </c>
      <c r="G387" s="77" t="s">
        <v>2825</v>
      </c>
      <c r="H387" s="77" t="s">
        <v>2837</v>
      </c>
      <c r="I387" s="76" t="s">
        <v>2102</v>
      </c>
      <c r="J387" s="76" t="s">
        <v>9</v>
      </c>
      <c r="K387" s="76" t="e">
        <f>VLOOKUP($B387,'WILL TOKO SEP'!A388:AK1127,37,0)</f>
        <v>#N/A</v>
      </c>
      <c r="L387" s="76" t="s">
        <v>2104</v>
      </c>
      <c r="M387" s="37" t="s">
        <v>3</v>
      </c>
      <c r="N387" s="78">
        <v>0</v>
      </c>
      <c r="O387" s="79">
        <v>46181</v>
      </c>
      <c r="P387" s="79">
        <v>46231</v>
      </c>
      <c r="Q387" s="241">
        <v>0</v>
      </c>
      <c r="R387" s="79" t="str">
        <f>IFERROR(VLOOKUP($B387,JADWAL!$G$6:$J$690,4,0),"")</f>
        <v/>
      </c>
      <c r="S387" s="77">
        <f t="shared" si="14"/>
        <v>1</v>
      </c>
      <c r="T387" s="77"/>
      <c r="U387" s="37" t="s">
        <v>2242</v>
      </c>
      <c r="V387" s="37" t="s">
        <v>2250</v>
      </c>
      <c r="W387" s="37"/>
      <c r="X387" s="37" t="s">
        <v>20</v>
      </c>
    </row>
    <row r="388" spans="1:24" x14ac:dyDescent="0.3">
      <c r="A388" s="37">
        <f t="shared" ref="A388:A451" si="15">A387+1</f>
        <v>387</v>
      </c>
      <c r="B388" s="76" t="s">
        <v>925</v>
      </c>
      <c r="C388" s="76" t="s">
        <v>924</v>
      </c>
      <c r="D388" s="76" t="s">
        <v>2713</v>
      </c>
      <c r="E388" s="77">
        <v>454813004</v>
      </c>
      <c r="F388" s="77">
        <v>3000000</v>
      </c>
      <c r="G388" s="77" t="s">
        <v>2815</v>
      </c>
      <c r="H388" s="77" t="s">
        <v>2857</v>
      </c>
      <c r="I388" s="76" t="s">
        <v>2102</v>
      </c>
      <c r="J388" s="76" t="s">
        <v>28</v>
      </c>
      <c r="K388" s="76" t="e">
        <f>VLOOKUP($B388,'WILL TOKO SEP'!A389:AK1128,37,0)</f>
        <v>#N/A</v>
      </c>
      <c r="L388" s="76" t="s">
        <v>2103</v>
      </c>
      <c r="M388" s="37" t="s">
        <v>3</v>
      </c>
      <c r="N388" s="78">
        <v>0</v>
      </c>
      <c r="O388" s="79">
        <v>46191</v>
      </c>
      <c r="P388" s="79">
        <v>46226</v>
      </c>
      <c r="Q388" s="241">
        <v>0</v>
      </c>
      <c r="R388" s="79" t="str">
        <f>IFERROR(VLOOKUP($B388,JADWAL!$G$6:$J$690,4,0),"")</f>
        <v/>
      </c>
      <c r="S388" s="77">
        <f t="shared" si="14"/>
        <v>1</v>
      </c>
      <c r="T388" s="77"/>
      <c r="U388" s="37" t="s">
        <v>2242</v>
      </c>
      <c r="V388" s="37" t="s">
        <v>2250</v>
      </c>
      <c r="W388" s="37"/>
      <c r="X388" s="37" t="s">
        <v>27</v>
      </c>
    </row>
    <row r="389" spans="1:24" x14ac:dyDescent="0.3">
      <c r="A389" s="37">
        <f t="shared" si="15"/>
        <v>388</v>
      </c>
      <c r="B389" s="76" t="s">
        <v>1571</v>
      </c>
      <c r="C389" s="76" t="s">
        <v>1570</v>
      </c>
      <c r="D389" s="76" t="s">
        <v>2714</v>
      </c>
      <c r="E389" s="77">
        <v>410387080</v>
      </c>
      <c r="F389" s="77">
        <v>3000000</v>
      </c>
      <c r="G389" s="77" t="s">
        <v>2817</v>
      </c>
      <c r="H389" s="77" t="s">
        <v>2818</v>
      </c>
      <c r="I389" s="76" t="s">
        <v>2102</v>
      </c>
      <c r="J389" s="76" t="s">
        <v>4</v>
      </c>
      <c r="K389" s="76" t="str">
        <f>VLOOKUP($B389,'WILL TOKO SEP'!A390:AK1129,37,0)</f>
        <v>DENPASAR BARAT</v>
      </c>
      <c r="L389" s="76" t="s">
        <v>2104</v>
      </c>
      <c r="M389" s="37" t="s">
        <v>3</v>
      </c>
      <c r="N389" s="79">
        <v>46160</v>
      </c>
      <c r="O389" s="79">
        <v>46184</v>
      </c>
      <c r="P389" s="79">
        <v>46230</v>
      </c>
      <c r="Q389" s="79">
        <v>46245</v>
      </c>
      <c r="R389" s="79" t="str">
        <f>IFERROR(VLOOKUP($B389,JADWAL!$G$6:$J$690,4,0),"")</f>
        <v/>
      </c>
      <c r="S389" s="77">
        <f t="shared" si="14"/>
        <v>0</v>
      </c>
      <c r="T389" s="77"/>
      <c r="U389" s="37" t="s">
        <v>2242</v>
      </c>
      <c r="V389" s="37" t="s">
        <v>2250</v>
      </c>
      <c r="W389" s="37"/>
      <c r="X389" s="37" t="e">
        <v>#N/A</v>
      </c>
    </row>
    <row r="390" spans="1:24" x14ac:dyDescent="0.3">
      <c r="A390" s="37">
        <f t="shared" si="15"/>
        <v>389</v>
      </c>
      <c r="B390" s="76" t="s">
        <v>1053</v>
      </c>
      <c r="C390" s="76" t="s">
        <v>1052</v>
      </c>
      <c r="D390" s="76" t="s">
        <v>5629</v>
      </c>
      <c r="E390" s="77">
        <v>560229702</v>
      </c>
      <c r="F390" s="77">
        <v>2000000</v>
      </c>
      <c r="G390" s="77" t="s">
        <v>2821</v>
      </c>
      <c r="H390" s="77" t="s">
        <v>2854</v>
      </c>
      <c r="I390" s="76" t="s">
        <v>2102</v>
      </c>
      <c r="J390" s="76" t="s">
        <v>4</v>
      </c>
      <c r="K390" s="76" t="str">
        <f>VLOOKUP($B390,'WILL TOKO SEP'!A391:AK1130,37,0)</f>
        <v>Denpasar Barat</v>
      </c>
      <c r="L390" s="76" t="s">
        <v>2104</v>
      </c>
      <c r="M390" s="37" t="s">
        <v>3</v>
      </c>
      <c r="N390" s="79">
        <v>46154</v>
      </c>
      <c r="O390" s="78">
        <v>0</v>
      </c>
      <c r="P390" s="79">
        <v>46221</v>
      </c>
      <c r="Q390" s="241">
        <v>0</v>
      </c>
      <c r="R390" s="79" t="str">
        <f>IFERROR(VLOOKUP($B390,JADWAL!$G$6:$J$690,4,0),"")</f>
        <v/>
      </c>
      <c r="S390" s="77">
        <f t="shared" si="14"/>
        <v>1</v>
      </c>
      <c r="T390" s="77"/>
      <c r="U390" s="37" t="s">
        <v>2242</v>
      </c>
      <c r="V390" s="37" t="s">
        <v>2250</v>
      </c>
      <c r="W390" s="37"/>
      <c r="X390" s="37" t="s">
        <v>77</v>
      </c>
    </row>
    <row r="391" spans="1:24" x14ac:dyDescent="0.3">
      <c r="A391" s="37">
        <f t="shared" si="15"/>
        <v>390</v>
      </c>
      <c r="B391" s="76" t="s">
        <v>599</v>
      </c>
      <c r="C391" s="76" t="s">
        <v>598</v>
      </c>
      <c r="D391" s="76" t="s">
        <v>2715</v>
      </c>
      <c r="E391" s="77">
        <v>629176829</v>
      </c>
      <c r="F391" s="77">
        <v>4000000</v>
      </c>
      <c r="G391" s="77" t="s">
        <v>2825</v>
      </c>
      <c r="H391" s="77" t="s">
        <v>2836</v>
      </c>
      <c r="I391" s="76" t="s">
        <v>2102</v>
      </c>
      <c r="J391" s="76" t="s">
        <v>36</v>
      </c>
      <c r="K391" s="76" t="e">
        <f>VLOOKUP($B391,'WILL TOKO SEP'!A392:AK1131,37,0)</f>
        <v>#N/A</v>
      </c>
      <c r="L391" s="76" t="s">
        <v>2104</v>
      </c>
      <c r="M391" s="37" t="s">
        <v>3</v>
      </c>
      <c r="N391" s="79">
        <v>46154</v>
      </c>
      <c r="O391" s="79">
        <v>46183</v>
      </c>
      <c r="P391" s="78">
        <v>0</v>
      </c>
      <c r="Q391" s="241">
        <v>0</v>
      </c>
      <c r="R391" s="79">
        <f>IFERROR(VLOOKUP($B391,JADWAL!$G$6:$J$690,4,0),"")</f>
        <v>46267</v>
      </c>
      <c r="S391" s="77">
        <f t="shared" si="14"/>
        <v>1</v>
      </c>
      <c r="T391" s="77"/>
      <c r="U391" s="37" t="s">
        <v>2242</v>
      </c>
      <c r="V391" s="37" t="s">
        <v>2250</v>
      </c>
      <c r="W391" s="37"/>
      <c r="X391" s="37" t="s">
        <v>13</v>
      </c>
    </row>
    <row r="392" spans="1:24" x14ac:dyDescent="0.3">
      <c r="A392" s="37">
        <f t="shared" si="15"/>
        <v>391</v>
      </c>
      <c r="B392" s="76" t="s">
        <v>1098</v>
      </c>
      <c r="C392" s="76" t="s">
        <v>1097</v>
      </c>
      <c r="D392" s="76" t="s">
        <v>5198</v>
      </c>
      <c r="E392" s="77">
        <v>483011980</v>
      </c>
      <c r="F392" s="77">
        <v>2500000</v>
      </c>
      <c r="G392" s="77" t="s">
        <v>2817</v>
      </c>
      <c r="H392" s="77" t="s">
        <v>2851</v>
      </c>
      <c r="I392" s="76" t="s">
        <v>2102</v>
      </c>
      <c r="J392" s="76" t="s">
        <v>4</v>
      </c>
      <c r="K392" s="76" t="str">
        <f>VLOOKUP($B392,'WILL TOKO SEP'!A393:AK1132,37,0)</f>
        <v>DENPASAR SELATAN</v>
      </c>
      <c r="L392" s="76" t="s">
        <v>2103</v>
      </c>
      <c r="M392" s="37" t="s">
        <v>3</v>
      </c>
      <c r="N392" s="79">
        <v>46144</v>
      </c>
      <c r="O392" s="78">
        <v>0</v>
      </c>
      <c r="P392" s="79">
        <v>46220</v>
      </c>
      <c r="Q392" s="241">
        <v>0</v>
      </c>
      <c r="R392" s="79" t="str">
        <f>IFERROR(VLOOKUP($B392,JADWAL!$G$6:$J$690,4,0),"")</f>
        <v/>
      </c>
      <c r="S392" s="77">
        <f t="shared" si="14"/>
        <v>1</v>
      </c>
      <c r="T392" s="77"/>
      <c r="U392" s="37" t="s">
        <v>2242</v>
      </c>
      <c r="V392" s="37" t="s">
        <v>2250</v>
      </c>
      <c r="W392" s="37"/>
      <c r="X392" s="37">
        <v>0</v>
      </c>
    </row>
    <row r="393" spans="1:24" x14ac:dyDescent="0.3">
      <c r="A393" s="37">
        <f t="shared" si="15"/>
        <v>392</v>
      </c>
      <c r="B393" s="76" t="s">
        <v>1016</v>
      </c>
      <c r="C393" s="76" t="s">
        <v>1015</v>
      </c>
      <c r="D393" s="76" t="s">
        <v>2717</v>
      </c>
      <c r="E393" s="77">
        <v>353378740</v>
      </c>
      <c r="F393" s="77">
        <v>2000000</v>
      </c>
      <c r="G393" s="77" t="s">
        <v>2817</v>
      </c>
      <c r="H393" s="77" t="s">
        <v>2818</v>
      </c>
      <c r="I393" s="76" t="s">
        <v>2102</v>
      </c>
      <c r="J393" s="76" t="s">
        <v>4</v>
      </c>
      <c r="K393" s="76" t="str">
        <f>VLOOKUP($B393,'WILL TOKO SEP'!A394:AK1133,37,0)</f>
        <v>DENPASAR SELATAN</v>
      </c>
      <c r="L393" s="76" t="s">
        <v>2103</v>
      </c>
      <c r="M393" s="37" t="s">
        <v>3</v>
      </c>
      <c r="N393" s="78">
        <v>0</v>
      </c>
      <c r="O393" s="79">
        <v>46202</v>
      </c>
      <c r="P393" s="79">
        <v>46223</v>
      </c>
      <c r="Q393" s="241">
        <v>0</v>
      </c>
      <c r="R393" s="79">
        <f>IFERROR(VLOOKUP($B393,JADWAL!$G$6:$J$690,4,0),"")</f>
        <v>46269</v>
      </c>
      <c r="S393" s="77">
        <f t="shared" si="14"/>
        <v>1</v>
      </c>
      <c r="T393" s="77"/>
      <c r="U393" s="37" t="s">
        <v>2242</v>
      </c>
      <c r="V393" s="37" t="s">
        <v>2250</v>
      </c>
      <c r="W393" s="37"/>
      <c r="X393" s="37">
        <v>0</v>
      </c>
    </row>
    <row r="394" spans="1:24" x14ac:dyDescent="0.3">
      <c r="A394" s="37">
        <f t="shared" si="15"/>
        <v>393</v>
      </c>
      <c r="B394" s="76" t="s">
        <v>1024</v>
      </c>
      <c r="C394" s="76" t="s">
        <v>1023</v>
      </c>
      <c r="D394" s="76" t="s">
        <v>2718</v>
      </c>
      <c r="E394" s="77">
        <v>490833430</v>
      </c>
      <c r="F394" s="77">
        <v>2000000</v>
      </c>
      <c r="G394" s="77" t="s">
        <v>2821</v>
      </c>
      <c r="H394" s="77" t="s">
        <v>2833</v>
      </c>
      <c r="I394" s="76" t="s">
        <v>2102</v>
      </c>
      <c r="J394" s="76" t="s">
        <v>36</v>
      </c>
      <c r="K394" s="76" t="e">
        <f>VLOOKUP($B394,'WILL TOKO SEP'!A395:AK1134,37,0)</f>
        <v>#N/A</v>
      </c>
      <c r="L394" s="76" t="s">
        <v>2104</v>
      </c>
      <c r="M394" s="37" t="s">
        <v>3</v>
      </c>
      <c r="N394" s="78">
        <v>0</v>
      </c>
      <c r="O394" s="79">
        <v>46182</v>
      </c>
      <c r="P394" s="79">
        <v>46223</v>
      </c>
      <c r="Q394" s="241">
        <v>0</v>
      </c>
      <c r="R394" s="79" t="str">
        <f>IFERROR(VLOOKUP($B394,JADWAL!$G$6:$J$690,4,0),"")</f>
        <v/>
      </c>
      <c r="S394" s="77">
        <f t="shared" si="14"/>
        <v>1</v>
      </c>
      <c r="T394" s="77"/>
      <c r="U394" s="37" t="s">
        <v>2242</v>
      </c>
      <c r="V394" s="37" t="s">
        <v>2250</v>
      </c>
      <c r="W394" s="37"/>
      <c r="X394" s="37" t="s">
        <v>13</v>
      </c>
    </row>
    <row r="395" spans="1:24" x14ac:dyDescent="0.3">
      <c r="A395" s="37">
        <f t="shared" si="15"/>
        <v>394</v>
      </c>
      <c r="B395" s="76" t="s">
        <v>914</v>
      </c>
      <c r="C395" s="76" t="s">
        <v>913</v>
      </c>
      <c r="D395" s="76" t="s">
        <v>2721</v>
      </c>
      <c r="E395" s="77">
        <v>293814621</v>
      </c>
      <c r="F395" s="77">
        <v>2000000</v>
      </c>
      <c r="G395" s="77" t="s">
        <v>2817</v>
      </c>
      <c r="H395" s="77" t="s">
        <v>2850</v>
      </c>
      <c r="I395" s="76" t="s">
        <v>2102</v>
      </c>
      <c r="J395" s="76" t="s">
        <v>4</v>
      </c>
      <c r="K395" s="76" t="str">
        <f>VLOOKUP($B395,'WILL TOKO SEP'!A396:AK1135,37,0)</f>
        <v>DENPASAR TIMUR</v>
      </c>
      <c r="L395" s="76" t="s">
        <v>2103</v>
      </c>
      <c r="M395" s="37" t="s">
        <v>3</v>
      </c>
      <c r="N395" s="79">
        <v>46167</v>
      </c>
      <c r="O395" s="79">
        <v>46193</v>
      </c>
      <c r="P395" s="79">
        <v>46227</v>
      </c>
      <c r="Q395" s="79">
        <v>46252</v>
      </c>
      <c r="R395" s="79" t="str">
        <f>IFERROR(VLOOKUP($B395,JADWAL!$G$6:$J$690,4,0),"")</f>
        <v/>
      </c>
      <c r="S395" s="77">
        <f t="shared" si="14"/>
        <v>0</v>
      </c>
      <c r="T395" s="77"/>
      <c r="U395" s="37" t="s">
        <v>2242</v>
      </c>
      <c r="V395" s="37" t="s">
        <v>2078</v>
      </c>
      <c r="W395" s="37"/>
      <c r="X395" s="37" t="s">
        <v>77</v>
      </c>
    </row>
    <row r="396" spans="1:24" x14ac:dyDescent="0.3">
      <c r="A396" s="37">
        <f t="shared" si="15"/>
        <v>395</v>
      </c>
      <c r="B396" s="76" t="s">
        <v>1357</v>
      </c>
      <c r="C396" s="76" t="s">
        <v>1356</v>
      </c>
      <c r="D396" s="76" t="s">
        <v>2722</v>
      </c>
      <c r="E396" s="77">
        <v>372164989</v>
      </c>
      <c r="F396" s="77">
        <v>2000000</v>
      </c>
      <c r="G396" s="77" t="s">
        <v>2830</v>
      </c>
      <c r="H396" s="77" t="s">
        <v>2831</v>
      </c>
      <c r="I396" s="76" t="s">
        <v>2102</v>
      </c>
      <c r="J396" s="76" t="s">
        <v>4</v>
      </c>
      <c r="K396" s="76" t="str">
        <f>VLOOKUP($B396,'WILL TOKO SEP'!A397:AK1136,37,0)</f>
        <v>DENPASAR SELATAN</v>
      </c>
      <c r="L396" s="76" t="s">
        <v>2103</v>
      </c>
      <c r="M396" s="37" t="s">
        <v>3</v>
      </c>
      <c r="N396" s="78">
        <v>0</v>
      </c>
      <c r="O396" s="78">
        <v>0</v>
      </c>
      <c r="P396" s="79">
        <v>46209</v>
      </c>
      <c r="Q396" s="79">
        <v>46252</v>
      </c>
      <c r="R396" s="79" t="str">
        <f>IFERROR(VLOOKUP($B396,JADWAL!$G$6:$J$690,4,0),"")</f>
        <v/>
      </c>
      <c r="S396" s="77">
        <f t="shared" si="14"/>
        <v>2</v>
      </c>
      <c r="T396" s="77"/>
      <c r="U396" s="37" t="s">
        <v>2242</v>
      </c>
      <c r="V396" s="37" t="s">
        <v>2250</v>
      </c>
      <c r="W396" s="37"/>
      <c r="X396" s="37">
        <v>0</v>
      </c>
    </row>
    <row r="397" spans="1:24" x14ac:dyDescent="0.3">
      <c r="A397" s="37">
        <f t="shared" si="15"/>
        <v>396</v>
      </c>
      <c r="B397" s="76" t="s">
        <v>1352</v>
      </c>
      <c r="C397" s="76" t="s">
        <v>1351</v>
      </c>
      <c r="D397" s="76" t="s">
        <v>5327</v>
      </c>
      <c r="E397" s="77">
        <v>449761970</v>
      </c>
      <c r="F397" s="77">
        <v>2500000</v>
      </c>
      <c r="G397" s="77" t="s">
        <v>2827</v>
      </c>
      <c r="H397" s="77" t="s">
        <v>2828</v>
      </c>
      <c r="I397" s="76" t="s">
        <v>2102</v>
      </c>
      <c r="J397" s="76" t="s">
        <v>48</v>
      </c>
      <c r="K397" s="76" t="str">
        <f>VLOOKUP($B397,'WILL TOKO SEP'!A398:AK1137,37,0)</f>
        <v>BULELENG</v>
      </c>
      <c r="L397" s="76" t="s">
        <v>2104</v>
      </c>
      <c r="M397" s="37" t="s">
        <v>3</v>
      </c>
      <c r="N397" s="78">
        <v>0</v>
      </c>
      <c r="O397" s="79">
        <v>46176</v>
      </c>
      <c r="P397" s="79">
        <v>46209</v>
      </c>
      <c r="Q397" s="79">
        <v>46252</v>
      </c>
      <c r="R397" s="79" t="str">
        <f>IFERROR(VLOOKUP($B397,JADWAL!$G$6:$J$690,4,0),"")</f>
        <v/>
      </c>
      <c r="S397" s="77">
        <f t="shared" si="14"/>
        <v>1</v>
      </c>
      <c r="T397" s="77"/>
      <c r="U397" s="37" t="s">
        <v>2242</v>
      </c>
      <c r="V397" s="37" t="s">
        <v>2250</v>
      </c>
      <c r="W397" s="37"/>
      <c r="X397" s="37" t="s">
        <v>44</v>
      </c>
    </row>
    <row r="398" spans="1:24" x14ac:dyDescent="0.3">
      <c r="A398" s="37">
        <f t="shared" si="15"/>
        <v>397</v>
      </c>
      <c r="B398" s="76" t="s">
        <v>842</v>
      </c>
      <c r="C398" s="76" t="s">
        <v>5720</v>
      </c>
      <c r="D398" s="76" t="s">
        <v>2724</v>
      </c>
      <c r="E398" s="77">
        <v>473327598</v>
      </c>
      <c r="F398" s="77">
        <v>4000000</v>
      </c>
      <c r="G398" s="77" t="s">
        <v>2815</v>
      </c>
      <c r="H398" s="77" t="s">
        <v>2855</v>
      </c>
      <c r="I398" s="76" t="s">
        <v>2102</v>
      </c>
      <c r="J398" s="76" t="s">
        <v>28</v>
      </c>
      <c r="K398" s="76" t="e">
        <f>VLOOKUP($B398,'WILL TOKO SEP'!A399:AK1138,37,0)</f>
        <v>#N/A</v>
      </c>
      <c r="L398" s="76" t="s">
        <v>2103</v>
      </c>
      <c r="M398" s="37" t="s">
        <v>3</v>
      </c>
      <c r="N398" s="79">
        <v>46167</v>
      </c>
      <c r="O398" s="79">
        <v>46191</v>
      </c>
      <c r="P398" s="79">
        <v>46230</v>
      </c>
      <c r="Q398" s="79">
        <v>46252</v>
      </c>
      <c r="R398" s="79" t="str">
        <f>IFERROR(VLOOKUP($B398,JADWAL!$G$6:$J$690,4,0),"")</f>
        <v/>
      </c>
      <c r="S398" s="77">
        <f t="shared" si="14"/>
        <v>0</v>
      </c>
      <c r="T398" s="77"/>
      <c r="U398" s="37" t="s">
        <v>2242</v>
      </c>
      <c r="V398" s="37" t="s">
        <v>2078</v>
      </c>
      <c r="W398" s="37"/>
      <c r="X398" s="37" t="s">
        <v>27</v>
      </c>
    </row>
    <row r="399" spans="1:24" x14ac:dyDescent="0.3">
      <c r="A399" s="37">
        <f t="shared" si="15"/>
        <v>398</v>
      </c>
      <c r="B399" s="76" t="s">
        <v>917</v>
      </c>
      <c r="C399" s="76" t="s">
        <v>5754</v>
      </c>
      <c r="D399" s="76" t="s">
        <v>5236</v>
      </c>
      <c r="E399" s="77">
        <v>424230121</v>
      </c>
      <c r="F399" s="77">
        <v>2000000</v>
      </c>
      <c r="G399" s="77" t="s">
        <v>2817</v>
      </c>
      <c r="H399" s="77" t="s">
        <v>2852</v>
      </c>
      <c r="I399" s="76" t="s">
        <v>2102</v>
      </c>
      <c r="J399" s="76" t="s">
        <v>4</v>
      </c>
      <c r="K399" s="76" t="str">
        <f>VLOOKUP($B399,'WILL TOKO SEP'!A400:AK1139,37,0)</f>
        <v>DENPASAR BARAT</v>
      </c>
      <c r="L399" s="76" t="s">
        <v>2104</v>
      </c>
      <c r="M399" s="37" t="s">
        <v>3</v>
      </c>
      <c r="N399" s="79">
        <v>46167</v>
      </c>
      <c r="O399" s="79">
        <v>46193</v>
      </c>
      <c r="P399" s="79">
        <v>46227</v>
      </c>
      <c r="Q399" s="79">
        <v>46252</v>
      </c>
      <c r="R399" s="79" t="str">
        <f>IFERROR(VLOOKUP($B399,JADWAL!$G$6:$J$690,4,0),"")</f>
        <v/>
      </c>
      <c r="S399" s="77">
        <f t="shared" si="14"/>
        <v>0</v>
      </c>
      <c r="T399" s="77"/>
      <c r="U399" s="37" t="s">
        <v>2242</v>
      </c>
      <c r="V399" s="37" t="s">
        <v>2078</v>
      </c>
      <c r="W399" s="37"/>
      <c r="X399" s="37" t="s">
        <v>77</v>
      </c>
    </row>
    <row r="400" spans="1:24" x14ac:dyDescent="0.3">
      <c r="A400" s="37">
        <f t="shared" si="15"/>
        <v>399</v>
      </c>
      <c r="B400" s="76" t="s">
        <v>760</v>
      </c>
      <c r="C400" s="76" t="s">
        <v>759</v>
      </c>
      <c r="D400" s="76" t="s">
        <v>2726</v>
      </c>
      <c r="E400" s="77">
        <v>384964245</v>
      </c>
      <c r="F400" s="77">
        <v>2500000</v>
      </c>
      <c r="G400" s="77" t="s">
        <v>2813</v>
      </c>
      <c r="H400" s="77" t="s">
        <v>2871</v>
      </c>
      <c r="I400" s="76" t="s">
        <v>2102</v>
      </c>
      <c r="J400" s="76" t="s">
        <v>9</v>
      </c>
      <c r="K400" s="76" t="e">
        <f>VLOOKUP($B400,'WILL TOKO SEP'!A401:AK1140,37,0)</f>
        <v>#N/A</v>
      </c>
      <c r="L400" s="76" t="s">
        <v>2104</v>
      </c>
      <c r="M400" s="37" t="s">
        <v>3</v>
      </c>
      <c r="N400" s="79">
        <v>46157</v>
      </c>
      <c r="O400" s="78">
        <v>0</v>
      </c>
      <c r="P400" s="79">
        <v>46233</v>
      </c>
      <c r="Q400" s="79">
        <v>46252</v>
      </c>
      <c r="R400" s="79" t="str">
        <f>IFERROR(VLOOKUP($B400,JADWAL!$G$6:$J$690,4,0),"")</f>
        <v/>
      </c>
      <c r="S400" s="77">
        <f t="shared" si="14"/>
        <v>1</v>
      </c>
      <c r="T400" s="77"/>
      <c r="U400" s="37" t="s">
        <v>2242</v>
      </c>
      <c r="V400" s="37" t="s">
        <v>2250</v>
      </c>
      <c r="W400" s="37"/>
      <c r="X400" s="37" t="s">
        <v>124</v>
      </c>
    </row>
    <row r="401" spans="1:24" x14ac:dyDescent="0.3">
      <c r="A401" s="37">
        <f t="shared" si="15"/>
        <v>400</v>
      </c>
      <c r="B401" s="76" t="s">
        <v>1355</v>
      </c>
      <c r="C401" s="76" t="s">
        <v>1354</v>
      </c>
      <c r="D401" s="76" t="s">
        <v>2727</v>
      </c>
      <c r="E401" s="77">
        <v>394269652</v>
      </c>
      <c r="F401" s="77">
        <v>3000000</v>
      </c>
      <c r="G401" s="77" t="s">
        <v>2827</v>
      </c>
      <c r="H401" s="77" t="s">
        <v>2828</v>
      </c>
      <c r="I401" s="76" t="s">
        <v>2102</v>
      </c>
      <c r="J401" s="76" t="s">
        <v>48</v>
      </c>
      <c r="K401" s="76" t="e">
        <f>VLOOKUP($B401,'WILL TOKO SEP'!A402:AK1141,37,0)</f>
        <v>#N/A</v>
      </c>
      <c r="L401" s="76" t="s">
        <v>2104</v>
      </c>
      <c r="M401" s="37" t="s">
        <v>3</v>
      </c>
      <c r="N401" s="79">
        <v>46155</v>
      </c>
      <c r="O401" s="79">
        <v>46192</v>
      </c>
      <c r="P401" s="79">
        <v>46209</v>
      </c>
      <c r="Q401" s="79">
        <v>46252</v>
      </c>
      <c r="R401" s="79" t="str">
        <f>IFERROR(VLOOKUP($B401,JADWAL!$G$6:$J$690,4,0),"")</f>
        <v/>
      </c>
      <c r="S401" s="77">
        <f t="shared" si="14"/>
        <v>0</v>
      </c>
      <c r="T401" s="77"/>
      <c r="U401" s="37" t="s">
        <v>2242</v>
      </c>
      <c r="V401" s="37" t="s">
        <v>2250</v>
      </c>
      <c r="W401" s="37"/>
      <c r="X401" s="37" t="s">
        <v>44</v>
      </c>
    </row>
    <row r="402" spans="1:24" x14ac:dyDescent="0.3">
      <c r="A402" s="37">
        <f t="shared" si="15"/>
        <v>401</v>
      </c>
      <c r="B402" s="76" t="s">
        <v>981</v>
      </c>
      <c r="C402" s="76" t="s">
        <v>980</v>
      </c>
      <c r="D402" s="76" t="s">
        <v>2728</v>
      </c>
      <c r="E402" s="77">
        <v>589636368</v>
      </c>
      <c r="F402" s="77">
        <v>3500000</v>
      </c>
      <c r="G402" s="77" t="s">
        <v>2830</v>
      </c>
      <c r="H402" s="77" t="s">
        <v>2860</v>
      </c>
      <c r="I402" s="76" t="s">
        <v>2102</v>
      </c>
      <c r="J402" s="76" t="s">
        <v>9</v>
      </c>
      <c r="K402" s="76" t="e">
        <f>VLOOKUP($B402,'WILL TOKO SEP'!A403:AK1142,37,0)</f>
        <v>#N/A</v>
      </c>
      <c r="L402" s="76" t="s">
        <v>2104</v>
      </c>
      <c r="M402" s="37" t="s">
        <v>3</v>
      </c>
      <c r="N402" s="79">
        <v>46150</v>
      </c>
      <c r="O402" s="79">
        <v>46185</v>
      </c>
      <c r="P402" s="79">
        <v>46225</v>
      </c>
      <c r="Q402" s="79">
        <v>46258</v>
      </c>
      <c r="R402" s="79" t="str">
        <f>IFERROR(VLOOKUP($B402,JADWAL!$G$6:$J$690,4,0),"")</f>
        <v/>
      </c>
      <c r="S402" s="77">
        <f t="shared" si="14"/>
        <v>0</v>
      </c>
      <c r="T402" s="77"/>
      <c r="U402" s="37" t="s">
        <v>2242</v>
      </c>
      <c r="V402" s="37" t="s">
        <v>2078</v>
      </c>
      <c r="W402" s="37"/>
      <c r="X402" s="37" t="s">
        <v>20</v>
      </c>
    </row>
    <row r="403" spans="1:24" x14ac:dyDescent="0.3">
      <c r="A403" s="37">
        <f t="shared" si="15"/>
        <v>402</v>
      </c>
      <c r="B403" s="76" t="s">
        <v>1235</v>
      </c>
      <c r="C403" s="76" t="s">
        <v>1234</v>
      </c>
      <c r="D403" s="76" t="s">
        <v>2729</v>
      </c>
      <c r="E403" s="77">
        <v>549719923</v>
      </c>
      <c r="F403" s="77">
        <v>3000000</v>
      </c>
      <c r="G403" s="77" t="s">
        <v>2867</v>
      </c>
      <c r="H403" s="77" t="s">
        <v>2874</v>
      </c>
      <c r="I403" s="76" t="s">
        <v>2102</v>
      </c>
      <c r="J403" s="76" t="s">
        <v>4</v>
      </c>
      <c r="K403" s="76" t="str">
        <f>VLOOKUP($B403,'WILL TOKO SEP'!A404:AK1143,37,0)</f>
        <v>DENPASAR BARAT</v>
      </c>
      <c r="L403" s="76" t="s">
        <v>2104</v>
      </c>
      <c r="M403" s="37" t="s">
        <v>3</v>
      </c>
      <c r="N403" s="79">
        <v>46151</v>
      </c>
      <c r="O403" s="79">
        <v>46186</v>
      </c>
      <c r="P403" s="79">
        <v>46214</v>
      </c>
      <c r="Q403" s="79">
        <v>46252</v>
      </c>
      <c r="R403" s="79" t="str">
        <f>IFERROR(VLOOKUP($B403,JADWAL!$G$6:$J$690,4,0),"")</f>
        <v/>
      </c>
      <c r="S403" s="77">
        <f t="shared" si="14"/>
        <v>0</v>
      </c>
      <c r="T403" s="77"/>
      <c r="U403" s="37" t="s">
        <v>2242</v>
      </c>
      <c r="V403" s="37" t="s">
        <v>2078</v>
      </c>
      <c r="W403" s="37"/>
      <c r="X403" s="37" t="s">
        <v>2</v>
      </c>
    </row>
    <row r="404" spans="1:24" x14ac:dyDescent="0.3">
      <c r="A404" s="37">
        <f t="shared" si="15"/>
        <v>403</v>
      </c>
      <c r="B404" s="76" t="s">
        <v>1127</v>
      </c>
      <c r="C404" s="76" t="s">
        <v>1126</v>
      </c>
      <c r="D404" s="76" t="s">
        <v>2731</v>
      </c>
      <c r="E404" s="77">
        <v>664482447</v>
      </c>
      <c r="F404" s="77">
        <v>4500000</v>
      </c>
      <c r="G404" s="77" t="s">
        <v>2840</v>
      </c>
      <c r="H404" s="77" t="s">
        <v>2841</v>
      </c>
      <c r="I404" s="76" t="s">
        <v>2102</v>
      </c>
      <c r="J404" s="76" t="s">
        <v>4</v>
      </c>
      <c r="K404" s="76" t="e">
        <f>VLOOKUP($B404,'WILL TOKO SEP'!A405:AK1144,37,0)</f>
        <v>#N/A</v>
      </c>
      <c r="L404" s="76" t="s">
        <v>2104</v>
      </c>
      <c r="M404" s="37" t="s">
        <v>3</v>
      </c>
      <c r="N404" s="79">
        <v>46162</v>
      </c>
      <c r="O404" s="79">
        <v>46195</v>
      </c>
      <c r="P404" s="79">
        <v>46219</v>
      </c>
      <c r="Q404" s="79">
        <v>46252</v>
      </c>
      <c r="R404" s="79" t="str">
        <f>IFERROR(VLOOKUP($B404,JADWAL!$G$6:$J$690,4,0),"")</f>
        <v/>
      </c>
      <c r="S404" s="77">
        <f t="shared" si="14"/>
        <v>0</v>
      </c>
      <c r="T404" s="77"/>
      <c r="U404" s="37" t="s">
        <v>2242</v>
      </c>
      <c r="V404" s="37" t="s">
        <v>2078</v>
      </c>
      <c r="W404" s="37"/>
      <c r="X404" s="37" t="s">
        <v>2</v>
      </c>
    </row>
    <row r="405" spans="1:24" x14ac:dyDescent="0.3">
      <c r="A405" s="37">
        <f t="shared" si="15"/>
        <v>404</v>
      </c>
      <c r="B405" s="76" t="s">
        <v>1370</v>
      </c>
      <c r="C405" s="76" t="s">
        <v>1369</v>
      </c>
      <c r="D405" s="76" t="s">
        <v>2732</v>
      </c>
      <c r="E405" s="77">
        <v>570818608</v>
      </c>
      <c r="F405" s="77">
        <v>3500000</v>
      </c>
      <c r="G405" s="77" t="s">
        <v>2813</v>
      </c>
      <c r="H405" s="77" t="s">
        <v>2824</v>
      </c>
      <c r="I405" s="76" t="s">
        <v>2102</v>
      </c>
      <c r="J405" s="76" t="s">
        <v>9</v>
      </c>
      <c r="K405" s="76" t="e">
        <f>VLOOKUP($B405,'WILL TOKO SEP'!A406:AK1145,37,0)</f>
        <v>#N/A</v>
      </c>
      <c r="L405" s="76" t="s">
        <v>2103</v>
      </c>
      <c r="M405" s="37" t="s">
        <v>3</v>
      </c>
      <c r="N405" s="78">
        <v>0</v>
      </c>
      <c r="O405" s="79">
        <v>46186</v>
      </c>
      <c r="P405" s="79">
        <v>46207</v>
      </c>
      <c r="Q405" s="79">
        <v>46252</v>
      </c>
      <c r="R405" s="79" t="str">
        <f>IFERROR(VLOOKUP($B405,JADWAL!$G$6:$J$690,4,0),"")</f>
        <v/>
      </c>
      <c r="S405" s="77">
        <f t="shared" si="14"/>
        <v>1</v>
      </c>
      <c r="T405" s="77"/>
      <c r="U405" s="37" t="s">
        <v>2242</v>
      </c>
      <c r="V405" s="37" t="s">
        <v>2078</v>
      </c>
      <c r="W405" s="37"/>
      <c r="X405" s="37" t="s">
        <v>124</v>
      </c>
    </row>
    <row r="406" spans="1:24" x14ac:dyDescent="0.3">
      <c r="A406" s="37">
        <f t="shared" si="15"/>
        <v>405</v>
      </c>
      <c r="B406" s="76" t="s">
        <v>1174</v>
      </c>
      <c r="C406" s="76" t="s">
        <v>1173</v>
      </c>
      <c r="D406" s="76" t="s">
        <v>2733</v>
      </c>
      <c r="E406" s="77">
        <v>346910010</v>
      </c>
      <c r="F406" s="77">
        <v>2000000</v>
      </c>
      <c r="G406" s="77" t="s">
        <v>2815</v>
      </c>
      <c r="H406" s="77" t="s">
        <v>2859</v>
      </c>
      <c r="I406" s="76" t="s">
        <v>2102</v>
      </c>
      <c r="J406" s="76" t="s">
        <v>28</v>
      </c>
      <c r="K406" s="76" t="e">
        <f>VLOOKUP($B406,'WILL TOKO SEP'!A407:AK1146,37,0)</f>
        <v>#N/A</v>
      </c>
      <c r="L406" s="76" t="s">
        <v>2103</v>
      </c>
      <c r="M406" s="37" t="s">
        <v>3</v>
      </c>
      <c r="N406" s="79">
        <v>46163</v>
      </c>
      <c r="O406" s="79">
        <v>46184</v>
      </c>
      <c r="P406" s="79">
        <v>46217</v>
      </c>
      <c r="Q406" s="79">
        <v>46252</v>
      </c>
      <c r="R406" s="79" t="str">
        <f>IFERROR(VLOOKUP($B406,JADWAL!$G$6:$J$690,4,0),"")</f>
        <v/>
      </c>
      <c r="S406" s="77">
        <f t="shared" si="14"/>
        <v>0</v>
      </c>
      <c r="T406" s="77"/>
      <c r="U406" s="37" t="s">
        <v>2242</v>
      </c>
      <c r="V406" s="37" t="s">
        <v>2078</v>
      </c>
      <c r="W406" s="37"/>
      <c r="X406" s="37" t="s">
        <v>27</v>
      </c>
    </row>
    <row r="407" spans="1:24" x14ac:dyDescent="0.3">
      <c r="A407" s="37">
        <f t="shared" si="15"/>
        <v>406</v>
      </c>
      <c r="B407" s="76" t="s">
        <v>1332</v>
      </c>
      <c r="C407" s="76" t="s">
        <v>1331</v>
      </c>
      <c r="D407" s="76" t="s">
        <v>2734</v>
      </c>
      <c r="E407" s="77">
        <v>467779339</v>
      </c>
      <c r="F407" s="77">
        <v>4000000</v>
      </c>
      <c r="G407" s="77" t="s">
        <v>2819</v>
      </c>
      <c r="H407" s="77" t="s">
        <v>2862</v>
      </c>
      <c r="I407" s="76" t="s">
        <v>2102</v>
      </c>
      <c r="J407" s="76" t="s">
        <v>4</v>
      </c>
      <c r="K407" s="76" t="e">
        <f>VLOOKUP($B407,'WILL TOKO SEP'!A408:AK1147,37,0)</f>
        <v>#N/A</v>
      </c>
      <c r="L407" s="76" t="s">
        <v>2104</v>
      </c>
      <c r="M407" s="37" t="s">
        <v>3</v>
      </c>
      <c r="N407" s="79">
        <v>46151</v>
      </c>
      <c r="O407" s="79">
        <v>46185</v>
      </c>
      <c r="P407" s="79">
        <v>46210</v>
      </c>
      <c r="Q407" s="79">
        <v>46253</v>
      </c>
      <c r="R407" s="79" t="str">
        <f>IFERROR(VLOOKUP($B407,JADWAL!$G$6:$J$690,4,0),"")</f>
        <v/>
      </c>
      <c r="S407" s="77">
        <f t="shared" si="14"/>
        <v>0</v>
      </c>
      <c r="T407" s="77"/>
      <c r="U407" s="37" t="s">
        <v>2242</v>
      </c>
      <c r="V407" s="37" t="s">
        <v>2078</v>
      </c>
      <c r="W407" s="37"/>
      <c r="X407" s="37" t="s">
        <v>2</v>
      </c>
    </row>
    <row r="408" spans="1:24" x14ac:dyDescent="0.3">
      <c r="A408" s="37">
        <f t="shared" si="15"/>
        <v>407</v>
      </c>
      <c r="B408" s="76" t="s">
        <v>750</v>
      </c>
      <c r="C408" s="76" t="s">
        <v>749</v>
      </c>
      <c r="D408" s="76" t="s">
        <v>5390</v>
      </c>
      <c r="E408" s="77">
        <v>469046691</v>
      </c>
      <c r="F408" s="77">
        <v>2000000</v>
      </c>
      <c r="G408" s="77" t="s">
        <v>2827</v>
      </c>
      <c r="H408" s="77" t="s">
        <v>2866</v>
      </c>
      <c r="I408" s="76" t="s">
        <v>2102</v>
      </c>
      <c r="J408" s="76" t="s">
        <v>48</v>
      </c>
      <c r="K408" s="76" t="str">
        <f>VLOOKUP($B408,'WILL TOKO SEP'!A409:AK1148,37,0)</f>
        <v>BANJAR</v>
      </c>
      <c r="L408" s="76" t="s">
        <v>2104</v>
      </c>
      <c r="M408" s="37" t="s">
        <v>3</v>
      </c>
      <c r="N408" s="79">
        <v>46146</v>
      </c>
      <c r="O408" s="79">
        <v>46196</v>
      </c>
      <c r="P408" s="79">
        <v>46233</v>
      </c>
      <c r="Q408" s="79">
        <v>46253</v>
      </c>
      <c r="R408" s="79" t="str">
        <f>IFERROR(VLOOKUP($B408,JADWAL!$G$6:$J$690,4,0),"")</f>
        <v/>
      </c>
      <c r="S408" s="77">
        <f t="shared" si="14"/>
        <v>0</v>
      </c>
      <c r="T408" s="77"/>
      <c r="U408" s="37" t="s">
        <v>2242</v>
      </c>
      <c r="V408" s="37" t="s">
        <v>2250</v>
      </c>
      <c r="W408" s="37"/>
      <c r="X408" s="37" t="s">
        <v>44</v>
      </c>
    </row>
    <row r="409" spans="1:24" x14ac:dyDescent="0.3">
      <c r="A409" s="37">
        <f t="shared" si="15"/>
        <v>408</v>
      </c>
      <c r="B409" s="76" t="s">
        <v>976</v>
      </c>
      <c r="C409" s="76" t="s">
        <v>975</v>
      </c>
      <c r="D409" s="76" t="s">
        <v>4903</v>
      </c>
      <c r="E409" s="77">
        <v>369321451</v>
      </c>
      <c r="F409" s="77">
        <v>2500000</v>
      </c>
      <c r="G409" s="77" t="s">
        <v>2815</v>
      </c>
      <c r="H409" s="77" t="s">
        <v>2829</v>
      </c>
      <c r="I409" s="76" t="s">
        <v>2102</v>
      </c>
      <c r="J409" s="76" t="s">
        <v>28</v>
      </c>
      <c r="K409" s="76" t="str">
        <f>VLOOKUP($B409,'WILL TOKO SEP'!A410:AK1149,37,0)</f>
        <v xml:space="preserve">BLAHBATUH </v>
      </c>
      <c r="L409" s="76" t="s">
        <v>2103</v>
      </c>
      <c r="M409" s="37" t="s">
        <v>3</v>
      </c>
      <c r="N409" s="78">
        <v>0</v>
      </c>
      <c r="O409" s="79">
        <v>46190</v>
      </c>
      <c r="P409" s="79">
        <v>46225</v>
      </c>
      <c r="Q409" s="79">
        <v>46253</v>
      </c>
      <c r="R409" s="79" t="str">
        <f>IFERROR(VLOOKUP($B409,JADWAL!$G$6:$J$690,4,0),"")</f>
        <v/>
      </c>
      <c r="S409" s="77">
        <f t="shared" si="14"/>
        <v>1</v>
      </c>
      <c r="T409" s="77"/>
      <c r="U409" s="37" t="s">
        <v>2242</v>
      </c>
      <c r="V409" s="37" t="s">
        <v>2250</v>
      </c>
      <c r="W409" s="37"/>
      <c r="X409" s="37" t="s">
        <v>27</v>
      </c>
    </row>
    <row r="410" spans="1:24" x14ac:dyDescent="0.3">
      <c r="A410" s="37">
        <f t="shared" si="15"/>
        <v>409</v>
      </c>
      <c r="B410" s="76" t="s">
        <v>908</v>
      </c>
      <c r="C410" s="76" t="s">
        <v>907</v>
      </c>
      <c r="D410" s="76" t="s">
        <v>2735</v>
      </c>
      <c r="E410" s="77">
        <v>350115230</v>
      </c>
      <c r="F410" s="77">
        <v>2000000</v>
      </c>
      <c r="G410" s="77" t="s">
        <v>2815</v>
      </c>
      <c r="H410" s="77" t="s">
        <v>2816</v>
      </c>
      <c r="I410" s="76" t="s">
        <v>2102</v>
      </c>
      <c r="J410" s="76" t="s">
        <v>28</v>
      </c>
      <c r="K410" s="76" t="e">
        <f>VLOOKUP($B410,'WILL TOKO SEP'!A411:AK1150,37,0)</f>
        <v>#N/A</v>
      </c>
      <c r="L410" s="76" t="s">
        <v>2103</v>
      </c>
      <c r="M410" s="37" t="s">
        <v>3</v>
      </c>
      <c r="N410" s="78">
        <v>0</v>
      </c>
      <c r="O410" s="79">
        <v>46178</v>
      </c>
      <c r="P410" s="79">
        <v>46227</v>
      </c>
      <c r="Q410" s="79">
        <v>46253</v>
      </c>
      <c r="R410" s="79" t="str">
        <f>IFERROR(VLOOKUP($B410,JADWAL!$G$6:$J$690,4,0),"")</f>
        <v/>
      </c>
      <c r="S410" s="77">
        <f t="shared" si="14"/>
        <v>1</v>
      </c>
      <c r="T410" s="77"/>
      <c r="U410" s="37" t="s">
        <v>2242</v>
      </c>
      <c r="V410" s="37" t="s">
        <v>2250</v>
      </c>
      <c r="W410" s="37"/>
      <c r="X410" s="37" t="s">
        <v>27</v>
      </c>
    </row>
    <row r="411" spans="1:24" x14ac:dyDescent="0.3">
      <c r="A411" s="37">
        <f t="shared" si="15"/>
        <v>410</v>
      </c>
      <c r="B411" s="76" t="s">
        <v>1330</v>
      </c>
      <c r="C411" s="76" t="s">
        <v>1329</v>
      </c>
      <c r="D411" s="76" t="s">
        <v>2736</v>
      </c>
      <c r="E411" s="77">
        <v>374166208</v>
      </c>
      <c r="F411" s="77">
        <v>2000000</v>
      </c>
      <c r="G411" s="77" t="s">
        <v>2817</v>
      </c>
      <c r="H411" s="77" t="s">
        <v>2818</v>
      </c>
      <c r="I411" s="76" t="s">
        <v>2102</v>
      </c>
      <c r="J411" s="76" t="s">
        <v>4</v>
      </c>
      <c r="K411" s="76" t="e">
        <f>VLOOKUP($B411,'WILL TOKO SEP'!A412:AK1151,37,0)</f>
        <v>#N/A</v>
      </c>
      <c r="L411" s="76" t="s">
        <v>2103</v>
      </c>
      <c r="M411" s="37" t="s">
        <v>3</v>
      </c>
      <c r="N411" s="78">
        <v>0</v>
      </c>
      <c r="O411" s="78">
        <v>0</v>
      </c>
      <c r="P411" s="79">
        <v>46210</v>
      </c>
      <c r="Q411" s="79">
        <v>46253</v>
      </c>
      <c r="R411" s="79" t="str">
        <f>IFERROR(VLOOKUP($B411,JADWAL!$G$6:$J$690,4,0),"")</f>
        <v/>
      </c>
      <c r="S411" s="77">
        <f t="shared" si="14"/>
        <v>2</v>
      </c>
      <c r="T411" s="77"/>
      <c r="U411" s="37" t="s">
        <v>2242</v>
      </c>
      <c r="V411" s="37" t="s">
        <v>2250</v>
      </c>
      <c r="W411" s="37"/>
      <c r="X411" s="37">
        <v>0</v>
      </c>
    </row>
    <row r="412" spans="1:24" x14ac:dyDescent="0.3">
      <c r="A412" s="37">
        <f t="shared" si="15"/>
        <v>411</v>
      </c>
      <c r="B412" s="76" t="s">
        <v>978</v>
      </c>
      <c r="C412" s="76" t="s">
        <v>977</v>
      </c>
      <c r="D412" s="76" t="s">
        <v>5147</v>
      </c>
      <c r="E412" s="77">
        <v>751036373</v>
      </c>
      <c r="F412" s="77">
        <v>5000000</v>
      </c>
      <c r="G412" s="77" t="s">
        <v>2867</v>
      </c>
      <c r="H412" s="77" t="s">
        <v>2870</v>
      </c>
      <c r="I412" s="76" t="s">
        <v>2102</v>
      </c>
      <c r="J412" s="76" t="s">
        <v>9</v>
      </c>
      <c r="K412" s="76" t="str">
        <f>VLOOKUP($B412,'WILL TOKO SEP'!A413:AK1152,37,0)</f>
        <v>KUTA</v>
      </c>
      <c r="L412" s="76" t="s">
        <v>2104</v>
      </c>
      <c r="M412" s="37" t="s">
        <v>3</v>
      </c>
      <c r="N412" s="79">
        <v>46153</v>
      </c>
      <c r="O412" s="79">
        <v>46195</v>
      </c>
      <c r="P412" s="79">
        <v>46225</v>
      </c>
      <c r="Q412" s="79">
        <v>46253</v>
      </c>
      <c r="R412" s="79" t="str">
        <f>IFERROR(VLOOKUP($B412,JADWAL!$G$6:$J$690,4,0),"")</f>
        <v/>
      </c>
      <c r="S412" s="77">
        <f t="shared" si="14"/>
        <v>0</v>
      </c>
      <c r="T412" s="77"/>
      <c r="U412" s="37" t="s">
        <v>2242</v>
      </c>
      <c r="V412" s="37" t="s">
        <v>2078</v>
      </c>
      <c r="W412" s="37"/>
      <c r="X412" s="37" t="s">
        <v>124</v>
      </c>
    </row>
    <row r="413" spans="1:24" x14ac:dyDescent="0.3">
      <c r="A413" s="37">
        <f t="shared" si="15"/>
        <v>412</v>
      </c>
      <c r="B413" s="76" t="s">
        <v>1066</v>
      </c>
      <c r="C413" s="76" t="s">
        <v>1065</v>
      </c>
      <c r="D413" s="76" t="s">
        <v>2737</v>
      </c>
      <c r="E413" s="77">
        <v>525874512</v>
      </c>
      <c r="F413" s="77">
        <v>3000000</v>
      </c>
      <c r="G413" s="77" t="s">
        <v>2819</v>
      </c>
      <c r="H413" s="77" t="s">
        <v>2862</v>
      </c>
      <c r="I413" s="76" t="s">
        <v>2102</v>
      </c>
      <c r="J413" s="76" t="s">
        <v>9</v>
      </c>
      <c r="K413" s="76" t="e">
        <f>VLOOKUP($B413,'WILL TOKO SEP'!A414:AK1153,37,0)</f>
        <v>#N/A</v>
      </c>
      <c r="L413" s="76" t="s">
        <v>2104</v>
      </c>
      <c r="M413" s="37" t="s">
        <v>3</v>
      </c>
      <c r="N413" s="79">
        <v>46151</v>
      </c>
      <c r="O413" s="79">
        <v>46186</v>
      </c>
      <c r="P413" s="79">
        <v>46221</v>
      </c>
      <c r="Q413" s="79">
        <v>46253</v>
      </c>
      <c r="R413" s="79" t="str">
        <f>IFERROR(VLOOKUP($B413,JADWAL!$G$6:$J$690,4,0),"")</f>
        <v/>
      </c>
      <c r="S413" s="77">
        <f t="shared" si="14"/>
        <v>0</v>
      </c>
      <c r="T413" s="77"/>
      <c r="U413" s="37" t="s">
        <v>2242</v>
      </c>
      <c r="V413" s="37" t="s">
        <v>2078</v>
      </c>
      <c r="W413" s="37"/>
      <c r="X413" s="37" t="s">
        <v>20</v>
      </c>
    </row>
    <row r="414" spans="1:24" x14ac:dyDescent="0.3">
      <c r="A414" s="37">
        <f t="shared" si="15"/>
        <v>413</v>
      </c>
      <c r="B414" s="76" t="s">
        <v>948</v>
      </c>
      <c r="C414" s="76" t="s">
        <v>947</v>
      </c>
      <c r="D414" s="76" t="s">
        <v>5615</v>
      </c>
      <c r="E414" s="77">
        <v>476004415</v>
      </c>
      <c r="F414" s="77">
        <v>2000000</v>
      </c>
      <c r="G414" s="77" t="s">
        <v>2867</v>
      </c>
      <c r="H414" s="77" t="s">
        <v>2868</v>
      </c>
      <c r="I414" s="76" t="s">
        <v>2102</v>
      </c>
      <c r="J414" s="76" t="s">
        <v>4</v>
      </c>
      <c r="K414" s="76" t="str">
        <f>VLOOKUP($B414,'WILL TOKO SEP'!A415:AK1154,37,0)</f>
        <v>Denpasar Barat</v>
      </c>
      <c r="L414" s="76" t="s">
        <v>2104</v>
      </c>
      <c r="M414" s="37" t="s">
        <v>3</v>
      </c>
      <c r="N414" s="78">
        <v>0</v>
      </c>
      <c r="O414" s="79">
        <v>46175</v>
      </c>
      <c r="P414" s="79">
        <v>46226</v>
      </c>
      <c r="Q414" s="79">
        <v>46253</v>
      </c>
      <c r="R414" s="79" t="str">
        <f>IFERROR(VLOOKUP($B414,JADWAL!$G$6:$J$690,4,0),"")</f>
        <v/>
      </c>
      <c r="S414" s="77">
        <f t="shared" si="14"/>
        <v>1</v>
      </c>
      <c r="T414" s="77"/>
      <c r="U414" s="37" t="s">
        <v>2242</v>
      </c>
      <c r="V414" s="37" t="s">
        <v>2078</v>
      </c>
      <c r="W414" s="37"/>
      <c r="X414" s="37">
        <v>0</v>
      </c>
    </row>
    <row r="415" spans="1:24" x14ac:dyDescent="0.3">
      <c r="A415" s="37">
        <f t="shared" si="15"/>
        <v>414</v>
      </c>
      <c r="B415" s="76" t="s">
        <v>1326</v>
      </c>
      <c r="C415" s="76" t="s">
        <v>1325</v>
      </c>
      <c r="D415" s="76" t="s">
        <v>2738</v>
      </c>
      <c r="E415" s="77">
        <v>435900544</v>
      </c>
      <c r="F415" s="77">
        <v>3000000</v>
      </c>
      <c r="G415" s="77" t="s">
        <v>2813</v>
      </c>
      <c r="H415" s="77" t="s">
        <v>2832</v>
      </c>
      <c r="I415" s="76" t="s">
        <v>2102</v>
      </c>
      <c r="J415" s="76" t="s">
        <v>9</v>
      </c>
      <c r="K415" s="76" t="e">
        <f>VLOOKUP($B415,'WILL TOKO SEP'!A416:AK1155,37,0)</f>
        <v>#N/A</v>
      </c>
      <c r="L415" s="76" t="s">
        <v>2103</v>
      </c>
      <c r="M415" s="37" t="s">
        <v>3</v>
      </c>
      <c r="N415" s="78">
        <v>0</v>
      </c>
      <c r="O415" s="78">
        <v>0</v>
      </c>
      <c r="P415" s="79">
        <v>46210</v>
      </c>
      <c r="Q415" s="79">
        <v>46253</v>
      </c>
      <c r="R415" s="79" t="str">
        <f>IFERROR(VLOOKUP($B415,JADWAL!$G$6:$J$690,4,0),"")</f>
        <v/>
      </c>
      <c r="S415" s="77">
        <f t="shared" si="14"/>
        <v>2</v>
      </c>
      <c r="T415" s="77"/>
      <c r="U415" s="37" t="s">
        <v>2242</v>
      </c>
      <c r="V415" s="37" t="s">
        <v>2250</v>
      </c>
      <c r="W415" s="37"/>
      <c r="X415" s="37" t="s">
        <v>124</v>
      </c>
    </row>
    <row r="416" spans="1:24" x14ac:dyDescent="0.3">
      <c r="A416" s="37">
        <f t="shared" si="15"/>
        <v>415</v>
      </c>
      <c r="B416" s="76" t="s">
        <v>1125</v>
      </c>
      <c r="C416" s="76" t="s">
        <v>1124</v>
      </c>
      <c r="D416" s="76" t="s">
        <v>2739</v>
      </c>
      <c r="E416" s="77">
        <v>660199686</v>
      </c>
      <c r="F416" s="77">
        <v>4500000</v>
      </c>
      <c r="G416" s="77" t="s">
        <v>2840</v>
      </c>
      <c r="H416" s="77" t="s">
        <v>2861</v>
      </c>
      <c r="I416" s="76" t="s">
        <v>2102</v>
      </c>
      <c r="J416" s="76" t="s">
        <v>28</v>
      </c>
      <c r="K416" s="76" t="e">
        <f>VLOOKUP($B416,'WILL TOKO SEP'!A417:AK1156,37,0)</f>
        <v>#N/A</v>
      </c>
      <c r="L416" s="76" t="s">
        <v>2103</v>
      </c>
      <c r="M416" s="37" t="s">
        <v>3</v>
      </c>
      <c r="N416" s="79">
        <v>46157</v>
      </c>
      <c r="O416" s="79">
        <v>46183</v>
      </c>
      <c r="P416" s="79">
        <v>46219</v>
      </c>
      <c r="Q416" s="79">
        <v>46253</v>
      </c>
      <c r="R416" s="79" t="str">
        <f>IFERROR(VLOOKUP($B416,JADWAL!$G$6:$J$690,4,0),"")</f>
        <v/>
      </c>
      <c r="S416" s="77">
        <f t="shared" si="14"/>
        <v>0</v>
      </c>
      <c r="T416" s="77"/>
      <c r="U416" s="37" t="s">
        <v>2242</v>
      </c>
      <c r="V416" s="37" t="s">
        <v>2078</v>
      </c>
      <c r="W416" s="37"/>
      <c r="X416" s="37" t="s">
        <v>27</v>
      </c>
    </row>
    <row r="417" spans="1:24" x14ac:dyDescent="0.3">
      <c r="A417" s="37">
        <f t="shared" si="15"/>
        <v>416</v>
      </c>
      <c r="B417" s="76" t="s">
        <v>1152</v>
      </c>
      <c r="C417" s="76" t="s">
        <v>1151</v>
      </c>
      <c r="D417" s="76" t="s">
        <v>2740</v>
      </c>
      <c r="E417" s="77">
        <v>734973062</v>
      </c>
      <c r="F417" s="77">
        <v>5500000</v>
      </c>
      <c r="G417" s="77" t="s">
        <v>2840</v>
      </c>
      <c r="H417" s="77" t="s">
        <v>2873</v>
      </c>
      <c r="I417" s="76" t="s">
        <v>2102</v>
      </c>
      <c r="J417" s="76" t="s">
        <v>36</v>
      </c>
      <c r="K417" s="76" t="e">
        <f>VLOOKUP($B417,'WILL TOKO SEP'!A418:AK1157,37,0)</f>
        <v>#N/A</v>
      </c>
      <c r="L417" s="76" t="s">
        <v>2104</v>
      </c>
      <c r="M417" s="37" t="s">
        <v>3</v>
      </c>
      <c r="N417" s="79">
        <v>46168</v>
      </c>
      <c r="O417" s="79">
        <v>46181</v>
      </c>
      <c r="P417" s="79">
        <v>46218</v>
      </c>
      <c r="Q417" s="79">
        <v>46253</v>
      </c>
      <c r="R417" s="79" t="str">
        <f>IFERROR(VLOOKUP($B417,JADWAL!$G$6:$J$690,4,0),"")</f>
        <v/>
      </c>
      <c r="S417" s="77">
        <f t="shared" si="14"/>
        <v>0</v>
      </c>
      <c r="T417" s="77"/>
      <c r="U417" s="37" t="s">
        <v>2242</v>
      </c>
      <c r="V417" s="37" t="s">
        <v>2250</v>
      </c>
      <c r="W417" s="37"/>
      <c r="X417" s="37" t="s">
        <v>13</v>
      </c>
    </row>
    <row r="418" spans="1:24" x14ac:dyDescent="0.3">
      <c r="A418" s="37">
        <f t="shared" si="15"/>
        <v>417</v>
      </c>
      <c r="B418" s="76" t="s">
        <v>946</v>
      </c>
      <c r="C418" s="76" t="s">
        <v>945</v>
      </c>
      <c r="D418" s="76" t="s">
        <v>5250</v>
      </c>
      <c r="E418" s="77">
        <v>470841908</v>
      </c>
      <c r="F418" s="77">
        <v>2500000</v>
      </c>
      <c r="G418" s="77" t="s">
        <v>2830</v>
      </c>
      <c r="H418" s="77" t="s">
        <v>2849</v>
      </c>
      <c r="I418" s="76" t="s">
        <v>2102</v>
      </c>
      <c r="J418" s="76" t="s">
        <v>4</v>
      </c>
      <c r="K418" s="76" t="str">
        <f>VLOOKUP($B418,'WILL TOKO SEP'!A419:AK1158,37,0)</f>
        <v>DENPASAR TIMUR</v>
      </c>
      <c r="L418" s="76" t="s">
        <v>2103</v>
      </c>
      <c r="M418" s="37" t="s">
        <v>3</v>
      </c>
      <c r="N418" s="79">
        <v>46158</v>
      </c>
      <c r="O418" s="79">
        <v>46193</v>
      </c>
      <c r="P418" s="79">
        <v>46226</v>
      </c>
      <c r="Q418" s="79">
        <v>46254</v>
      </c>
      <c r="R418" s="79" t="str">
        <f>IFERROR(VLOOKUP($B418,JADWAL!$G$6:$J$690,4,0),"")</f>
        <v/>
      </c>
      <c r="S418" s="77">
        <f t="shared" si="14"/>
        <v>0</v>
      </c>
      <c r="T418" s="77"/>
      <c r="U418" s="37" t="s">
        <v>2242</v>
      </c>
      <c r="V418" s="37" t="s">
        <v>2078</v>
      </c>
      <c r="W418" s="37"/>
      <c r="X418" s="37">
        <v>0</v>
      </c>
    </row>
    <row r="419" spans="1:24" x14ac:dyDescent="0.3">
      <c r="A419" s="37">
        <f t="shared" si="15"/>
        <v>418</v>
      </c>
      <c r="B419" s="76" t="s">
        <v>752</v>
      </c>
      <c r="C419" s="76" t="s">
        <v>2081</v>
      </c>
      <c r="D419" s="76" t="s">
        <v>2741</v>
      </c>
      <c r="E419" s="77">
        <v>567410807</v>
      </c>
      <c r="F419" s="77">
        <v>4000000</v>
      </c>
      <c r="G419" s="77" t="s">
        <v>2819</v>
      </c>
      <c r="H419" s="77" t="s">
        <v>2856</v>
      </c>
      <c r="I419" s="76" t="s">
        <v>2102</v>
      </c>
      <c r="J419" s="76" t="s">
        <v>9</v>
      </c>
      <c r="K419" s="76" t="e">
        <f>VLOOKUP($B419,'WILL TOKO SEP'!A420:AK1159,37,0)</f>
        <v>#N/A</v>
      </c>
      <c r="L419" s="76" t="s">
        <v>2104</v>
      </c>
      <c r="M419" s="37" t="s">
        <v>3</v>
      </c>
      <c r="N419" s="79">
        <v>46172</v>
      </c>
      <c r="O419" s="78">
        <v>0</v>
      </c>
      <c r="P419" s="79">
        <v>46233</v>
      </c>
      <c r="Q419" s="79">
        <v>46254</v>
      </c>
      <c r="R419" s="79" t="str">
        <f>IFERROR(VLOOKUP($B419,JADWAL!$G$6:$J$690,4,0),"")</f>
        <v/>
      </c>
      <c r="S419" s="77">
        <f t="shared" si="14"/>
        <v>1</v>
      </c>
      <c r="T419" s="77"/>
      <c r="U419" s="37" t="s">
        <v>2242</v>
      </c>
      <c r="V419" s="37" t="s">
        <v>2078</v>
      </c>
      <c r="W419" s="37"/>
      <c r="X419" s="37" t="s">
        <v>20</v>
      </c>
    </row>
    <row r="420" spans="1:24" x14ac:dyDescent="0.3">
      <c r="A420" s="37">
        <f t="shared" si="15"/>
        <v>419</v>
      </c>
      <c r="B420" s="76" t="s">
        <v>972</v>
      </c>
      <c r="C420" s="76" t="s">
        <v>971</v>
      </c>
      <c r="D420" s="76" t="s">
        <v>5239</v>
      </c>
      <c r="E420" s="77">
        <v>428510455</v>
      </c>
      <c r="F420" s="77">
        <v>2000000</v>
      </c>
      <c r="G420" s="77" t="s">
        <v>2830</v>
      </c>
      <c r="H420" s="77" t="s">
        <v>2831</v>
      </c>
      <c r="I420" s="76" t="s">
        <v>2102</v>
      </c>
      <c r="J420" s="76" t="s">
        <v>4</v>
      </c>
      <c r="K420" s="76" t="str">
        <f>VLOOKUP($B420,'WILL TOKO SEP'!A421:AK1160,37,0)</f>
        <v>DENPASAR SELATAN</v>
      </c>
      <c r="L420" s="76" t="s">
        <v>2103</v>
      </c>
      <c r="M420" s="37" t="s">
        <v>3</v>
      </c>
      <c r="N420" s="78">
        <v>0</v>
      </c>
      <c r="O420" s="79">
        <v>46181</v>
      </c>
      <c r="P420" s="79">
        <v>46225</v>
      </c>
      <c r="Q420" s="79">
        <v>46254</v>
      </c>
      <c r="R420" s="79" t="str">
        <f>IFERROR(VLOOKUP($B420,JADWAL!$G$6:$J$690,4,0),"")</f>
        <v/>
      </c>
      <c r="S420" s="77">
        <f t="shared" si="14"/>
        <v>1</v>
      </c>
      <c r="T420" s="77"/>
      <c r="U420" s="37" t="s">
        <v>2242</v>
      </c>
      <c r="V420" s="37" t="s">
        <v>2078</v>
      </c>
      <c r="W420" s="37"/>
      <c r="X420" s="37" t="s">
        <v>2</v>
      </c>
    </row>
    <row r="421" spans="1:24" x14ac:dyDescent="0.3">
      <c r="A421" s="37">
        <f t="shared" si="15"/>
        <v>420</v>
      </c>
      <c r="B421" s="76" t="s">
        <v>1038</v>
      </c>
      <c r="C421" s="76" t="s">
        <v>1037</v>
      </c>
      <c r="D421" s="76" t="s">
        <v>2742</v>
      </c>
      <c r="E421" s="77">
        <v>411530712</v>
      </c>
      <c r="F421" s="77">
        <v>2500000</v>
      </c>
      <c r="G421" s="77" t="s">
        <v>2867</v>
      </c>
      <c r="H421" s="77" t="s">
        <v>2875</v>
      </c>
      <c r="I421" s="76" t="s">
        <v>2102</v>
      </c>
      <c r="J421" s="76" t="s">
        <v>4</v>
      </c>
      <c r="K421" s="76" t="e">
        <f>VLOOKUP($B421,'WILL TOKO SEP'!A422:AK1161,37,0)</f>
        <v>#N/A</v>
      </c>
      <c r="L421" s="76" t="s">
        <v>2103</v>
      </c>
      <c r="M421" s="37" t="s">
        <v>3</v>
      </c>
      <c r="N421" s="79">
        <v>46168</v>
      </c>
      <c r="O421" s="79">
        <v>46190</v>
      </c>
      <c r="P421" s="79">
        <v>46223</v>
      </c>
      <c r="Q421" s="79">
        <v>46254</v>
      </c>
      <c r="R421" s="79" t="str">
        <f>IFERROR(VLOOKUP($B421,JADWAL!$G$6:$J$690,4,0),"")</f>
        <v/>
      </c>
      <c r="S421" s="77">
        <f t="shared" si="14"/>
        <v>0</v>
      </c>
      <c r="T421" s="77"/>
      <c r="U421" s="37" t="s">
        <v>2242</v>
      </c>
      <c r="V421" s="37" t="s">
        <v>2078</v>
      </c>
      <c r="W421" s="37"/>
      <c r="X421" s="37" t="s">
        <v>2</v>
      </c>
    </row>
    <row r="422" spans="1:24" x14ac:dyDescent="0.3">
      <c r="A422" s="37">
        <f t="shared" si="15"/>
        <v>421</v>
      </c>
      <c r="B422" s="76" t="s">
        <v>944</v>
      </c>
      <c r="C422" s="76" t="s">
        <v>943</v>
      </c>
      <c r="D422" s="76" t="s">
        <v>5386</v>
      </c>
      <c r="E422" s="77">
        <v>393112293</v>
      </c>
      <c r="F422" s="77">
        <v>2000000</v>
      </c>
      <c r="G422" s="77" t="s">
        <v>2817</v>
      </c>
      <c r="H422" s="77" t="s">
        <v>2818</v>
      </c>
      <c r="I422" s="76" t="s">
        <v>2102</v>
      </c>
      <c r="J422" s="76" t="s">
        <v>4</v>
      </c>
      <c r="K422" s="76" t="str">
        <f>VLOOKUP($B422,'WILL TOKO SEP'!A423:AK1162,37,0)</f>
        <v>DENPASAR SELATAN</v>
      </c>
      <c r="L422" s="76" t="s">
        <v>2103</v>
      </c>
      <c r="M422" s="37" t="s">
        <v>3</v>
      </c>
      <c r="N422" s="79">
        <v>46172</v>
      </c>
      <c r="O422" s="79">
        <v>46191</v>
      </c>
      <c r="P422" s="79">
        <v>46226</v>
      </c>
      <c r="Q422" s="79">
        <v>46254</v>
      </c>
      <c r="R422" s="79" t="str">
        <f>IFERROR(VLOOKUP($B422,JADWAL!$G$6:$J$690,4,0),"")</f>
        <v/>
      </c>
      <c r="S422" s="77">
        <f t="shared" si="14"/>
        <v>0</v>
      </c>
      <c r="T422" s="77"/>
      <c r="U422" s="37" t="s">
        <v>2242</v>
      </c>
      <c r="V422" s="37" t="s">
        <v>2078</v>
      </c>
      <c r="W422" s="37"/>
      <c r="X422" s="37">
        <v>0</v>
      </c>
    </row>
    <row r="423" spans="1:24" x14ac:dyDescent="0.3">
      <c r="A423" s="37">
        <f t="shared" si="15"/>
        <v>422</v>
      </c>
      <c r="B423" s="76" t="s">
        <v>950</v>
      </c>
      <c r="C423" s="76" t="s">
        <v>949</v>
      </c>
      <c r="D423" s="76" t="s">
        <v>2743</v>
      </c>
      <c r="E423" s="77">
        <v>350934513</v>
      </c>
      <c r="F423" s="77">
        <v>2000000</v>
      </c>
      <c r="G423" s="77" t="s">
        <v>2830</v>
      </c>
      <c r="H423" s="77" t="s">
        <v>2831</v>
      </c>
      <c r="I423" s="76" t="s">
        <v>2102</v>
      </c>
      <c r="J423" s="76" t="s">
        <v>4</v>
      </c>
      <c r="K423" s="76" t="e">
        <f>VLOOKUP($B423,'WILL TOKO SEP'!A424:AK1163,37,0)</f>
        <v>#N/A</v>
      </c>
      <c r="L423" s="76" t="s">
        <v>2103</v>
      </c>
      <c r="M423" s="37" t="s">
        <v>3</v>
      </c>
      <c r="N423" s="78">
        <v>0</v>
      </c>
      <c r="O423" s="79">
        <v>46181</v>
      </c>
      <c r="P423" s="79">
        <v>46225</v>
      </c>
      <c r="Q423" s="79">
        <v>46256</v>
      </c>
      <c r="R423" s="79" t="str">
        <f>IFERROR(VLOOKUP($B423,JADWAL!$G$6:$J$690,4,0),"")</f>
        <v/>
      </c>
      <c r="S423" s="77">
        <f t="shared" si="14"/>
        <v>1</v>
      </c>
      <c r="T423" s="77"/>
      <c r="U423" s="37" t="s">
        <v>2242</v>
      </c>
      <c r="V423" s="37" t="s">
        <v>2250</v>
      </c>
      <c r="W423" s="37"/>
      <c r="X423" s="37" t="s">
        <v>2</v>
      </c>
    </row>
    <row r="424" spans="1:24" x14ac:dyDescent="0.3">
      <c r="A424" s="37">
        <f t="shared" si="15"/>
        <v>423</v>
      </c>
      <c r="B424" s="76" t="s">
        <v>1368</v>
      </c>
      <c r="C424" s="76" t="s">
        <v>1367</v>
      </c>
      <c r="D424" s="76" t="s">
        <v>2744</v>
      </c>
      <c r="E424" s="77">
        <v>554753133</v>
      </c>
      <c r="F424" s="77">
        <v>5000000</v>
      </c>
      <c r="G424" s="77" t="s">
        <v>2821</v>
      </c>
      <c r="H424" s="77" t="s">
        <v>2822</v>
      </c>
      <c r="I424" s="76" t="s">
        <v>2102</v>
      </c>
      <c r="J424" s="76" t="s">
        <v>36</v>
      </c>
      <c r="K424" s="76" t="e">
        <f>VLOOKUP($B424,'WILL TOKO SEP'!A425:AK1164,37,0)</f>
        <v>#N/A</v>
      </c>
      <c r="L424" s="76" t="s">
        <v>2104</v>
      </c>
      <c r="M424" s="37" t="s">
        <v>3</v>
      </c>
      <c r="N424" s="79">
        <v>46167</v>
      </c>
      <c r="O424" s="78">
        <v>0</v>
      </c>
      <c r="P424" s="79">
        <v>46207</v>
      </c>
      <c r="Q424" s="79">
        <v>46254</v>
      </c>
      <c r="R424" s="79" t="str">
        <f>IFERROR(VLOOKUP($B424,JADWAL!$G$6:$J$690,4,0),"")</f>
        <v/>
      </c>
      <c r="S424" s="77">
        <f t="shared" si="14"/>
        <v>1</v>
      </c>
      <c r="T424" s="77"/>
      <c r="U424" s="37" t="s">
        <v>2242</v>
      </c>
      <c r="V424" s="37" t="s">
        <v>2078</v>
      </c>
      <c r="W424" s="37"/>
      <c r="X424" s="37" t="s">
        <v>13</v>
      </c>
    </row>
    <row r="425" spans="1:24" x14ac:dyDescent="0.3">
      <c r="A425" s="37">
        <f t="shared" si="15"/>
        <v>424</v>
      </c>
      <c r="B425" s="76" t="s">
        <v>1324</v>
      </c>
      <c r="C425" s="76" t="s">
        <v>1323</v>
      </c>
      <c r="D425" s="76" t="s">
        <v>2745</v>
      </c>
      <c r="E425" s="77">
        <v>586734230</v>
      </c>
      <c r="F425" s="77">
        <v>4500000</v>
      </c>
      <c r="G425" s="77" t="s">
        <v>2819</v>
      </c>
      <c r="H425" s="77" t="s">
        <v>2856</v>
      </c>
      <c r="I425" s="76" t="s">
        <v>2102</v>
      </c>
      <c r="J425" s="76" t="s">
        <v>9</v>
      </c>
      <c r="K425" s="76" t="str">
        <f>VLOOKUP($B425,'WILL TOKO SEP'!A426:AK1165,37,0)</f>
        <v>KUTA UTARA</v>
      </c>
      <c r="L425" s="76" t="s">
        <v>2104</v>
      </c>
      <c r="M425" s="37" t="s">
        <v>3</v>
      </c>
      <c r="N425" s="79">
        <v>46149</v>
      </c>
      <c r="O425" s="79">
        <v>46192</v>
      </c>
      <c r="P425" s="79">
        <v>46210</v>
      </c>
      <c r="Q425" s="79">
        <v>46254</v>
      </c>
      <c r="R425" s="79" t="str">
        <f>IFERROR(VLOOKUP($B425,JADWAL!$G$6:$J$690,4,0),"")</f>
        <v/>
      </c>
      <c r="S425" s="77">
        <f t="shared" si="14"/>
        <v>0</v>
      </c>
      <c r="T425" s="77"/>
      <c r="U425" s="37" t="s">
        <v>2242</v>
      </c>
      <c r="V425" s="37" t="s">
        <v>2078</v>
      </c>
      <c r="W425" s="37"/>
      <c r="X425" s="37" t="s">
        <v>20</v>
      </c>
    </row>
    <row r="426" spans="1:24" x14ac:dyDescent="0.3">
      <c r="A426" s="37">
        <f t="shared" si="15"/>
        <v>425</v>
      </c>
      <c r="B426" s="76" t="s">
        <v>836</v>
      </c>
      <c r="C426" s="76" t="s">
        <v>835</v>
      </c>
      <c r="D426" s="76" t="s">
        <v>2746</v>
      </c>
      <c r="E426" s="77">
        <v>301659074</v>
      </c>
      <c r="F426" s="77">
        <v>2500000</v>
      </c>
      <c r="G426" s="77" t="s">
        <v>2821</v>
      </c>
      <c r="H426" s="77" t="s">
        <v>2822</v>
      </c>
      <c r="I426" s="76" t="s">
        <v>2102</v>
      </c>
      <c r="J426" s="76" t="s">
        <v>36</v>
      </c>
      <c r="K426" s="76" t="e">
        <f>VLOOKUP($B426,'WILL TOKO SEP'!A427:AK1166,37,0)</f>
        <v>#N/A</v>
      </c>
      <c r="L426" s="76" t="s">
        <v>2104</v>
      </c>
      <c r="M426" s="37" t="s">
        <v>3</v>
      </c>
      <c r="N426" s="79">
        <v>46150</v>
      </c>
      <c r="O426" s="79">
        <v>46203</v>
      </c>
      <c r="P426" s="79">
        <v>46230</v>
      </c>
      <c r="Q426" s="79">
        <v>46254</v>
      </c>
      <c r="R426" s="79" t="str">
        <f>IFERROR(VLOOKUP($B426,JADWAL!$G$6:$J$690,4,0),"")</f>
        <v/>
      </c>
      <c r="S426" s="77">
        <f t="shared" si="14"/>
        <v>0</v>
      </c>
      <c r="T426" s="77"/>
      <c r="U426" s="37" t="s">
        <v>2242</v>
      </c>
      <c r="V426" s="37" t="s">
        <v>2250</v>
      </c>
      <c r="W426" s="37"/>
      <c r="X426" s="37" t="s">
        <v>13</v>
      </c>
    </row>
    <row r="427" spans="1:24" x14ac:dyDescent="0.3">
      <c r="A427" s="37">
        <f t="shared" si="15"/>
        <v>426</v>
      </c>
      <c r="B427" s="76" t="s">
        <v>1392</v>
      </c>
      <c r="C427" s="76" t="s">
        <v>1391</v>
      </c>
      <c r="D427" s="76" t="s">
        <v>2748</v>
      </c>
      <c r="E427" s="77">
        <v>380632466</v>
      </c>
      <c r="F427" s="77">
        <v>2000000</v>
      </c>
      <c r="G427" s="77" t="s">
        <v>2819</v>
      </c>
      <c r="H427" s="77" t="s">
        <v>2856</v>
      </c>
      <c r="I427" s="76" t="s">
        <v>2102</v>
      </c>
      <c r="J427" s="76" t="s">
        <v>9</v>
      </c>
      <c r="K427" s="76" t="e">
        <f>VLOOKUP($B427,'WILL TOKO SEP'!A428:AK1167,37,0)</f>
        <v>#N/A</v>
      </c>
      <c r="L427" s="76" t="s">
        <v>2104</v>
      </c>
      <c r="M427" s="37" t="s">
        <v>3</v>
      </c>
      <c r="N427" s="78">
        <v>0</v>
      </c>
      <c r="O427" s="78">
        <v>0</v>
      </c>
      <c r="P427" s="79">
        <v>46205</v>
      </c>
      <c r="Q427" s="241">
        <v>0</v>
      </c>
      <c r="R427" s="79" t="str">
        <f>IFERROR(VLOOKUP($B427,JADWAL!$G$6:$J$690,4,0),"")</f>
        <v/>
      </c>
      <c r="S427" s="77">
        <f t="shared" si="14"/>
        <v>2</v>
      </c>
      <c r="T427" s="77"/>
      <c r="U427" s="37" t="s">
        <v>2242</v>
      </c>
      <c r="V427" s="37" t="s">
        <v>2250</v>
      </c>
      <c r="W427" s="37"/>
      <c r="X427" s="37" t="s">
        <v>20</v>
      </c>
    </row>
    <row r="428" spans="1:24" x14ac:dyDescent="0.3">
      <c r="A428" s="37">
        <f t="shared" si="15"/>
        <v>427</v>
      </c>
      <c r="B428" s="76" t="s">
        <v>942</v>
      </c>
      <c r="C428" s="76" t="s">
        <v>941</v>
      </c>
      <c r="D428" s="76" t="s">
        <v>5131</v>
      </c>
      <c r="E428" s="77">
        <v>441883945</v>
      </c>
      <c r="F428" s="77">
        <v>2500000</v>
      </c>
      <c r="G428" s="77" t="s">
        <v>2817</v>
      </c>
      <c r="H428" s="77" t="s">
        <v>2818</v>
      </c>
      <c r="I428" s="76" t="s">
        <v>2102</v>
      </c>
      <c r="J428" s="76" t="s">
        <v>4</v>
      </c>
      <c r="K428" s="76" t="str">
        <f>VLOOKUP($B428,'WILL TOKO SEP'!A429:AK1168,37,0)</f>
        <v>DENPASAR BARAT</v>
      </c>
      <c r="L428" s="76" t="s">
        <v>2104</v>
      </c>
      <c r="M428" s="37" t="s">
        <v>3</v>
      </c>
      <c r="N428" s="78">
        <v>0</v>
      </c>
      <c r="O428" s="79">
        <v>46175</v>
      </c>
      <c r="P428" s="79">
        <v>46226</v>
      </c>
      <c r="Q428" s="79">
        <v>46254</v>
      </c>
      <c r="R428" s="79" t="str">
        <f>IFERROR(VLOOKUP($B428,JADWAL!$G$6:$J$690,4,0),"")</f>
        <v/>
      </c>
      <c r="S428" s="77">
        <f t="shared" si="14"/>
        <v>1</v>
      </c>
      <c r="T428" s="77"/>
      <c r="U428" s="37" t="s">
        <v>2242</v>
      </c>
      <c r="V428" s="37" t="s">
        <v>2078</v>
      </c>
      <c r="W428" s="37"/>
      <c r="X428" s="37">
        <v>0</v>
      </c>
    </row>
    <row r="429" spans="1:24" x14ac:dyDescent="0.3">
      <c r="A429" s="37">
        <f t="shared" si="15"/>
        <v>428</v>
      </c>
      <c r="B429" s="76" t="s">
        <v>739</v>
      </c>
      <c r="C429" s="76" t="s">
        <v>738</v>
      </c>
      <c r="D429" s="76" t="s">
        <v>2749</v>
      </c>
      <c r="E429" s="77">
        <v>341847718</v>
      </c>
      <c r="F429" s="77">
        <v>2000000</v>
      </c>
      <c r="G429" s="77" t="s">
        <v>2819</v>
      </c>
      <c r="H429" s="77" t="s">
        <v>2862</v>
      </c>
      <c r="I429" s="76" t="s">
        <v>2102</v>
      </c>
      <c r="J429" s="76" t="s">
        <v>9</v>
      </c>
      <c r="K429" s="76" t="e">
        <f>VLOOKUP($B429,'WILL TOKO SEP'!A430:AK1169,37,0)</f>
        <v>#N/A</v>
      </c>
      <c r="L429" s="76" t="s">
        <v>2104</v>
      </c>
      <c r="M429" s="37" t="s">
        <v>3</v>
      </c>
      <c r="N429" s="79">
        <v>46161</v>
      </c>
      <c r="O429" s="79">
        <v>46202</v>
      </c>
      <c r="P429" s="79">
        <v>46233</v>
      </c>
      <c r="Q429" s="241">
        <v>0</v>
      </c>
      <c r="R429" s="79">
        <f>IFERROR(VLOOKUP($B429,JADWAL!$G$6:$J$690,4,0),"")</f>
        <v>46269</v>
      </c>
      <c r="S429" s="77">
        <f t="shared" si="14"/>
        <v>0</v>
      </c>
      <c r="T429" s="77"/>
      <c r="U429" s="37" t="s">
        <v>2242</v>
      </c>
      <c r="V429" s="37" t="s">
        <v>2250</v>
      </c>
      <c r="W429" s="37"/>
      <c r="X429" s="37" t="s">
        <v>20</v>
      </c>
    </row>
    <row r="430" spans="1:24" x14ac:dyDescent="0.3">
      <c r="A430" s="37">
        <f t="shared" si="15"/>
        <v>429</v>
      </c>
      <c r="B430" s="76" t="s">
        <v>1233</v>
      </c>
      <c r="C430" s="76" t="s">
        <v>1232</v>
      </c>
      <c r="D430" s="76" t="s">
        <v>2750</v>
      </c>
      <c r="E430" s="77">
        <v>548781118</v>
      </c>
      <c r="F430" s="77">
        <v>4000000</v>
      </c>
      <c r="G430" s="77" t="s">
        <v>2821</v>
      </c>
      <c r="H430" s="77" t="s">
        <v>2822</v>
      </c>
      <c r="I430" s="76" t="s">
        <v>2102</v>
      </c>
      <c r="J430" s="76" t="s">
        <v>36</v>
      </c>
      <c r="K430" s="76" t="e">
        <f>VLOOKUP($B430,'WILL TOKO SEP'!A431:AK1170,37,0)</f>
        <v>#N/A</v>
      </c>
      <c r="L430" s="76" t="s">
        <v>2104</v>
      </c>
      <c r="M430" s="37" t="s">
        <v>3</v>
      </c>
      <c r="N430" s="79">
        <v>46167</v>
      </c>
      <c r="O430" s="78">
        <v>0</v>
      </c>
      <c r="P430" s="79">
        <v>46214</v>
      </c>
      <c r="Q430" s="79">
        <v>46254</v>
      </c>
      <c r="R430" s="79" t="str">
        <f>IFERROR(VLOOKUP($B430,JADWAL!$G$6:$J$690,4,0),"")</f>
        <v/>
      </c>
      <c r="S430" s="77">
        <f t="shared" si="14"/>
        <v>1</v>
      </c>
      <c r="T430" s="77"/>
      <c r="U430" s="37" t="s">
        <v>2242</v>
      </c>
      <c r="V430" s="37" t="s">
        <v>2250</v>
      </c>
      <c r="W430" s="37"/>
      <c r="X430" s="37" t="s">
        <v>13</v>
      </c>
    </row>
    <row r="431" spans="1:24" x14ac:dyDescent="0.3">
      <c r="A431" s="37">
        <f t="shared" si="15"/>
        <v>430</v>
      </c>
      <c r="B431" s="76" t="s">
        <v>672</v>
      </c>
      <c r="C431" s="76" t="s">
        <v>671</v>
      </c>
      <c r="D431" s="76" t="s">
        <v>2751</v>
      </c>
      <c r="E431" s="77">
        <v>549240937</v>
      </c>
      <c r="F431" s="77">
        <v>4500000</v>
      </c>
      <c r="G431" s="77" t="s">
        <v>2840</v>
      </c>
      <c r="H431" s="77" t="s">
        <v>2872</v>
      </c>
      <c r="I431" s="76" t="s">
        <v>2102</v>
      </c>
      <c r="J431" s="76" t="s">
        <v>48</v>
      </c>
      <c r="K431" s="76" t="e">
        <f>VLOOKUP($B431,'WILL TOKO SEP'!A432:AK1171,37,0)</f>
        <v>#N/A</v>
      </c>
      <c r="L431" s="76" t="s">
        <v>2104</v>
      </c>
      <c r="M431" s="37" t="s">
        <v>3</v>
      </c>
      <c r="N431" s="79">
        <v>46149</v>
      </c>
      <c r="O431" s="79">
        <v>46197</v>
      </c>
      <c r="P431" s="78">
        <v>0</v>
      </c>
      <c r="Q431" s="79">
        <v>46254</v>
      </c>
      <c r="R431" s="79" t="str">
        <f>IFERROR(VLOOKUP($B431,JADWAL!$G$6:$J$690,4,0),"")</f>
        <v/>
      </c>
      <c r="S431" s="77">
        <f t="shared" si="14"/>
        <v>1</v>
      </c>
      <c r="T431" s="77"/>
      <c r="U431" s="37" t="s">
        <v>2242</v>
      </c>
      <c r="V431" s="37" t="s">
        <v>2250</v>
      </c>
      <c r="W431" s="37"/>
      <c r="X431" s="37" t="s">
        <v>44</v>
      </c>
    </row>
    <row r="432" spans="1:24" x14ac:dyDescent="0.3">
      <c r="A432" s="37">
        <f t="shared" si="15"/>
        <v>431</v>
      </c>
      <c r="B432" s="76" t="s">
        <v>670</v>
      </c>
      <c r="C432" s="76" t="s">
        <v>5761</v>
      </c>
      <c r="D432" s="76" t="s">
        <v>5555</v>
      </c>
      <c r="E432" s="77">
        <v>450477801</v>
      </c>
      <c r="F432" s="77">
        <v>2000000</v>
      </c>
      <c r="G432" s="77" t="s">
        <v>2834</v>
      </c>
      <c r="H432" s="77" t="s">
        <v>2844</v>
      </c>
      <c r="I432" s="76" t="s">
        <v>2102</v>
      </c>
      <c r="J432" s="76" t="s">
        <v>32</v>
      </c>
      <c r="K432" s="76" t="str">
        <f>VLOOKUP($B432,'WILL TOKO SEP'!A433:AK1172,37,0)</f>
        <v>Kintamani</v>
      </c>
      <c r="L432" s="76" t="s">
        <v>2104</v>
      </c>
      <c r="M432" s="37" t="s">
        <v>3</v>
      </c>
      <c r="N432" s="79">
        <v>46167</v>
      </c>
      <c r="O432" s="78">
        <v>0</v>
      </c>
      <c r="P432" s="78">
        <v>0</v>
      </c>
      <c r="Q432" s="79">
        <v>46256</v>
      </c>
      <c r="R432" s="79" t="str">
        <f>IFERROR(VLOOKUP($B432,JADWAL!$G$6:$J$690,4,0),"")</f>
        <v/>
      </c>
      <c r="S432" s="77">
        <f t="shared" si="14"/>
        <v>2</v>
      </c>
      <c r="T432" s="77"/>
      <c r="U432" s="37" t="s">
        <v>2242</v>
      </c>
      <c r="V432" s="37" t="s">
        <v>2250</v>
      </c>
      <c r="W432" s="37"/>
      <c r="X432" s="37" t="s">
        <v>27</v>
      </c>
    </row>
    <row r="433" spans="1:24" x14ac:dyDescent="0.3">
      <c r="A433" s="37">
        <f t="shared" si="15"/>
        <v>432</v>
      </c>
      <c r="B433" s="76" t="s">
        <v>1207</v>
      </c>
      <c r="C433" s="76" t="s">
        <v>1206</v>
      </c>
      <c r="D433" s="76" t="s">
        <v>2752</v>
      </c>
      <c r="E433" s="77">
        <v>354759407</v>
      </c>
      <c r="F433" s="77">
        <v>2500000</v>
      </c>
      <c r="G433" s="77" t="s">
        <v>2834</v>
      </c>
      <c r="H433" s="77" t="s">
        <v>2839</v>
      </c>
      <c r="I433" s="76" t="s">
        <v>2102</v>
      </c>
      <c r="J433" s="76" t="s">
        <v>32</v>
      </c>
      <c r="K433" s="76" t="e">
        <f>VLOOKUP($B433,'WILL TOKO SEP'!A434:AK1173,37,0)</f>
        <v>#N/A</v>
      </c>
      <c r="L433" s="76" t="s">
        <v>2104</v>
      </c>
      <c r="M433" s="37" t="s">
        <v>3</v>
      </c>
      <c r="N433" s="78">
        <v>0</v>
      </c>
      <c r="O433" s="79">
        <v>46176</v>
      </c>
      <c r="P433" s="79">
        <v>46216</v>
      </c>
      <c r="Q433" s="79">
        <v>46254</v>
      </c>
      <c r="R433" s="79" t="str">
        <f>IFERROR(VLOOKUP($B433,JADWAL!$G$6:$J$690,4,0),"")</f>
        <v/>
      </c>
      <c r="S433" s="77">
        <f t="shared" si="14"/>
        <v>1</v>
      </c>
      <c r="T433" s="77"/>
      <c r="U433" s="37" t="s">
        <v>2242</v>
      </c>
      <c r="V433" s="37" t="s">
        <v>2250</v>
      </c>
      <c r="W433" s="37"/>
      <c r="X433" s="37" t="s">
        <v>27</v>
      </c>
    </row>
    <row r="434" spans="1:24" x14ac:dyDescent="0.3">
      <c r="A434" s="37">
        <f t="shared" si="15"/>
        <v>433</v>
      </c>
      <c r="B434" s="76" t="s">
        <v>1064</v>
      </c>
      <c r="C434" s="76" t="s">
        <v>5765</v>
      </c>
      <c r="D434" s="76" t="s">
        <v>2753</v>
      </c>
      <c r="E434" s="77">
        <v>464854209</v>
      </c>
      <c r="F434" s="77">
        <v>2000000</v>
      </c>
      <c r="G434" s="77" t="s">
        <v>2867</v>
      </c>
      <c r="H434" s="77" t="s">
        <v>2875</v>
      </c>
      <c r="I434" s="76" t="s">
        <v>2102</v>
      </c>
      <c r="J434" s="76" t="s">
        <v>4</v>
      </c>
      <c r="K434" s="76" t="e">
        <f>VLOOKUP($B434,'WILL TOKO SEP'!A435:AK1174,37,0)</f>
        <v>#N/A</v>
      </c>
      <c r="L434" s="76" t="s">
        <v>2103</v>
      </c>
      <c r="M434" s="37" t="s">
        <v>3</v>
      </c>
      <c r="N434" s="78">
        <v>0</v>
      </c>
      <c r="O434" s="79">
        <v>46176</v>
      </c>
      <c r="P434" s="79">
        <v>46221</v>
      </c>
      <c r="Q434" s="79">
        <v>46254</v>
      </c>
      <c r="R434" s="79" t="str">
        <f>IFERROR(VLOOKUP($B434,JADWAL!$G$6:$J$690,4,0),"")</f>
        <v/>
      </c>
      <c r="S434" s="77">
        <f t="shared" si="14"/>
        <v>1</v>
      </c>
      <c r="T434" s="77"/>
      <c r="U434" s="37" t="s">
        <v>2242</v>
      </c>
      <c r="V434" s="37" t="s">
        <v>2250</v>
      </c>
      <c r="W434" s="37"/>
      <c r="X434" s="37">
        <v>0</v>
      </c>
    </row>
    <row r="435" spans="1:24" x14ac:dyDescent="0.3">
      <c r="A435" s="37">
        <f t="shared" si="15"/>
        <v>434</v>
      </c>
      <c r="B435" s="76" t="s">
        <v>904</v>
      </c>
      <c r="C435" s="76" t="s">
        <v>5768</v>
      </c>
      <c r="D435" s="76" t="s">
        <v>2754</v>
      </c>
      <c r="E435" s="77">
        <v>433000360</v>
      </c>
      <c r="F435" s="77">
        <v>2500000</v>
      </c>
      <c r="G435" s="77" t="s">
        <v>2834</v>
      </c>
      <c r="H435" s="77" t="s">
        <v>2839</v>
      </c>
      <c r="I435" s="76" t="s">
        <v>2102</v>
      </c>
      <c r="J435" s="76" t="s">
        <v>32</v>
      </c>
      <c r="K435" s="76" t="e">
        <f>VLOOKUP($B435,'WILL TOKO SEP'!A436:AK1175,37,0)</f>
        <v>#N/A</v>
      </c>
      <c r="L435" s="76" t="s">
        <v>2104</v>
      </c>
      <c r="M435" s="37" t="s">
        <v>3</v>
      </c>
      <c r="N435" s="79">
        <v>46157</v>
      </c>
      <c r="O435" s="79">
        <v>46181</v>
      </c>
      <c r="P435" s="79">
        <v>46227</v>
      </c>
      <c r="Q435" s="79">
        <v>46261</v>
      </c>
      <c r="R435" s="79" t="str">
        <f>IFERROR(VLOOKUP($B435,JADWAL!$G$6:$J$690,4,0),"")</f>
        <v/>
      </c>
      <c r="S435" s="77">
        <f t="shared" si="14"/>
        <v>0</v>
      </c>
      <c r="T435" s="77"/>
      <c r="U435" s="37" t="s">
        <v>2242</v>
      </c>
      <c r="V435" s="37" t="s">
        <v>2078</v>
      </c>
      <c r="W435" s="37"/>
      <c r="X435" s="37" t="s">
        <v>27</v>
      </c>
    </row>
    <row r="436" spans="1:24" x14ac:dyDescent="0.3">
      <c r="A436" s="37">
        <f t="shared" si="15"/>
        <v>435</v>
      </c>
      <c r="B436" s="76" t="s">
        <v>906</v>
      </c>
      <c r="C436" s="76" t="s">
        <v>905</v>
      </c>
      <c r="D436" s="76" t="s">
        <v>2755</v>
      </c>
      <c r="E436" s="77">
        <v>336054655</v>
      </c>
      <c r="F436" s="77">
        <v>2000000</v>
      </c>
      <c r="G436" s="77" t="s">
        <v>2817</v>
      </c>
      <c r="H436" s="77" t="s">
        <v>2850</v>
      </c>
      <c r="I436" s="76" t="s">
        <v>2102</v>
      </c>
      <c r="J436" s="76" t="s">
        <v>4</v>
      </c>
      <c r="K436" s="76" t="e">
        <f>VLOOKUP($B436,'WILL TOKO SEP'!A437:AK1176,37,0)</f>
        <v>#N/A</v>
      </c>
      <c r="L436" s="76" t="s">
        <v>2103</v>
      </c>
      <c r="M436" s="37" t="s">
        <v>3</v>
      </c>
      <c r="N436" s="79">
        <v>46161</v>
      </c>
      <c r="O436" s="79">
        <v>46191</v>
      </c>
      <c r="P436" s="79">
        <v>46227</v>
      </c>
      <c r="Q436" s="79">
        <v>46254</v>
      </c>
      <c r="R436" s="79" t="str">
        <f>IFERROR(VLOOKUP($B436,JADWAL!$G$6:$J$690,4,0),"")</f>
        <v/>
      </c>
      <c r="S436" s="77">
        <f t="shared" si="14"/>
        <v>0</v>
      </c>
      <c r="T436" s="77"/>
      <c r="U436" s="37" t="s">
        <v>2242</v>
      </c>
      <c r="V436" s="37" t="s">
        <v>2078</v>
      </c>
      <c r="W436" s="37"/>
      <c r="X436" s="37">
        <v>0</v>
      </c>
    </row>
    <row r="437" spans="1:24" x14ac:dyDescent="0.3">
      <c r="A437" s="37">
        <f t="shared" si="15"/>
        <v>436</v>
      </c>
      <c r="B437" s="76" t="s">
        <v>758</v>
      </c>
      <c r="C437" s="76" t="s">
        <v>5793</v>
      </c>
      <c r="D437" s="76" t="s">
        <v>5606</v>
      </c>
      <c r="E437" s="77">
        <v>373355697</v>
      </c>
      <c r="F437" s="77">
        <v>2000000</v>
      </c>
      <c r="G437" s="77" t="s">
        <v>2817</v>
      </c>
      <c r="H437" s="77" t="s">
        <v>2818</v>
      </c>
      <c r="I437" s="76" t="s">
        <v>2102</v>
      </c>
      <c r="J437" s="76" t="s">
        <v>4</v>
      </c>
      <c r="K437" s="76" t="str">
        <f>VLOOKUP($B437,'WILL TOKO SEP'!A438:AK1177,37,0)</f>
        <v>DENPASAR SELATAN</v>
      </c>
      <c r="L437" s="76" t="s">
        <v>2103</v>
      </c>
      <c r="M437" s="37" t="s">
        <v>3</v>
      </c>
      <c r="N437" s="79">
        <v>46170</v>
      </c>
      <c r="O437" s="79">
        <v>46203</v>
      </c>
      <c r="P437" s="79">
        <v>46233</v>
      </c>
      <c r="Q437" s="79">
        <v>46254</v>
      </c>
      <c r="R437" s="79" t="str">
        <f>IFERROR(VLOOKUP($B437,JADWAL!$G$6:$J$690,4,0),"")</f>
        <v/>
      </c>
      <c r="S437" s="77">
        <f t="shared" si="14"/>
        <v>0</v>
      </c>
      <c r="T437" s="77"/>
      <c r="U437" s="37" t="s">
        <v>2242</v>
      </c>
      <c r="V437" s="37" t="s">
        <v>2078</v>
      </c>
      <c r="W437" s="37"/>
      <c r="X437" s="37">
        <v>0</v>
      </c>
    </row>
    <row r="438" spans="1:24" x14ac:dyDescent="0.3">
      <c r="A438" s="37">
        <f t="shared" si="15"/>
        <v>437</v>
      </c>
      <c r="B438" s="76" t="s">
        <v>1123</v>
      </c>
      <c r="C438" s="76" t="s">
        <v>1122</v>
      </c>
      <c r="D438" s="76" t="s">
        <v>5472</v>
      </c>
      <c r="E438" s="77">
        <v>454897377</v>
      </c>
      <c r="F438" s="77">
        <v>2000000</v>
      </c>
      <c r="G438" s="77" t="s">
        <v>2830</v>
      </c>
      <c r="H438" s="77" t="s">
        <v>2831</v>
      </c>
      <c r="I438" s="76" t="s">
        <v>2102</v>
      </c>
      <c r="J438" s="76" t="s">
        <v>4</v>
      </c>
      <c r="K438" s="76" t="str">
        <f>VLOOKUP($B438,'WILL TOKO SEP'!A439:AK1178,37,0)</f>
        <v>DENPASAR SELATAN</v>
      </c>
      <c r="L438" s="76" t="s">
        <v>2103</v>
      </c>
      <c r="M438" s="37" t="s">
        <v>3</v>
      </c>
      <c r="N438" s="79">
        <v>46170</v>
      </c>
      <c r="O438" s="78">
        <v>0</v>
      </c>
      <c r="P438" s="79">
        <v>46219</v>
      </c>
      <c r="Q438" s="79">
        <v>46254</v>
      </c>
      <c r="R438" s="79" t="str">
        <f>IFERROR(VLOOKUP($B438,JADWAL!$G$6:$J$690,4,0),"")</f>
        <v/>
      </c>
      <c r="S438" s="77">
        <f t="shared" si="14"/>
        <v>1</v>
      </c>
      <c r="T438" s="77"/>
      <c r="U438" s="37" t="s">
        <v>2242</v>
      </c>
      <c r="V438" s="37" t="s">
        <v>2250</v>
      </c>
      <c r="W438" s="37"/>
      <c r="X438" s="37">
        <v>0</v>
      </c>
    </row>
    <row r="439" spans="1:24" x14ac:dyDescent="0.3">
      <c r="A439" s="37">
        <f t="shared" si="15"/>
        <v>438</v>
      </c>
      <c r="B439" s="76" t="s">
        <v>811</v>
      </c>
      <c r="C439" s="76" t="s">
        <v>810</v>
      </c>
      <c r="D439" s="76" t="s">
        <v>2756</v>
      </c>
      <c r="E439" s="77">
        <v>553565267</v>
      </c>
      <c r="F439" s="77">
        <v>2500000</v>
      </c>
      <c r="G439" s="77" t="s">
        <v>2819</v>
      </c>
      <c r="H439" s="77" t="s">
        <v>2856</v>
      </c>
      <c r="I439" s="76" t="s">
        <v>2102</v>
      </c>
      <c r="J439" s="76" t="s">
        <v>9</v>
      </c>
      <c r="K439" s="76" t="e">
        <f>VLOOKUP($B439,'WILL TOKO SEP'!A440:AK1179,37,0)</f>
        <v>#N/A</v>
      </c>
      <c r="L439" s="76" t="s">
        <v>2104</v>
      </c>
      <c r="M439" s="37" t="s">
        <v>3</v>
      </c>
      <c r="N439" s="79">
        <v>46158</v>
      </c>
      <c r="O439" s="79">
        <v>46185</v>
      </c>
      <c r="P439" s="79">
        <v>46231</v>
      </c>
      <c r="Q439" s="79">
        <v>46255</v>
      </c>
      <c r="R439" s="79" t="str">
        <f>IFERROR(VLOOKUP($B439,JADWAL!$G$6:$J$690,4,0),"")</f>
        <v/>
      </c>
      <c r="S439" s="77">
        <f t="shared" si="14"/>
        <v>0</v>
      </c>
      <c r="T439" s="77"/>
      <c r="U439" s="37" t="s">
        <v>2242</v>
      </c>
      <c r="V439" s="37" t="s">
        <v>2078</v>
      </c>
      <c r="W439" s="37"/>
      <c r="X439" s="37" t="s">
        <v>20</v>
      </c>
    </row>
    <row r="440" spans="1:24" x14ac:dyDescent="0.3">
      <c r="A440" s="37">
        <f t="shared" si="15"/>
        <v>439</v>
      </c>
      <c r="B440" s="76" t="s">
        <v>649</v>
      </c>
      <c r="C440" s="76" t="s">
        <v>648</v>
      </c>
      <c r="D440" s="76" t="s">
        <v>2758</v>
      </c>
      <c r="E440" s="77">
        <v>431733490</v>
      </c>
      <c r="F440" s="77">
        <v>3000000</v>
      </c>
      <c r="G440" s="77" t="s">
        <v>2817</v>
      </c>
      <c r="H440" s="77" t="s">
        <v>2850</v>
      </c>
      <c r="I440" s="76" t="s">
        <v>2102</v>
      </c>
      <c r="J440" s="76" t="s">
        <v>4</v>
      </c>
      <c r="K440" s="76" t="str">
        <f>VLOOKUP($B440,'WILL TOKO SEP'!A441:AK1180,37,0)</f>
        <v>DENPASAR TIMUR</v>
      </c>
      <c r="L440" s="76" t="s">
        <v>2103</v>
      </c>
      <c r="M440" s="37" t="s">
        <v>3</v>
      </c>
      <c r="N440" s="79">
        <v>46153</v>
      </c>
      <c r="O440" s="78">
        <v>0</v>
      </c>
      <c r="P440" s="78">
        <v>0</v>
      </c>
      <c r="Q440" s="79">
        <v>46255</v>
      </c>
      <c r="R440" s="79" t="str">
        <f>IFERROR(VLOOKUP($B440,JADWAL!$G$6:$J$690,4,0),"")</f>
        <v/>
      </c>
      <c r="S440" s="77">
        <f t="shared" si="14"/>
        <v>2</v>
      </c>
      <c r="T440" s="77"/>
      <c r="U440" s="37" t="s">
        <v>2242</v>
      </c>
      <c r="V440" s="37" t="s">
        <v>2250</v>
      </c>
      <c r="W440" s="37"/>
      <c r="X440" s="37" t="s">
        <v>2</v>
      </c>
    </row>
    <row r="441" spans="1:24" x14ac:dyDescent="0.3">
      <c r="A441" s="37">
        <f t="shared" si="15"/>
        <v>440</v>
      </c>
      <c r="B441" s="76" t="s">
        <v>755</v>
      </c>
      <c r="C441" s="76" t="s">
        <v>754</v>
      </c>
      <c r="D441" s="76" t="s">
        <v>5624</v>
      </c>
      <c r="E441" s="77">
        <v>392074626</v>
      </c>
      <c r="F441" s="77">
        <v>2000000</v>
      </c>
      <c r="G441" s="77" t="s">
        <v>2834</v>
      </c>
      <c r="H441" s="77" t="s">
        <v>2839</v>
      </c>
      <c r="I441" s="76" t="s">
        <v>2102</v>
      </c>
      <c r="J441" s="76" t="s">
        <v>40</v>
      </c>
      <c r="K441" s="76" t="str">
        <f>VLOOKUP($B441,'WILL TOKO SEP'!A442:AK1181,37,0)</f>
        <v>Bebandem</v>
      </c>
      <c r="L441" s="76" t="s">
        <v>2104</v>
      </c>
      <c r="M441" s="37" t="s">
        <v>3</v>
      </c>
      <c r="N441" s="79">
        <v>46161</v>
      </c>
      <c r="O441" s="79">
        <v>46182</v>
      </c>
      <c r="P441" s="79">
        <v>46233</v>
      </c>
      <c r="Q441" s="79">
        <v>46255</v>
      </c>
      <c r="R441" s="79" t="str">
        <f>IFERROR(VLOOKUP($B441,JADWAL!$G$6:$J$690,4,0),"")</f>
        <v/>
      </c>
      <c r="S441" s="77">
        <f t="shared" si="14"/>
        <v>0</v>
      </c>
      <c r="T441" s="77"/>
      <c r="U441" s="37" t="s">
        <v>2242</v>
      </c>
      <c r="V441" s="37" t="s">
        <v>2250</v>
      </c>
      <c r="W441" s="37"/>
      <c r="X441" s="37" t="s">
        <v>27</v>
      </c>
    </row>
    <row r="442" spans="1:24" x14ac:dyDescent="0.3">
      <c r="A442" s="37">
        <f t="shared" si="15"/>
        <v>441</v>
      </c>
      <c r="B442" s="76" t="s">
        <v>662</v>
      </c>
      <c r="C442" s="76" t="s">
        <v>661</v>
      </c>
      <c r="D442" s="76" t="s">
        <v>5533</v>
      </c>
      <c r="E442" s="77">
        <v>396758087</v>
      </c>
      <c r="F442" s="77">
        <v>2000000</v>
      </c>
      <c r="G442" s="77" t="s">
        <v>2834</v>
      </c>
      <c r="H442" s="77" t="s">
        <v>2839</v>
      </c>
      <c r="I442" s="76" t="s">
        <v>2102</v>
      </c>
      <c r="J442" s="76" t="s">
        <v>40</v>
      </c>
      <c r="K442" s="76" t="str">
        <f>VLOOKUP($B442,'WILL TOKO SEP'!A443:AK1182,37,0)</f>
        <v>SELAT</v>
      </c>
      <c r="L442" s="76" t="s">
        <v>2104</v>
      </c>
      <c r="M442" s="37" t="s">
        <v>3</v>
      </c>
      <c r="N442" s="79">
        <v>46149</v>
      </c>
      <c r="O442" s="79">
        <v>46192</v>
      </c>
      <c r="P442" s="78">
        <v>0</v>
      </c>
      <c r="Q442" s="79">
        <v>46255</v>
      </c>
      <c r="R442" s="79" t="str">
        <f>IFERROR(VLOOKUP($B442,JADWAL!$G$6:$J$690,4,0),"")</f>
        <v/>
      </c>
      <c r="S442" s="77">
        <f t="shared" si="14"/>
        <v>1</v>
      </c>
      <c r="T442" s="77"/>
      <c r="U442" s="37" t="s">
        <v>2242</v>
      </c>
      <c r="V442" s="37" t="s">
        <v>2250</v>
      </c>
      <c r="W442" s="37"/>
      <c r="X442" s="37" t="s">
        <v>27</v>
      </c>
    </row>
    <row r="443" spans="1:24" x14ac:dyDescent="0.3">
      <c r="A443" s="37">
        <f t="shared" si="15"/>
        <v>442</v>
      </c>
      <c r="B443" s="76" t="s">
        <v>657</v>
      </c>
      <c r="C443" s="76" t="s">
        <v>656</v>
      </c>
      <c r="D443" s="76" t="s">
        <v>5462</v>
      </c>
      <c r="E443" s="77">
        <v>620037696</v>
      </c>
      <c r="F443" s="77">
        <v>2000000</v>
      </c>
      <c r="G443" s="77" t="s">
        <v>2827</v>
      </c>
      <c r="H443" s="77" t="s">
        <v>2864</v>
      </c>
      <c r="I443" s="76" t="s">
        <v>2102</v>
      </c>
      <c r="J443" s="76" t="s">
        <v>48</v>
      </c>
      <c r="K443" s="76" t="str">
        <f>VLOOKUP($B443,'WILL TOKO SEP'!A444:AK1183,37,0)</f>
        <v>KUBUTAMBAHAN</v>
      </c>
      <c r="L443" s="76" t="s">
        <v>2104</v>
      </c>
      <c r="M443" s="37" t="s">
        <v>3</v>
      </c>
      <c r="N443" s="79">
        <v>46162</v>
      </c>
      <c r="O443" s="79">
        <v>46181</v>
      </c>
      <c r="P443" s="78">
        <v>0</v>
      </c>
      <c r="Q443" s="79">
        <v>46255</v>
      </c>
      <c r="R443" s="79" t="str">
        <f>IFERROR(VLOOKUP($B443,JADWAL!$G$6:$J$690,4,0),"")</f>
        <v/>
      </c>
      <c r="S443" s="77">
        <f t="shared" si="14"/>
        <v>1</v>
      </c>
      <c r="T443" s="77"/>
      <c r="U443" s="37" t="s">
        <v>2242</v>
      </c>
      <c r="V443" s="37" t="s">
        <v>2250</v>
      </c>
      <c r="W443" s="37"/>
      <c r="X443" s="37" t="s">
        <v>44</v>
      </c>
    </row>
    <row r="444" spans="1:24" x14ac:dyDescent="0.3">
      <c r="A444" s="37">
        <f t="shared" si="15"/>
        <v>443</v>
      </c>
      <c r="B444" s="76" t="s">
        <v>659</v>
      </c>
      <c r="C444" s="76" t="s">
        <v>658</v>
      </c>
      <c r="D444" s="76" t="s">
        <v>2759</v>
      </c>
      <c r="E444" s="77">
        <v>449757918</v>
      </c>
      <c r="F444" s="77">
        <v>2500000</v>
      </c>
      <c r="G444" s="77" t="s">
        <v>2817</v>
      </c>
      <c r="H444" s="77" t="s">
        <v>2852</v>
      </c>
      <c r="I444" s="76" t="s">
        <v>2102</v>
      </c>
      <c r="J444" s="76" t="s">
        <v>4</v>
      </c>
      <c r="K444" s="76" t="str">
        <f>VLOOKUP($B444,'WILL TOKO SEP'!A445:AK1184,37,0)</f>
        <v>DENPASAR BARAT</v>
      </c>
      <c r="L444" s="76" t="s">
        <v>2104</v>
      </c>
      <c r="M444" s="37" t="s">
        <v>3</v>
      </c>
      <c r="N444" s="79">
        <v>46167</v>
      </c>
      <c r="O444" s="79">
        <v>46190</v>
      </c>
      <c r="P444" s="78">
        <v>0</v>
      </c>
      <c r="Q444" s="79">
        <v>46255</v>
      </c>
      <c r="R444" s="79" t="str">
        <f>IFERROR(VLOOKUP($B444,JADWAL!$G$6:$J$690,4,0),"")</f>
        <v/>
      </c>
      <c r="S444" s="77">
        <f t="shared" si="14"/>
        <v>1</v>
      </c>
      <c r="T444" s="77"/>
      <c r="U444" s="37" t="s">
        <v>2242</v>
      </c>
      <c r="V444" s="37" t="s">
        <v>2078</v>
      </c>
      <c r="W444" s="37"/>
      <c r="X444" s="37" t="s">
        <v>2</v>
      </c>
    </row>
    <row r="445" spans="1:24" x14ac:dyDescent="0.3">
      <c r="A445" s="37">
        <f t="shared" si="15"/>
        <v>444</v>
      </c>
      <c r="B445" s="76" t="s">
        <v>1350</v>
      </c>
      <c r="C445" s="76" t="s">
        <v>1349</v>
      </c>
      <c r="D445" s="76" t="s">
        <v>2760</v>
      </c>
      <c r="E445" s="77">
        <v>392740991</v>
      </c>
      <c r="F445" s="77">
        <v>2500000</v>
      </c>
      <c r="G445" s="77" t="s">
        <v>2817</v>
      </c>
      <c r="H445" s="77" t="s">
        <v>2852</v>
      </c>
      <c r="I445" s="76" t="s">
        <v>2102</v>
      </c>
      <c r="J445" s="76" t="s">
        <v>9</v>
      </c>
      <c r="K445" s="76" t="e">
        <f>VLOOKUP($B445,'WILL TOKO SEP'!A446:AK1185,37,0)</f>
        <v>#N/A</v>
      </c>
      <c r="L445" s="76" t="s">
        <v>2104</v>
      </c>
      <c r="M445" s="37" t="s">
        <v>3</v>
      </c>
      <c r="N445" s="79">
        <v>46147</v>
      </c>
      <c r="O445" s="78">
        <v>0</v>
      </c>
      <c r="P445" s="79">
        <v>46209</v>
      </c>
      <c r="Q445" s="79">
        <v>46255</v>
      </c>
      <c r="R445" s="79" t="str">
        <f>IFERROR(VLOOKUP($B445,JADWAL!$G$6:$J$690,4,0),"")</f>
        <v/>
      </c>
      <c r="S445" s="77">
        <f t="shared" si="14"/>
        <v>1</v>
      </c>
      <c r="T445" s="77"/>
      <c r="U445" s="37" t="s">
        <v>2242</v>
      </c>
      <c r="V445" s="37" t="s">
        <v>2250</v>
      </c>
      <c r="W445" s="37"/>
      <c r="X445" s="37" t="s">
        <v>124</v>
      </c>
    </row>
    <row r="446" spans="1:24" x14ac:dyDescent="0.3">
      <c r="A446" s="37">
        <f t="shared" si="15"/>
        <v>445</v>
      </c>
      <c r="B446" s="76" t="s">
        <v>1231</v>
      </c>
      <c r="C446" s="76" t="s">
        <v>1230</v>
      </c>
      <c r="D446" s="76" t="s">
        <v>2761</v>
      </c>
      <c r="E446" s="77">
        <v>521492144</v>
      </c>
      <c r="F446" s="77">
        <v>3000000</v>
      </c>
      <c r="G446" s="77" t="s">
        <v>2830</v>
      </c>
      <c r="H446" s="77" t="s">
        <v>2838</v>
      </c>
      <c r="I446" s="76" t="s">
        <v>2102</v>
      </c>
      <c r="J446" s="76" t="s">
        <v>9</v>
      </c>
      <c r="K446" s="76" t="e">
        <f>VLOOKUP($B446,'WILL TOKO SEP'!A447:AK1186,37,0)</f>
        <v>#N/A</v>
      </c>
      <c r="L446" s="76" t="s">
        <v>2104</v>
      </c>
      <c r="M446" s="37" t="s">
        <v>3</v>
      </c>
      <c r="N446" s="79">
        <v>46165</v>
      </c>
      <c r="O446" s="79">
        <v>46196</v>
      </c>
      <c r="P446" s="79">
        <v>46214</v>
      </c>
      <c r="Q446" s="79">
        <v>46252</v>
      </c>
      <c r="R446" s="79" t="str">
        <f>IFERROR(VLOOKUP($B446,JADWAL!$G$6:$J$690,4,0),"")</f>
        <v/>
      </c>
      <c r="S446" s="77">
        <f t="shared" si="14"/>
        <v>0</v>
      </c>
      <c r="T446" s="77"/>
      <c r="U446" s="37" t="s">
        <v>2242</v>
      </c>
      <c r="V446" s="37" t="s">
        <v>2078</v>
      </c>
      <c r="W446" s="37"/>
      <c r="X446" s="37" t="s">
        <v>20</v>
      </c>
    </row>
    <row r="447" spans="1:24" x14ac:dyDescent="0.3">
      <c r="A447" s="37">
        <f t="shared" si="15"/>
        <v>446</v>
      </c>
      <c r="B447" s="76" t="s">
        <v>1034</v>
      </c>
      <c r="C447" s="76" t="s">
        <v>1033</v>
      </c>
      <c r="D447" s="76" t="s">
        <v>2762</v>
      </c>
      <c r="E447" s="77">
        <v>418869991</v>
      </c>
      <c r="F447" s="77">
        <v>2000000</v>
      </c>
      <c r="G447" s="77" t="s">
        <v>2830</v>
      </c>
      <c r="H447" s="77" t="s">
        <v>2838</v>
      </c>
      <c r="I447" s="76" t="s">
        <v>2102</v>
      </c>
      <c r="J447" s="76" t="s">
        <v>4</v>
      </c>
      <c r="K447" s="76" t="e">
        <f>VLOOKUP($B447,'WILL TOKO SEP'!A448:AK1187,37,0)</f>
        <v>#N/A</v>
      </c>
      <c r="L447" s="76" t="s">
        <v>2104</v>
      </c>
      <c r="M447" s="37" t="s">
        <v>3</v>
      </c>
      <c r="N447" s="79">
        <v>46162</v>
      </c>
      <c r="O447" s="79">
        <v>46188</v>
      </c>
      <c r="P447" s="79">
        <v>46223</v>
      </c>
      <c r="Q447" s="79">
        <v>46255</v>
      </c>
      <c r="R447" s="79" t="str">
        <f>IFERROR(VLOOKUP($B447,JADWAL!$G$6:$J$690,4,0),"")</f>
        <v/>
      </c>
      <c r="S447" s="77">
        <f t="shared" si="14"/>
        <v>0</v>
      </c>
      <c r="T447" s="77"/>
      <c r="U447" s="37" t="s">
        <v>2242</v>
      </c>
      <c r="V447" s="37" t="s">
        <v>2078</v>
      </c>
      <c r="W447" s="37"/>
      <c r="X447" s="37" t="s">
        <v>77</v>
      </c>
    </row>
    <row r="448" spans="1:24" x14ac:dyDescent="0.3">
      <c r="A448" s="37">
        <f t="shared" si="15"/>
        <v>447</v>
      </c>
      <c r="B448" s="76" t="s">
        <v>901</v>
      </c>
      <c r="C448" s="76" t="s">
        <v>900</v>
      </c>
      <c r="D448" s="76" t="s">
        <v>2763</v>
      </c>
      <c r="E448" s="77">
        <v>537876496</v>
      </c>
      <c r="F448" s="77">
        <v>2500000</v>
      </c>
      <c r="G448" s="77" t="s">
        <v>2817</v>
      </c>
      <c r="H448" s="77" t="s">
        <v>2865</v>
      </c>
      <c r="I448" s="76" t="s">
        <v>2102</v>
      </c>
      <c r="J448" s="76" t="s">
        <v>9</v>
      </c>
      <c r="K448" s="76" t="str">
        <f>VLOOKUP($B448,'WILL TOKO SEP'!A449:AK1188,37,0)</f>
        <v>KUTA</v>
      </c>
      <c r="L448" s="76" t="s">
        <v>2104</v>
      </c>
      <c r="M448" s="37" t="s">
        <v>3</v>
      </c>
      <c r="N448" s="78">
        <v>0</v>
      </c>
      <c r="O448" s="78">
        <v>0</v>
      </c>
      <c r="P448" s="79">
        <v>46227</v>
      </c>
      <c r="Q448" s="79">
        <v>46255</v>
      </c>
      <c r="R448" s="79" t="str">
        <f>IFERROR(VLOOKUP($B448,JADWAL!$G$6:$J$690,4,0),"")</f>
        <v/>
      </c>
      <c r="S448" s="77">
        <f t="shared" si="14"/>
        <v>2</v>
      </c>
      <c r="T448" s="77"/>
      <c r="U448" s="37" t="s">
        <v>2242</v>
      </c>
      <c r="V448" s="37" t="s">
        <v>2078</v>
      </c>
      <c r="W448" s="37"/>
      <c r="X448" s="37" t="s">
        <v>124</v>
      </c>
    </row>
    <row r="449" spans="1:24" x14ac:dyDescent="0.3">
      <c r="A449" s="37">
        <f t="shared" si="15"/>
        <v>448</v>
      </c>
      <c r="B449" s="76" t="s">
        <v>999</v>
      </c>
      <c r="C449" s="76" t="s">
        <v>998</v>
      </c>
      <c r="D449" s="76" t="s">
        <v>2764</v>
      </c>
      <c r="E449" s="77">
        <v>582311451</v>
      </c>
      <c r="F449" s="77">
        <v>3000000</v>
      </c>
      <c r="G449" s="77" t="s">
        <v>2867</v>
      </c>
      <c r="H449" s="77" t="s">
        <v>2874</v>
      </c>
      <c r="I449" s="76" t="s">
        <v>2102</v>
      </c>
      <c r="J449" s="76" t="s">
        <v>4</v>
      </c>
      <c r="K449" s="76" t="str">
        <f>VLOOKUP($B449,'WILL TOKO SEP'!A450:AK1189,37,0)</f>
        <v>DENPASAR BARAT</v>
      </c>
      <c r="L449" s="76" t="s">
        <v>2104</v>
      </c>
      <c r="M449" s="37" t="s">
        <v>3</v>
      </c>
      <c r="N449" s="79">
        <v>46160</v>
      </c>
      <c r="O449" s="79">
        <v>46177</v>
      </c>
      <c r="P449" s="79">
        <v>46224</v>
      </c>
      <c r="Q449" s="79">
        <v>46255</v>
      </c>
      <c r="R449" s="79" t="str">
        <f>IFERROR(VLOOKUP($B449,JADWAL!$G$6:$J$690,4,0),"")</f>
        <v/>
      </c>
      <c r="S449" s="77">
        <f t="shared" si="14"/>
        <v>0</v>
      </c>
      <c r="T449" s="77"/>
      <c r="U449" s="37" t="s">
        <v>2242</v>
      </c>
      <c r="V449" s="37" t="s">
        <v>2078</v>
      </c>
      <c r="W449" s="37"/>
      <c r="X449" s="37" t="s">
        <v>2</v>
      </c>
    </row>
    <row r="450" spans="1:24" x14ac:dyDescent="0.3">
      <c r="A450" s="37">
        <f t="shared" si="15"/>
        <v>449</v>
      </c>
      <c r="B450" s="76" t="s">
        <v>809</v>
      </c>
      <c r="C450" s="76" t="s">
        <v>5732</v>
      </c>
      <c r="D450" s="76" t="s">
        <v>2765</v>
      </c>
      <c r="E450" s="77">
        <v>501016458</v>
      </c>
      <c r="F450" s="77">
        <v>2000000</v>
      </c>
      <c r="G450" s="77" t="s">
        <v>2830</v>
      </c>
      <c r="H450" s="77" t="s">
        <v>2838</v>
      </c>
      <c r="I450" s="76" t="s">
        <v>2102</v>
      </c>
      <c r="J450" s="76" t="s">
        <v>4</v>
      </c>
      <c r="K450" s="76" t="str">
        <f>VLOOKUP($B450,'WILL TOKO SEP'!A451:AK1190,37,0)</f>
        <v>DENPASAR UTARA</v>
      </c>
      <c r="L450" s="76" t="s">
        <v>2104</v>
      </c>
      <c r="M450" s="37" t="s">
        <v>3</v>
      </c>
      <c r="N450" s="79">
        <v>46170</v>
      </c>
      <c r="O450" s="79">
        <v>46196</v>
      </c>
      <c r="P450" s="79">
        <v>46231</v>
      </c>
      <c r="Q450" s="241">
        <v>0</v>
      </c>
      <c r="R450" s="79" t="str">
        <f>IFERROR(VLOOKUP($B450,JADWAL!$G$6:$J$690,4,0),"")</f>
        <v/>
      </c>
      <c r="S450" s="77">
        <f t="shared" ref="S450:S513" si="16">COUNTIF(N450:P450,"0")</f>
        <v>0</v>
      </c>
      <c r="T450" s="77"/>
      <c r="U450" s="37" t="s">
        <v>2242</v>
      </c>
      <c r="V450" s="37" t="s">
        <v>2078</v>
      </c>
      <c r="W450" s="37"/>
      <c r="X450" s="37" t="s">
        <v>2</v>
      </c>
    </row>
    <row r="451" spans="1:24" x14ac:dyDescent="0.3">
      <c r="A451" s="37">
        <f t="shared" si="15"/>
        <v>450</v>
      </c>
      <c r="B451" s="76" t="s">
        <v>1348</v>
      </c>
      <c r="C451" s="76" t="s">
        <v>1347</v>
      </c>
      <c r="D451" s="76" t="s">
        <v>2766</v>
      </c>
      <c r="E451" s="77">
        <v>372282744</v>
      </c>
      <c r="F451" s="77">
        <v>2000000</v>
      </c>
      <c r="G451" s="77" t="s">
        <v>2813</v>
      </c>
      <c r="H451" s="77" t="s">
        <v>2863</v>
      </c>
      <c r="I451" s="76" t="s">
        <v>2102</v>
      </c>
      <c r="J451" s="76" t="s">
        <v>9</v>
      </c>
      <c r="K451" s="76" t="e">
        <f>VLOOKUP($B451,'WILL TOKO SEP'!A452:AK1191,37,0)</f>
        <v>#N/A</v>
      </c>
      <c r="L451" s="76" t="s">
        <v>2104</v>
      </c>
      <c r="M451" s="37" t="s">
        <v>3</v>
      </c>
      <c r="N451" s="78">
        <v>0</v>
      </c>
      <c r="O451" s="79">
        <v>46190</v>
      </c>
      <c r="P451" s="79">
        <v>46209</v>
      </c>
      <c r="Q451" s="79">
        <v>46255</v>
      </c>
      <c r="R451" s="79" t="str">
        <f>IFERROR(VLOOKUP($B451,JADWAL!$G$6:$J$690,4,0),"")</f>
        <v/>
      </c>
      <c r="S451" s="77">
        <f t="shared" si="16"/>
        <v>1</v>
      </c>
      <c r="T451" s="77"/>
      <c r="U451" s="37" t="s">
        <v>2242</v>
      </c>
      <c r="V451" s="37" t="s">
        <v>2250</v>
      </c>
      <c r="W451" s="37"/>
      <c r="X451" s="37" t="s">
        <v>124</v>
      </c>
    </row>
    <row r="452" spans="1:24" x14ac:dyDescent="0.3">
      <c r="A452" s="37">
        <f t="shared" ref="A452:A515" si="17">A451+1</f>
        <v>451</v>
      </c>
      <c r="B452" s="76" t="s">
        <v>1121</v>
      </c>
      <c r="C452" s="76" t="s">
        <v>1120</v>
      </c>
      <c r="D452" s="76" t="s">
        <v>2767</v>
      </c>
      <c r="E452" s="77">
        <v>390532497</v>
      </c>
      <c r="F452" s="77">
        <v>2000000</v>
      </c>
      <c r="G452" s="77" t="s">
        <v>2830</v>
      </c>
      <c r="H452" s="77" t="s">
        <v>2831</v>
      </c>
      <c r="I452" s="76" t="s">
        <v>2102</v>
      </c>
      <c r="J452" s="76" t="s">
        <v>4</v>
      </c>
      <c r="K452" s="76" t="e">
        <f>VLOOKUP($B452,'WILL TOKO SEP'!A453:AK1192,37,0)</f>
        <v>#N/A</v>
      </c>
      <c r="L452" s="76" t="s">
        <v>2103</v>
      </c>
      <c r="M452" s="37" t="s">
        <v>3</v>
      </c>
      <c r="N452" s="78">
        <v>0</v>
      </c>
      <c r="O452" s="79">
        <v>46177</v>
      </c>
      <c r="P452" s="79">
        <v>46219</v>
      </c>
      <c r="Q452" s="241">
        <v>0</v>
      </c>
      <c r="R452" s="79" t="str">
        <f>IFERROR(VLOOKUP($B452,JADWAL!$G$6:$J$690,4,0),"")</f>
        <v/>
      </c>
      <c r="S452" s="77">
        <f t="shared" si="16"/>
        <v>1</v>
      </c>
      <c r="T452" s="77"/>
      <c r="U452" s="37" t="s">
        <v>2242</v>
      </c>
      <c r="V452" s="37" t="s">
        <v>2250</v>
      </c>
      <c r="W452" s="37"/>
      <c r="X452" s="37" t="s">
        <v>2</v>
      </c>
    </row>
    <row r="453" spans="1:24" x14ac:dyDescent="0.3">
      <c r="A453" s="37">
        <f t="shared" si="17"/>
        <v>452</v>
      </c>
      <c r="B453" s="76" t="s">
        <v>1118</v>
      </c>
      <c r="C453" s="76" t="s">
        <v>1117</v>
      </c>
      <c r="D453" s="76" t="s">
        <v>2768</v>
      </c>
      <c r="E453" s="77">
        <v>555634072</v>
      </c>
      <c r="F453" s="77">
        <v>4000000</v>
      </c>
      <c r="G453" s="77" t="s">
        <v>2840</v>
      </c>
      <c r="H453" s="77" t="s">
        <v>2841</v>
      </c>
      <c r="I453" s="76" t="s">
        <v>2102</v>
      </c>
      <c r="J453" s="76" t="s">
        <v>4</v>
      </c>
      <c r="K453" s="76" t="str">
        <f>VLOOKUP($B453,'WILL TOKO SEP'!A454:AK1193,37,0)</f>
        <v>DENPASAR TIMUR</v>
      </c>
      <c r="L453" s="76" t="s">
        <v>2103</v>
      </c>
      <c r="M453" s="37" t="s">
        <v>3</v>
      </c>
      <c r="N453" s="79">
        <v>46155</v>
      </c>
      <c r="O453" s="79">
        <v>46192</v>
      </c>
      <c r="P453" s="79">
        <v>46219</v>
      </c>
      <c r="Q453" s="79">
        <v>46255</v>
      </c>
      <c r="R453" s="79" t="str">
        <f>IFERROR(VLOOKUP($B453,JADWAL!$G$6:$J$690,4,0),"")</f>
        <v/>
      </c>
      <c r="S453" s="77">
        <f t="shared" si="16"/>
        <v>0</v>
      </c>
      <c r="T453" s="77"/>
      <c r="U453" s="37" t="s">
        <v>2242</v>
      </c>
      <c r="V453" s="37" t="s">
        <v>2078</v>
      </c>
      <c r="W453" s="37"/>
      <c r="X453" s="37" t="s">
        <v>2</v>
      </c>
    </row>
    <row r="454" spans="1:24" x14ac:dyDescent="0.3">
      <c r="A454" s="37">
        <f t="shared" si="17"/>
        <v>453</v>
      </c>
      <c r="B454" s="76" t="s">
        <v>807</v>
      </c>
      <c r="C454" s="76" t="s">
        <v>806</v>
      </c>
      <c r="D454" s="76" t="s">
        <v>2769</v>
      </c>
      <c r="E454" s="77">
        <v>364534825</v>
      </c>
      <c r="F454" s="77">
        <v>3000000</v>
      </c>
      <c r="G454" s="77" t="s">
        <v>2819</v>
      </c>
      <c r="H454" s="77" t="s">
        <v>2823</v>
      </c>
      <c r="I454" s="76" t="s">
        <v>2102</v>
      </c>
      <c r="J454" s="76" t="s">
        <v>4</v>
      </c>
      <c r="K454" s="76" t="e">
        <f>VLOOKUP($B454,'WILL TOKO SEP'!A455:AK1194,37,0)</f>
        <v>#N/A</v>
      </c>
      <c r="L454" s="76" t="s">
        <v>2104</v>
      </c>
      <c r="M454" s="37" t="s">
        <v>3</v>
      </c>
      <c r="N454" s="79">
        <v>46171</v>
      </c>
      <c r="O454" s="79">
        <v>46198</v>
      </c>
      <c r="P454" s="79">
        <v>46231</v>
      </c>
      <c r="Q454" s="79">
        <v>46256</v>
      </c>
      <c r="R454" s="79" t="str">
        <f>IFERROR(VLOOKUP($B454,JADWAL!$G$6:$J$690,4,0),"")</f>
        <v/>
      </c>
      <c r="S454" s="77">
        <f t="shared" si="16"/>
        <v>0</v>
      </c>
      <c r="T454" s="77"/>
      <c r="U454" s="37" t="s">
        <v>2242</v>
      </c>
      <c r="V454" s="37" t="s">
        <v>2078</v>
      </c>
      <c r="W454" s="37"/>
      <c r="X454" s="37" t="s">
        <v>2</v>
      </c>
    </row>
    <row r="455" spans="1:24" x14ac:dyDescent="0.3">
      <c r="A455" s="37">
        <f t="shared" si="17"/>
        <v>454</v>
      </c>
      <c r="B455" s="76" t="s">
        <v>1116</v>
      </c>
      <c r="C455" s="76" t="s">
        <v>1115</v>
      </c>
      <c r="D455" s="76" t="s">
        <v>5286</v>
      </c>
      <c r="E455" s="77">
        <v>490632927</v>
      </c>
      <c r="F455" s="77">
        <v>3000000</v>
      </c>
      <c r="G455" s="77" t="s">
        <v>2819</v>
      </c>
      <c r="H455" s="77" t="s">
        <v>2856</v>
      </c>
      <c r="I455" s="76" t="s">
        <v>2102</v>
      </c>
      <c r="J455" s="76" t="s">
        <v>9</v>
      </c>
      <c r="K455" s="76" t="str">
        <f>VLOOKUP($B455,'WILL TOKO SEP'!A456:AK1195,37,0)</f>
        <v>KUTA UTARA</v>
      </c>
      <c r="L455" s="76" t="s">
        <v>2104</v>
      </c>
      <c r="M455" s="37" t="s">
        <v>3</v>
      </c>
      <c r="N455" s="78">
        <v>0</v>
      </c>
      <c r="O455" s="79">
        <v>46177</v>
      </c>
      <c r="P455" s="79">
        <v>46219</v>
      </c>
      <c r="Q455" s="79">
        <v>46256</v>
      </c>
      <c r="R455" s="79" t="str">
        <f>IFERROR(VLOOKUP($B455,JADWAL!$G$6:$J$690,4,0),"")</f>
        <v/>
      </c>
      <c r="S455" s="77">
        <f t="shared" si="16"/>
        <v>1</v>
      </c>
      <c r="T455" s="77"/>
      <c r="U455" s="37" t="s">
        <v>2242</v>
      </c>
      <c r="V455" s="37" t="s">
        <v>2078</v>
      </c>
      <c r="W455" s="37"/>
      <c r="X455" s="37" t="s">
        <v>20</v>
      </c>
    </row>
    <row r="456" spans="1:24" x14ac:dyDescent="0.3">
      <c r="A456" s="37">
        <f t="shared" si="17"/>
        <v>455</v>
      </c>
      <c r="B456" s="76" t="s">
        <v>785</v>
      </c>
      <c r="C456" s="76" t="s">
        <v>784</v>
      </c>
      <c r="D456" s="76" t="s">
        <v>5114</v>
      </c>
      <c r="E456" s="77">
        <v>445479355</v>
      </c>
      <c r="F456" s="77">
        <v>3000000</v>
      </c>
      <c r="G456" s="77" t="s">
        <v>2830</v>
      </c>
      <c r="H456" s="77" t="s">
        <v>2831</v>
      </c>
      <c r="I456" s="76" t="s">
        <v>2102</v>
      </c>
      <c r="J456" s="76" t="s">
        <v>4</v>
      </c>
      <c r="K456" s="76" t="str">
        <f>VLOOKUP($B456,'WILL TOKO SEP'!A457:AK1196,37,0)</f>
        <v>DENPASAR SELATAN</v>
      </c>
      <c r="L456" s="76" t="s">
        <v>2103</v>
      </c>
      <c r="M456" s="37" t="s">
        <v>3</v>
      </c>
      <c r="N456" s="79">
        <v>46170</v>
      </c>
      <c r="O456" s="79">
        <v>46198</v>
      </c>
      <c r="P456" s="79">
        <v>46232</v>
      </c>
      <c r="Q456" s="79">
        <v>46260</v>
      </c>
      <c r="R456" s="79" t="str">
        <f>IFERROR(VLOOKUP($B456,JADWAL!$G$6:$J$690,4,0),"")</f>
        <v/>
      </c>
      <c r="S456" s="77">
        <f t="shared" si="16"/>
        <v>0</v>
      </c>
      <c r="T456" s="77"/>
      <c r="U456" s="37" t="s">
        <v>2242</v>
      </c>
      <c r="V456" s="37" t="s">
        <v>2078</v>
      </c>
      <c r="W456" s="37"/>
      <c r="X456" s="37" t="s">
        <v>2</v>
      </c>
    </row>
    <row r="457" spans="1:24" x14ac:dyDescent="0.3">
      <c r="A457" s="37">
        <f t="shared" si="17"/>
        <v>456</v>
      </c>
      <c r="B457" s="76" t="s">
        <v>1394</v>
      </c>
      <c r="C457" s="76" t="s">
        <v>1393</v>
      </c>
      <c r="D457" s="76" t="s">
        <v>2770</v>
      </c>
      <c r="E457" s="77">
        <v>420091972</v>
      </c>
      <c r="F457" s="77">
        <v>2500000</v>
      </c>
      <c r="G457" s="77" t="s">
        <v>2827</v>
      </c>
      <c r="H457" s="77" t="s">
        <v>2828</v>
      </c>
      <c r="I457" s="76" t="s">
        <v>2102</v>
      </c>
      <c r="J457" s="76" t="s">
        <v>48</v>
      </c>
      <c r="K457" s="76" t="e">
        <f>VLOOKUP($B457,'WILL TOKO SEP'!A458:AK1197,37,0)</f>
        <v>#N/A</v>
      </c>
      <c r="L457" s="76" t="s">
        <v>2104</v>
      </c>
      <c r="M457" s="37" t="s">
        <v>3</v>
      </c>
      <c r="N457" s="78">
        <v>0</v>
      </c>
      <c r="O457" s="78">
        <v>0</v>
      </c>
      <c r="P457" s="79">
        <v>46205</v>
      </c>
      <c r="Q457" s="79">
        <v>46256</v>
      </c>
      <c r="R457" s="79" t="str">
        <f>IFERROR(VLOOKUP($B457,JADWAL!$G$6:$J$690,4,0),"")</f>
        <v/>
      </c>
      <c r="S457" s="77">
        <f t="shared" si="16"/>
        <v>2</v>
      </c>
      <c r="T457" s="77"/>
      <c r="U457" s="37" t="s">
        <v>2242</v>
      </c>
      <c r="V457" s="37" t="s">
        <v>2250</v>
      </c>
      <c r="W457" s="37"/>
      <c r="X457" s="37" t="s">
        <v>44</v>
      </c>
    </row>
    <row r="458" spans="1:24" x14ac:dyDescent="0.3">
      <c r="A458" s="37">
        <f t="shared" si="17"/>
        <v>457</v>
      </c>
      <c r="B458" s="76" t="s">
        <v>831</v>
      </c>
      <c r="C458" s="76" t="s">
        <v>830</v>
      </c>
      <c r="D458" s="76" t="s">
        <v>2771</v>
      </c>
      <c r="E458" s="77">
        <v>409991843</v>
      </c>
      <c r="F458" s="77">
        <v>2500000</v>
      </c>
      <c r="G458" s="77" t="s">
        <v>2819</v>
      </c>
      <c r="H458" s="77" t="s">
        <v>2823</v>
      </c>
      <c r="I458" s="76" t="s">
        <v>2102</v>
      </c>
      <c r="J458" s="76" t="s">
        <v>4</v>
      </c>
      <c r="K458" s="76" t="str">
        <f>VLOOKUP($B458,'WILL TOKO SEP'!A459:AK1198,37,0)</f>
        <v>DENPASAR TIMUR</v>
      </c>
      <c r="L458" s="76" t="s">
        <v>2103</v>
      </c>
      <c r="M458" s="37" t="s">
        <v>3</v>
      </c>
      <c r="N458" s="79">
        <v>46171</v>
      </c>
      <c r="O458" s="79">
        <v>46185</v>
      </c>
      <c r="P458" s="79">
        <v>46230</v>
      </c>
      <c r="Q458" s="79">
        <v>46256</v>
      </c>
      <c r="R458" s="79" t="str">
        <f>IFERROR(VLOOKUP($B458,JADWAL!$G$6:$J$690,4,0),"")</f>
        <v/>
      </c>
      <c r="S458" s="77">
        <f t="shared" si="16"/>
        <v>0</v>
      </c>
      <c r="T458" s="77"/>
      <c r="U458" s="37" t="s">
        <v>2242</v>
      </c>
      <c r="V458" s="37" t="s">
        <v>2078</v>
      </c>
      <c r="W458" s="37"/>
      <c r="X458" s="37" t="s">
        <v>2</v>
      </c>
    </row>
    <row r="459" spans="1:24" x14ac:dyDescent="0.3">
      <c r="A459" s="37">
        <f t="shared" si="17"/>
        <v>458</v>
      </c>
      <c r="B459" s="76" t="s">
        <v>646</v>
      </c>
      <c r="C459" s="76" t="s">
        <v>645</v>
      </c>
      <c r="D459" s="76" t="s">
        <v>5553</v>
      </c>
      <c r="E459" s="77">
        <v>395940240</v>
      </c>
      <c r="F459" s="77">
        <v>2000000</v>
      </c>
      <c r="G459" s="77" t="s">
        <v>2821</v>
      </c>
      <c r="H459" s="77" t="s">
        <v>2833</v>
      </c>
      <c r="I459" s="76" t="s">
        <v>2102</v>
      </c>
      <c r="J459" s="76" t="s">
        <v>36</v>
      </c>
      <c r="K459" s="76" t="str">
        <f>VLOOKUP($B459,'WILL TOKO SEP'!A460:AK1199,37,0)</f>
        <v>Baturiti</v>
      </c>
      <c r="L459" s="76" t="s">
        <v>2104</v>
      </c>
      <c r="M459" s="37" t="s">
        <v>3</v>
      </c>
      <c r="N459" s="78">
        <v>0</v>
      </c>
      <c r="O459" s="79">
        <v>46196</v>
      </c>
      <c r="P459" s="78">
        <v>0</v>
      </c>
      <c r="Q459" s="79">
        <v>46256</v>
      </c>
      <c r="R459" s="79" t="str">
        <f>IFERROR(VLOOKUP($B459,JADWAL!$G$6:$J$690,4,0),"")</f>
        <v/>
      </c>
      <c r="S459" s="77">
        <f t="shared" si="16"/>
        <v>2</v>
      </c>
      <c r="T459" s="77"/>
      <c r="U459" s="37" t="s">
        <v>2242</v>
      </c>
      <c r="V459" s="37" t="s">
        <v>2250</v>
      </c>
      <c r="W459" s="37"/>
      <c r="X459" s="37" t="s">
        <v>13</v>
      </c>
    </row>
    <row r="460" spans="1:24" x14ac:dyDescent="0.3">
      <c r="A460" s="37">
        <f t="shared" si="17"/>
        <v>459</v>
      </c>
      <c r="B460" s="76" t="s">
        <v>1261</v>
      </c>
      <c r="C460" s="76" t="s">
        <v>5772</v>
      </c>
      <c r="D460" s="76" t="s">
        <v>2772</v>
      </c>
      <c r="E460" s="77">
        <v>449499938</v>
      </c>
      <c r="F460" s="77">
        <v>2500000</v>
      </c>
      <c r="G460" s="77" t="s">
        <v>2821</v>
      </c>
      <c r="H460" s="77" t="s">
        <v>2846</v>
      </c>
      <c r="I460" s="76" t="s">
        <v>2102</v>
      </c>
      <c r="J460" s="76" t="s">
        <v>36</v>
      </c>
      <c r="K460" s="76" t="e">
        <f>VLOOKUP($B460,'WILL TOKO SEP'!A461:AK1200,37,0)</f>
        <v>#N/A</v>
      </c>
      <c r="L460" s="76" t="s">
        <v>2104</v>
      </c>
      <c r="M460" s="37" t="s">
        <v>3</v>
      </c>
      <c r="N460" s="79">
        <v>46153</v>
      </c>
      <c r="O460" s="79">
        <v>46177</v>
      </c>
      <c r="P460" s="79">
        <v>46213</v>
      </c>
      <c r="Q460" s="79">
        <v>46256</v>
      </c>
      <c r="R460" s="79" t="str">
        <f>IFERROR(VLOOKUP($B460,JADWAL!$G$6:$J$690,4,0),"")</f>
        <v/>
      </c>
      <c r="S460" s="77">
        <f t="shared" si="16"/>
        <v>0</v>
      </c>
      <c r="T460" s="77"/>
      <c r="U460" s="37" t="s">
        <v>2242</v>
      </c>
      <c r="V460" s="37" t="s">
        <v>2078</v>
      </c>
      <c r="W460" s="37"/>
      <c r="X460" s="37" t="s">
        <v>13</v>
      </c>
    </row>
    <row r="461" spans="1:24" x14ac:dyDescent="0.3">
      <c r="A461" s="37">
        <f t="shared" si="17"/>
        <v>460</v>
      </c>
      <c r="B461" s="76" t="s">
        <v>753</v>
      </c>
      <c r="C461" s="76" t="s">
        <v>751</v>
      </c>
      <c r="D461" s="76" t="s">
        <v>2773</v>
      </c>
      <c r="E461" s="77">
        <v>408004773</v>
      </c>
      <c r="F461" s="77">
        <v>2500000</v>
      </c>
      <c r="G461" s="77" t="s">
        <v>2819</v>
      </c>
      <c r="H461" s="77" t="s">
        <v>2820</v>
      </c>
      <c r="I461" s="76" t="s">
        <v>2102</v>
      </c>
      <c r="J461" s="76" t="s">
        <v>4</v>
      </c>
      <c r="K461" s="76" t="str">
        <f>VLOOKUP($B461,'WILL TOKO SEP'!A462:AK1201,37,0)</f>
        <v>DENPASAR BARAT</v>
      </c>
      <c r="L461" s="76" t="s">
        <v>2104</v>
      </c>
      <c r="M461" s="37" t="s">
        <v>3</v>
      </c>
      <c r="N461" s="78">
        <v>0</v>
      </c>
      <c r="O461" s="79">
        <v>46188</v>
      </c>
      <c r="P461" s="79">
        <v>46233</v>
      </c>
      <c r="Q461" s="79">
        <v>46256</v>
      </c>
      <c r="R461" s="79" t="str">
        <f>IFERROR(VLOOKUP($B461,JADWAL!$G$6:$J$690,4,0),"")</f>
        <v/>
      </c>
      <c r="S461" s="77">
        <f t="shared" si="16"/>
        <v>1</v>
      </c>
      <c r="T461" s="77"/>
      <c r="U461" s="37" t="s">
        <v>2242</v>
      </c>
      <c r="V461" s="37" t="s">
        <v>2078</v>
      </c>
      <c r="W461" s="37"/>
      <c r="X461" s="37" t="s">
        <v>20</v>
      </c>
    </row>
    <row r="462" spans="1:24" x14ac:dyDescent="0.3">
      <c r="A462" s="37">
        <f t="shared" si="17"/>
        <v>461</v>
      </c>
      <c r="B462" s="76" t="s">
        <v>834</v>
      </c>
      <c r="C462" s="76" t="s">
        <v>833</v>
      </c>
      <c r="D462" s="76" t="s">
        <v>5333</v>
      </c>
      <c r="E462" s="77">
        <v>487092019</v>
      </c>
      <c r="F462" s="77">
        <v>3000000</v>
      </c>
      <c r="G462" s="77" t="s">
        <v>2817</v>
      </c>
      <c r="H462" s="77" t="s">
        <v>2818</v>
      </c>
      <c r="I462" s="76" t="s">
        <v>2102</v>
      </c>
      <c r="J462" s="76" t="s">
        <v>4</v>
      </c>
      <c r="K462" s="76" t="str">
        <f>VLOOKUP($B462,'WILL TOKO SEP'!A463:AK1202,37,0)</f>
        <v>DENPASAR SELATAN</v>
      </c>
      <c r="L462" s="76" t="s">
        <v>2103</v>
      </c>
      <c r="M462" s="37" t="s">
        <v>3</v>
      </c>
      <c r="N462" s="79">
        <v>46165</v>
      </c>
      <c r="O462" s="79">
        <v>46199</v>
      </c>
      <c r="P462" s="79">
        <v>46230</v>
      </c>
      <c r="Q462" s="79">
        <v>46256</v>
      </c>
      <c r="R462" s="79" t="str">
        <f>IFERROR(VLOOKUP($B462,JADWAL!$G$6:$J$690,4,0),"")</f>
        <v/>
      </c>
      <c r="S462" s="77">
        <f t="shared" si="16"/>
        <v>0</v>
      </c>
      <c r="T462" s="77"/>
      <c r="U462" s="37" t="s">
        <v>2242</v>
      </c>
      <c r="V462" s="37" t="s">
        <v>2078</v>
      </c>
      <c r="W462" s="37"/>
      <c r="X462" s="37" t="s">
        <v>2</v>
      </c>
    </row>
    <row r="463" spans="1:24" x14ac:dyDescent="0.3">
      <c r="A463" s="37">
        <f t="shared" si="17"/>
        <v>462</v>
      </c>
      <c r="B463" s="76" t="s">
        <v>1149</v>
      </c>
      <c r="C463" s="76" t="s">
        <v>1148</v>
      </c>
      <c r="D463" s="76" t="s">
        <v>2774</v>
      </c>
      <c r="E463" s="77">
        <v>385789660</v>
      </c>
      <c r="F463" s="77">
        <v>2500000</v>
      </c>
      <c r="G463" s="77" t="s">
        <v>2830</v>
      </c>
      <c r="H463" s="77" t="s">
        <v>2849</v>
      </c>
      <c r="I463" s="76" t="s">
        <v>2102</v>
      </c>
      <c r="J463" s="76" t="s">
        <v>4</v>
      </c>
      <c r="K463" s="76" t="str">
        <f>VLOOKUP($B463,'WILL TOKO SEP'!A464:AK1203,37,0)</f>
        <v>DENPASAR TIMUR</v>
      </c>
      <c r="L463" s="76" t="s">
        <v>2103</v>
      </c>
      <c r="M463" s="37" t="s">
        <v>3</v>
      </c>
      <c r="N463" s="79">
        <v>46163</v>
      </c>
      <c r="O463" s="79">
        <v>46182</v>
      </c>
      <c r="P463" s="79">
        <v>46218</v>
      </c>
      <c r="Q463" s="79">
        <v>46256</v>
      </c>
      <c r="R463" s="79" t="str">
        <f>IFERROR(VLOOKUP($B463,JADWAL!$G$6:$J$690,4,0),"")</f>
        <v/>
      </c>
      <c r="S463" s="77">
        <f t="shared" si="16"/>
        <v>0</v>
      </c>
      <c r="T463" s="77"/>
      <c r="U463" s="37" t="s">
        <v>2242</v>
      </c>
      <c r="V463" s="37" t="s">
        <v>2078</v>
      </c>
      <c r="W463" s="37"/>
      <c r="X463" s="37" t="s">
        <v>2</v>
      </c>
    </row>
    <row r="464" spans="1:24" x14ac:dyDescent="0.3">
      <c r="A464" s="37">
        <f t="shared" si="17"/>
        <v>463</v>
      </c>
      <c r="B464" s="76" t="s">
        <v>1060</v>
      </c>
      <c r="C464" s="76" t="s">
        <v>1059</v>
      </c>
      <c r="D464" s="76" t="s">
        <v>5177</v>
      </c>
      <c r="E464" s="77">
        <v>368522530</v>
      </c>
      <c r="F464" s="77">
        <v>2500000</v>
      </c>
      <c r="G464" s="77" t="s">
        <v>2821</v>
      </c>
      <c r="H464" s="77" t="s">
        <v>2854</v>
      </c>
      <c r="I464" s="76" t="s">
        <v>2102</v>
      </c>
      <c r="J464" s="76" t="s">
        <v>4</v>
      </c>
      <c r="K464" s="76" t="str">
        <f>VLOOKUP($B464,'WILL TOKO SEP'!A465:AK1204,37,0)</f>
        <v>DENPASAR UTARA</v>
      </c>
      <c r="L464" s="76" t="s">
        <v>2104</v>
      </c>
      <c r="M464" s="37" t="s">
        <v>3</v>
      </c>
      <c r="N464" s="78">
        <v>0</v>
      </c>
      <c r="O464" s="78">
        <v>0</v>
      </c>
      <c r="P464" s="79">
        <v>46221</v>
      </c>
      <c r="Q464" s="241">
        <v>0</v>
      </c>
      <c r="R464" s="79" t="str">
        <f>IFERROR(VLOOKUP($B464,JADWAL!$G$6:$J$690,4,0),"")</f>
        <v/>
      </c>
      <c r="S464" s="77">
        <f t="shared" si="16"/>
        <v>2</v>
      </c>
      <c r="T464" s="77"/>
      <c r="U464" s="37" t="s">
        <v>2242</v>
      </c>
      <c r="V464" s="37" t="s">
        <v>2250</v>
      </c>
      <c r="W464" s="37"/>
      <c r="X464" s="37" t="s">
        <v>77</v>
      </c>
    </row>
    <row r="465" spans="1:24" x14ac:dyDescent="0.3">
      <c r="A465" s="37">
        <f t="shared" si="17"/>
        <v>464</v>
      </c>
      <c r="B465" s="76" t="s">
        <v>628</v>
      </c>
      <c r="C465" s="76" t="s">
        <v>627</v>
      </c>
      <c r="D465" s="76" t="s">
        <v>2775</v>
      </c>
      <c r="E465" s="77">
        <v>562665829</v>
      </c>
      <c r="F465" s="77">
        <v>3000000</v>
      </c>
      <c r="G465" s="77" t="s">
        <v>2825</v>
      </c>
      <c r="H465" s="77" t="s">
        <v>2836</v>
      </c>
      <c r="I465" s="76" t="s">
        <v>2102</v>
      </c>
      <c r="J465" s="76" t="s">
        <v>36</v>
      </c>
      <c r="K465" s="76" t="e">
        <f>VLOOKUP($B465,'WILL TOKO SEP'!A466:AK1205,37,0)</f>
        <v>#N/A</v>
      </c>
      <c r="L465" s="76" t="s">
        <v>2104</v>
      </c>
      <c r="M465" s="37" t="s">
        <v>3</v>
      </c>
      <c r="N465" s="78">
        <v>0</v>
      </c>
      <c r="O465" s="79">
        <v>46175</v>
      </c>
      <c r="P465" s="78">
        <v>0</v>
      </c>
      <c r="Q465" s="79">
        <v>46258</v>
      </c>
      <c r="R465" s="79" t="str">
        <f>IFERROR(VLOOKUP($B465,JADWAL!$G$6:$J$690,4,0),"")</f>
        <v/>
      </c>
      <c r="S465" s="77">
        <f t="shared" si="16"/>
        <v>2</v>
      </c>
      <c r="T465" s="77"/>
      <c r="U465" s="37" t="s">
        <v>2242</v>
      </c>
      <c r="V465" s="37" t="s">
        <v>2250</v>
      </c>
      <c r="W465" s="37"/>
      <c r="X465" s="37" t="s">
        <v>13</v>
      </c>
    </row>
    <row r="466" spans="1:24" x14ac:dyDescent="0.3">
      <c r="A466" s="37">
        <f t="shared" si="17"/>
        <v>465</v>
      </c>
      <c r="B466" s="76" t="s">
        <v>1387</v>
      </c>
      <c r="C466" s="76" t="s">
        <v>1386</v>
      </c>
      <c r="D466" s="76" t="s">
        <v>2777</v>
      </c>
      <c r="E466" s="77">
        <v>452434991</v>
      </c>
      <c r="F466" s="77">
        <v>2500000</v>
      </c>
      <c r="G466" s="77" t="s">
        <v>2830</v>
      </c>
      <c r="H466" s="77" t="s">
        <v>2860</v>
      </c>
      <c r="I466" s="76" t="s">
        <v>2102</v>
      </c>
      <c r="J466" s="76" t="s">
        <v>9</v>
      </c>
      <c r="K466" s="76" t="e">
        <f>VLOOKUP($B466,'WILL TOKO SEP'!A467:AK1206,37,0)</f>
        <v>#N/A</v>
      </c>
      <c r="L466" s="76" t="s">
        <v>2104</v>
      </c>
      <c r="M466" s="37" t="s">
        <v>3</v>
      </c>
      <c r="N466" s="78">
        <v>0</v>
      </c>
      <c r="O466" s="78">
        <v>0</v>
      </c>
      <c r="P466" s="79">
        <v>46206</v>
      </c>
      <c r="Q466" s="79">
        <v>46255</v>
      </c>
      <c r="R466" s="79" t="str">
        <f>IFERROR(VLOOKUP($B466,JADWAL!$G$6:$J$690,4,0),"")</f>
        <v/>
      </c>
      <c r="S466" s="77">
        <f t="shared" si="16"/>
        <v>2</v>
      </c>
      <c r="T466" s="77"/>
      <c r="U466" s="37" t="s">
        <v>2242</v>
      </c>
      <c r="V466" s="37" t="s">
        <v>2078</v>
      </c>
      <c r="W466" s="37"/>
      <c r="X466" s="37" t="s">
        <v>20</v>
      </c>
    </row>
    <row r="467" spans="1:24" x14ac:dyDescent="0.3">
      <c r="A467" s="37">
        <f t="shared" si="17"/>
        <v>466</v>
      </c>
      <c r="B467" s="76" t="s">
        <v>1287</v>
      </c>
      <c r="C467" s="76" t="s">
        <v>1286</v>
      </c>
      <c r="D467" s="76" t="s">
        <v>2778</v>
      </c>
      <c r="E467" s="77">
        <v>391005234</v>
      </c>
      <c r="F467" s="77">
        <v>2000000</v>
      </c>
      <c r="G467" s="77" t="s">
        <v>2830</v>
      </c>
      <c r="H467" s="77" t="s">
        <v>2849</v>
      </c>
      <c r="I467" s="76" t="s">
        <v>2102</v>
      </c>
      <c r="J467" s="76" t="s">
        <v>4</v>
      </c>
      <c r="K467" s="76" t="str">
        <f>VLOOKUP($B467,'WILL TOKO SEP'!A468:AK1207,37,0)</f>
        <v>DENPASAR UTARA</v>
      </c>
      <c r="L467" s="76" t="s">
        <v>2104</v>
      </c>
      <c r="M467" s="37" t="s">
        <v>3</v>
      </c>
      <c r="N467" s="79">
        <v>46148</v>
      </c>
      <c r="O467" s="79">
        <v>46195</v>
      </c>
      <c r="P467" s="79">
        <v>46212</v>
      </c>
      <c r="Q467" s="79">
        <v>46258</v>
      </c>
      <c r="R467" s="79" t="str">
        <f>IFERROR(VLOOKUP($B467,JADWAL!$G$6:$J$690,4,0),"")</f>
        <v/>
      </c>
      <c r="S467" s="77">
        <f t="shared" si="16"/>
        <v>0</v>
      </c>
      <c r="T467" s="77"/>
      <c r="U467" s="37" t="s">
        <v>2242</v>
      </c>
      <c r="V467" s="37" t="s">
        <v>2078</v>
      </c>
      <c r="W467" s="37"/>
      <c r="X467" s="37" t="s">
        <v>77</v>
      </c>
    </row>
    <row r="468" spans="1:24" x14ac:dyDescent="0.3">
      <c r="A468" s="37">
        <f t="shared" si="17"/>
        <v>467</v>
      </c>
      <c r="B468" s="76" t="s">
        <v>619</v>
      </c>
      <c r="C468" s="76" t="s">
        <v>5695</v>
      </c>
      <c r="D468" s="76" t="s">
        <v>2779</v>
      </c>
      <c r="E468" s="77">
        <v>642229400</v>
      </c>
      <c r="F468" s="77">
        <v>4000000</v>
      </c>
      <c r="G468" s="77" t="s">
        <v>2825</v>
      </c>
      <c r="H468" s="77" t="s">
        <v>2837</v>
      </c>
      <c r="I468" s="76" t="s">
        <v>2102</v>
      </c>
      <c r="J468" s="76" t="s">
        <v>9</v>
      </c>
      <c r="K468" s="76" t="e">
        <f>VLOOKUP($B468,'WILL TOKO SEP'!A469:AK1208,37,0)</f>
        <v>#N/A</v>
      </c>
      <c r="L468" s="76" t="s">
        <v>2104</v>
      </c>
      <c r="M468" s="37" t="s">
        <v>3</v>
      </c>
      <c r="N468" s="78">
        <v>0</v>
      </c>
      <c r="O468" s="78">
        <v>0</v>
      </c>
      <c r="P468" s="78">
        <v>0</v>
      </c>
      <c r="Q468" s="79">
        <v>46258</v>
      </c>
      <c r="R468" s="79" t="str">
        <f>IFERROR(VLOOKUP($B468,JADWAL!$G$6:$J$690,4,0),"")</f>
        <v/>
      </c>
      <c r="S468" s="77">
        <f t="shared" si="16"/>
        <v>3</v>
      </c>
      <c r="T468" s="77"/>
      <c r="U468" s="37" t="s">
        <v>2242</v>
      </c>
      <c r="V468" s="37" t="s">
        <v>2250</v>
      </c>
      <c r="W468" s="37"/>
      <c r="X468" s="37" t="s">
        <v>20</v>
      </c>
    </row>
    <row r="469" spans="1:24" x14ac:dyDescent="0.3">
      <c r="A469" s="37">
        <f t="shared" si="17"/>
        <v>468</v>
      </c>
      <c r="B469" s="76" t="s">
        <v>1344</v>
      </c>
      <c r="C469" s="76" t="s">
        <v>1343</v>
      </c>
      <c r="D469" s="76" t="s">
        <v>2780</v>
      </c>
      <c r="E469" s="77">
        <v>449627641</v>
      </c>
      <c r="F469" s="77">
        <v>2000000</v>
      </c>
      <c r="G469" s="77" t="s">
        <v>2817</v>
      </c>
      <c r="H469" s="77" t="s">
        <v>2865</v>
      </c>
      <c r="I469" s="76" t="s">
        <v>2102</v>
      </c>
      <c r="J469" s="76" t="s">
        <v>9</v>
      </c>
      <c r="K469" s="76" t="e">
        <f>VLOOKUP($B469,'WILL TOKO SEP'!A470:AK1209,37,0)</f>
        <v>#N/A</v>
      </c>
      <c r="L469" s="76" t="s">
        <v>2104</v>
      </c>
      <c r="M469" s="37" t="s">
        <v>3</v>
      </c>
      <c r="N469" s="78">
        <v>0</v>
      </c>
      <c r="O469" s="78">
        <v>0</v>
      </c>
      <c r="P469" s="79">
        <v>46209</v>
      </c>
      <c r="Q469" s="241">
        <v>0</v>
      </c>
      <c r="R469" s="79" t="str">
        <f>IFERROR(VLOOKUP($B469,JADWAL!$G$6:$J$690,4,0),"")</f>
        <v/>
      </c>
      <c r="S469" s="77">
        <f t="shared" si="16"/>
        <v>2</v>
      </c>
      <c r="T469" s="77"/>
      <c r="U469" s="37" t="s">
        <v>2242</v>
      </c>
      <c r="V469" s="37" t="s">
        <v>2250</v>
      </c>
      <c r="W469" s="37"/>
      <c r="X469" s="37" t="s">
        <v>124</v>
      </c>
    </row>
    <row r="470" spans="1:24" x14ac:dyDescent="0.3">
      <c r="A470" s="37">
        <f t="shared" si="17"/>
        <v>469</v>
      </c>
      <c r="B470" s="76" t="s">
        <v>804</v>
      </c>
      <c r="C470" s="76" t="s">
        <v>803</v>
      </c>
      <c r="D470" s="76" t="s">
        <v>2781</v>
      </c>
      <c r="E470" s="77">
        <v>668550106</v>
      </c>
      <c r="F470" s="77">
        <v>4500000</v>
      </c>
      <c r="G470" s="77" t="s">
        <v>2813</v>
      </c>
      <c r="H470" s="77" t="s">
        <v>2871</v>
      </c>
      <c r="I470" s="76" t="s">
        <v>2102</v>
      </c>
      <c r="J470" s="76" t="s">
        <v>9</v>
      </c>
      <c r="K470" s="76" t="e">
        <f>VLOOKUP($B470,'WILL TOKO SEP'!A471:AK1210,37,0)</f>
        <v>#N/A</v>
      </c>
      <c r="L470" s="76" t="s">
        <v>2104</v>
      </c>
      <c r="M470" s="37" t="s">
        <v>3</v>
      </c>
      <c r="N470" s="79">
        <v>46157</v>
      </c>
      <c r="O470" s="79">
        <v>46176</v>
      </c>
      <c r="P470" s="79">
        <v>46231</v>
      </c>
      <c r="Q470" s="79">
        <v>46261</v>
      </c>
      <c r="R470" s="79" t="str">
        <f>IFERROR(VLOOKUP($B470,JADWAL!$G$6:$J$690,4,0),"")</f>
        <v/>
      </c>
      <c r="S470" s="77">
        <f t="shared" si="16"/>
        <v>0</v>
      </c>
      <c r="T470" s="77"/>
      <c r="U470" s="37" t="s">
        <v>2242</v>
      </c>
      <c r="V470" s="37" t="s">
        <v>2078</v>
      </c>
      <c r="W470" s="37"/>
      <c r="X470" s="37" t="s">
        <v>124</v>
      </c>
    </row>
    <row r="471" spans="1:24" x14ac:dyDescent="0.3">
      <c r="A471" s="37">
        <f t="shared" si="17"/>
        <v>470</v>
      </c>
      <c r="B471" s="76" t="s">
        <v>635</v>
      </c>
      <c r="C471" s="76" t="s">
        <v>634</v>
      </c>
      <c r="D471" s="76" t="s">
        <v>2782</v>
      </c>
      <c r="E471" s="77">
        <v>647479805</v>
      </c>
      <c r="F471" s="77">
        <v>5000000</v>
      </c>
      <c r="G471" s="77" t="s">
        <v>2821</v>
      </c>
      <c r="H471" s="77" t="s">
        <v>2846</v>
      </c>
      <c r="I471" s="76" t="s">
        <v>2102</v>
      </c>
      <c r="J471" s="76" t="s">
        <v>36</v>
      </c>
      <c r="K471" s="76" t="e">
        <f>VLOOKUP($B471,'WILL TOKO SEP'!A472:AK1211,37,0)</f>
        <v>#N/A</v>
      </c>
      <c r="L471" s="76" t="s">
        <v>2104</v>
      </c>
      <c r="M471" s="37" t="s">
        <v>3</v>
      </c>
      <c r="N471" s="79">
        <v>46161</v>
      </c>
      <c r="O471" s="78">
        <v>0</v>
      </c>
      <c r="P471" s="78">
        <v>0</v>
      </c>
      <c r="Q471" s="79">
        <v>46258</v>
      </c>
      <c r="R471" s="79" t="str">
        <f>IFERROR(VLOOKUP($B471,JADWAL!$G$6:$J$690,4,0),"")</f>
        <v/>
      </c>
      <c r="S471" s="77">
        <f t="shared" si="16"/>
        <v>2</v>
      </c>
      <c r="T471" s="77"/>
      <c r="U471" s="37" t="s">
        <v>2242</v>
      </c>
      <c r="V471" s="37" t="s">
        <v>2250</v>
      </c>
      <c r="W471" s="37"/>
      <c r="X471" s="37" t="s">
        <v>13</v>
      </c>
    </row>
    <row r="472" spans="1:24" x14ac:dyDescent="0.3">
      <c r="A472" s="37">
        <f t="shared" si="17"/>
        <v>471</v>
      </c>
      <c r="B472" s="76" t="s">
        <v>970</v>
      </c>
      <c r="C472" s="76" t="s">
        <v>969</v>
      </c>
      <c r="D472" s="76" t="s">
        <v>2783</v>
      </c>
      <c r="E472" s="77">
        <v>646433294</v>
      </c>
      <c r="F472" s="77">
        <v>4000000</v>
      </c>
      <c r="G472" s="77" t="s">
        <v>2840</v>
      </c>
      <c r="H472" s="77" t="s">
        <v>2841</v>
      </c>
      <c r="I472" s="76" t="s">
        <v>2102</v>
      </c>
      <c r="J472" s="76" t="s">
        <v>4</v>
      </c>
      <c r="K472" s="76" t="e">
        <f>VLOOKUP($B472,'WILL TOKO SEP'!A473:AK1212,37,0)</f>
        <v>#N/A</v>
      </c>
      <c r="L472" s="76" t="s">
        <v>2104</v>
      </c>
      <c r="M472" s="37" t="s">
        <v>3</v>
      </c>
      <c r="N472" s="79">
        <v>46162</v>
      </c>
      <c r="O472" s="79">
        <v>46181</v>
      </c>
      <c r="P472" s="79">
        <v>46225</v>
      </c>
      <c r="Q472" s="79">
        <v>46258</v>
      </c>
      <c r="R472" s="79" t="str">
        <f>IFERROR(VLOOKUP($B472,JADWAL!$G$6:$J$690,4,0),"")</f>
        <v/>
      </c>
      <c r="S472" s="77">
        <f t="shared" si="16"/>
        <v>0</v>
      </c>
      <c r="T472" s="77"/>
      <c r="U472" s="37" t="s">
        <v>2242</v>
      </c>
      <c r="V472" s="37" t="s">
        <v>2078</v>
      </c>
      <c r="W472" s="37"/>
      <c r="X472" s="37" t="s">
        <v>2</v>
      </c>
    </row>
    <row r="473" spans="1:24" x14ac:dyDescent="0.3">
      <c r="A473" s="37">
        <f t="shared" si="17"/>
        <v>472</v>
      </c>
      <c r="B473" s="76" t="s">
        <v>631</v>
      </c>
      <c r="C473" s="76" t="s">
        <v>630</v>
      </c>
      <c r="D473" s="76" t="s">
        <v>2784</v>
      </c>
      <c r="E473" s="77">
        <v>576217617</v>
      </c>
      <c r="F473" s="77">
        <v>5000000</v>
      </c>
      <c r="G473" s="77" t="s">
        <v>2834</v>
      </c>
      <c r="H473" s="77" t="s">
        <v>2842</v>
      </c>
      <c r="I473" s="76" t="s">
        <v>2102</v>
      </c>
      <c r="J473" s="76" t="s">
        <v>40</v>
      </c>
      <c r="K473" s="76" t="e">
        <f>VLOOKUP($B473,'WILL TOKO SEP'!A474:AK1213,37,0)</f>
        <v>#N/A</v>
      </c>
      <c r="L473" s="76" t="s">
        <v>2104</v>
      </c>
      <c r="M473" s="37" t="s">
        <v>3</v>
      </c>
      <c r="N473" s="78">
        <v>0</v>
      </c>
      <c r="O473" s="79">
        <v>46177</v>
      </c>
      <c r="P473" s="78">
        <v>0</v>
      </c>
      <c r="Q473" s="241">
        <v>0</v>
      </c>
      <c r="R473" s="79" t="str">
        <f>IFERROR(VLOOKUP($B473,JADWAL!$G$6:$J$690,4,0),"")</f>
        <v/>
      </c>
      <c r="S473" s="77">
        <f t="shared" si="16"/>
        <v>2</v>
      </c>
      <c r="T473" s="77"/>
      <c r="U473" s="37" t="s">
        <v>2242</v>
      </c>
      <c r="V473" s="37" t="s">
        <v>2250</v>
      </c>
      <c r="W473" s="37"/>
      <c r="X473" s="37" t="s">
        <v>27</v>
      </c>
    </row>
    <row r="474" spans="1:24" x14ac:dyDescent="0.3">
      <c r="A474" s="37">
        <f t="shared" si="17"/>
        <v>473</v>
      </c>
      <c r="B474" s="76" t="s">
        <v>783</v>
      </c>
      <c r="C474" s="76" t="s">
        <v>782</v>
      </c>
      <c r="D474" s="76" t="s">
        <v>2786</v>
      </c>
      <c r="E474" s="77">
        <v>681872175</v>
      </c>
      <c r="F474" s="77">
        <v>4000000</v>
      </c>
      <c r="G474" s="77" t="s">
        <v>2867</v>
      </c>
      <c r="H474" s="77" t="s">
        <v>2868</v>
      </c>
      <c r="I474" s="76" t="s">
        <v>2102</v>
      </c>
      <c r="J474" s="76" t="s">
        <v>4</v>
      </c>
      <c r="K474" s="76" t="e">
        <f>VLOOKUP($B474,'WILL TOKO SEP'!A475:AK1214,37,0)</f>
        <v>#N/A</v>
      </c>
      <c r="L474" s="76" t="s">
        <v>2104</v>
      </c>
      <c r="M474" s="37" t="s">
        <v>3</v>
      </c>
      <c r="N474" s="79">
        <v>46150</v>
      </c>
      <c r="O474" s="79">
        <v>46196</v>
      </c>
      <c r="P474" s="79">
        <v>46232</v>
      </c>
      <c r="Q474" s="79">
        <v>46261</v>
      </c>
      <c r="R474" s="79" t="str">
        <f>IFERROR(VLOOKUP($B474,JADWAL!$G$6:$J$690,4,0),"")</f>
        <v/>
      </c>
      <c r="S474" s="77">
        <f t="shared" si="16"/>
        <v>0</v>
      </c>
      <c r="T474" s="77"/>
      <c r="U474" s="37" t="s">
        <v>2242</v>
      </c>
      <c r="V474" s="37" t="s">
        <v>2078</v>
      </c>
      <c r="W474" s="37"/>
      <c r="X474" s="37" t="s">
        <v>2</v>
      </c>
    </row>
    <row r="475" spans="1:24" x14ac:dyDescent="0.3">
      <c r="A475" s="37">
        <f t="shared" si="17"/>
        <v>474</v>
      </c>
      <c r="B475" s="76" t="s">
        <v>1043</v>
      </c>
      <c r="C475" s="76" t="s">
        <v>1042</v>
      </c>
      <c r="D475" s="76" t="s">
        <v>5536</v>
      </c>
      <c r="E475" s="77">
        <v>488463586</v>
      </c>
      <c r="F475" s="77">
        <v>2000000</v>
      </c>
      <c r="G475" s="77" t="s">
        <v>2819</v>
      </c>
      <c r="H475" s="77" t="s">
        <v>2856</v>
      </c>
      <c r="I475" s="76" t="s">
        <v>2102</v>
      </c>
      <c r="J475" s="76" t="s">
        <v>9</v>
      </c>
      <c r="K475" s="76" t="str">
        <f>VLOOKUP($B475,'WILL TOKO SEP'!A476:AK1215,37,0)</f>
        <v>KUTA UTARA</v>
      </c>
      <c r="L475" s="76" t="s">
        <v>2104</v>
      </c>
      <c r="M475" s="37" t="s">
        <v>3</v>
      </c>
      <c r="N475" s="78">
        <v>0</v>
      </c>
      <c r="O475" s="78">
        <v>0</v>
      </c>
      <c r="P475" s="79">
        <v>46221</v>
      </c>
      <c r="Q475" s="241">
        <v>0</v>
      </c>
      <c r="R475" s="79" t="str">
        <f>IFERROR(VLOOKUP($B475,JADWAL!$G$6:$J$690,4,0),"")</f>
        <v/>
      </c>
      <c r="S475" s="77">
        <f t="shared" si="16"/>
        <v>2</v>
      </c>
      <c r="T475" s="77"/>
      <c r="U475" s="37" t="s">
        <v>2242</v>
      </c>
      <c r="V475" s="37" t="s">
        <v>2250</v>
      </c>
      <c r="W475" s="37"/>
      <c r="X475" s="37" t="s">
        <v>20</v>
      </c>
    </row>
    <row r="476" spans="1:24" x14ac:dyDescent="0.3">
      <c r="A476" s="37">
        <f t="shared" si="17"/>
        <v>475</v>
      </c>
      <c r="B476" s="76" t="s">
        <v>515</v>
      </c>
      <c r="C476" s="76" t="s">
        <v>514</v>
      </c>
      <c r="D476" s="76" t="s">
        <v>5620</v>
      </c>
      <c r="E476" s="77">
        <v>403485825</v>
      </c>
      <c r="F476" s="77">
        <v>2000000</v>
      </c>
      <c r="G476" s="77" t="s">
        <v>2815</v>
      </c>
      <c r="H476" s="77" t="s">
        <v>2859</v>
      </c>
      <c r="I476" s="76" t="s">
        <v>2102</v>
      </c>
      <c r="J476" s="76" t="s">
        <v>28</v>
      </c>
      <c r="K476" s="76" t="str">
        <f>VLOOKUP($B476,'WILL TOKO SEP'!A477:AK1216,37,0)</f>
        <v>Ubud</v>
      </c>
      <c r="L476" s="76" t="s">
        <v>2103</v>
      </c>
      <c r="M476" s="37" t="s">
        <v>3</v>
      </c>
      <c r="N476" s="78">
        <v>0</v>
      </c>
      <c r="O476" s="79">
        <v>46199</v>
      </c>
      <c r="P476" s="78">
        <v>0</v>
      </c>
      <c r="Q476" s="79">
        <v>46260</v>
      </c>
      <c r="R476" s="79" t="str">
        <f>IFERROR(VLOOKUP($B476,JADWAL!$G$6:$J$690,4,0),"")</f>
        <v/>
      </c>
      <c r="S476" s="77">
        <f t="shared" si="16"/>
        <v>2</v>
      </c>
      <c r="T476" s="77"/>
      <c r="U476" s="37" t="s">
        <v>2242</v>
      </c>
      <c r="V476" s="37" t="s">
        <v>2250</v>
      </c>
      <c r="W476" s="37"/>
      <c r="X476" s="37" t="s">
        <v>27</v>
      </c>
    </row>
    <row r="477" spans="1:24" x14ac:dyDescent="0.3">
      <c r="A477" s="37">
        <f t="shared" si="17"/>
        <v>476</v>
      </c>
      <c r="B477" s="76" t="s">
        <v>1396</v>
      </c>
      <c r="C477" s="76" t="s">
        <v>1395</v>
      </c>
      <c r="D477" s="76" t="s">
        <v>2787</v>
      </c>
      <c r="E477" s="77">
        <v>444030261</v>
      </c>
      <c r="F477" s="77">
        <v>3000000</v>
      </c>
      <c r="G477" s="77" t="s">
        <v>2830</v>
      </c>
      <c r="H477" s="77" t="s">
        <v>2847</v>
      </c>
      <c r="I477" s="76" t="s">
        <v>2102</v>
      </c>
      <c r="J477" s="76" t="s">
        <v>4</v>
      </c>
      <c r="K477" s="76" t="e">
        <f>VLOOKUP($B477,'WILL TOKO SEP'!A478:AK1217,37,0)</f>
        <v>#N/A</v>
      </c>
      <c r="L477" s="76" t="s">
        <v>2103</v>
      </c>
      <c r="M477" s="37" t="s">
        <v>3</v>
      </c>
      <c r="N477" s="78">
        <v>0</v>
      </c>
      <c r="O477" s="78">
        <v>0</v>
      </c>
      <c r="P477" s="79">
        <v>46204</v>
      </c>
      <c r="Q477" s="79">
        <v>46260</v>
      </c>
      <c r="R477" s="79" t="str">
        <f>IFERROR(VLOOKUP($B477,JADWAL!$G$6:$J$690,4,0),"")</f>
        <v/>
      </c>
      <c r="S477" s="77">
        <f t="shared" si="16"/>
        <v>2</v>
      </c>
      <c r="T477" s="77"/>
      <c r="U477" s="37" t="s">
        <v>2242</v>
      </c>
      <c r="V477" s="37" t="s">
        <v>2250</v>
      </c>
      <c r="W477" s="37"/>
      <c r="X477" s="37">
        <v>0</v>
      </c>
    </row>
    <row r="478" spans="1:24" x14ac:dyDescent="0.3">
      <c r="A478" s="37">
        <f t="shared" si="17"/>
        <v>477</v>
      </c>
      <c r="B478" s="76" t="s">
        <v>1051</v>
      </c>
      <c r="C478" s="76" t="s">
        <v>1050</v>
      </c>
      <c r="D478" s="76" t="s">
        <v>2788</v>
      </c>
      <c r="E478" s="77">
        <v>431832358</v>
      </c>
      <c r="F478" s="77">
        <v>3000000</v>
      </c>
      <c r="G478" s="77" t="s">
        <v>2819</v>
      </c>
      <c r="H478" s="77" t="s">
        <v>2820</v>
      </c>
      <c r="I478" s="76" t="s">
        <v>2102</v>
      </c>
      <c r="J478" s="76" t="s">
        <v>9</v>
      </c>
      <c r="K478" s="76" t="e">
        <f>VLOOKUP($B478,'WILL TOKO SEP'!A479:AK1218,37,0)</f>
        <v>#N/A</v>
      </c>
      <c r="L478" s="76" t="s">
        <v>2104</v>
      </c>
      <c r="M478" s="37" t="s">
        <v>3</v>
      </c>
      <c r="N478" s="79">
        <v>46160</v>
      </c>
      <c r="O478" s="78">
        <v>0</v>
      </c>
      <c r="P478" s="79">
        <v>46221</v>
      </c>
      <c r="Q478" s="79">
        <v>46260</v>
      </c>
      <c r="R478" s="79" t="str">
        <f>IFERROR(VLOOKUP($B478,JADWAL!$G$6:$J$690,4,0),"")</f>
        <v/>
      </c>
      <c r="S478" s="77">
        <f t="shared" si="16"/>
        <v>1</v>
      </c>
      <c r="T478" s="77"/>
      <c r="U478" s="37" t="s">
        <v>2242</v>
      </c>
      <c r="V478" s="37" t="s">
        <v>2250</v>
      </c>
      <c r="W478" s="37"/>
      <c r="X478" s="37" t="s">
        <v>20</v>
      </c>
    </row>
    <row r="479" spans="1:24" x14ac:dyDescent="0.3">
      <c r="A479" s="37">
        <f t="shared" si="17"/>
        <v>478</v>
      </c>
      <c r="B479" s="76" t="s">
        <v>1298</v>
      </c>
      <c r="C479" s="76" t="s">
        <v>1297</v>
      </c>
      <c r="D479" s="76" t="s">
        <v>2789</v>
      </c>
      <c r="E479" s="77">
        <v>475074684</v>
      </c>
      <c r="F479" s="77">
        <v>2000000</v>
      </c>
      <c r="G479" s="77" t="s">
        <v>2830</v>
      </c>
      <c r="H479" s="77" t="s">
        <v>2847</v>
      </c>
      <c r="I479" s="76" t="s">
        <v>2102</v>
      </c>
      <c r="J479" s="76" t="s">
        <v>4</v>
      </c>
      <c r="K479" s="76" t="e">
        <f>VLOOKUP($B479,'WILL TOKO SEP'!A480:AK1219,37,0)</f>
        <v>#N/A</v>
      </c>
      <c r="L479" s="76" t="s">
        <v>2103</v>
      </c>
      <c r="M479" s="37" t="s">
        <v>3</v>
      </c>
      <c r="N479" s="78">
        <v>0</v>
      </c>
      <c r="O479" s="78">
        <v>0</v>
      </c>
      <c r="P479" s="79">
        <v>46211</v>
      </c>
      <c r="Q479" s="79">
        <v>46260</v>
      </c>
      <c r="R479" s="79" t="str">
        <f>IFERROR(VLOOKUP($B479,JADWAL!$G$6:$J$690,4,0),"")</f>
        <v/>
      </c>
      <c r="S479" s="77">
        <f t="shared" si="16"/>
        <v>2</v>
      </c>
      <c r="T479" s="77"/>
      <c r="U479" s="37" t="s">
        <v>2242</v>
      </c>
      <c r="V479" s="37" t="s">
        <v>2250</v>
      </c>
      <c r="W479" s="37"/>
      <c r="X479" s="37">
        <v>0</v>
      </c>
    </row>
    <row r="480" spans="1:24" x14ac:dyDescent="0.3">
      <c r="A480" s="37">
        <f t="shared" si="17"/>
        <v>479</v>
      </c>
      <c r="B480" s="76" t="s">
        <v>781</v>
      </c>
      <c r="C480" s="76" t="s">
        <v>780</v>
      </c>
      <c r="D480" s="76" t="s">
        <v>2790</v>
      </c>
      <c r="E480" s="77">
        <v>787257760</v>
      </c>
      <c r="F480" s="77">
        <v>5000000</v>
      </c>
      <c r="G480" s="77" t="s">
        <v>2867</v>
      </c>
      <c r="H480" s="77" t="s">
        <v>2868</v>
      </c>
      <c r="I480" s="76" t="s">
        <v>2102</v>
      </c>
      <c r="J480" s="76" t="s">
        <v>9</v>
      </c>
      <c r="K480" s="76" t="e">
        <f>VLOOKUP($B480,'WILL TOKO SEP'!A481:AK1220,37,0)</f>
        <v>#N/A</v>
      </c>
      <c r="L480" s="76" t="s">
        <v>2104</v>
      </c>
      <c r="M480" s="37" t="s">
        <v>3</v>
      </c>
      <c r="N480" s="79">
        <v>46163</v>
      </c>
      <c r="O480" s="79">
        <v>46197</v>
      </c>
      <c r="P480" s="79">
        <v>46232</v>
      </c>
      <c r="Q480" s="79">
        <v>46260</v>
      </c>
      <c r="R480" s="79" t="str">
        <f>IFERROR(VLOOKUP($B480,JADWAL!$G$6:$J$690,4,0),"")</f>
        <v/>
      </c>
      <c r="S480" s="77">
        <f t="shared" si="16"/>
        <v>0</v>
      </c>
      <c r="T480" s="77"/>
      <c r="U480" s="37" t="s">
        <v>2242</v>
      </c>
      <c r="V480" s="37" t="s">
        <v>2078</v>
      </c>
      <c r="W480" s="37"/>
      <c r="X480" s="37" t="s">
        <v>20</v>
      </c>
    </row>
    <row r="481" spans="1:24" x14ac:dyDescent="0.3">
      <c r="A481" s="37">
        <f t="shared" si="17"/>
        <v>480</v>
      </c>
      <c r="B481" s="76" t="s">
        <v>546</v>
      </c>
      <c r="C481" s="76" t="s">
        <v>545</v>
      </c>
      <c r="D481" s="76" t="s">
        <v>2791</v>
      </c>
      <c r="E481" s="77">
        <v>762301695</v>
      </c>
      <c r="F481" s="77">
        <v>5500000</v>
      </c>
      <c r="G481" s="77" t="s">
        <v>2867</v>
      </c>
      <c r="H481" s="77" t="s">
        <v>2876</v>
      </c>
      <c r="I481" s="76" t="s">
        <v>2102</v>
      </c>
      <c r="J481" s="76" t="s">
        <v>9</v>
      </c>
      <c r="K481" s="76" t="e">
        <f>VLOOKUP($B481,'WILL TOKO SEP'!A482:AK1221,37,0)</f>
        <v>#N/A</v>
      </c>
      <c r="L481" s="76" t="s">
        <v>2103</v>
      </c>
      <c r="M481" s="37" t="s">
        <v>3</v>
      </c>
      <c r="N481" s="78">
        <v>0</v>
      </c>
      <c r="O481" s="79">
        <v>46184</v>
      </c>
      <c r="P481" s="78">
        <v>0</v>
      </c>
      <c r="Q481" s="241">
        <v>0</v>
      </c>
      <c r="R481" s="79" t="str">
        <f>IFERROR(VLOOKUP($B481,JADWAL!$G$6:$J$690,4,0),"")</f>
        <v/>
      </c>
      <c r="S481" s="77">
        <f t="shared" si="16"/>
        <v>2</v>
      </c>
      <c r="T481" s="77"/>
      <c r="U481" s="37" t="s">
        <v>2242</v>
      </c>
      <c r="V481" s="37" t="s">
        <v>2250</v>
      </c>
      <c r="W481" s="37"/>
      <c r="X481" s="37" t="s">
        <v>124</v>
      </c>
    </row>
    <row r="482" spans="1:24" x14ac:dyDescent="0.3">
      <c r="A482" s="37">
        <f t="shared" si="17"/>
        <v>481</v>
      </c>
      <c r="B482" s="76" t="s">
        <v>1229</v>
      </c>
      <c r="C482" s="76" t="s">
        <v>5789</v>
      </c>
      <c r="D482" s="76" t="s">
        <v>2792</v>
      </c>
      <c r="E482" s="77">
        <v>426592894</v>
      </c>
      <c r="F482" s="77">
        <v>2500000</v>
      </c>
      <c r="G482" s="77" t="s">
        <v>2830</v>
      </c>
      <c r="H482" s="77" t="s">
        <v>2847</v>
      </c>
      <c r="I482" s="76" t="s">
        <v>2102</v>
      </c>
      <c r="J482" s="76" t="s">
        <v>4</v>
      </c>
      <c r="K482" s="76" t="str">
        <f>VLOOKUP($B482,'WILL TOKO SEP'!A483:AK1222,37,0)</f>
        <v>DENPASAR SELATAN</v>
      </c>
      <c r="L482" s="76" t="s">
        <v>2103</v>
      </c>
      <c r="M482" s="37" t="s">
        <v>3</v>
      </c>
      <c r="N482" s="79">
        <v>46154</v>
      </c>
      <c r="O482" s="79">
        <v>46190</v>
      </c>
      <c r="P482" s="79">
        <v>46214</v>
      </c>
      <c r="Q482" s="79">
        <v>46260</v>
      </c>
      <c r="R482" s="79" t="str">
        <f>IFERROR(VLOOKUP($B482,JADWAL!$G$6:$J$690,4,0),"")</f>
        <v/>
      </c>
      <c r="S482" s="77">
        <f t="shared" si="16"/>
        <v>0</v>
      </c>
      <c r="T482" s="77"/>
      <c r="U482" s="37" t="s">
        <v>2242</v>
      </c>
      <c r="V482" s="37" t="s">
        <v>2078</v>
      </c>
      <c r="W482" s="37"/>
      <c r="X482" s="37" t="s">
        <v>2</v>
      </c>
    </row>
    <row r="483" spans="1:24" x14ac:dyDescent="0.3">
      <c r="A483" s="37">
        <f t="shared" si="17"/>
        <v>482</v>
      </c>
      <c r="B483" s="76" t="s">
        <v>490</v>
      </c>
      <c r="C483" s="76" t="s">
        <v>489</v>
      </c>
      <c r="D483" s="76" t="s">
        <v>5682</v>
      </c>
      <c r="E483" s="77">
        <v>0</v>
      </c>
      <c r="F483" s="77">
        <v>0</v>
      </c>
      <c r="G483" s="77" t="s">
        <v>2830</v>
      </c>
      <c r="H483" s="77" t="s">
        <v>2849</v>
      </c>
      <c r="I483" s="76" t="s">
        <v>2102</v>
      </c>
      <c r="J483" s="76" t="s">
        <v>5667</v>
      </c>
      <c r="K483" s="76" t="str">
        <f>VLOOKUP($B483,'WILL TOKO SEP'!A484:AK1223,37,0)</f>
        <v>Denpasar Utara</v>
      </c>
      <c r="L483" s="76" t="s">
        <v>2104</v>
      </c>
      <c r="M483" s="37" t="s">
        <v>3</v>
      </c>
      <c r="N483" s="78">
        <v>0</v>
      </c>
      <c r="O483" s="78">
        <v>0</v>
      </c>
      <c r="P483" s="78">
        <v>0</v>
      </c>
      <c r="Q483" s="241">
        <v>0</v>
      </c>
      <c r="R483" s="79" t="str">
        <f>IFERROR(VLOOKUP($B483,JADWAL!$G$6:$J$690,4,0),"")</f>
        <v/>
      </c>
      <c r="S483" s="77">
        <f t="shared" si="16"/>
        <v>3</v>
      </c>
      <c r="T483" s="77"/>
      <c r="U483" s="37" t="s">
        <v>2243</v>
      </c>
      <c r="V483" s="37" t="s">
        <v>2250</v>
      </c>
      <c r="W483" s="37"/>
      <c r="X483" s="37">
        <v>0</v>
      </c>
    </row>
    <row r="484" spans="1:24" x14ac:dyDescent="0.3">
      <c r="A484" s="37">
        <f t="shared" si="17"/>
        <v>483</v>
      </c>
      <c r="B484" s="76" t="s">
        <v>1218</v>
      </c>
      <c r="C484" s="76" t="s">
        <v>1217</v>
      </c>
      <c r="D484" s="76" t="s">
        <v>2793</v>
      </c>
      <c r="E484" s="77">
        <v>379754394</v>
      </c>
      <c r="F484" s="77">
        <v>3000000</v>
      </c>
      <c r="G484" s="77" t="s">
        <v>2815</v>
      </c>
      <c r="H484" s="77" t="s">
        <v>2857</v>
      </c>
      <c r="I484" s="76" t="s">
        <v>2102</v>
      </c>
      <c r="J484" s="76" t="s">
        <v>28</v>
      </c>
      <c r="K484" s="76" t="e">
        <f>VLOOKUP($B484,'WILL TOKO SEP'!A485:AK1224,37,0)</f>
        <v>#N/A</v>
      </c>
      <c r="L484" s="76" t="s">
        <v>2103</v>
      </c>
      <c r="M484" s="37" t="s">
        <v>3</v>
      </c>
      <c r="N484" s="78">
        <v>0</v>
      </c>
      <c r="O484" s="78">
        <v>0</v>
      </c>
      <c r="P484" s="79">
        <v>46214</v>
      </c>
      <c r="Q484" s="79">
        <v>46260</v>
      </c>
      <c r="R484" s="79" t="str">
        <f>IFERROR(VLOOKUP($B484,JADWAL!$G$6:$J$690,4,0),"")</f>
        <v/>
      </c>
      <c r="S484" s="77">
        <f t="shared" si="16"/>
        <v>2</v>
      </c>
      <c r="T484" s="77"/>
      <c r="U484" s="37" t="s">
        <v>2242</v>
      </c>
      <c r="V484" s="37" t="s">
        <v>2250</v>
      </c>
      <c r="W484" s="37"/>
      <c r="X484" s="37" t="s">
        <v>27</v>
      </c>
    </row>
    <row r="485" spans="1:24" x14ac:dyDescent="0.3">
      <c r="A485" s="37">
        <f t="shared" si="17"/>
        <v>484</v>
      </c>
      <c r="B485" s="76" t="s">
        <v>1114</v>
      </c>
      <c r="C485" s="76" t="s">
        <v>1113</v>
      </c>
      <c r="D485" s="76" t="s">
        <v>2794</v>
      </c>
      <c r="E485" s="77">
        <v>499509338</v>
      </c>
      <c r="F485" s="77">
        <v>2500000</v>
      </c>
      <c r="G485" s="77" t="s">
        <v>2815</v>
      </c>
      <c r="H485" s="77" t="s">
        <v>2857</v>
      </c>
      <c r="I485" s="76" t="s">
        <v>2102</v>
      </c>
      <c r="J485" s="76" t="s">
        <v>28</v>
      </c>
      <c r="K485" s="76" t="e">
        <f>VLOOKUP($B485,'WILL TOKO SEP'!A486:AK1225,37,0)</f>
        <v>#N/A</v>
      </c>
      <c r="L485" s="76" t="s">
        <v>2103</v>
      </c>
      <c r="M485" s="37" t="s">
        <v>3</v>
      </c>
      <c r="N485" s="79">
        <v>46154</v>
      </c>
      <c r="O485" s="79">
        <v>46191</v>
      </c>
      <c r="P485" s="79">
        <v>46219</v>
      </c>
      <c r="Q485" s="79">
        <v>46260</v>
      </c>
      <c r="R485" s="79" t="str">
        <f>IFERROR(VLOOKUP($B485,JADWAL!$G$6:$J$690,4,0),"")</f>
        <v/>
      </c>
      <c r="S485" s="77">
        <f t="shared" si="16"/>
        <v>0</v>
      </c>
      <c r="T485" s="77"/>
      <c r="U485" s="37" t="s">
        <v>2242</v>
      </c>
      <c r="V485" s="37" t="s">
        <v>2078</v>
      </c>
      <c r="W485" s="37"/>
      <c r="X485" s="37" t="s">
        <v>27</v>
      </c>
    </row>
    <row r="486" spans="1:24" x14ac:dyDescent="0.3">
      <c r="A486" s="37">
        <f t="shared" si="17"/>
        <v>485</v>
      </c>
      <c r="B486" s="76" t="s">
        <v>1296</v>
      </c>
      <c r="C486" s="76" t="s">
        <v>1295</v>
      </c>
      <c r="D486" s="76" t="s">
        <v>2795</v>
      </c>
      <c r="E486" s="77">
        <v>170550413</v>
      </c>
      <c r="F486" s="77">
        <v>2000000</v>
      </c>
      <c r="G486" s="77" t="s">
        <v>2867</v>
      </c>
      <c r="H486" s="77" t="s">
        <v>2875</v>
      </c>
      <c r="I486" s="76" t="s">
        <v>2102</v>
      </c>
      <c r="J486" s="76" t="s">
        <v>4</v>
      </c>
      <c r="K486" s="76" t="e">
        <f>VLOOKUP($B486,'WILL TOKO SEP'!A487:AK1226,37,0)</f>
        <v>#N/A</v>
      </c>
      <c r="L486" s="76" t="s">
        <v>2103</v>
      </c>
      <c r="M486" s="37" t="s">
        <v>3</v>
      </c>
      <c r="N486" s="78">
        <v>0</v>
      </c>
      <c r="O486" s="79">
        <v>46175</v>
      </c>
      <c r="P486" s="79">
        <v>46211</v>
      </c>
      <c r="Q486" s="79">
        <v>46260</v>
      </c>
      <c r="R486" s="79" t="str">
        <f>IFERROR(VLOOKUP($B486,JADWAL!$G$6:$J$690,4,0),"")</f>
        <v/>
      </c>
      <c r="S486" s="77">
        <f t="shared" si="16"/>
        <v>1</v>
      </c>
      <c r="T486" s="77"/>
      <c r="U486" s="37" t="s">
        <v>2242</v>
      </c>
      <c r="V486" s="37" t="s">
        <v>2250</v>
      </c>
      <c r="W486" s="37"/>
      <c r="X486" s="37">
        <v>0</v>
      </c>
    </row>
    <row r="487" spans="1:24" x14ac:dyDescent="0.3">
      <c r="A487" s="37">
        <f t="shared" si="17"/>
        <v>486</v>
      </c>
      <c r="B487" s="76" t="s">
        <v>494</v>
      </c>
      <c r="C487" s="76" t="s">
        <v>5806</v>
      </c>
      <c r="D487" s="76" t="s">
        <v>5679</v>
      </c>
      <c r="E487" s="77">
        <v>670903514</v>
      </c>
      <c r="F487" s="77">
        <v>0</v>
      </c>
      <c r="G487" s="77" t="s">
        <v>2830</v>
      </c>
      <c r="H487" s="77" t="s">
        <v>2838</v>
      </c>
      <c r="I487" s="76" t="s">
        <v>2102</v>
      </c>
      <c r="J487" s="76" t="s">
        <v>5667</v>
      </c>
      <c r="K487" s="76" t="str">
        <f>VLOOKUP($B487,'WILL TOKO SEP'!A488:AK1227,37,0)</f>
        <v>Denpasar Utara</v>
      </c>
      <c r="L487" s="76" t="s">
        <v>2104</v>
      </c>
      <c r="M487" s="37" t="s">
        <v>3</v>
      </c>
      <c r="N487" s="78">
        <v>0</v>
      </c>
      <c r="O487" s="78">
        <v>0</v>
      </c>
      <c r="P487" s="78">
        <v>0</v>
      </c>
      <c r="Q487" s="241">
        <v>0</v>
      </c>
      <c r="R487" s="79" t="str">
        <f>IFERROR(VLOOKUP($B487,JADWAL!$G$6:$J$690,4,0),"")</f>
        <v/>
      </c>
      <c r="S487" s="77">
        <f t="shared" si="16"/>
        <v>3</v>
      </c>
      <c r="T487" s="77"/>
      <c r="U487" s="37" t="s">
        <v>2242</v>
      </c>
      <c r="V487" s="37" t="s">
        <v>2250</v>
      </c>
      <c r="W487" s="37"/>
      <c r="X487" s="37">
        <v>0</v>
      </c>
    </row>
    <row r="488" spans="1:24" x14ac:dyDescent="0.3">
      <c r="A488" s="37">
        <f t="shared" si="17"/>
        <v>487</v>
      </c>
      <c r="B488" s="76" t="s">
        <v>1022</v>
      </c>
      <c r="C488" s="76" t="s">
        <v>1021</v>
      </c>
      <c r="D488" s="76" t="s">
        <v>2797</v>
      </c>
      <c r="E488" s="77">
        <v>422301071</v>
      </c>
      <c r="F488" s="77">
        <v>2500000</v>
      </c>
      <c r="G488" s="77" t="s">
        <v>2825</v>
      </c>
      <c r="H488" s="77" t="s">
        <v>2826</v>
      </c>
      <c r="I488" s="76" t="s">
        <v>2102</v>
      </c>
      <c r="J488" s="76" t="s">
        <v>9</v>
      </c>
      <c r="K488" s="76" t="e">
        <f>VLOOKUP($B488,'WILL TOKO SEP'!A489:AK1228,37,0)</f>
        <v>#N/A</v>
      </c>
      <c r="L488" s="76" t="s">
        <v>2104</v>
      </c>
      <c r="M488" s="37" t="s">
        <v>3</v>
      </c>
      <c r="N488" s="78">
        <v>0</v>
      </c>
      <c r="O488" s="78">
        <v>0</v>
      </c>
      <c r="P488" s="79">
        <v>46223</v>
      </c>
      <c r="Q488" s="241">
        <v>0</v>
      </c>
      <c r="R488" s="79" t="str">
        <f>IFERROR(VLOOKUP($B488,JADWAL!$G$6:$J$690,4,0),"")</f>
        <v/>
      </c>
      <c r="S488" s="77">
        <f t="shared" si="16"/>
        <v>2</v>
      </c>
      <c r="T488" s="77"/>
      <c r="U488" s="37" t="s">
        <v>2242</v>
      </c>
      <c r="V488" s="37" t="s">
        <v>2250</v>
      </c>
      <c r="W488" s="37"/>
      <c r="X488" s="37" t="s">
        <v>20</v>
      </c>
    </row>
    <row r="489" spans="1:24" x14ac:dyDescent="0.3">
      <c r="A489" s="37">
        <f t="shared" si="17"/>
        <v>488</v>
      </c>
      <c r="B489" s="76" t="s">
        <v>1316</v>
      </c>
      <c r="C489" s="76" t="s">
        <v>1315</v>
      </c>
      <c r="D489" s="76" t="s">
        <v>2798</v>
      </c>
      <c r="E489" s="77">
        <v>308508073</v>
      </c>
      <c r="F489" s="77">
        <v>2500000</v>
      </c>
      <c r="G489" s="77" t="s">
        <v>2815</v>
      </c>
      <c r="H489" s="77" t="s">
        <v>2855</v>
      </c>
      <c r="I489" s="76" t="s">
        <v>2102</v>
      </c>
      <c r="J489" s="76" t="s">
        <v>28</v>
      </c>
      <c r="K489" s="76" t="e">
        <f>VLOOKUP($B489,'WILL TOKO SEP'!A490:AK1229,37,0)</f>
        <v>#N/A</v>
      </c>
      <c r="L489" s="76" t="s">
        <v>2103</v>
      </c>
      <c r="M489" s="37" t="s">
        <v>3</v>
      </c>
      <c r="N489" s="78">
        <v>0</v>
      </c>
      <c r="O489" s="78">
        <v>0</v>
      </c>
      <c r="P489" s="79">
        <v>46210</v>
      </c>
      <c r="Q489" s="241">
        <v>0</v>
      </c>
      <c r="R489" s="79" t="str">
        <f>IFERROR(VLOOKUP($B489,JADWAL!$G$6:$J$690,4,0),"")</f>
        <v/>
      </c>
      <c r="S489" s="77">
        <f t="shared" si="16"/>
        <v>2</v>
      </c>
      <c r="T489" s="77"/>
      <c r="U489" s="37" t="s">
        <v>2242</v>
      </c>
      <c r="V489" s="37" t="s">
        <v>2250</v>
      </c>
      <c r="W489" s="37"/>
      <c r="X489" s="37" t="s">
        <v>27</v>
      </c>
    </row>
    <row r="490" spans="1:24" x14ac:dyDescent="0.3">
      <c r="A490" s="37">
        <f t="shared" si="17"/>
        <v>489</v>
      </c>
      <c r="B490" s="76" t="s">
        <v>543</v>
      </c>
      <c r="C490" s="76" t="s">
        <v>5728</v>
      </c>
      <c r="D490" s="76" t="s">
        <v>2799</v>
      </c>
      <c r="E490" s="77">
        <v>448756180</v>
      </c>
      <c r="F490" s="77">
        <v>2000000</v>
      </c>
      <c r="G490" s="77" t="s">
        <v>2815</v>
      </c>
      <c r="H490" s="77" t="s">
        <v>2816</v>
      </c>
      <c r="I490" s="76" t="s">
        <v>2102</v>
      </c>
      <c r="J490" s="76" t="s">
        <v>28</v>
      </c>
      <c r="K490" s="76" t="e">
        <f>VLOOKUP($B490,'WILL TOKO SEP'!A491:AK1230,37,0)</f>
        <v>#N/A</v>
      </c>
      <c r="L490" s="76" t="s">
        <v>2103</v>
      </c>
      <c r="M490" s="37" t="s">
        <v>3</v>
      </c>
      <c r="N490" s="78">
        <v>0</v>
      </c>
      <c r="O490" s="79">
        <v>46182</v>
      </c>
      <c r="P490" s="78">
        <v>0</v>
      </c>
      <c r="Q490" s="241">
        <v>0</v>
      </c>
      <c r="R490" s="79" t="str">
        <f>IFERROR(VLOOKUP($B490,JADWAL!$G$6:$J$690,4,0),"")</f>
        <v/>
      </c>
      <c r="S490" s="77">
        <f t="shared" si="16"/>
        <v>2</v>
      </c>
      <c r="T490" s="77"/>
      <c r="U490" s="37" t="s">
        <v>2242</v>
      </c>
      <c r="V490" s="37" t="s">
        <v>2250</v>
      </c>
      <c r="W490" s="37"/>
      <c r="X490" s="37" t="s">
        <v>27</v>
      </c>
    </row>
    <row r="491" spans="1:24" x14ac:dyDescent="0.3">
      <c r="A491" s="37">
        <f t="shared" si="17"/>
        <v>490</v>
      </c>
      <c r="B491" s="76" t="s">
        <v>1264</v>
      </c>
      <c r="C491" s="76" t="s">
        <v>1263</v>
      </c>
      <c r="D491" s="76" t="s">
        <v>2800</v>
      </c>
      <c r="E491" s="77">
        <v>608698844</v>
      </c>
      <c r="F491" s="77">
        <v>4000000</v>
      </c>
      <c r="G491" s="77" t="s">
        <v>2867</v>
      </c>
      <c r="H491" s="77" t="s">
        <v>2874</v>
      </c>
      <c r="I491" s="76" t="s">
        <v>2102</v>
      </c>
      <c r="J491" s="76" t="s">
        <v>4</v>
      </c>
      <c r="K491" s="76" t="e">
        <f>VLOOKUP($B491,'WILL TOKO SEP'!A492:AK1231,37,0)</f>
        <v>#N/A</v>
      </c>
      <c r="L491" s="76" t="s">
        <v>2104</v>
      </c>
      <c r="M491" s="37" t="s">
        <v>3</v>
      </c>
      <c r="N491" s="79">
        <v>46160</v>
      </c>
      <c r="O491" s="79">
        <v>46183</v>
      </c>
      <c r="P491" s="79">
        <v>46213</v>
      </c>
      <c r="Q491" s="241">
        <v>0</v>
      </c>
      <c r="R491" s="79" t="str">
        <f>IFERROR(VLOOKUP($B491,JADWAL!$G$6:$J$690,4,0),"")</f>
        <v/>
      </c>
      <c r="S491" s="77">
        <f t="shared" si="16"/>
        <v>0</v>
      </c>
      <c r="T491" s="77"/>
      <c r="U491" s="37" t="s">
        <v>2242</v>
      </c>
      <c r="V491" s="37" t="s">
        <v>2078</v>
      </c>
      <c r="W491" s="37"/>
      <c r="X491" s="37" t="s">
        <v>2</v>
      </c>
    </row>
    <row r="492" spans="1:24" x14ac:dyDescent="0.3">
      <c r="A492" s="37">
        <f t="shared" si="17"/>
        <v>491</v>
      </c>
      <c r="B492" s="76" t="s">
        <v>522</v>
      </c>
      <c r="C492" s="76" t="s">
        <v>521</v>
      </c>
      <c r="D492" s="76" t="s">
        <v>2801</v>
      </c>
      <c r="E492" s="77">
        <v>676210458</v>
      </c>
      <c r="F492" s="77">
        <v>4500000</v>
      </c>
      <c r="G492" s="77" t="s">
        <v>2819</v>
      </c>
      <c r="H492" s="77" t="s">
        <v>2856</v>
      </c>
      <c r="I492" s="76" t="s">
        <v>2102</v>
      </c>
      <c r="J492" s="76" t="s">
        <v>9</v>
      </c>
      <c r="K492" s="76" t="e">
        <f>VLOOKUP($B492,'WILL TOKO SEP'!A493:AK1232,37,0)</f>
        <v>#N/A</v>
      </c>
      <c r="L492" s="76" t="s">
        <v>2104</v>
      </c>
      <c r="M492" s="37" t="s">
        <v>3</v>
      </c>
      <c r="N492" s="78">
        <v>0</v>
      </c>
      <c r="O492" s="79">
        <v>46203</v>
      </c>
      <c r="P492" s="78">
        <v>0</v>
      </c>
      <c r="Q492" s="79">
        <v>46261</v>
      </c>
      <c r="R492" s="79" t="str">
        <f>IFERROR(VLOOKUP($B492,JADWAL!$G$6:$J$690,4,0),"")</f>
        <v/>
      </c>
      <c r="S492" s="77">
        <f t="shared" si="16"/>
        <v>2</v>
      </c>
      <c r="T492" s="77"/>
      <c r="U492" s="37" t="s">
        <v>2242</v>
      </c>
      <c r="V492" s="37" t="s">
        <v>2250</v>
      </c>
      <c r="W492" s="37"/>
      <c r="X492" s="37" t="s">
        <v>20</v>
      </c>
    </row>
    <row r="493" spans="1:24" x14ac:dyDescent="0.3">
      <c r="A493" s="37">
        <f t="shared" si="17"/>
        <v>492</v>
      </c>
      <c r="B493" s="76" t="s">
        <v>633</v>
      </c>
      <c r="C493" s="76" t="s">
        <v>5739</v>
      </c>
      <c r="D493" s="76" t="s">
        <v>2802</v>
      </c>
      <c r="E493" s="77">
        <v>527944827</v>
      </c>
      <c r="F493" s="77">
        <v>2500000</v>
      </c>
      <c r="G493" s="77" t="s">
        <v>2825</v>
      </c>
      <c r="H493" s="77" t="s">
        <v>2826</v>
      </c>
      <c r="I493" s="76" t="s">
        <v>2102</v>
      </c>
      <c r="J493" s="76" t="s">
        <v>9</v>
      </c>
      <c r="K493" s="76" t="e">
        <f>VLOOKUP($B493,'WILL TOKO SEP'!A494:AK1233,37,0)</f>
        <v>#N/A</v>
      </c>
      <c r="L493" s="76" t="s">
        <v>2104</v>
      </c>
      <c r="M493" s="37" t="s">
        <v>3</v>
      </c>
      <c r="N493" s="78">
        <v>0</v>
      </c>
      <c r="O493" s="79">
        <v>46176</v>
      </c>
      <c r="P493" s="78">
        <v>0</v>
      </c>
      <c r="Q493" s="79">
        <v>46261</v>
      </c>
      <c r="R493" s="79" t="str">
        <f>IFERROR(VLOOKUP($B493,JADWAL!$G$6:$J$690,4,0),"")</f>
        <v/>
      </c>
      <c r="S493" s="77">
        <f t="shared" si="16"/>
        <v>2</v>
      </c>
      <c r="T493" s="77"/>
      <c r="U493" s="37" t="s">
        <v>2242</v>
      </c>
      <c r="V493" s="37" t="s">
        <v>2250</v>
      </c>
      <c r="W493" s="37"/>
      <c r="X493" s="37" t="s">
        <v>20</v>
      </c>
    </row>
    <row r="494" spans="1:24" x14ac:dyDescent="0.3">
      <c r="A494" s="37">
        <f t="shared" si="17"/>
        <v>493</v>
      </c>
      <c r="B494" s="76" t="s">
        <v>787</v>
      </c>
      <c r="C494" s="76" t="s">
        <v>786</v>
      </c>
      <c r="D494" s="76" t="s">
        <v>5487</v>
      </c>
      <c r="E494" s="77">
        <v>464734289</v>
      </c>
      <c r="F494" s="77">
        <v>2000000</v>
      </c>
      <c r="G494" s="77" t="s">
        <v>2830</v>
      </c>
      <c r="H494" s="77" t="s">
        <v>2838</v>
      </c>
      <c r="I494" s="76" t="s">
        <v>2102</v>
      </c>
      <c r="J494" s="76" t="s">
        <v>9</v>
      </c>
      <c r="K494" s="76" t="str">
        <f>VLOOKUP($B494,'WILL TOKO SEP'!A495:AK1234,37,0)</f>
        <v>ABIANSEMAL</v>
      </c>
      <c r="L494" s="76" t="s">
        <v>2104</v>
      </c>
      <c r="M494" s="37" t="s">
        <v>3</v>
      </c>
      <c r="N494" s="79">
        <v>46150</v>
      </c>
      <c r="O494" s="79">
        <v>46193</v>
      </c>
      <c r="P494" s="79">
        <v>46232</v>
      </c>
      <c r="Q494" s="79">
        <v>46255</v>
      </c>
      <c r="R494" s="79" t="str">
        <f>IFERROR(VLOOKUP($B494,JADWAL!$G$6:$J$690,4,0),"")</f>
        <v/>
      </c>
      <c r="S494" s="77">
        <f t="shared" si="16"/>
        <v>0</v>
      </c>
      <c r="T494" s="77"/>
      <c r="U494" s="37" t="s">
        <v>2242</v>
      </c>
      <c r="V494" s="37" t="s">
        <v>2078</v>
      </c>
      <c r="W494" s="37"/>
      <c r="X494" s="37" t="s">
        <v>20</v>
      </c>
    </row>
    <row r="495" spans="1:24" x14ac:dyDescent="0.3">
      <c r="A495" s="37">
        <f t="shared" si="17"/>
        <v>494</v>
      </c>
      <c r="B495" s="76" t="s">
        <v>1036</v>
      </c>
      <c r="C495" s="76" t="s">
        <v>1035</v>
      </c>
      <c r="D495" s="76" t="s">
        <v>2803</v>
      </c>
      <c r="E495" s="77">
        <v>523357636</v>
      </c>
      <c r="F495" s="77">
        <v>4500000</v>
      </c>
      <c r="G495" s="77" t="s">
        <v>2815</v>
      </c>
      <c r="H495" s="77" t="s">
        <v>2855</v>
      </c>
      <c r="I495" s="76" t="s">
        <v>2102</v>
      </c>
      <c r="J495" s="76" t="s">
        <v>28</v>
      </c>
      <c r="K495" s="76" t="e">
        <f>VLOOKUP($B495,'WILL TOKO SEP'!A496:AK1235,37,0)</f>
        <v>#N/A</v>
      </c>
      <c r="L495" s="76" t="s">
        <v>2103</v>
      </c>
      <c r="M495" s="37" t="s">
        <v>3</v>
      </c>
      <c r="N495" s="79">
        <v>46150</v>
      </c>
      <c r="O495" s="79">
        <v>46196</v>
      </c>
      <c r="P495" s="79">
        <v>46223</v>
      </c>
      <c r="Q495" s="79">
        <v>46261</v>
      </c>
      <c r="R495" s="79" t="str">
        <f>IFERROR(VLOOKUP($B495,JADWAL!$G$6:$J$690,4,0),"")</f>
        <v/>
      </c>
      <c r="S495" s="77">
        <f t="shared" si="16"/>
        <v>0</v>
      </c>
      <c r="T495" s="77"/>
      <c r="U495" s="37" t="s">
        <v>2242</v>
      </c>
      <c r="V495" s="37" t="s">
        <v>2078</v>
      </c>
      <c r="W495" s="37"/>
      <c r="X495" s="37" t="s">
        <v>27</v>
      </c>
    </row>
    <row r="496" spans="1:24" x14ac:dyDescent="0.3">
      <c r="A496" s="37">
        <f t="shared" si="17"/>
        <v>495</v>
      </c>
      <c r="B496" s="76" t="s">
        <v>707</v>
      </c>
      <c r="C496" s="76" t="s">
        <v>706</v>
      </c>
      <c r="D496" s="76" t="s">
        <v>2804</v>
      </c>
      <c r="E496" s="77">
        <v>0</v>
      </c>
      <c r="F496" s="77">
        <v>3500000</v>
      </c>
      <c r="G496" s="77" t="s">
        <v>2867</v>
      </c>
      <c r="H496" s="77" t="s">
        <v>2876</v>
      </c>
      <c r="I496" s="76" t="s">
        <v>2102</v>
      </c>
      <c r="J496" s="76" t="s">
        <v>9</v>
      </c>
      <c r="K496" s="76" t="e">
        <f>VLOOKUP($B496,'WILL TOKO SEP'!A497:AK1236,37,0)</f>
        <v>#N/A</v>
      </c>
      <c r="L496" s="76" t="s">
        <v>2103</v>
      </c>
      <c r="M496" s="37" t="s">
        <v>3</v>
      </c>
      <c r="N496" s="79">
        <v>46154</v>
      </c>
      <c r="O496" s="78">
        <v>0</v>
      </c>
      <c r="P496" s="79">
        <v>46234</v>
      </c>
      <c r="Q496" s="79">
        <v>46260</v>
      </c>
      <c r="R496" s="79" t="str">
        <f>IFERROR(VLOOKUP($B496,JADWAL!$G$6:$J$690,4,0),"")</f>
        <v/>
      </c>
      <c r="S496" s="77">
        <f t="shared" si="16"/>
        <v>1</v>
      </c>
      <c r="T496" s="77"/>
      <c r="U496" s="37" t="s">
        <v>2242</v>
      </c>
      <c r="V496" s="37" t="s">
        <v>2250</v>
      </c>
      <c r="W496" s="37"/>
      <c r="X496" s="37" t="s">
        <v>124</v>
      </c>
    </row>
    <row r="497" spans="1:24" x14ac:dyDescent="0.3">
      <c r="A497" s="37">
        <f t="shared" si="17"/>
        <v>496</v>
      </c>
      <c r="B497" s="76" t="s">
        <v>577</v>
      </c>
      <c r="C497" s="76" t="s">
        <v>5694</v>
      </c>
      <c r="D497" s="76" t="s">
        <v>2805</v>
      </c>
      <c r="E497" s="77">
        <v>642596960</v>
      </c>
      <c r="F497" s="77">
        <v>3000000</v>
      </c>
      <c r="G497" s="77" t="s">
        <v>2834</v>
      </c>
      <c r="H497" s="77" t="s">
        <v>2869</v>
      </c>
      <c r="I497" s="76" t="s">
        <v>2102</v>
      </c>
      <c r="J497" s="76" t="s">
        <v>40</v>
      </c>
      <c r="K497" s="76" t="e">
        <f>VLOOKUP($B497,'WILL TOKO SEP'!A498:AK1237,37,0)</f>
        <v>#N/A</v>
      </c>
      <c r="L497" s="76" t="s">
        <v>2104</v>
      </c>
      <c r="M497" s="37" t="s">
        <v>3</v>
      </c>
      <c r="N497" s="79">
        <v>46164</v>
      </c>
      <c r="O497" s="79">
        <v>46185</v>
      </c>
      <c r="P497" s="78">
        <v>0</v>
      </c>
      <c r="Q497" s="78">
        <v>0</v>
      </c>
      <c r="R497" s="79" t="str">
        <f>IFERROR(VLOOKUP($B497,JADWAL!$G$6:$J$690,4,0),"")</f>
        <v/>
      </c>
      <c r="S497" s="77">
        <f t="shared" si="16"/>
        <v>1</v>
      </c>
      <c r="T497" s="77"/>
      <c r="U497" s="37" t="s">
        <v>2242</v>
      </c>
      <c r="V497" s="37" t="s">
        <v>2250</v>
      </c>
      <c r="W497" s="37"/>
      <c r="X497" s="37" t="s">
        <v>27</v>
      </c>
    </row>
    <row r="498" spans="1:24" x14ac:dyDescent="0.3">
      <c r="A498" s="37">
        <f t="shared" si="17"/>
        <v>497</v>
      </c>
      <c r="B498" s="76" t="s">
        <v>580</v>
      </c>
      <c r="C498" s="76" t="s">
        <v>579</v>
      </c>
      <c r="D498" s="76" t="s">
        <v>2806</v>
      </c>
      <c r="E498" s="77">
        <v>578338106</v>
      </c>
      <c r="F498" s="77">
        <v>3000000</v>
      </c>
      <c r="G498" s="77" t="s">
        <v>2834</v>
      </c>
      <c r="H498" s="77" t="s">
        <v>2869</v>
      </c>
      <c r="I498" s="76" t="s">
        <v>2102</v>
      </c>
      <c r="J498" s="76" t="s">
        <v>40</v>
      </c>
      <c r="K498" s="76" t="e">
        <f>VLOOKUP($B498,'WILL TOKO SEP'!A499:AK1238,37,0)</f>
        <v>#N/A</v>
      </c>
      <c r="L498" s="76" t="s">
        <v>2104</v>
      </c>
      <c r="M498" s="37" t="s">
        <v>3</v>
      </c>
      <c r="N498" s="79">
        <v>46164</v>
      </c>
      <c r="O498" s="79">
        <v>46185</v>
      </c>
      <c r="P498" s="78">
        <v>0</v>
      </c>
      <c r="Q498" s="78">
        <v>0</v>
      </c>
      <c r="R498" s="79" t="str">
        <f>IFERROR(VLOOKUP($B498,JADWAL!$G$6:$J$690,4,0),"")</f>
        <v/>
      </c>
      <c r="S498" s="77">
        <f t="shared" si="16"/>
        <v>1</v>
      </c>
      <c r="T498" s="77"/>
      <c r="U498" s="37" t="s">
        <v>2242</v>
      </c>
      <c r="V498" s="37" t="s">
        <v>2250</v>
      </c>
      <c r="W498" s="37"/>
      <c r="X498" s="37" t="s">
        <v>27</v>
      </c>
    </row>
    <row r="499" spans="1:24" x14ac:dyDescent="0.3">
      <c r="A499" s="37">
        <f t="shared" si="17"/>
        <v>498</v>
      </c>
      <c r="B499" s="76" t="s">
        <v>773</v>
      </c>
      <c r="C499" s="76" t="s">
        <v>772</v>
      </c>
      <c r="D499" s="76" t="s">
        <v>2807</v>
      </c>
      <c r="E499" s="77">
        <v>744960541</v>
      </c>
      <c r="F499" s="77">
        <v>4000000</v>
      </c>
      <c r="G499" s="77" t="s">
        <v>2867</v>
      </c>
      <c r="H499" s="77" t="s">
        <v>2868</v>
      </c>
      <c r="I499" s="76" t="s">
        <v>2102</v>
      </c>
      <c r="J499" s="76" t="s">
        <v>9</v>
      </c>
      <c r="K499" s="76" t="e">
        <f>VLOOKUP($B499,'WILL TOKO SEP'!A500:AK1239,37,0)</f>
        <v>#N/A</v>
      </c>
      <c r="L499" s="76" t="s">
        <v>2104</v>
      </c>
      <c r="M499" s="37" t="s">
        <v>3</v>
      </c>
      <c r="N499" s="79">
        <v>46148</v>
      </c>
      <c r="O499" s="78">
        <v>0</v>
      </c>
      <c r="P499" s="79">
        <v>46232</v>
      </c>
      <c r="Q499" s="78">
        <v>0</v>
      </c>
      <c r="R499" s="79" t="str">
        <f>IFERROR(VLOOKUP($B499,JADWAL!$G$6:$J$690,4,0),"")</f>
        <v/>
      </c>
      <c r="S499" s="77">
        <f t="shared" si="16"/>
        <v>1</v>
      </c>
      <c r="T499" s="77"/>
      <c r="U499" s="37" t="s">
        <v>2242</v>
      </c>
      <c r="V499" s="37" t="s">
        <v>2250</v>
      </c>
      <c r="W499" s="37"/>
      <c r="X499" s="37" t="s">
        <v>20</v>
      </c>
    </row>
    <row r="500" spans="1:24" x14ac:dyDescent="0.3">
      <c r="A500" s="37">
        <f t="shared" si="17"/>
        <v>499</v>
      </c>
      <c r="B500" s="76" t="s">
        <v>869</v>
      </c>
      <c r="C500" s="76" t="s">
        <v>868</v>
      </c>
      <c r="D500" s="76" t="s">
        <v>2808</v>
      </c>
      <c r="E500" s="77">
        <v>524604966</v>
      </c>
      <c r="F500" s="77">
        <v>3000000</v>
      </c>
      <c r="G500" s="77" t="s">
        <v>2867</v>
      </c>
      <c r="H500" s="77" t="s">
        <v>2876</v>
      </c>
      <c r="I500" s="76" t="s">
        <v>2102</v>
      </c>
      <c r="J500" s="76" t="s">
        <v>9</v>
      </c>
      <c r="K500" s="76" t="e">
        <f>VLOOKUP($B500,'WILL TOKO SEP'!A501:AK1240,37,0)</f>
        <v>#N/A</v>
      </c>
      <c r="L500" s="76" t="s">
        <v>2103</v>
      </c>
      <c r="M500" s="37" t="s">
        <v>3</v>
      </c>
      <c r="N500" s="79">
        <v>46163</v>
      </c>
      <c r="O500" s="78">
        <v>0</v>
      </c>
      <c r="P500" s="79">
        <v>46228</v>
      </c>
      <c r="Q500" s="78">
        <v>0</v>
      </c>
      <c r="R500" s="79" t="str">
        <f>IFERROR(VLOOKUP($B500,JADWAL!$G$6:$J$690,4,0),"")</f>
        <v/>
      </c>
      <c r="S500" s="77">
        <f t="shared" si="16"/>
        <v>1</v>
      </c>
      <c r="T500" s="77"/>
      <c r="U500" s="37" t="s">
        <v>2242</v>
      </c>
      <c r="V500" s="37" t="s">
        <v>2250</v>
      </c>
      <c r="W500" s="37"/>
      <c r="X500" s="37" t="s">
        <v>124</v>
      </c>
    </row>
    <row r="501" spans="1:24" x14ac:dyDescent="0.3">
      <c r="A501" s="37">
        <f t="shared" si="17"/>
        <v>500</v>
      </c>
      <c r="B501" s="76" t="s">
        <v>1272</v>
      </c>
      <c r="C501" s="76" t="s">
        <v>1271</v>
      </c>
      <c r="D501" s="76" t="s">
        <v>2809</v>
      </c>
      <c r="E501" s="77">
        <v>465407258</v>
      </c>
      <c r="F501" s="77">
        <v>2500000</v>
      </c>
      <c r="G501" s="77" t="s">
        <v>2834</v>
      </c>
      <c r="H501" s="77" t="s">
        <v>2835</v>
      </c>
      <c r="I501" s="76" t="s">
        <v>2102</v>
      </c>
      <c r="J501" s="76" t="s">
        <v>32</v>
      </c>
      <c r="K501" s="76" t="e">
        <f>VLOOKUP($B501,'WILL TOKO SEP'!A502:AK1241,37,0)</f>
        <v>#N/A</v>
      </c>
      <c r="L501" s="76" t="s">
        <v>2104</v>
      </c>
      <c r="M501" s="37" t="s">
        <v>3</v>
      </c>
      <c r="N501" s="78">
        <v>0</v>
      </c>
      <c r="O501" s="78">
        <v>0</v>
      </c>
      <c r="P501" s="79">
        <v>46212</v>
      </c>
      <c r="Q501" s="78">
        <v>0</v>
      </c>
      <c r="R501" s="79" t="str">
        <f>IFERROR(VLOOKUP($B501,JADWAL!$G$6:$J$690,4,0),"")</f>
        <v/>
      </c>
      <c r="S501" s="77">
        <f t="shared" si="16"/>
        <v>2</v>
      </c>
      <c r="T501" s="77"/>
      <c r="U501" s="37" t="s">
        <v>2242</v>
      </c>
      <c r="V501" s="37" t="s">
        <v>2250</v>
      </c>
      <c r="W501" s="37"/>
      <c r="X501" s="37" t="s">
        <v>27</v>
      </c>
    </row>
    <row r="502" spans="1:24" x14ac:dyDescent="0.3">
      <c r="A502" s="37">
        <f t="shared" si="17"/>
        <v>501</v>
      </c>
      <c r="B502" s="76" t="s">
        <v>612</v>
      </c>
      <c r="C502" s="76" t="s">
        <v>611</v>
      </c>
      <c r="D502" s="76" t="s">
        <v>2810</v>
      </c>
      <c r="E502" s="77">
        <v>571768952</v>
      </c>
      <c r="F502" s="77">
        <v>3000000</v>
      </c>
      <c r="G502" s="77" t="s">
        <v>2834</v>
      </c>
      <c r="H502" s="77" t="s">
        <v>2839</v>
      </c>
      <c r="I502" s="76" t="s">
        <v>2102</v>
      </c>
      <c r="J502" s="76" t="s">
        <v>32</v>
      </c>
      <c r="K502" s="76" t="e">
        <f>VLOOKUP($B502,'WILL TOKO SEP'!A503:AK1242,37,0)</f>
        <v>#N/A</v>
      </c>
      <c r="L502" s="76" t="s">
        <v>2104</v>
      </c>
      <c r="M502" s="37" t="s">
        <v>3</v>
      </c>
      <c r="N502" s="79">
        <v>46144</v>
      </c>
      <c r="O502" s="79">
        <v>46186</v>
      </c>
      <c r="P502" s="78">
        <v>0</v>
      </c>
      <c r="Q502" s="78">
        <v>0</v>
      </c>
      <c r="R502" s="79" t="str">
        <f>IFERROR(VLOOKUP($B502,JADWAL!$G$6:$J$690,4,0),"")</f>
        <v/>
      </c>
      <c r="S502" s="77">
        <f t="shared" si="16"/>
        <v>1</v>
      </c>
      <c r="T502" s="77"/>
      <c r="U502" s="37" t="s">
        <v>2242</v>
      </c>
      <c r="V502" s="37" t="s">
        <v>2250</v>
      </c>
      <c r="W502" s="37"/>
      <c r="X502" s="37" t="s">
        <v>27</v>
      </c>
    </row>
    <row r="503" spans="1:24" x14ac:dyDescent="0.3">
      <c r="A503" s="37">
        <f t="shared" si="17"/>
        <v>502</v>
      </c>
      <c r="B503" s="76" t="s">
        <v>625</v>
      </c>
      <c r="C503" s="76" t="s">
        <v>624</v>
      </c>
      <c r="D503" s="76" t="s">
        <v>2811</v>
      </c>
      <c r="E503" s="77">
        <v>605120631</v>
      </c>
      <c r="F503" s="77">
        <v>3500000</v>
      </c>
      <c r="G503" s="77" t="s">
        <v>2813</v>
      </c>
      <c r="H503" s="77" t="s">
        <v>2858</v>
      </c>
      <c r="I503" s="76" t="s">
        <v>2102</v>
      </c>
      <c r="J503" s="76" t="s">
        <v>36</v>
      </c>
      <c r="K503" s="76" t="e">
        <f>VLOOKUP($B503,'WILL TOKO SEP'!A504:AK1243,37,0)</f>
        <v>#N/A</v>
      </c>
      <c r="L503" s="76" t="s">
        <v>2104</v>
      </c>
      <c r="M503" s="37" t="s">
        <v>3</v>
      </c>
      <c r="N503" s="79">
        <v>46158</v>
      </c>
      <c r="O503" s="79">
        <v>46202</v>
      </c>
      <c r="P503" s="78">
        <v>0</v>
      </c>
      <c r="Q503" s="78">
        <v>0</v>
      </c>
      <c r="R503" s="79" t="str">
        <f>IFERROR(VLOOKUP($B503,JADWAL!$G$6:$J$690,4,0),"")</f>
        <v/>
      </c>
      <c r="S503" s="77">
        <f t="shared" si="16"/>
        <v>1</v>
      </c>
      <c r="T503" s="77"/>
      <c r="U503" s="37" t="s">
        <v>2242</v>
      </c>
      <c r="V503" s="37" t="s">
        <v>2250</v>
      </c>
      <c r="W503" s="37"/>
      <c r="X503" s="37" t="s">
        <v>13</v>
      </c>
    </row>
    <row r="504" spans="1:24" x14ac:dyDescent="0.3">
      <c r="A504" s="37">
        <f t="shared" si="17"/>
        <v>503</v>
      </c>
      <c r="B504" s="76" t="s">
        <v>1816</v>
      </c>
      <c r="C504" s="76" t="s">
        <v>5803</v>
      </c>
      <c r="D504" s="76" t="s">
        <v>5664</v>
      </c>
      <c r="E504" s="77">
        <v>439737392</v>
      </c>
      <c r="F504" s="77">
        <v>0</v>
      </c>
      <c r="G504" s="77" t="s">
        <v>2834</v>
      </c>
      <c r="H504" s="77" t="s">
        <v>2869</v>
      </c>
      <c r="I504" s="76" t="s">
        <v>2102</v>
      </c>
      <c r="J504" s="76" t="s">
        <v>40</v>
      </c>
      <c r="K504" s="76" t="str">
        <f>VLOOKUP($B504,'WILL TOKO SEP'!A505:AK1244,37,0)</f>
        <v>Abang</v>
      </c>
      <c r="L504" s="37" t="s">
        <v>2104</v>
      </c>
      <c r="M504" s="37" t="s">
        <v>3</v>
      </c>
      <c r="N504" s="78">
        <v>0</v>
      </c>
      <c r="O504" s="78">
        <v>0</v>
      </c>
      <c r="P504" s="78">
        <v>0</v>
      </c>
      <c r="Q504" s="79">
        <v>46237</v>
      </c>
      <c r="R504" s="79" t="str">
        <f>IFERROR(VLOOKUP($B504,JADWAL!$G$6:$J$690,4,0),"")</f>
        <v/>
      </c>
      <c r="S504" s="77">
        <f t="shared" si="16"/>
        <v>3</v>
      </c>
      <c r="T504" s="37"/>
      <c r="U504" s="37" t="s">
        <v>2243</v>
      </c>
      <c r="V504" s="37" t="s">
        <v>2250</v>
      </c>
      <c r="W504" s="37"/>
      <c r="X504" s="37" t="e">
        <v>#N/A</v>
      </c>
    </row>
    <row r="505" spans="1:24" x14ac:dyDescent="0.3">
      <c r="A505" s="37">
        <f t="shared" si="17"/>
        <v>504</v>
      </c>
      <c r="B505" s="162" t="s">
        <v>1743</v>
      </c>
      <c r="C505" s="76" t="s">
        <v>5804</v>
      </c>
      <c r="D505" s="76" t="s">
        <v>5672</v>
      </c>
      <c r="E505" s="77">
        <v>391797820</v>
      </c>
      <c r="F505" s="77">
        <v>0</v>
      </c>
      <c r="G505" s="77" t="s">
        <v>2834</v>
      </c>
      <c r="H505" s="77" t="s">
        <v>2869</v>
      </c>
      <c r="I505" s="76" t="s">
        <v>2102</v>
      </c>
      <c r="J505" s="76" t="s">
        <v>1522</v>
      </c>
      <c r="K505" s="76" t="str">
        <f>VLOOKUP($B505,'WILL TOKO SEP'!A506:AK1245,37,0)</f>
        <v>Kubu</v>
      </c>
      <c r="L505" s="37" t="s">
        <v>2104</v>
      </c>
      <c r="M505" s="37" t="s">
        <v>3</v>
      </c>
      <c r="N505" s="78">
        <v>0</v>
      </c>
      <c r="O505" s="78">
        <v>0</v>
      </c>
      <c r="P505" s="78">
        <v>0</v>
      </c>
      <c r="Q505" s="79">
        <v>46239</v>
      </c>
      <c r="R505" s="79" t="str">
        <f>IFERROR(VLOOKUP($B505,JADWAL!$G$6:$J$690,4,0),"")</f>
        <v/>
      </c>
      <c r="S505" s="77">
        <f t="shared" si="16"/>
        <v>3</v>
      </c>
      <c r="T505" s="37"/>
      <c r="U505" s="37" t="s">
        <v>2243</v>
      </c>
      <c r="V505" s="37" t="s">
        <v>2250</v>
      </c>
      <c r="W505" s="37"/>
      <c r="X505" s="37" t="e">
        <v>#N/A</v>
      </c>
    </row>
    <row r="506" spans="1:24" x14ac:dyDescent="0.3">
      <c r="A506" s="37">
        <f t="shared" si="17"/>
        <v>505</v>
      </c>
      <c r="B506" s="162" t="s">
        <v>1702</v>
      </c>
      <c r="C506" s="76" t="s">
        <v>5802</v>
      </c>
      <c r="D506" s="76" t="s">
        <v>5669</v>
      </c>
      <c r="E506" s="77">
        <v>471180911</v>
      </c>
      <c r="F506" s="77">
        <v>0</v>
      </c>
      <c r="G506" s="77" t="s">
        <v>2830</v>
      </c>
      <c r="H506" s="77" t="s">
        <v>2831</v>
      </c>
      <c r="I506" s="76" t="s">
        <v>2102</v>
      </c>
      <c r="J506" s="76" t="s">
        <v>5667</v>
      </c>
      <c r="K506" s="76" t="str">
        <f>VLOOKUP($B506,'WILL TOKO SEP'!A507:AK1246,37,0)</f>
        <v>Denpasar Selatan</v>
      </c>
      <c r="L506" s="37" t="s">
        <v>2104</v>
      </c>
      <c r="M506" s="37" t="s">
        <v>3</v>
      </c>
      <c r="N506" s="78">
        <v>0</v>
      </c>
      <c r="O506" s="78">
        <v>0</v>
      </c>
      <c r="P506" s="78">
        <v>0</v>
      </c>
      <c r="Q506" s="79">
        <v>46240</v>
      </c>
      <c r="R506" s="79" t="str">
        <f>IFERROR(VLOOKUP($B506,JADWAL!$G$6:$J$690,4,0),"")</f>
        <v/>
      </c>
      <c r="S506" s="77">
        <f t="shared" si="16"/>
        <v>3</v>
      </c>
      <c r="T506" s="37"/>
      <c r="U506" s="37" t="s">
        <v>2243</v>
      </c>
      <c r="V506" s="37" t="s">
        <v>2250</v>
      </c>
      <c r="W506" s="37"/>
      <c r="X506" s="37" t="e">
        <v>#N/A</v>
      </c>
    </row>
    <row r="507" spans="1:24" x14ac:dyDescent="0.3">
      <c r="A507" s="37">
        <f t="shared" si="17"/>
        <v>506</v>
      </c>
      <c r="B507" s="81" t="s">
        <v>1643</v>
      </c>
      <c r="C507" s="76" t="s">
        <v>5805</v>
      </c>
      <c r="D507" s="76" t="s">
        <v>5675</v>
      </c>
      <c r="E507" s="77">
        <v>401877584</v>
      </c>
      <c r="F507" s="77">
        <v>0</v>
      </c>
      <c r="G507" s="77" t="s">
        <v>2817</v>
      </c>
      <c r="H507" s="77" t="s">
        <v>2852</v>
      </c>
      <c r="I507" s="76" t="s">
        <v>2102</v>
      </c>
      <c r="J507" s="76" t="s">
        <v>5667</v>
      </c>
      <c r="K507" s="76" t="str">
        <f>VLOOKUP($B507,'WILL TOKO SEP'!A508:AK1247,37,0)</f>
        <v>Denpasar Selatan</v>
      </c>
      <c r="L507" s="37" t="s">
        <v>2104</v>
      </c>
      <c r="M507" s="37" t="s">
        <v>3</v>
      </c>
      <c r="N507" s="78">
        <v>0</v>
      </c>
      <c r="O507" s="78">
        <v>0</v>
      </c>
      <c r="P507" s="78">
        <v>0</v>
      </c>
      <c r="Q507" s="79">
        <v>46242</v>
      </c>
      <c r="R507" s="79" t="str">
        <f>IFERROR(VLOOKUP($B507,JADWAL!$G$6:$J$690,4,0),"")</f>
        <v/>
      </c>
      <c r="S507" s="77">
        <f t="shared" si="16"/>
        <v>3</v>
      </c>
      <c r="T507" s="37"/>
      <c r="U507" s="37" t="s">
        <v>2243</v>
      </c>
      <c r="V507" s="37" t="s">
        <v>2250</v>
      </c>
      <c r="W507" s="37"/>
      <c r="X507" s="37" t="e">
        <v>#N/A</v>
      </c>
    </row>
    <row r="508" spans="1:24" x14ac:dyDescent="0.3">
      <c r="A508" s="37">
        <f t="shared" si="17"/>
        <v>507</v>
      </c>
      <c r="B508" s="76" t="s">
        <v>212</v>
      </c>
      <c r="C508" s="76" t="s">
        <v>211</v>
      </c>
      <c r="D508" s="76" t="s">
        <v>2262</v>
      </c>
      <c r="E508" s="77">
        <v>346801712</v>
      </c>
      <c r="F508" s="77">
        <v>2500000</v>
      </c>
      <c r="G508" s="77" t="s">
        <v>2813</v>
      </c>
      <c r="H508" s="77" t="s">
        <v>2814</v>
      </c>
      <c r="I508" s="76" t="s">
        <v>2102</v>
      </c>
      <c r="J508" s="76" t="s">
        <v>9</v>
      </c>
      <c r="K508" s="76" t="e">
        <f>VLOOKUP($B508,'WILL TOKO SEP'!A509:AK1248,37,0)</f>
        <v>#N/A</v>
      </c>
      <c r="L508" s="76" t="s">
        <v>2103</v>
      </c>
      <c r="M508" s="37" t="s">
        <v>8</v>
      </c>
      <c r="N508" s="78">
        <v>0</v>
      </c>
      <c r="O508" s="79">
        <v>46177</v>
      </c>
      <c r="P508" s="78">
        <v>0</v>
      </c>
      <c r="Q508" s="78">
        <v>0</v>
      </c>
      <c r="R508" s="79">
        <f>IFERROR(VLOOKUP($B508,JADWAL!$G$6:$J$690,4,0),"")</f>
        <v>46266</v>
      </c>
      <c r="S508" s="77">
        <f t="shared" si="16"/>
        <v>2</v>
      </c>
      <c r="T508" s="77"/>
      <c r="U508" s="37" t="s">
        <v>2242</v>
      </c>
      <c r="V508" s="37" t="s">
        <v>2250</v>
      </c>
      <c r="W508" s="37"/>
      <c r="X508" s="37" t="s">
        <v>124</v>
      </c>
    </row>
    <row r="509" spans="1:24" x14ac:dyDescent="0.3">
      <c r="A509" s="37">
        <f t="shared" si="17"/>
        <v>508</v>
      </c>
      <c r="B509" s="76" t="s">
        <v>73</v>
      </c>
      <c r="C509" s="76" t="s">
        <v>72</v>
      </c>
      <c r="D509" s="76" t="s">
        <v>5323</v>
      </c>
      <c r="E509" s="77">
        <v>421314768</v>
      </c>
      <c r="F509" s="77">
        <v>2000000</v>
      </c>
      <c r="G509" s="77" t="s">
        <v>2834</v>
      </c>
      <c r="H509" s="77" t="s">
        <v>2844</v>
      </c>
      <c r="I509" s="76" t="s">
        <v>2102</v>
      </c>
      <c r="J509" s="76" t="s">
        <v>28</v>
      </c>
      <c r="K509" s="76" t="str">
        <f>VLOOKUP($B509,'WILL TOKO SEP'!A510:AK1249,37,0)</f>
        <v>GIANYAR</v>
      </c>
      <c r="L509" s="76" t="s">
        <v>2103</v>
      </c>
      <c r="M509" s="37" t="s">
        <v>8</v>
      </c>
      <c r="N509" s="78">
        <v>0</v>
      </c>
      <c r="O509" s="79">
        <v>46200</v>
      </c>
      <c r="P509" s="78">
        <v>0</v>
      </c>
      <c r="Q509" s="78">
        <v>0</v>
      </c>
      <c r="R509" s="79" t="str">
        <f>IFERROR(VLOOKUP($B509,JADWAL!$G$6:$J$690,4,0),"")</f>
        <v/>
      </c>
      <c r="S509" s="77">
        <f t="shared" si="16"/>
        <v>2</v>
      </c>
      <c r="T509" s="77"/>
      <c r="U509" s="37" t="s">
        <v>2242</v>
      </c>
      <c r="V509" s="37" t="s">
        <v>2250</v>
      </c>
      <c r="W509" s="37"/>
      <c r="X509" s="37" t="s">
        <v>27</v>
      </c>
    </row>
    <row r="510" spans="1:24" x14ac:dyDescent="0.3">
      <c r="A510" s="37">
        <f t="shared" si="17"/>
        <v>509</v>
      </c>
      <c r="B510" s="76" t="s">
        <v>239</v>
      </c>
      <c r="C510" s="76" t="s">
        <v>238</v>
      </c>
      <c r="D510" s="76" t="s">
        <v>2282</v>
      </c>
      <c r="E510" s="77">
        <v>427243644</v>
      </c>
      <c r="F510" s="77">
        <v>2000000</v>
      </c>
      <c r="G510" s="77" t="s">
        <v>2840</v>
      </c>
      <c r="H510" s="77" t="s">
        <v>2843</v>
      </c>
      <c r="I510" s="76" t="s">
        <v>2102</v>
      </c>
      <c r="J510" s="76" t="s">
        <v>90</v>
      </c>
      <c r="K510" s="76" t="e">
        <f>VLOOKUP($B510,'WILL TOKO SEP'!A511:AK1250,37,0)</f>
        <v>#N/A</v>
      </c>
      <c r="L510" s="76" t="s">
        <v>2104</v>
      </c>
      <c r="M510" s="37" t="s">
        <v>8</v>
      </c>
      <c r="N510" s="79">
        <v>46164</v>
      </c>
      <c r="O510" s="79">
        <v>46198</v>
      </c>
      <c r="P510" s="78">
        <v>0</v>
      </c>
      <c r="Q510" s="78">
        <v>0</v>
      </c>
      <c r="R510" s="79" t="str">
        <f>IFERROR(VLOOKUP($B510,JADWAL!$G$6:$J$690,4,0),"")</f>
        <v/>
      </c>
      <c r="S510" s="77">
        <f t="shared" si="16"/>
        <v>1</v>
      </c>
      <c r="T510" s="77"/>
      <c r="U510" s="37" t="s">
        <v>2242</v>
      </c>
      <c r="V510" s="37" t="s">
        <v>2250</v>
      </c>
      <c r="W510" s="37"/>
      <c r="X510" s="37" t="s">
        <v>13</v>
      </c>
    </row>
    <row r="511" spans="1:24" x14ac:dyDescent="0.3">
      <c r="A511" s="37">
        <f t="shared" si="17"/>
        <v>510</v>
      </c>
      <c r="B511" s="76" t="s">
        <v>96</v>
      </c>
      <c r="C511" s="76" t="s">
        <v>95</v>
      </c>
      <c r="D511" s="76" t="s">
        <v>2290</v>
      </c>
      <c r="E511" s="77">
        <v>427510010</v>
      </c>
      <c r="F511" s="77">
        <v>2000000</v>
      </c>
      <c r="G511" s="77" t="s">
        <v>2817</v>
      </c>
      <c r="H511" s="77" t="s">
        <v>2850</v>
      </c>
      <c r="I511" s="76" t="s">
        <v>2102</v>
      </c>
      <c r="J511" s="76" t="s">
        <v>4</v>
      </c>
      <c r="K511" s="76" t="str">
        <f>VLOOKUP($B511,'WILL TOKO SEP'!A512:AK1251,37,0)</f>
        <v>DENPASAR TIMUR</v>
      </c>
      <c r="L511" s="76" t="s">
        <v>2103</v>
      </c>
      <c r="M511" s="37" t="s">
        <v>8</v>
      </c>
      <c r="N511" s="78">
        <v>0</v>
      </c>
      <c r="O511" s="79">
        <v>46184</v>
      </c>
      <c r="P511" s="78">
        <v>0</v>
      </c>
      <c r="Q511" s="78">
        <v>0</v>
      </c>
      <c r="R511" s="79">
        <f>IFERROR(VLOOKUP($B511,JADWAL!$G$6:$J$690,4,0),"")</f>
        <v>46266</v>
      </c>
      <c r="S511" s="77">
        <f t="shared" si="16"/>
        <v>2</v>
      </c>
      <c r="T511" s="77"/>
      <c r="U511" s="37" t="s">
        <v>2242</v>
      </c>
      <c r="V511" s="37" t="s">
        <v>2250</v>
      </c>
      <c r="W511" s="37"/>
      <c r="X511" s="37" t="s">
        <v>2</v>
      </c>
    </row>
    <row r="512" spans="1:24" x14ac:dyDescent="0.3">
      <c r="A512" s="37">
        <f t="shared" si="17"/>
        <v>511</v>
      </c>
      <c r="B512" s="76" t="s">
        <v>227</v>
      </c>
      <c r="C512" s="76" t="s">
        <v>226</v>
      </c>
      <c r="D512" s="76" t="s">
        <v>5355</v>
      </c>
      <c r="E512" s="77">
        <v>389266684</v>
      </c>
      <c r="F512" s="77">
        <v>2000000</v>
      </c>
      <c r="G512" s="77" t="s">
        <v>2815</v>
      </c>
      <c r="H512" s="77" t="s">
        <v>2816</v>
      </c>
      <c r="I512" s="76" t="s">
        <v>2102</v>
      </c>
      <c r="J512" s="76" t="s">
        <v>28</v>
      </c>
      <c r="K512" s="76" t="str">
        <f>VLOOKUP($B512,'WILL TOKO SEP'!A513:AK1252,37,0)</f>
        <v>SUKAWATI</v>
      </c>
      <c r="L512" s="76" t="s">
        <v>2103</v>
      </c>
      <c r="M512" s="37" t="s">
        <v>8</v>
      </c>
      <c r="N512" s="78">
        <v>0</v>
      </c>
      <c r="O512" s="79">
        <v>46184</v>
      </c>
      <c r="P512" s="78">
        <v>0</v>
      </c>
      <c r="Q512" s="78">
        <v>0</v>
      </c>
      <c r="R512" s="79" t="str">
        <f>IFERROR(VLOOKUP($B512,JADWAL!$G$6:$J$690,4,0),"")</f>
        <v/>
      </c>
      <c r="S512" s="77">
        <f t="shared" si="16"/>
        <v>2</v>
      </c>
      <c r="T512" s="77"/>
      <c r="U512" s="37" t="s">
        <v>2242</v>
      </c>
      <c r="V512" s="37" t="s">
        <v>2250</v>
      </c>
      <c r="W512" s="37"/>
      <c r="X512" s="37" t="s">
        <v>27</v>
      </c>
    </row>
    <row r="513" spans="1:24" x14ac:dyDescent="0.3">
      <c r="A513" s="37">
        <f t="shared" si="17"/>
        <v>512</v>
      </c>
      <c r="B513" s="76" t="s">
        <v>182</v>
      </c>
      <c r="C513" s="76" t="s">
        <v>181</v>
      </c>
      <c r="D513" s="76" t="s">
        <v>2306</v>
      </c>
      <c r="E513" s="77">
        <v>375922651</v>
      </c>
      <c r="F513" s="77">
        <v>2000000</v>
      </c>
      <c r="G513" s="77" t="s">
        <v>2834</v>
      </c>
      <c r="H513" s="77" t="s">
        <v>2844</v>
      </c>
      <c r="I513" s="76" t="s">
        <v>2102</v>
      </c>
      <c r="J513" s="76" t="s">
        <v>28</v>
      </c>
      <c r="K513" s="76" t="e">
        <f>VLOOKUP($B513,'WILL TOKO SEP'!A514:AK1253,37,0)</f>
        <v>#N/A</v>
      </c>
      <c r="L513" s="76" t="s">
        <v>2103</v>
      </c>
      <c r="M513" s="37" t="s">
        <v>8</v>
      </c>
      <c r="N513" s="78">
        <v>0</v>
      </c>
      <c r="O513" s="79">
        <v>46190</v>
      </c>
      <c r="P513" s="78">
        <v>0</v>
      </c>
      <c r="Q513" s="78">
        <v>0</v>
      </c>
      <c r="R513" s="79" t="str">
        <f>IFERROR(VLOOKUP($B513,JADWAL!$G$6:$J$690,4,0),"")</f>
        <v/>
      </c>
      <c r="S513" s="77">
        <f t="shared" si="16"/>
        <v>2</v>
      </c>
      <c r="T513" s="77"/>
      <c r="U513" s="37" t="s">
        <v>2242</v>
      </c>
      <c r="V513" s="37" t="s">
        <v>2250</v>
      </c>
      <c r="W513" s="37"/>
      <c r="X513" s="37" t="s">
        <v>27</v>
      </c>
    </row>
    <row r="514" spans="1:24" x14ac:dyDescent="0.3">
      <c r="A514" s="37">
        <f t="shared" si="17"/>
        <v>513</v>
      </c>
      <c r="B514" s="76" t="s">
        <v>83</v>
      </c>
      <c r="C514" s="76" t="s">
        <v>82</v>
      </c>
      <c r="D514" s="76" t="s">
        <v>2307</v>
      </c>
      <c r="E514" s="77">
        <v>508997088</v>
      </c>
      <c r="F514" s="77">
        <v>3000000</v>
      </c>
      <c r="G514" s="77" t="s">
        <v>2821</v>
      </c>
      <c r="H514" s="77" t="s">
        <v>2846</v>
      </c>
      <c r="I514" s="76" t="s">
        <v>2102</v>
      </c>
      <c r="J514" s="76" t="s">
        <v>36</v>
      </c>
      <c r="K514" s="76" t="e">
        <f>VLOOKUP($B514,'WILL TOKO SEP'!A515:AK1254,37,0)</f>
        <v>#N/A</v>
      </c>
      <c r="L514" s="76" t="s">
        <v>2104</v>
      </c>
      <c r="M514" s="37" t="s">
        <v>8</v>
      </c>
      <c r="N514" s="78">
        <v>0</v>
      </c>
      <c r="O514" s="79">
        <v>46177</v>
      </c>
      <c r="P514" s="78">
        <v>0</v>
      </c>
      <c r="Q514" s="78">
        <v>0</v>
      </c>
      <c r="R514" s="79" t="str">
        <f>IFERROR(VLOOKUP($B514,JADWAL!$G$6:$J$690,4,0),"")</f>
        <v/>
      </c>
      <c r="S514" s="77">
        <f t="shared" ref="S514:S577" si="18">COUNTIF(N514:P514,"0")</f>
        <v>2</v>
      </c>
      <c r="T514" s="77"/>
      <c r="U514" s="37" t="s">
        <v>2242</v>
      </c>
      <c r="V514" s="37" t="s">
        <v>2250</v>
      </c>
      <c r="W514" s="37"/>
      <c r="X514" s="37" t="s">
        <v>13</v>
      </c>
    </row>
    <row r="515" spans="1:24" x14ac:dyDescent="0.3">
      <c r="A515" s="37">
        <f t="shared" si="17"/>
        <v>514</v>
      </c>
      <c r="B515" s="76" t="s">
        <v>86</v>
      </c>
      <c r="C515" s="76" t="s">
        <v>85</v>
      </c>
      <c r="D515" s="76" t="s">
        <v>2308</v>
      </c>
      <c r="E515" s="77">
        <v>436754730</v>
      </c>
      <c r="F515" s="77">
        <v>2500000</v>
      </c>
      <c r="G515" s="77" t="s">
        <v>2815</v>
      </c>
      <c r="H515" s="77" t="s">
        <v>2829</v>
      </c>
      <c r="I515" s="76" t="s">
        <v>2102</v>
      </c>
      <c r="J515" s="76" t="s">
        <v>28</v>
      </c>
      <c r="K515" s="76" t="e">
        <f>VLOOKUP($B515,'WILL TOKO SEP'!A516:AK1255,37,0)</f>
        <v>#N/A</v>
      </c>
      <c r="L515" s="76" t="s">
        <v>2103</v>
      </c>
      <c r="M515" s="37" t="s">
        <v>8</v>
      </c>
      <c r="N515" s="78">
        <v>0</v>
      </c>
      <c r="O515" s="79">
        <v>46178</v>
      </c>
      <c r="P515" s="78">
        <v>0</v>
      </c>
      <c r="Q515" s="78">
        <v>0</v>
      </c>
      <c r="R515" s="79" t="str">
        <f>IFERROR(VLOOKUP($B515,JADWAL!$G$6:$J$690,4,0),"")</f>
        <v/>
      </c>
      <c r="S515" s="77">
        <f t="shared" si="18"/>
        <v>2</v>
      </c>
      <c r="T515" s="77"/>
      <c r="U515" s="37" t="s">
        <v>2242</v>
      </c>
      <c r="V515" s="37" t="s">
        <v>2250</v>
      </c>
      <c r="W515" s="37"/>
      <c r="X515" s="37" t="s">
        <v>77</v>
      </c>
    </row>
    <row r="516" spans="1:24" x14ac:dyDescent="0.3">
      <c r="A516" s="37">
        <f t="shared" ref="A516:A579" si="19">A515+1</f>
        <v>515</v>
      </c>
      <c r="B516" s="76" t="s">
        <v>67</v>
      </c>
      <c r="C516" s="76" t="s">
        <v>66</v>
      </c>
      <c r="D516" s="76" t="s">
        <v>5452</v>
      </c>
      <c r="E516" s="77">
        <v>383814995</v>
      </c>
      <c r="F516" s="77">
        <v>2000000</v>
      </c>
      <c r="G516" s="77" t="s">
        <v>2830</v>
      </c>
      <c r="H516" s="77" t="s">
        <v>2831</v>
      </c>
      <c r="I516" s="76" t="s">
        <v>2102</v>
      </c>
      <c r="J516" s="76" t="s">
        <v>4</v>
      </c>
      <c r="K516" s="76" t="str">
        <f>VLOOKUP($B516,'WILL TOKO SEP'!A517:AK1256,37,0)</f>
        <v>DENPASAR SELATAN</v>
      </c>
      <c r="L516" s="76" t="s">
        <v>2103</v>
      </c>
      <c r="M516" s="37" t="s">
        <v>8</v>
      </c>
      <c r="N516" s="78">
        <v>0</v>
      </c>
      <c r="O516" s="79">
        <v>46182</v>
      </c>
      <c r="P516" s="78">
        <v>0</v>
      </c>
      <c r="Q516" s="78">
        <v>0</v>
      </c>
      <c r="R516" s="79">
        <f>IFERROR(VLOOKUP($B516,JADWAL!$G$6:$J$690,4,0),"")</f>
        <v>46266</v>
      </c>
      <c r="S516" s="77">
        <f t="shared" si="18"/>
        <v>2</v>
      </c>
      <c r="T516" s="77"/>
      <c r="U516" s="37" t="s">
        <v>2242</v>
      </c>
      <c r="V516" s="37" t="s">
        <v>2250</v>
      </c>
      <c r="W516" s="37"/>
      <c r="X516" s="37" t="s">
        <v>2</v>
      </c>
    </row>
    <row r="517" spans="1:24" x14ac:dyDescent="0.3">
      <c r="A517" s="37">
        <f t="shared" si="19"/>
        <v>516</v>
      </c>
      <c r="B517" s="76" t="s">
        <v>158</v>
      </c>
      <c r="C517" s="76" t="s">
        <v>157</v>
      </c>
      <c r="D517" s="76" t="s">
        <v>5336</v>
      </c>
      <c r="E517" s="77">
        <v>409978168</v>
      </c>
      <c r="F517" s="77">
        <v>2500000</v>
      </c>
      <c r="G517" s="77" t="s">
        <v>2834</v>
      </c>
      <c r="H517" s="77" t="s">
        <v>2839</v>
      </c>
      <c r="I517" s="76" t="s">
        <v>2102</v>
      </c>
      <c r="J517" s="76" t="s">
        <v>32</v>
      </c>
      <c r="K517" s="76" t="str">
        <f>VLOOKUP($B517,'WILL TOKO SEP'!A518:AK1257,37,0)</f>
        <v>KINTAMANI</v>
      </c>
      <c r="L517" s="76" t="s">
        <v>2104</v>
      </c>
      <c r="M517" s="37" t="s">
        <v>8</v>
      </c>
      <c r="N517" s="78">
        <v>0</v>
      </c>
      <c r="O517" s="79">
        <v>46176</v>
      </c>
      <c r="P517" s="78">
        <v>0</v>
      </c>
      <c r="Q517" s="78">
        <v>0</v>
      </c>
      <c r="R517" s="79" t="str">
        <f>IFERROR(VLOOKUP($B517,JADWAL!$G$6:$J$690,4,0),"")</f>
        <v/>
      </c>
      <c r="S517" s="77">
        <f t="shared" si="18"/>
        <v>2</v>
      </c>
      <c r="T517" s="77"/>
      <c r="U517" s="37" t="s">
        <v>2242</v>
      </c>
      <c r="V517" s="37" t="s">
        <v>2250</v>
      </c>
      <c r="W517" s="37"/>
      <c r="X517" s="37" t="s">
        <v>27</v>
      </c>
    </row>
    <row r="518" spans="1:24" x14ac:dyDescent="0.3">
      <c r="A518" s="37">
        <f t="shared" si="19"/>
        <v>517</v>
      </c>
      <c r="B518" s="76" t="s">
        <v>76</v>
      </c>
      <c r="C518" s="76" t="s">
        <v>75</v>
      </c>
      <c r="D518" s="76" t="s">
        <v>2317</v>
      </c>
      <c r="E518" s="77">
        <v>481074214</v>
      </c>
      <c r="F518" s="77">
        <v>3500000</v>
      </c>
      <c r="G518" s="77" t="s">
        <v>2827</v>
      </c>
      <c r="H518" s="77" t="s">
        <v>2828</v>
      </c>
      <c r="I518" s="76" t="s">
        <v>2102</v>
      </c>
      <c r="J518" s="76" t="s">
        <v>48</v>
      </c>
      <c r="K518" s="76" t="e">
        <f>VLOOKUP($B518,'WILL TOKO SEP'!A519:AK1258,37,0)</f>
        <v>#N/A</v>
      </c>
      <c r="L518" s="76" t="s">
        <v>2104</v>
      </c>
      <c r="M518" s="37" t="s">
        <v>8</v>
      </c>
      <c r="N518" s="78">
        <v>0</v>
      </c>
      <c r="O518" s="79">
        <v>46176</v>
      </c>
      <c r="P518" s="78">
        <v>0</v>
      </c>
      <c r="Q518" s="78">
        <v>0</v>
      </c>
      <c r="R518" s="79" t="str">
        <f>IFERROR(VLOOKUP($B518,JADWAL!$G$6:$J$690,4,0),"")</f>
        <v/>
      </c>
      <c r="S518" s="77">
        <f t="shared" si="18"/>
        <v>2</v>
      </c>
      <c r="T518" s="77"/>
      <c r="U518" s="37" t="s">
        <v>2242</v>
      </c>
      <c r="V518" s="37" t="s">
        <v>2250</v>
      </c>
      <c r="W518" s="37"/>
      <c r="X518" s="37" t="s">
        <v>44</v>
      </c>
    </row>
    <row r="519" spans="1:24" x14ac:dyDescent="0.3">
      <c r="A519" s="37">
        <f t="shared" si="19"/>
        <v>518</v>
      </c>
      <c r="B519" s="76" t="s">
        <v>191</v>
      </c>
      <c r="C519" s="76" t="s">
        <v>190</v>
      </c>
      <c r="D519" s="76" t="s">
        <v>5468</v>
      </c>
      <c r="E519" s="77">
        <v>353272784</v>
      </c>
      <c r="F519" s="77">
        <v>2000000</v>
      </c>
      <c r="G519" s="77" t="s">
        <v>2817</v>
      </c>
      <c r="H519" s="77" t="s">
        <v>2850</v>
      </c>
      <c r="I519" s="76" t="s">
        <v>2102</v>
      </c>
      <c r="J519" s="76" t="s">
        <v>4</v>
      </c>
      <c r="K519" s="76" t="str">
        <f>VLOOKUP($B519,'WILL TOKO SEP'!A520:AK1259,37,0)</f>
        <v>DENPASAR TIMUR</v>
      </c>
      <c r="L519" s="76" t="s">
        <v>2103</v>
      </c>
      <c r="M519" s="37" t="s">
        <v>8</v>
      </c>
      <c r="N519" s="78">
        <v>0</v>
      </c>
      <c r="O519" s="79">
        <v>46176</v>
      </c>
      <c r="P519" s="78">
        <v>0</v>
      </c>
      <c r="Q519" s="78">
        <v>0</v>
      </c>
      <c r="R519" s="79">
        <f>IFERROR(VLOOKUP($B519,JADWAL!$G$6:$J$690,4,0),"")</f>
        <v>46269</v>
      </c>
      <c r="S519" s="77">
        <f t="shared" si="18"/>
        <v>2</v>
      </c>
      <c r="T519" s="77"/>
      <c r="U519" s="37" t="s">
        <v>2242</v>
      </c>
      <c r="V519" s="37" t="s">
        <v>2250</v>
      </c>
      <c r="W519" s="37"/>
      <c r="X519" s="37" t="s">
        <v>2</v>
      </c>
    </row>
    <row r="520" spans="1:24" x14ac:dyDescent="0.3">
      <c r="A520" s="37">
        <f t="shared" si="19"/>
        <v>519</v>
      </c>
      <c r="B520" s="76" t="s">
        <v>105</v>
      </c>
      <c r="C520" s="76" t="s">
        <v>104</v>
      </c>
      <c r="D520" s="76" t="s">
        <v>2324</v>
      </c>
      <c r="E520" s="77">
        <v>384008296</v>
      </c>
      <c r="F520" s="77">
        <v>3000000</v>
      </c>
      <c r="G520" s="77" t="s">
        <v>2815</v>
      </c>
      <c r="H520" s="77" t="s">
        <v>2857</v>
      </c>
      <c r="I520" s="76" t="s">
        <v>2102</v>
      </c>
      <c r="J520" s="76" t="s">
        <v>28</v>
      </c>
      <c r="K520" s="76" t="e">
        <f>VLOOKUP($B520,'WILL TOKO SEP'!A521:AK1260,37,0)</f>
        <v>#N/A</v>
      </c>
      <c r="L520" s="76" t="s">
        <v>2103</v>
      </c>
      <c r="M520" s="37" t="s">
        <v>8</v>
      </c>
      <c r="N520" s="78">
        <v>0</v>
      </c>
      <c r="O520" s="79">
        <v>46184</v>
      </c>
      <c r="P520" s="78">
        <v>0</v>
      </c>
      <c r="Q520" s="78">
        <v>0</v>
      </c>
      <c r="R520" s="79">
        <f>IFERROR(VLOOKUP($B520,JADWAL!$G$6:$J$690,4,0),"")</f>
        <v>46270</v>
      </c>
      <c r="S520" s="77">
        <f t="shared" si="18"/>
        <v>2</v>
      </c>
      <c r="T520" s="77"/>
      <c r="U520" s="37" t="s">
        <v>2242</v>
      </c>
      <c r="V520" s="37" t="s">
        <v>2250</v>
      </c>
      <c r="W520" s="37"/>
      <c r="X520" s="37" t="s">
        <v>27</v>
      </c>
    </row>
    <row r="521" spans="1:24" x14ac:dyDescent="0.3">
      <c r="A521" s="37">
        <f t="shared" si="19"/>
        <v>520</v>
      </c>
      <c r="B521" s="76" t="s">
        <v>108</v>
      </c>
      <c r="C521" s="76" t="s">
        <v>107</v>
      </c>
      <c r="D521" s="76" t="s">
        <v>2330</v>
      </c>
      <c r="E521" s="77">
        <v>469058041</v>
      </c>
      <c r="F521" s="77">
        <v>2000000</v>
      </c>
      <c r="G521" s="77" t="s">
        <v>2821</v>
      </c>
      <c r="H521" s="77" t="s">
        <v>2845</v>
      </c>
      <c r="I521" s="76" t="s">
        <v>2102</v>
      </c>
      <c r="J521" s="76" t="s">
        <v>90</v>
      </c>
      <c r="K521" s="76" t="e">
        <f>VLOOKUP($B521,'WILL TOKO SEP'!A522:AK1261,37,0)</f>
        <v>#N/A</v>
      </c>
      <c r="L521" s="76" t="s">
        <v>2104</v>
      </c>
      <c r="M521" s="37" t="s">
        <v>8</v>
      </c>
      <c r="N521" s="78">
        <v>0</v>
      </c>
      <c r="O521" s="79">
        <v>46193</v>
      </c>
      <c r="P521" s="78">
        <v>0</v>
      </c>
      <c r="Q521" s="78">
        <v>0</v>
      </c>
      <c r="R521" s="79" t="str">
        <f>IFERROR(VLOOKUP($B521,JADWAL!$G$6:$J$690,4,0),"")</f>
        <v/>
      </c>
      <c r="S521" s="77">
        <f t="shared" si="18"/>
        <v>2</v>
      </c>
      <c r="T521" s="77"/>
      <c r="U521" s="37" t="s">
        <v>2242</v>
      </c>
      <c r="V521" s="37" t="s">
        <v>2250</v>
      </c>
      <c r="W521" s="37"/>
      <c r="X521" s="37" t="s">
        <v>13</v>
      </c>
    </row>
    <row r="522" spans="1:24" x14ac:dyDescent="0.3">
      <c r="A522" s="37">
        <f t="shared" si="19"/>
        <v>521</v>
      </c>
      <c r="B522" s="76" t="s">
        <v>230</v>
      </c>
      <c r="C522" s="76" t="s">
        <v>229</v>
      </c>
      <c r="D522" s="76" t="s">
        <v>2333</v>
      </c>
      <c r="E522" s="77">
        <v>471266779</v>
      </c>
      <c r="F522" s="77">
        <v>2000000</v>
      </c>
      <c r="G522" s="77" t="s">
        <v>2840</v>
      </c>
      <c r="H522" s="77" t="s">
        <v>2843</v>
      </c>
      <c r="I522" s="76" t="s">
        <v>2102</v>
      </c>
      <c r="J522" s="76" t="s">
        <v>90</v>
      </c>
      <c r="K522" s="76" t="e">
        <f>VLOOKUP($B522,'WILL TOKO SEP'!A523:AK1262,37,0)</f>
        <v>#N/A</v>
      </c>
      <c r="L522" s="76" t="s">
        <v>2104</v>
      </c>
      <c r="M522" s="37" t="s">
        <v>8</v>
      </c>
      <c r="N522" s="79">
        <v>46164</v>
      </c>
      <c r="O522" s="79">
        <v>46199</v>
      </c>
      <c r="P522" s="78">
        <v>0</v>
      </c>
      <c r="Q522" s="78">
        <v>0</v>
      </c>
      <c r="R522" s="79" t="str">
        <f>IFERROR(VLOOKUP($B522,JADWAL!$G$6:$J$690,4,0),"")</f>
        <v/>
      </c>
      <c r="S522" s="77">
        <f t="shared" si="18"/>
        <v>1</v>
      </c>
      <c r="T522" s="77"/>
      <c r="U522" s="37" t="s">
        <v>2242</v>
      </c>
      <c r="V522" s="37" t="s">
        <v>2250</v>
      </c>
      <c r="W522" s="37"/>
      <c r="X522" s="37" t="s">
        <v>13</v>
      </c>
    </row>
    <row r="523" spans="1:24" x14ac:dyDescent="0.3">
      <c r="A523" s="37">
        <f t="shared" si="19"/>
        <v>522</v>
      </c>
      <c r="B523" s="76" t="s">
        <v>251</v>
      </c>
      <c r="C523" s="76" t="s">
        <v>250</v>
      </c>
      <c r="D523" s="76" t="s">
        <v>2337</v>
      </c>
      <c r="E523" s="77">
        <v>400784217</v>
      </c>
      <c r="F523" s="77">
        <v>3000000</v>
      </c>
      <c r="G523" s="77" t="s">
        <v>2815</v>
      </c>
      <c r="H523" s="77" t="s">
        <v>2829</v>
      </c>
      <c r="I523" s="76" t="s">
        <v>2102</v>
      </c>
      <c r="J523" s="76" t="s">
        <v>28</v>
      </c>
      <c r="K523" s="76" t="e">
        <f>VLOOKUP($B523,'WILL TOKO SEP'!A524:AK1263,37,0)</f>
        <v>#N/A</v>
      </c>
      <c r="L523" s="76" t="s">
        <v>2103</v>
      </c>
      <c r="M523" s="37" t="s">
        <v>8</v>
      </c>
      <c r="N523" s="78">
        <v>0</v>
      </c>
      <c r="O523" s="79">
        <v>46175</v>
      </c>
      <c r="P523" s="78">
        <v>0</v>
      </c>
      <c r="Q523" s="78">
        <v>0</v>
      </c>
      <c r="R523" s="79" t="str">
        <f>IFERROR(VLOOKUP($B523,JADWAL!$G$6:$J$690,4,0),"")</f>
        <v/>
      </c>
      <c r="S523" s="77">
        <f t="shared" si="18"/>
        <v>2</v>
      </c>
      <c r="T523" s="77"/>
      <c r="U523" s="37" t="s">
        <v>2242</v>
      </c>
      <c r="V523" s="37" t="s">
        <v>2250</v>
      </c>
      <c r="W523" s="37"/>
      <c r="X523" s="37" t="s">
        <v>27</v>
      </c>
    </row>
    <row r="524" spans="1:24" x14ac:dyDescent="0.3">
      <c r="A524" s="37">
        <f t="shared" si="19"/>
        <v>523</v>
      </c>
      <c r="B524" s="76" t="s">
        <v>145</v>
      </c>
      <c r="C524" s="76" t="s">
        <v>144</v>
      </c>
      <c r="D524" s="76" t="s">
        <v>2345</v>
      </c>
      <c r="E524" s="77">
        <v>443856478</v>
      </c>
      <c r="F524" s="77">
        <v>2000000</v>
      </c>
      <c r="G524" s="77" t="s">
        <v>2827</v>
      </c>
      <c r="H524" s="77" t="s">
        <v>2864</v>
      </c>
      <c r="I524" s="76" t="s">
        <v>2102</v>
      </c>
      <c r="J524" s="76" t="s">
        <v>48</v>
      </c>
      <c r="K524" s="76" t="e">
        <f>VLOOKUP($B524,'WILL TOKO SEP'!A525:AK1264,37,0)</f>
        <v>#N/A</v>
      </c>
      <c r="L524" s="76" t="s">
        <v>2104</v>
      </c>
      <c r="M524" s="37" t="s">
        <v>8</v>
      </c>
      <c r="N524" s="78">
        <v>0</v>
      </c>
      <c r="O524" s="79">
        <v>46184</v>
      </c>
      <c r="P524" s="78">
        <v>0</v>
      </c>
      <c r="Q524" s="78">
        <v>0</v>
      </c>
      <c r="R524" s="79">
        <f>IFERROR(VLOOKUP($B524,JADWAL!$G$6:$J$690,4,0),"")</f>
        <v>46266</v>
      </c>
      <c r="S524" s="77">
        <f t="shared" si="18"/>
        <v>2</v>
      </c>
      <c r="T524" s="77"/>
      <c r="U524" s="37" t="s">
        <v>2242</v>
      </c>
      <c r="V524" s="37" t="s">
        <v>2250</v>
      </c>
      <c r="W524" s="37"/>
      <c r="X524" s="37" t="s">
        <v>44</v>
      </c>
    </row>
    <row r="525" spans="1:24" x14ac:dyDescent="0.3">
      <c r="A525" s="37">
        <f t="shared" si="19"/>
        <v>524</v>
      </c>
      <c r="B525" s="76" t="s">
        <v>130</v>
      </c>
      <c r="C525" s="76" t="s">
        <v>129</v>
      </c>
      <c r="D525" s="76" t="s">
        <v>2349</v>
      </c>
      <c r="E525" s="77">
        <v>460612111</v>
      </c>
      <c r="F525" s="77">
        <v>3000000</v>
      </c>
      <c r="G525" s="77" t="s">
        <v>2821</v>
      </c>
      <c r="H525" s="77" t="s">
        <v>2845</v>
      </c>
      <c r="I525" s="76" t="s">
        <v>2102</v>
      </c>
      <c r="J525" s="76" t="s">
        <v>36</v>
      </c>
      <c r="K525" s="76" t="e">
        <f>VLOOKUP($B525,'WILL TOKO SEP'!A526:AK1265,37,0)</f>
        <v>#N/A</v>
      </c>
      <c r="L525" s="76" t="s">
        <v>2104</v>
      </c>
      <c r="M525" s="37" t="s">
        <v>8</v>
      </c>
      <c r="N525" s="78">
        <v>0</v>
      </c>
      <c r="O525" s="79">
        <v>46178</v>
      </c>
      <c r="P525" s="78">
        <v>0</v>
      </c>
      <c r="Q525" s="78">
        <v>0</v>
      </c>
      <c r="R525" s="79">
        <f>IFERROR(VLOOKUP($B525,JADWAL!$G$6:$J$690,4,0),"")</f>
        <v>46266</v>
      </c>
      <c r="S525" s="77">
        <f t="shared" si="18"/>
        <v>2</v>
      </c>
      <c r="T525" s="77"/>
      <c r="U525" s="37" t="s">
        <v>2242</v>
      </c>
      <c r="V525" s="37" t="s">
        <v>2250</v>
      </c>
      <c r="W525" s="37"/>
      <c r="X525" s="37" t="s">
        <v>13</v>
      </c>
    </row>
    <row r="526" spans="1:24" x14ac:dyDescent="0.3">
      <c r="A526" s="37">
        <f t="shared" si="19"/>
        <v>525</v>
      </c>
      <c r="B526" s="76" t="s">
        <v>123</v>
      </c>
      <c r="C526" s="76" t="s">
        <v>122</v>
      </c>
      <c r="D526" s="76" t="s">
        <v>2351</v>
      </c>
      <c r="E526" s="77">
        <v>491226801</v>
      </c>
      <c r="F526" s="77">
        <v>2000000</v>
      </c>
      <c r="G526" s="77" t="s">
        <v>2825</v>
      </c>
      <c r="H526" s="77" t="s">
        <v>2853</v>
      </c>
      <c r="I526" s="76" t="s">
        <v>2102</v>
      </c>
      <c r="J526" s="76" t="s">
        <v>9</v>
      </c>
      <c r="K526" s="76" t="e">
        <f>VLOOKUP($B526,'WILL TOKO SEP'!A527:AK1266,37,0)</f>
        <v>#N/A</v>
      </c>
      <c r="L526" s="76" t="s">
        <v>2104</v>
      </c>
      <c r="M526" s="37" t="s">
        <v>8</v>
      </c>
      <c r="N526" s="78">
        <v>0</v>
      </c>
      <c r="O526" s="79">
        <v>46177</v>
      </c>
      <c r="P526" s="78">
        <v>0</v>
      </c>
      <c r="Q526" s="78">
        <v>0</v>
      </c>
      <c r="R526" s="79">
        <f>IFERROR(VLOOKUP($B526,JADWAL!$G$6:$J$690,4,0),"")</f>
        <v>46267</v>
      </c>
      <c r="S526" s="77">
        <f t="shared" si="18"/>
        <v>2</v>
      </c>
      <c r="T526" s="77"/>
      <c r="U526" s="37" t="s">
        <v>2242</v>
      </c>
      <c r="V526" s="37" t="s">
        <v>2250</v>
      </c>
      <c r="W526" s="37"/>
      <c r="X526" s="37" t="s">
        <v>20</v>
      </c>
    </row>
    <row r="527" spans="1:24" x14ac:dyDescent="0.3">
      <c r="A527" s="37">
        <f t="shared" si="19"/>
        <v>526</v>
      </c>
      <c r="B527" s="76" t="s">
        <v>102</v>
      </c>
      <c r="C527" s="76" t="s">
        <v>101</v>
      </c>
      <c r="D527" s="76" t="s">
        <v>2357</v>
      </c>
      <c r="E527" s="77">
        <v>436677229</v>
      </c>
      <c r="F527" s="77">
        <v>3000000</v>
      </c>
      <c r="G527" s="77" t="s">
        <v>2827</v>
      </c>
      <c r="H527" s="77" t="s">
        <v>2866</v>
      </c>
      <c r="I527" s="76" t="s">
        <v>2102</v>
      </c>
      <c r="J527" s="76" t="s">
        <v>48</v>
      </c>
      <c r="K527" s="76" t="e">
        <f>VLOOKUP($B527,'WILL TOKO SEP'!A528:AK1267,37,0)</f>
        <v>#N/A</v>
      </c>
      <c r="L527" s="76" t="s">
        <v>2104</v>
      </c>
      <c r="M527" s="37" t="s">
        <v>8</v>
      </c>
      <c r="N527" s="79">
        <v>46148</v>
      </c>
      <c r="O527" s="79">
        <v>46196</v>
      </c>
      <c r="P527" s="78">
        <v>0</v>
      </c>
      <c r="Q527" s="78">
        <v>0</v>
      </c>
      <c r="R527" s="79" t="str">
        <f>IFERROR(VLOOKUP($B527,JADWAL!$G$6:$J$690,4,0),"")</f>
        <v/>
      </c>
      <c r="S527" s="77">
        <f t="shared" si="18"/>
        <v>1</v>
      </c>
      <c r="T527" s="77"/>
      <c r="U527" s="37" t="s">
        <v>2242</v>
      </c>
      <c r="V527" s="37" t="s">
        <v>2250</v>
      </c>
      <c r="W527" s="37"/>
      <c r="X527" s="37" t="s">
        <v>44</v>
      </c>
    </row>
    <row r="528" spans="1:24" x14ac:dyDescent="0.3">
      <c r="A528" s="37">
        <f t="shared" si="19"/>
        <v>527</v>
      </c>
      <c r="B528" s="76" t="s">
        <v>31</v>
      </c>
      <c r="C528" s="76" t="s">
        <v>30</v>
      </c>
      <c r="D528" s="76" t="s">
        <v>2360</v>
      </c>
      <c r="E528" s="77">
        <v>487235582</v>
      </c>
      <c r="F528" s="77">
        <v>3000000</v>
      </c>
      <c r="G528" s="77" t="s">
        <v>2834</v>
      </c>
      <c r="H528" s="77" t="s">
        <v>2842</v>
      </c>
      <c r="I528" s="76" t="s">
        <v>2102</v>
      </c>
      <c r="J528" s="76" t="s">
        <v>28</v>
      </c>
      <c r="K528" s="76" t="e">
        <f>VLOOKUP($B528,'WILL TOKO SEP'!A529:AK1268,37,0)</f>
        <v>#N/A</v>
      </c>
      <c r="L528" s="76" t="s">
        <v>2103</v>
      </c>
      <c r="M528" s="37" t="s">
        <v>8</v>
      </c>
      <c r="N528" s="78">
        <v>0</v>
      </c>
      <c r="O528" s="79">
        <v>46183</v>
      </c>
      <c r="P528" s="78">
        <v>0</v>
      </c>
      <c r="Q528" s="78">
        <v>0</v>
      </c>
      <c r="R528" s="79" t="str">
        <f>IFERROR(VLOOKUP($B528,JADWAL!$G$6:$J$690,4,0),"")</f>
        <v/>
      </c>
      <c r="S528" s="77">
        <f t="shared" si="18"/>
        <v>2</v>
      </c>
      <c r="T528" s="77"/>
      <c r="U528" s="37" t="s">
        <v>2242</v>
      </c>
      <c r="V528" s="37" t="s">
        <v>2250</v>
      </c>
      <c r="W528" s="37"/>
      <c r="X528" s="37" t="s">
        <v>27</v>
      </c>
    </row>
    <row r="529" spans="1:24" x14ac:dyDescent="0.3">
      <c r="A529" s="37">
        <f t="shared" si="19"/>
        <v>528</v>
      </c>
      <c r="B529" s="76" t="s">
        <v>89</v>
      </c>
      <c r="C529" s="76" t="s">
        <v>88</v>
      </c>
      <c r="D529" s="76" t="s">
        <v>5576</v>
      </c>
      <c r="E529" s="77">
        <v>548560235</v>
      </c>
      <c r="F529" s="77">
        <v>2000000</v>
      </c>
      <c r="G529" s="77" t="s">
        <v>2825</v>
      </c>
      <c r="H529" s="77" t="s">
        <v>2836</v>
      </c>
      <c r="I529" s="76" t="s">
        <v>2102</v>
      </c>
      <c r="J529" s="76" t="s">
        <v>48</v>
      </c>
      <c r="K529" s="76" t="str">
        <f>VLOOKUP($B529,'WILL TOKO SEP'!A530:AK1269,37,0)</f>
        <v>Sukasada</v>
      </c>
      <c r="L529" s="76" t="s">
        <v>2104</v>
      </c>
      <c r="M529" s="37" t="s">
        <v>8</v>
      </c>
      <c r="N529" s="79">
        <v>46168</v>
      </c>
      <c r="O529" s="79">
        <v>46188</v>
      </c>
      <c r="P529" s="78">
        <v>0</v>
      </c>
      <c r="Q529" s="78">
        <v>0</v>
      </c>
      <c r="R529" s="79">
        <f>IFERROR(VLOOKUP($B529,JADWAL!$G$6:$J$690,4,0),"")</f>
        <v>46269</v>
      </c>
      <c r="S529" s="77">
        <f t="shared" si="18"/>
        <v>1</v>
      </c>
      <c r="T529" s="77"/>
      <c r="U529" s="37" t="s">
        <v>2242</v>
      </c>
      <c r="V529" s="37" t="s">
        <v>2250</v>
      </c>
      <c r="W529" s="37"/>
      <c r="X529" s="37" t="s">
        <v>44</v>
      </c>
    </row>
    <row r="530" spans="1:24" x14ac:dyDescent="0.3">
      <c r="A530" s="37">
        <f t="shared" si="19"/>
        <v>529</v>
      </c>
      <c r="B530" s="76" t="s">
        <v>221</v>
      </c>
      <c r="C530" s="76" t="s">
        <v>220</v>
      </c>
      <c r="D530" s="76" t="s">
        <v>5455</v>
      </c>
      <c r="E530" s="77">
        <v>421809650</v>
      </c>
      <c r="F530" s="77">
        <v>2000000</v>
      </c>
      <c r="G530" s="77" t="s">
        <v>2815</v>
      </c>
      <c r="H530" s="77" t="s">
        <v>2855</v>
      </c>
      <c r="I530" s="76" t="s">
        <v>2102</v>
      </c>
      <c r="J530" s="76" t="s">
        <v>28</v>
      </c>
      <c r="K530" s="76" t="str">
        <f>VLOOKUP($B530,'WILL TOKO SEP'!A531:AK1270,37,0)</f>
        <v>SUKAWATI</v>
      </c>
      <c r="L530" s="76" t="s">
        <v>2103</v>
      </c>
      <c r="M530" s="37" t="s">
        <v>8</v>
      </c>
      <c r="N530" s="78">
        <v>0</v>
      </c>
      <c r="O530" s="79">
        <v>46175</v>
      </c>
      <c r="P530" s="78">
        <v>0</v>
      </c>
      <c r="Q530" s="78">
        <v>0</v>
      </c>
      <c r="R530" s="79">
        <f>IFERROR(VLOOKUP($B530,JADWAL!$G$6:$J$690,4,0),"")</f>
        <v>46266</v>
      </c>
      <c r="S530" s="77">
        <f t="shared" si="18"/>
        <v>2</v>
      </c>
      <c r="T530" s="77"/>
      <c r="U530" s="37" t="s">
        <v>2242</v>
      </c>
      <c r="V530" s="37" t="s">
        <v>2250</v>
      </c>
      <c r="W530" s="37"/>
      <c r="X530" s="37" t="s">
        <v>27</v>
      </c>
    </row>
    <row r="531" spans="1:24" x14ac:dyDescent="0.3">
      <c r="A531" s="37">
        <f t="shared" si="19"/>
        <v>530</v>
      </c>
      <c r="B531" s="76" t="s">
        <v>194</v>
      </c>
      <c r="C531" s="76" t="s">
        <v>193</v>
      </c>
      <c r="D531" s="76" t="s">
        <v>2365</v>
      </c>
      <c r="E531" s="77">
        <v>411793571</v>
      </c>
      <c r="F531" s="77">
        <v>2000000</v>
      </c>
      <c r="G531" s="77" t="s">
        <v>2825</v>
      </c>
      <c r="H531" s="77" t="s">
        <v>2826</v>
      </c>
      <c r="I531" s="76" t="s">
        <v>2102</v>
      </c>
      <c r="J531" s="76" t="s">
        <v>9</v>
      </c>
      <c r="K531" s="76" t="e">
        <f>VLOOKUP($B531,'WILL TOKO SEP'!A532:AK1271,37,0)</f>
        <v>#N/A</v>
      </c>
      <c r="L531" s="76" t="s">
        <v>2104</v>
      </c>
      <c r="M531" s="37" t="s">
        <v>8</v>
      </c>
      <c r="N531" s="78">
        <v>0</v>
      </c>
      <c r="O531" s="79">
        <v>46199</v>
      </c>
      <c r="P531" s="78">
        <v>0</v>
      </c>
      <c r="Q531" s="78">
        <v>0</v>
      </c>
      <c r="R531" s="79">
        <f>IFERROR(VLOOKUP($B531,JADWAL!$G$6:$J$690,4,0),"")</f>
        <v>46270</v>
      </c>
      <c r="S531" s="77">
        <f t="shared" si="18"/>
        <v>2</v>
      </c>
      <c r="T531" s="77"/>
      <c r="U531" s="37" t="s">
        <v>2242</v>
      </c>
      <c r="V531" s="37" t="s">
        <v>2250</v>
      </c>
      <c r="W531" s="37"/>
      <c r="X531" s="37" t="s">
        <v>20</v>
      </c>
    </row>
    <row r="532" spans="1:24" x14ac:dyDescent="0.3">
      <c r="A532" s="37">
        <f t="shared" si="19"/>
        <v>531</v>
      </c>
      <c r="B532" s="76" t="s">
        <v>120</v>
      </c>
      <c r="C532" s="76" t="s">
        <v>5746</v>
      </c>
      <c r="D532" s="76" t="s">
        <v>5600</v>
      </c>
      <c r="E532" s="77">
        <v>417378741</v>
      </c>
      <c r="F532" s="77">
        <v>2000000</v>
      </c>
      <c r="G532" s="77" t="s">
        <v>2834</v>
      </c>
      <c r="H532" s="77" t="s">
        <v>2839</v>
      </c>
      <c r="I532" s="76" t="s">
        <v>2102</v>
      </c>
      <c r="J532" s="76" t="s">
        <v>40</v>
      </c>
      <c r="K532" s="76" t="str">
        <f>VLOOKUP($B532,'WILL TOKO SEP'!A533:AK1272,37,0)</f>
        <v>Rendang</v>
      </c>
      <c r="L532" s="76" t="s">
        <v>2104</v>
      </c>
      <c r="M532" s="37" t="s">
        <v>8</v>
      </c>
      <c r="N532" s="79">
        <v>46165</v>
      </c>
      <c r="O532" s="79">
        <v>46179</v>
      </c>
      <c r="P532" s="78">
        <v>0</v>
      </c>
      <c r="Q532" s="78">
        <v>0</v>
      </c>
      <c r="R532" s="79" t="str">
        <f>IFERROR(VLOOKUP($B532,JADWAL!$G$6:$J$690,4,0),"")</f>
        <v/>
      </c>
      <c r="S532" s="77">
        <f t="shared" si="18"/>
        <v>1</v>
      </c>
      <c r="T532" s="77"/>
      <c r="U532" s="37" t="s">
        <v>2242</v>
      </c>
      <c r="V532" s="37" t="s">
        <v>2250</v>
      </c>
      <c r="W532" s="37"/>
      <c r="X532" s="37" t="s">
        <v>27</v>
      </c>
    </row>
    <row r="533" spans="1:24" x14ac:dyDescent="0.3">
      <c r="A533" s="37">
        <f t="shared" si="19"/>
        <v>532</v>
      </c>
      <c r="B533" s="76" t="s">
        <v>185</v>
      </c>
      <c r="C533" s="76" t="s">
        <v>184</v>
      </c>
      <c r="D533" s="76" t="s">
        <v>2371</v>
      </c>
      <c r="E533" s="77">
        <v>426548553</v>
      </c>
      <c r="F533" s="77">
        <v>2000000</v>
      </c>
      <c r="G533" s="77" t="s">
        <v>2825</v>
      </c>
      <c r="H533" s="77" t="s">
        <v>2853</v>
      </c>
      <c r="I533" s="76" t="s">
        <v>2102</v>
      </c>
      <c r="J533" s="76" t="s">
        <v>9</v>
      </c>
      <c r="K533" s="76" t="e">
        <f>VLOOKUP($B533,'WILL TOKO SEP'!A534:AK1273,37,0)</f>
        <v>#N/A</v>
      </c>
      <c r="L533" s="76" t="s">
        <v>2104</v>
      </c>
      <c r="M533" s="37" t="s">
        <v>8</v>
      </c>
      <c r="N533" s="78">
        <v>0</v>
      </c>
      <c r="O533" s="79">
        <v>46178</v>
      </c>
      <c r="P533" s="78">
        <v>0</v>
      </c>
      <c r="Q533" s="78">
        <v>0</v>
      </c>
      <c r="R533" s="79">
        <f>IFERROR(VLOOKUP($B533,JADWAL!$G$6:$J$690,4,0),"")</f>
        <v>46266</v>
      </c>
      <c r="S533" s="77">
        <f t="shared" si="18"/>
        <v>2</v>
      </c>
      <c r="T533" s="77"/>
      <c r="U533" s="37" t="s">
        <v>2242</v>
      </c>
      <c r="V533" s="37" t="s">
        <v>2250</v>
      </c>
      <c r="W533" s="37"/>
      <c r="X533" s="37" t="s">
        <v>20</v>
      </c>
    </row>
    <row r="534" spans="1:24" x14ac:dyDescent="0.3">
      <c r="A534" s="37">
        <f t="shared" si="19"/>
        <v>533</v>
      </c>
      <c r="B534" s="76" t="s">
        <v>163</v>
      </c>
      <c r="C534" s="76" t="s">
        <v>162</v>
      </c>
      <c r="D534" s="76" t="s">
        <v>5542</v>
      </c>
      <c r="E534" s="77">
        <v>449503564</v>
      </c>
      <c r="F534" s="77">
        <v>2000000</v>
      </c>
      <c r="G534" s="77" t="s">
        <v>2834</v>
      </c>
      <c r="H534" s="77" t="s">
        <v>2835</v>
      </c>
      <c r="I534" s="76" t="s">
        <v>2102</v>
      </c>
      <c r="J534" s="76" t="s">
        <v>32</v>
      </c>
      <c r="K534" s="76" t="str">
        <f>VLOOKUP($B534,'WILL TOKO SEP'!A535:AK1274,37,0)</f>
        <v>BANGLI</v>
      </c>
      <c r="L534" s="76" t="s">
        <v>2104</v>
      </c>
      <c r="M534" s="37" t="s">
        <v>8</v>
      </c>
      <c r="N534" s="78">
        <v>0</v>
      </c>
      <c r="O534" s="79">
        <v>46176</v>
      </c>
      <c r="P534" s="78">
        <v>0</v>
      </c>
      <c r="Q534" s="78">
        <v>0</v>
      </c>
      <c r="R534" s="79">
        <f>IFERROR(VLOOKUP($B534,JADWAL!$G$6:$J$690,4,0),"")</f>
        <v>46267</v>
      </c>
      <c r="S534" s="77">
        <f t="shared" si="18"/>
        <v>2</v>
      </c>
      <c r="T534" s="77"/>
      <c r="U534" s="37" t="s">
        <v>2242</v>
      </c>
      <c r="V534" s="37" t="s">
        <v>2250</v>
      </c>
      <c r="W534" s="37"/>
      <c r="X534" s="37" t="s">
        <v>27</v>
      </c>
    </row>
    <row r="535" spans="1:24" x14ac:dyDescent="0.3">
      <c r="A535" s="37">
        <f t="shared" si="19"/>
        <v>534</v>
      </c>
      <c r="B535" s="76" t="s">
        <v>64</v>
      </c>
      <c r="C535" s="76" t="s">
        <v>5738</v>
      </c>
      <c r="D535" s="76" t="s">
        <v>2379</v>
      </c>
      <c r="E535" s="77">
        <v>520665666</v>
      </c>
      <c r="F535" s="77">
        <v>3000000</v>
      </c>
      <c r="G535" s="77" t="s">
        <v>2815</v>
      </c>
      <c r="H535" s="77" t="s">
        <v>2857</v>
      </c>
      <c r="I535" s="76" t="s">
        <v>2102</v>
      </c>
      <c r="J535" s="76" t="s">
        <v>28</v>
      </c>
      <c r="K535" s="76" t="e">
        <f>VLOOKUP($B535,'WILL TOKO SEP'!A536:AK1275,37,0)</f>
        <v>#N/A</v>
      </c>
      <c r="L535" s="76" t="s">
        <v>2103</v>
      </c>
      <c r="M535" s="37" t="s">
        <v>8</v>
      </c>
      <c r="N535" s="78">
        <v>0</v>
      </c>
      <c r="O535" s="79">
        <v>46183</v>
      </c>
      <c r="P535" s="78">
        <v>0</v>
      </c>
      <c r="Q535" s="78">
        <v>0</v>
      </c>
      <c r="R535" s="79" t="str">
        <f>IFERROR(VLOOKUP($B535,JADWAL!$G$6:$J$690,4,0),"")</f>
        <v/>
      </c>
      <c r="S535" s="77">
        <f t="shared" si="18"/>
        <v>2</v>
      </c>
      <c r="T535" s="77"/>
      <c r="U535" s="37" t="s">
        <v>2242</v>
      </c>
      <c r="V535" s="37" t="s">
        <v>2250</v>
      </c>
      <c r="W535" s="37"/>
      <c r="X535" s="37" t="s">
        <v>27</v>
      </c>
    </row>
    <row r="536" spans="1:24" x14ac:dyDescent="0.3">
      <c r="A536" s="37">
        <f t="shared" si="19"/>
        <v>535</v>
      </c>
      <c r="B536" s="76" t="s">
        <v>254</v>
      </c>
      <c r="C536" s="76" t="s">
        <v>253</v>
      </c>
      <c r="D536" s="76" t="s">
        <v>2382</v>
      </c>
      <c r="E536" s="77">
        <v>624136786</v>
      </c>
      <c r="F536" s="77">
        <v>4000000</v>
      </c>
      <c r="G536" s="77" t="s">
        <v>2834</v>
      </c>
      <c r="H536" s="77" t="s">
        <v>2869</v>
      </c>
      <c r="I536" s="76" t="s">
        <v>2102</v>
      </c>
      <c r="J536" s="76" t="s">
        <v>40</v>
      </c>
      <c r="K536" s="76" t="e">
        <f>VLOOKUP($B536,'WILL TOKO SEP'!A537:AK1276,37,0)</f>
        <v>#N/A</v>
      </c>
      <c r="L536" s="76" t="s">
        <v>2104</v>
      </c>
      <c r="M536" s="37" t="s">
        <v>8</v>
      </c>
      <c r="N536" s="78">
        <v>0</v>
      </c>
      <c r="O536" s="79">
        <v>46182</v>
      </c>
      <c r="P536" s="78">
        <v>0</v>
      </c>
      <c r="Q536" s="78">
        <v>0</v>
      </c>
      <c r="R536" s="79" t="str">
        <f>IFERROR(VLOOKUP($B536,JADWAL!$G$6:$J$690,4,0),"")</f>
        <v/>
      </c>
      <c r="S536" s="77">
        <f t="shared" si="18"/>
        <v>2</v>
      </c>
      <c r="T536" s="77"/>
      <c r="U536" s="37" t="s">
        <v>2242</v>
      </c>
      <c r="V536" s="37" t="s">
        <v>2250</v>
      </c>
      <c r="W536" s="37"/>
      <c r="X536" s="37" t="s">
        <v>27</v>
      </c>
    </row>
    <row r="537" spans="1:24" x14ac:dyDescent="0.3">
      <c r="A537" s="37">
        <f t="shared" si="19"/>
        <v>536</v>
      </c>
      <c r="B537" s="76" t="s">
        <v>93</v>
      </c>
      <c r="C537" s="76" t="s">
        <v>92</v>
      </c>
      <c r="D537" s="76" t="s">
        <v>2386</v>
      </c>
      <c r="E537" s="77">
        <v>449285091</v>
      </c>
      <c r="F537" s="77">
        <v>2000000</v>
      </c>
      <c r="G537" s="77" t="s">
        <v>2821</v>
      </c>
      <c r="H537" s="77" t="s">
        <v>2845</v>
      </c>
      <c r="I537" s="76" t="s">
        <v>2102</v>
      </c>
      <c r="J537" s="76" t="s">
        <v>90</v>
      </c>
      <c r="K537" s="76" t="e">
        <f>VLOOKUP($B537,'WILL TOKO SEP'!A538:AK1277,37,0)</f>
        <v>#N/A</v>
      </c>
      <c r="L537" s="76" t="s">
        <v>2104</v>
      </c>
      <c r="M537" s="37" t="s">
        <v>8</v>
      </c>
      <c r="N537" s="78">
        <v>0</v>
      </c>
      <c r="O537" s="79">
        <v>46199</v>
      </c>
      <c r="P537" s="78">
        <v>0</v>
      </c>
      <c r="Q537" s="78">
        <v>0</v>
      </c>
      <c r="R537" s="79" t="str">
        <f>IFERROR(VLOOKUP($B537,JADWAL!$G$6:$J$690,4,0),"")</f>
        <v/>
      </c>
      <c r="S537" s="77">
        <f t="shared" si="18"/>
        <v>2</v>
      </c>
      <c r="T537" s="77"/>
      <c r="U537" s="37" t="s">
        <v>2242</v>
      </c>
      <c r="V537" s="37" t="s">
        <v>2250</v>
      </c>
      <c r="W537" s="37"/>
      <c r="X537" s="37" t="s">
        <v>44</v>
      </c>
    </row>
    <row r="538" spans="1:24" x14ac:dyDescent="0.3">
      <c r="A538" s="37">
        <f t="shared" si="19"/>
        <v>537</v>
      </c>
      <c r="B538" s="76" t="s">
        <v>54</v>
      </c>
      <c r="C538" s="76" t="s">
        <v>53</v>
      </c>
      <c r="D538" s="76" t="s">
        <v>5597</v>
      </c>
      <c r="E538" s="77">
        <v>421239499</v>
      </c>
      <c r="F538" s="77">
        <v>2000000</v>
      </c>
      <c r="G538" s="77" t="s">
        <v>2834</v>
      </c>
      <c r="H538" s="77" t="s">
        <v>2869</v>
      </c>
      <c r="I538" s="76" t="s">
        <v>2102</v>
      </c>
      <c r="J538" s="76" t="s">
        <v>40</v>
      </c>
      <c r="K538" s="76" t="str">
        <f>VLOOKUP($B538,'WILL TOKO SEP'!A539:AK1278,37,0)</f>
        <v>Karangasem</v>
      </c>
      <c r="L538" s="76" t="s">
        <v>2104</v>
      </c>
      <c r="M538" s="37" t="s">
        <v>8</v>
      </c>
      <c r="N538" s="79">
        <v>46165</v>
      </c>
      <c r="O538" s="79">
        <v>46192</v>
      </c>
      <c r="P538" s="78">
        <v>0</v>
      </c>
      <c r="Q538" s="78">
        <v>0</v>
      </c>
      <c r="R538" s="79" t="str">
        <f>IFERROR(VLOOKUP($B538,JADWAL!$G$6:$J$690,4,0),"")</f>
        <v/>
      </c>
      <c r="S538" s="77">
        <f t="shared" si="18"/>
        <v>1</v>
      </c>
      <c r="T538" s="77"/>
      <c r="U538" s="37" t="s">
        <v>2242</v>
      </c>
      <c r="V538" s="37" t="s">
        <v>2250</v>
      </c>
      <c r="W538" s="37"/>
      <c r="X538" s="37" t="s">
        <v>27</v>
      </c>
    </row>
    <row r="539" spans="1:24" x14ac:dyDescent="0.3">
      <c r="A539" s="37">
        <f t="shared" si="19"/>
        <v>538</v>
      </c>
      <c r="B539" s="76" t="s">
        <v>16</v>
      </c>
      <c r="C539" s="76" t="s">
        <v>15</v>
      </c>
      <c r="D539" s="76" t="s">
        <v>2399</v>
      </c>
      <c r="E539" s="77">
        <v>461225587</v>
      </c>
      <c r="F539" s="77">
        <v>2500000</v>
      </c>
      <c r="G539" s="77" t="s">
        <v>2825</v>
      </c>
      <c r="H539" s="77" t="s">
        <v>2837</v>
      </c>
      <c r="I539" s="76" t="s">
        <v>2102</v>
      </c>
      <c r="J539" s="76" t="s">
        <v>9</v>
      </c>
      <c r="K539" s="76" t="e">
        <f>VLOOKUP($B539,'WILL TOKO SEP'!A540:AK1279,37,0)</f>
        <v>#N/A</v>
      </c>
      <c r="L539" s="76" t="s">
        <v>2104</v>
      </c>
      <c r="M539" s="37" t="s">
        <v>8</v>
      </c>
      <c r="N539" s="78">
        <v>0</v>
      </c>
      <c r="O539" s="79">
        <v>46190</v>
      </c>
      <c r="P539" s="78">
        <v>0</v>
      </c>
      <c r="Q539" s="78">
        <v>0</v>
      </c>
      <c r="R539" s="79" t="str">
        <f>IFERROR(VLOOKUP($B539,JADWAL!$G$6:$J$690,4,0),"")</f>
        <v/>
      </c>
      <c r="S539" s="77">
        <f t="shared" si="18"/>
        <v>2</v>
      </c>
      <c r="T539" s="77"/>
      <c r="U539" s="37" t="s">
        <v>2242</v>
      </c>
      <c r="V539" s="37" t="s">
        <v>2250</v>
      </c>
      <c r="W539" s="37"/>
      <c r="X539" s="37" t="s">
        <v>13</v>
      </c>
    </row>
    <row r="540" spans="1:24" x14ac:dyDescent="0.3">
      <c r="A540" s="37">
        <f t="shared" si="19"/>
        <v>539</v>
      </c>
      <c r="B540" s="76" t="s">
        <v>169</v>
      </c>
      <c r="C540" s="76" t="s">
        <v>168</v>
      </c>
      <c r="D540" s="76" t="s">
        <v>5481</v>
      </c>
      <c r="E540" s="77">
        <v>248004113</v>
      </c>
      <c r="F540" s="77">
        <v>2000000</v>
      </c>
      <c r="G540" s="77" t="s">
        <v>2813</v>
      </c>
      <c r="H540" s="77" t="s">
        <v>2814</v>
      </c>
      <c r="I540" s="76" t="s">
        <v>2102</v>
      </c>
      <c r="J540" s="76" t="s">
        <v>9</v>
      </c>
      <c r="K540" s="76" t="str">
        <f>VLOOKUP($B540,'WILL TOKO SEP'!A541:AK1280,37,0)</f>
        <v>KUTA SELATAN</v>
      </c>
      <c r="L540" s="76" t="s">
        <v>2103</v>
      </c>
      <c r="M540" s="37" t="s">
        <v>8</v>
      </c>
      <c r="N540" s="78">
        <v>0</v>
      </c>
      <c r="O540" s="79">
        <v>46183</v>
      </c>
      <c r="P540" s="78">
        <v>0</v>
      </c>
      <c r="Q540" s="78">
        <v>0</v>
      </c>
      <c r="R540" s="79" t="str">
        <f>IFERROR(VLOOKUP($B540,JADWAL!$G$6:$J$690,4,0),"")</f>
        <v/>
      </c>
      <c r="S540" s="77">
        <f t="shared" si="18"/>
        <v>2</v>
      </c>
      <c r="T540" s="77"/>
      <c r="U540" s="37" t="s">
        <v>2242</v>
      </c>
      <c r="V540" s="37" t="s">
        <v>2250</v>
      </c>
      <c r="W540" s="37"/>
      <c r="X540" s="37" t="s">
        <v>124</v>
      </c>
    </row>
    <row r="541" spans="1:24" x14ac:dyDescent="0.3">
      <c r="A541" s="37">
        <f t="shared" si="19"/>
        <v>540</v>
      </c>
      <c r="B541" s="76" t="s">
        <v>177</v>
      </c>
      <c r="C541" s="76" t="s">
        <v>176</v>
      </c>
      <c r="D541" s="76" t="s">
        <v>5465</v>
      </c>
      <c r="E541" s="77">
        <v>603680743</v>
      </c>
      <c r="F541" s="77">
        <v>2000000</v>
      </c>
      <c r="G541" s="77" t="s">
        <v>2840</v>
      </c>
      <c r="H541" s="77" t="s">
        <v>2843</v>
      </c>
      <c r="I541" s="76" t="s">
        <v>2102</v>
      </c>
      <c r="J541" s="76" t="s">
        <v>90</v>
      </c>
      <c r="K541" s="76" t="str">
        <f>VLOOKUP($B541,'WILL TOKO SEP'!A542:AK1281,37,0)</f>
        <v>MELAYA</v>
      </c>
      <c r="L541" s="76" t="s">
        <v>2104</v>
      </c>
      <c r="M541" s="37" t="s">
        <v>8</v>
      </c>
      <c r="N541" s="79">
        <v>46165</v>
      </c>
      <c r="O541" s="79">
        <v>46198</v>
      </c>
      <c r="P541" s="78">
        <v>0</v>
      </c>
      <c r="Q541" s="78">
        <v>0</v>
      </c>
      <c r="R541" s="79" t="str">
        <f>IFERROR(VLOOKUP($B541,JADWAL!$G$6:$J$690,4,0),"")</f>
        <v/>
      </c>
      <c r="S541" s="77">
        <f t="shared" si="18"/>
        <v>1</v>
      </c>
      <c r="T541" s="77"/>
      <c r="U541" s="37" t="s">
        <v>2242</v>
      </c>
      <c r="V541" s="37" t="s">
        <v>2250</v>
      </c>
      <c r="W541" s="37"/>
      <c r="X541" s="37" t="s">
        <v>13</v>
      </c>
    </row>
    <row r="542" spans="1:24" x14ac:dyDescent="0.3">
      <c r="A542" s="37">
        <f t="shared" si="19"/>
        <v>541</v>
      </c>
      <c r="B542" s="76" t="s">
        <v>111</v>
      </c>
      <c r="C542" s="76" t="s">
        <v>110</v>
      </c>
      <c r="D542" s="76" t="s">
        <v>5195</v>
      </c>
      <c r="E542" s="77">
        <v>454459463</v>
      </c>
      <c r="F542" s="77">
        <v>2000000</v>
      </c>
      <c r="G542" s="77" t="s">
        <v>2827</v>
      </c>
      <c r="H542" s="77" t="s">
        <v>2848</v>
      </c>
      <c r="I542" s="76" t="s">
        <v>2102</v>
      </c>
      <c r="J542" s="76" t="s">
        <v>48</v>
      </c>
      <c r="K542" s="76" t="str">
        <f>VLOOKUP($B542,'WILL TOKO SEP'!A543:AK1282,37,0)</f>
        <v>GEROKGAK</v>
      </c>
      <c r="L542" s="76" t="s">
        <v>2104</v>
      </c>
      <c r="M542" s="37" t="s">
        <v>8</v>
      </c>
      <c r="N542" s="78">
        <v>0</v>
      </c>
      <c r="O542" s="79">
        <v>46183</v>
      </c>
      <c r="P542" s="78">
        <v>0</v>
      </c>
      <c r="Q542" s="78">
        <v>0</v>
      </c>
      <c r="R542" s="79" t="str">
        <f>IFERROR(VLOOKUP($B542,JADWAL!$G$6:$J$690,4,0),"")</f>
        <v/>
      </c>
      <c r="S542" s="77">
        <f t="shared" si="18"/>
        <v>2</v>
      </c>
      <c r="T542" s="77"/>
      <c r="U542" s="37" t="s">
        <v>2242</v>
      </c>
      <c r="V542" s="37" t="s">
        <v>2250</v>
      </c>
      <c r="W542" s="37"/>
      <c r="X542" s="37" t="s">
        <v>44</v>
      </c>
    </row>
    <row r="543" spans="1:24" x14ac:dyDescent="0.3">
      <c r="A543" s="37">
        <f t="shared" si="19"/>
        <v>542</v>
      </c>
      <c r="B543" s="76" t="s">
        <v>224</v>
      </c>
      <c r="C543" s="76" t="s">
        <v>223</v>
      </c>
      <c r="D543" s="76" t="s">
        <v>2406</v>
      </c>
      <c r="E543" s="77">
        <v>363354534</v>
      </c>
      <c r="F543" s="77">
        <v>2000000</v>
      </c>
      <c r="G543" s="77" t="s">
        <v>2815</v>
      </c>
      <c r="H543" s="77" t="s">
        <v>2816</v>
      </c>
      <c r="I543" s="76" t="s">
        <v>2102</v>
      </c>
      <c r="J543" s="76" t="s">
        <v>28</v>
      </c>
      <c r="K543" s="76" t="e">
        <f>VLOOKUP($B543,'WILL TOKO SEP'!A544:AK1283,37,0)</f>
        <v>#N/A</v>
      </c>
      <c r="L543" s="76" t="s">
        <v>2103</v>
      </c>
      <c r="M543" s="37" t="s">
        <v>8</v>
      </c>
      <c r="N543" s="78">
        <v>0</v>
      </c>
      <c r="O543" s="79">
        <v>46175</v>
      </c>
      <c r="P543" s="78">
        <v>0</v>
      </c>
      <c r="Q543" s="78">
        <v>0</v>
      </c>
      <c r="R543" s="79">
        <f>IFERROR(VLOOKUP($B543,JADWAL!$G$6:$J$690,4,0),"")</f>
        <v>46266</v>
      </c>
      <c r="S543" s="77">
        <f t="shared" si="18"/>
        <v>2</v>
      </c>
      <c r="T543" s="77"/>
      <c r="U543" s="37" t="s">
        <v>2242</v>
      </c>
      <c r="V543" s="37" t="s">
        <v>2250</v>
      </c>
      <c r="W543" s="37"/>
      <c r="X543" s="37" t="s">
        <v>27</v>
      </c>
    </row>
    <row r="544" spans="1:24" x14ac:dyDescent="0.3">
      <c r="A544" s="37">
        <f t="shared" si="19"/>
        <v>543</v>
      </c>
      <c r="B544" s="76" t="s">
        <v>180</v>
      </c>
      <c r="C544" s="76" t="s">
        <v>179</v>
      </c>
      <c r="D544" s="76" t="s">
        <v>2418</v>
      </c>
      <c r="E544" s="77">
        <v>383883573</v>
      </c>
      <c r="F544" s="77">
        <v>3000000</v>
      </c>
      <c r="G544" s="77" t="s">
        <v>2815</v>
      </c>
      <c r="H544" s="77" t="s">
        <v>2829</v>
      </c>
      <c r="I544" s="76" t="s">
        <v>2102</v>
      </c>
      <c r="J544" s="76" t="s">
        <v>28</v>
      </c>
      <c r="K544" s="76" t="e">
        <f>VLOOKUP($B544,'WILL TOKO SEP'!A545:AK1284,37,0)</f>
        <v>#N/A</v>
      </c>
      <c r="L544" s="76" t="s">
        <v>2103</v>
      </c>
      <c r="M544" s="37" t="s">
        <v>8</v>
      </c>
      <c r="N544" s="78">
        <v>0</v>
      </c>
      <c r="O544" s="79">
        <v>46175</v>
      </c>
      <c r="P544" s="78">
        <v>0</v>
      </c>
      <c r="Q544" s="78">
        <v>0</v>
      </c>
      <c r="R544" s="79" t="str">
        <f>IFERROR(VLOOKUP($B544,JADWAL!$G$6:$J$690,4,0),"")</f>
        <v/>
      </c>
      <c r="S544" s="77">
        <f t="shared" si="18"/>
        <v>2</v>
      </c>
      <c r="T544" s="77"/>
      <c r="U544" s="37" t="s">
        <v>2242</v>
      </c>
      <c r="V544" s="37" t="s">
        <v>2250</v>
      </c>
      <c r="W544" s="37"/>
      <c r="X544" s="37" t="s">
        <v>27</v>
      </c>
    </row>
    <row r="545" spans="1:24" x14ac:dyDescent="0.3">
      <c r="A545" s="37">
        <f t="shared" si="19"/>
        <v>544</v>
      </c>
      <c r="B545" s="76" t="s">
        <v>188</v>
      </c>
      <c r="C545" s="76" t="s">
        <v>187</v>
      </c>
      <c r="D545" s="76" t="s">
        <v>2421</v>
      </c>
      <c r="E545" s="77">
        <v>503333395</v>
      </c>
      <c r="F545" s="77">
        <v>2500000</v>
      </c>
      <c r="G545" s="77" t="s">
        <v>2821</v>
      </c>
      <c r="H545" s="77" t="s">
        <v>2822</v>
      </c>
      <c r="I545" s="76" t="s">
        <v>2102</v>
      </c>
      <c r="J545" s="76" t="s">
        <v>36</v>
      </c>
      <c r="K545" s="76" t="e">
        <f>VLOOKUP($B545,'WILL TOKO SEP'!A546:AK1285,37,0)</f>
        <v>#N/A</v>
      </c>
      <c r="L545" s="76" t="s">
        <v>2104</v>
      </c>
      <c r="M545" s="37" t="s">
        <v>8</v>
      </c>
      <c r="N545" s="79">
        <v>46150</v>
      </c>
      <c r="O545" s="79">
        <v>46188</v>
      </c>
      <c r="P545" s="78">
        <v>0</v>
      </c>
      <c r="Q545" s="78">
        <v>0</v>
      </c>
      <c r="R545" s="79">
        <f>IFERROR(VLOOKUP($B545,JADWAL!$G$6:$J$690,4,0),"")</f>
        <v>46269</v>
      </c>
      <c r="S545" s="77">
        <f t="shared" si="18"/>
        <v>1</v>
      </c>
      <c r="T545" s="77"/>
      <c r="U545" s="37" t="s">
        <v>2242</v>
      </c>
      <c r="V545" s="37" t="s">
        <v>2250</v>
      </c>
      <c r="W545" s="37"/>
      <c r="X545" s="37" t="s">
        <v>13</v>
      </c>
    </row>
    <row r="546" spans="1:24" x14ac:dyDescent="0.3">
      <c r="A546" s="37">
        <f t="shared" si="19"/>
        <v>545</v>
      </c>
      <c r="B546" s="76" t="s">
        <v>57</v>
      </c>
      <c r="C546" s="76" t="s">
        <v>56</v>
      </c>
      <c r="D546" s="76" t="s">
        <v>2426</v>
      </c>
      <c r="E546" s="77">
        <v>436899404</v>
      </c>
      <c r="F546" s="77">
        <v>2500000</v>
      </c>
      <c r="G546" s="77" t="s">
        <v>2825</v>
      </c>
      <c r="H546" s="77" t="s">
        <v>2836</v>
      </c>
      <c r="I546" s="76" t="s">
        <v>2102</v>
      </c>
      <c r="J546" s="76" t="s">
        <v>9</v>
      </c>
      <c r="K546" s="76" t="e">
        <f>VLOOKUP($B546,'WILL TOKO SEP'!A547:AK1286,37,0)</f>
        <v>#N/A</v>
      </c>
      <c r="L546" s="76" t="s">
        <v>2104</v>
      </c>
      <c r="M546" s="37" t="s">
        <v>8</v>
      </c>
      <c r="N546" s="78">
        <v>0</v>
      </c>
      <c r="O546" s="79">
        <v>46190</v>
      </c>
      <c r="P546" s="78">
        <v>0</v>
      </c>
      <c r="Q546" s="78">
        <v>0</v>
      </c>
      <c r="R546" s="79">
        <f>IFERROR(VLOOKUP($B546,JADWAL!$G$6:$J$690,4,0),"")</f>
        <v>46270</v>
      </c>
      <c r="S546" s="77">
        <f t="shared" si="18"/>
        <v>2</v>
      </c>
      <c r="T546" s="77"/>
      <c r="U546" s="37" t="s">
        <v>2242</v>
      </c>
      <c r="V546" s="37" t="s">
        <v>2250</v>
      </c>
      <c r="W546" s="37"/>
      <c r="X546" s="37" t="s">
        <v>27</v>
      </c>
    </row>
    <row r="547" spans="1:24" x14ac:dyDescent="0.3">
      <c r="A547" s="37">
        <f t="shared" si="19"/>
        <v>546</v>
      </c>
      <c r="B547" s="76" t="s">
        <v>51</v>
      </c>
      <c r="C547" s="76" t="s">
        <v>5762</v>
      </c>
      <c r="D547" s="76" t="s">
        <v>2451</v>
      </c>
      <c r="E547" s="77">
        <v>479469790</v>
      </c>
      <c r="F547" s="77">
        <v>2500000</v>
      </c>
      <c r="G547" s="77" t="s">
        <v>2827</v>
      </c>
      <c r="H547" s="77" t="s">
        <v>2864</v>
      </c>
      <c r="I547" s="76" t="s">
        <v>2102</v>
      </c>
      <c r="J547" s="76" t="s">
        <v>48</v>
      </c>
      <c r="K547" s="76" t="e">
        <f>VLOOKUP($B547,'WILL TOKO SEP'!A548:AK1287,37,0)</f>
        <v>#N/A</v>
      </c>
      <c r="L547" s="76" t="s">
        <v>2104</v>
      </c>
      <c r="M547" s="37" t="s">
        <v>8</v>
      </c>
      <c r="N547" s="78">
        <v>0</v>
      </c>
      <c r="O547" s="79">
        <v>46175</v>
      </c>
      <c r="P547" s="78">
        <v>0</v>
      </c>
      <c r="Q547" s="78">
        <v>0</v>
      </c>
      <c r="R547" s="79" t="str">
        <f>IFERROR(VLOOKUP($B547,JADWAL!$G$6:$J$690,4,0),"")</f>
        <v/>
      </c>
      <c r="S547" s="77">
        <f t="shared" si="18"/>
        <v>2</v>
      </c>
      <c r="T547" s="77"/>
      <c r="U547" s="37" t="s">
        <v>2242</v>
      </c>
      <c r="V547" s="37" t="s">
        <v>2250</v>
      </c>
      <c r="W547" s="37"/>
      <c r="X547" s="37" t="s">
        <v>44</v>
      </c>
    </row>
    <row r="548" spans="1:24" x14ac:dyDescent="0.3">
      <c r="A548" s="37">
        <f t="shared" si="19"/>
        <v>547</v>
      </c>
      <c r="B548" s="76" t="s">
        <v>47</v>
      </c>
      <c r="C548" s="76" t="s">
        <v>5779</v>
      </c>
      <c r="D548" s="76" t="s">
        <v>2452</v>
      </c>
      <c r="E548" s="77">
        <v>420767623</v>
      </c>
      <c r="F548" s="77">
        <v>3000000</v>
      </c>
      <c r="G548" s="77" t="s">
        <v>2830</v>
      </c>
      <c r="H548" s="77" t="s">
        <v>2860</v>
      </c>
      <c r="I548" s="76" t="s">
        <v>2102</v>
      </c>
      <c r="J548" s="76" t="s">
        <v>28</v>
      </c>
      <c r="K548" s="76" t="e">
        <f>VLOOKUP($B548,'WILL TOKO SEP'!A549:AK1288,37,0)</f>
        <v>#N/A</v>
      </c>
      <c r="L548" s="76" t="s">
        <v>2103</v>
      </c>
      <c r="M548" s="37" t="s">
        <v>8</v>
      </c>
      <c r="N548" s="78">
        <v>0</v>
      </c>
      <c r="O548" s="79">
        <v>46176</v>
      </c>
      <c r="P548" s="78">
        <v>0</v>
      </c>
      <c r="Q548" s="78">
        <v>0</v>
      </c>
      <c r="R548" s="79">
        <f>IFERROR(VLOOKUP($B548,JADWAL!$G$6:$J$690,4,0),"")</f>
        <v>46269</v>
      </c>
      <c r="S548" s="77">
        <f t="shared" si="18"/>
        <v>2</v>
      </c>
      <c r="T548" s="77"/>
      <c r="U548" s="37" t="s">
        <v>2242</v>
      </c>
      <c r="V548" s="37" t="s">
        <v>2250</v>
      </c>
      <c r="W548" s="37"/>
      <c r="X548" s="37" t="s">
        <v>44</v>
      </c>
    </row>
    <row r="549" spans="1:24" x14ac:dyDescent="0.3">
      <c r="A549" s="37">
        <f t="shared" si="19"/>
        <v>548</v>
      </c>
      <c r="B549" s="76" t="s">
        <v>19</v>
      </c>
      <c r="C549" s="76" t="s">
        <v>18</v>
      </c>
      <c r="D549" s="76" t="s">
        <v>2459</v>
      </c>
      <c r="E549" s="77">
        <v>345420171</v>
      </c>
      <c r="F549" s="77">
        <v>2500000</v>
      </c>
      <c r="G549" s="77" t="s">
        <v>2825</v>
      </c>
      <c r="H549" s="77" t="s">
        <v>2837</v>
      </c>
      <c r="I549" s="76" t="s">
        <v>2102</v>
      </c>
      <c r="J549" s="76" t="s">
        <v>9</v>
      </c>
      <c r="K549" s="76" t="e">
        <f>VLOOKUP($B549,'WILL TOKO SEP'!A550:AK1289,37,0)</f>
        <v>#N/A</v>
      </c>
      <c r="L549" s="76" t="s">
        <v>2104</v>
      </c>
      <c r="M549" s="37" t="s">
        <v>8</v>
      </c>
      <c r="N549" s="78">
        <v>0</v>
      </c>
      <c r="O549" s="79">
        <v>46200</v>
      </c>
      <c r="P549" s="78">
        <v>0</v>
      </c>
      <c r="Q549" s="78">
        <v>0</v>
      </c>
      <c r="R549" s="79">
        <f>IFERROR(VLOOKUP($B549,JADWAL!$G$6:$J$690,4,0),"")</f>
        <v>46270</v>
      </c>
      <c r="S549" s="77">
        <f t="shared" si="18"/>
        <v>2</v>
      </c>
      <c r="T549" s="77"/>
      <c r="U549" s="37" t="s">
        <v>2242</v>
      </c>
      <c r="V549" s="37" t="s">
        <v>2250</v>
      </c>
      <c r="W549" s="37"/>
      <c r="X549" s="37" t="s">
        <v>13</v>
      </c>
    </row>
    <row r="550" spans="1:24" x14ac:dyDescent="0.3">
      <c r="A550" s="37">
        <f t="shared" si="19"/>
        <v>549</v>
      </c>
      <c r="B550" s="76" t="s">
        <v>233</v>
      </c>
      <c r="C550" s="76" t="s">
        <v>232</v>
      </c>
      <c r="D550" s="76" t="s">
        <v>2460</v>
      </c>
      <c r="E550" s="77">
        <v>455090446</v>
      </c>
      <c r="F550" s="77">
        <v>4500000</v>
      </c>
      <c r="G550" s="77" t="s">
        <v>2827</v>
      </c>
      <c r="H550" s="77" t="s">
        <v>2866</v>
      </c>
      <c r="I550" s="76" t="s">
        <v>2102</v>
      </c>
      <c r="J550" s="76" t="s">
        <v>48</v>
      </c>
      <c r="K550" s="76" t="e">
        <f>VLOOKUP($B550,'WILL TOKO SEP'!A551:AK1290,37,0)</f>
        <v>#N/A</v>
      </c>
      <c r="L550" s="76" t="s">
        <v>2104</v>
      </c>
      <c r="M550" s="37" t="s">
        <v>8</v>
      </c>
      <c r="N550" s="79">
        <v>46146</v>
      </c>
      <c r="O550" s="79">
        <v>46177</v>
      </c>
      <c r="P550" s="78">
        <v>0</v>
      </c>
      <c r="Q550" s="78">
        <v>0</v>
      </c>
      <c r="R550" s="79" t="str">
        <f>IFERROR(VLOOKUP($B550,JADWAL!$G$6:$J$690,4,0),"")</f>
        <v/>
      </c>
      <c r="S550" s="77">
        <f t="shared" si="18"/>
        <v>1</v>
      </c>
      <c r="T550" s="77"/>
      <c r="U550" s="37" t="s">
        <v>2242</v>
      </c>
      <c r="V550" s="37" t="s">
        <v>2250</v>
      </c>
      <c r="W550" s="37"/>
      <c r="X550" s="37" t="s">
        <v>44</v>
      </c>
    </row>
    <row r="551" spans="1:24" x14ac:dyDescent="0.3">
      <c r="A551" s="37">
        <f t="shared" si="19"/>
        <v>550</v>
      </c>
      <c r="B551" s="76" t="s">
        <v>200</v>
      </c>
      <c r="C551" s="76" t="s">
        <v>199</v>
      </c>
      <c r="D551" s="76" t="s">
        <v>2465</v>
      </c>
      <c r="E551" s="77">
        <v>410841321</v>
      </c>
      <c r="F551" s="77">
        <v>2000000</v>
      </c>
      <c r="G551" s="77" t="s">
        <v>2819</v>
      </c>
      <c r="H551" s="77" t="s">
        <v>2856</v>
      </c>
      <c r="I551" s="76" t="s">
        <v>2102</v>
      </c>
      <c r="J551" s="76" t="s">
        <v>9</v>
      </c>
      <c r="K551" s="76" t="e">
        <f>VLOOKUP($B551,'WILL TOKO SEP'!A552:AK1291,37,0)</f>
        <v>#N/A</v>
      </c>
      <c r="L551" s="76" t="s">
        <v>2104</v>
      </c>
      <c r="M551" s="37" t="s">
        <v>8</v>
      </c>
      <c r="N551" s="79">
        <v>46160</v>
      </c>
      <c r="O551" s="79">
        <v>46184</v>
      </c>
      <c r="P551" s="78">
        <v>0</v>
      </c>
      <c r="Q551" s="78">
        <v>0</v>
      </c>
      <c r="R551" s="79">
        <f>IFERROR(VLOOKUP($B551,JADWAL!$G$6:$J$690,4,0),"")</f>
        <v>46267</v>
      </c>
      <c r="S551" s="77">
        <f t="shared" si="18"/>
        <v>1</v>
      </c>
      <c r="T551" s="77"/>
      <c r="U551" s="37" t="s">
        <v>2242</v>
      </c>
      <c r="V551" s="37" t="s">
        <v>2250</v>
      </c>
      <c r="W551" s="37"/>
      <c r="X551" s="37" t="s">
        <v>20</v>
      </c>
    </row>
    <row r="552" spans="1:24" x14ac:dyDescent="0.3">
      <c r="A552" s="37">
        <f t="shared" si="19"/>
        <v>551</v>
      </c>
      <c r="B552" s="76" t="s">
        <v>171</v>
      </c>
      <c r="C552" s="76" t="s">
        <v>170</v>
      </c>
      <c r="D552" s="76" t="s">
        <v>2473</v>
      </c>
      <c r="E552" s="77">
        <v>327518718</v>
      </c>
      <c r="F552" s="77">
        <v>3000000</v>
      </c>
      <c r="G552" s="77" t="s">
        <v>2813</v>
      </c>
      <c r="H552" s="77" t="s">
        <v>2832</v>
      </c>
      <c r="I552" s="76" t="s">
        <v>2102</v>
      </c>
      <c r="J552" s="76" t="s">
        <v>9</v>
      </c>
      <c r="K552" s="76" t="e">
        <f>VLOOKUP($B552,'WILL TOKO SEP'!A553:AK1292,37,0)</f>
        <v>#N/A</v>
      </c>
      <c r="L552" s="76" t="s">
        <v>2103</v>
      </c>
      <c r="M552" s="37" t="s">
        <v>8</v>
      </c>
      <c r="N552" s="78">
        <v>0</v>
      </c>
      <c r="O552" s="79">
        <v>46177</v>
      </c>
      <c r="P552" s="78">
        <v>0</v>
      </c>
      <c r="Q552" s="78">
        <v>0</v>
      </c>
      <c r="R552" s="79">
        <f>IFERROR(VLOOKUP($B552,JADWAL!$G$6:$J$690,4,0),"")</f>
        <v>46266</v>
      </c>
      <c r="S552" s="77">
        <f t="shared" si="18"/>
        <v>2</v>
      </c>
      <c r="T552" s="77"/>
      <c r="U552" s="37" t="s">
        <v>2242</v>
      </c>
      <c r="V552" s="37" t="s">
        <v>2250</v>
      </c>
      <c r="W552" s="37"/>
      <c r="X552" s="37" t="s">
        <v>124</v>
      </c>
    </row>
    <row r="553" spans="1:24" x14ac:dyDescent="0.3">
      <c r="A553" s="37">
        <f t="shared" si="19"/>
        <v>552</v>
      </c>
      <c r="B553" s="76" t="s">
        <v>99</v>
      </c>
      <c r="C553" s="76" t="s">
        <v>98</v>
      </c>
      <c r="D553" s="76" t="s">
        <v>2478</v>
      </c>
      <c r="E553" s="77">
        <v>453525145</v>
      </c>
      <c r="F553" s="77">
        <v>2500000</v>
      </c>
      <c r="G553" s="77" t="s">
        <v>2827</v>
      </c>
      <c r="H553" s="77" t="s">
        <v>2864</v>
      </c>
      <c r="I553" s="76" t="s">
        <v>2102</v>
      </c>
      <c r="J553" s="76" t="s">
        <v>48</v>
      </c>
      <c r="K553" s="76" t="e">
        <f>VLOOKUP($B553,'WILL TOKO SEP'!A554:AK1293,37,0)</f>
        <v>#N/A</v>
      </c>
      <c r="L553" s="76" t="s">
        <v>2104</v>
      </c>
      <c r="M553" s="37" t="s">
        <v>8</v>
      </c>
      <c r="N553" s="78">
        <v>0</v>
      </c>
      <c r="O553" s="79">
        <v>46195</v>
      </c>
      <c r="P553" s="78">
        <v>0</v>
      </c>
      <c r="Q553" s="78">
        <v>0</v>
      </c>
      <c r="R553" s="79" t="str">
        <f>IFERROR(VLOOKUP($B553,JADWAL!$G$6:$J$690,4,0),"")</f>
        <v/>
      </c>
      <c r="S553" s="77">
        <f t="shared" si="18"/>
        <v>2</v>
      </c>
      <c r="T553" s="77"/>
      <c r="U553" s="37" t="s">
        <v>2242</v>
      </c>
      <c r="V553" s="37" t="s">
        <v>2250</v>
      </c>
      <c r="W553" s="37"/>
      <c r="X553" s="37" t="s">
        <v>44</v>
      </c>
    </row>
    <row r="554" spans="1:24" x14ac:dyDescent="0.3">
      <c r="A554" s="37">
        <f t="shared" si="19"/>
        <v>553</v>
      </c>
      <c r="B554" s="76" t="s">
        <v>70</v>
      </c>
      <c r="C554" s="76" t="s">
        <v>69</v>
      </c>
      <c r="D554" s="76" t="s">
        <v>2481</v>
      </c>
      <c r="E554" s="77">
        <v>383509061</v>
      </c>
      <c r="F554" s="77">
        <v>2000000</v>
      </c>
      <c r="G554" s="77" t="s">
        <v>2815</v>
      </c>
      <c r="H554" s="77" t="s">
        <v>2859</v>
      </c>
      <c r="I554" s="76" t="s">
        <v>2102</v>
      </c>
      <c r="J554" s="76" t="s">
        <v>28</v>
      </c>
      <c r="K554" s="76" t="e">
        <f>VLOOKUP($B554,'WILL TOKO SEP'!A555:AK1294,37,0)</f>
        <v>#N/A</v>
      </c>
      <c r="L554" s="76" t="s">
        <v>2103</v>
      </c>
      <c r="M554" s="37" t="s">
        <v>8</v>
      </c>
      <c r="N554" s="78">
        <v>0</v>
      </c>
      <c r="O554" s="79">
        <v>46184</v>
      </c>
      <c r="P554" s="78">
        <v>0</v>
      </c>
      <c r="Q554" s="78">
        <v>0</v>
      </c>
      <c r="R554" s="79">
        <f>IFERROR(VLOOKUP($B554,JADWAL!$G$6:$J$690,4,0),"")</f>
        <v>46267</v>
      </c>
      <c r="S554" s="77">
        <f t="shared" si="18"/>
        <v>2</v>
      </c>
      <c r="T554" s="77"/>
      <c r="U554" s="37" t="s">
        <v>2242</v>
      </c>
      <c r="V554" s="37" t="s">
        <v>2250</v>
      </c>
      <c r="W554" s="37"/>
      <c r="X554" s="37" t="s">
        <v>20</v>
      </c>
    </row>
    <row r="555" spans="1:24" x14ac:dyDescent="0.3">
      <c r="A555" s="37">
        <f t="shared" si="19"/>
        <v>554</v>
      </c>
      <c r="B555" s="76" t="s">
        <v>217</v>
      </c>
      <c r="C555" s="76" t="s">
        <v>216</v>
      </c>
      <c r="D555" s="76" t="s">
        <v>2514</v>
      </c>
      <c r="E555" s="77">
        <v>509567880</v>
      </c>
      <c r="F555" s="77">
        <v>2500000</v>
      </c>
      <c r="G555" s="77" t="s">
        <v>2834</v>
      </c>
      <c r="H555" s="77" t="s">
        <v>2842</v>
      </c>
      <c r="I555" s="76" t="s">
        <v>2102</v>
      </c>
      <c r="J555" s="76" t="s">
        <v>32</v>
      </c>
      <c r="K555" s="76" t="e">
        <f>VLOOKUP($B555,'WILL TOKO SEP'!A556:AK1295,37,0)</f>
        <v>#N/A</v>
      </c>
      <c r="L555" s="76" t="s">
        <v>2104</v>
      </c>
      <c r="M555" s="37" t="s">
        <v>8</v>
      </c>
      <c r="N555" s="78">
        <v>0</v>
      </c>
      <c r="O555" s="79">
        <v>46181</v>
      </c>
      <c r="P555" s="78">
        <v>0</v>
      </c>
      <c r="Q555" s="78">
        <v>0</v>
      </c>
      <c r="R555" s="79" t="str">
        <f>IFERROR(VLOOKUP($B555,JADWAL!$G$6:$J$690,4,0),"")</f>
        <v/>
      </c>
      <c r="S555" s="77">
        <f t="shared" si="18"/>
        <v>2</v>
      </c>
      <c r="T555" s="77"/>
      <c r="U555" s="37" t="s">
        <v>2242</v>
      </c>
      <c r="V555" s="37" t="s">
        <v>2250</v>
      </c>
      <c r="W555" s="37"/>
      <c r="X555" s="37" t="s">
        <v>27</v>
      </c>
    </row>
    <row r="556" spans="1:24" x14ac:dyDescent="0.3">
      <c r="A556" s="37">
        <f t="shared" si="19"/>
        <v>555</v>
      </c>
      <c r="B556" s="76" t="s">
        <v>142</v>
      </c>
      <c r="C556" s="76" t="s">
        <v>141</v>
      </c>
      <c r="D556" s="76" t="s">
        <v>2520</v>
      </c>
      <c r="E556" s="77">
        <v>436078547</v>
      </c>
      <c r="F556" s="77">
        <v>3000000</v>
      </c>
      <c r="G556" s="77" t="s">
        <v>2819</v>
      </c>
      <c r="H556" s="77" t="s">
        <v>2820</v>
      </c>
      <c r="I556" s="76" t="s">
        <v>2102</v>
      </c>
      <c r="J556" s="76" t="s">
        <v>9</v>
      </c>
      <c r="K556" s="76" t="e">
        <f>VLOOKUP($B556,'WILL TOKO SEP'!A557:AK1296,37,0)</f>
        <v>#N/A</v>
      </c>
      <c r="L556" s="76" t="s">
        <v>2104</v>
      </c>
      <c r="M556" s="37" t="s">
        <v>8</v>
      </c>
      <c r="N556" s="78">
        <v>0</v>
      </c>
      <c r="O556" s="79">
        <v>46181</v>
      </c>
      <c r="P556" s="78">
        <v>0</v>
      </c>
      <c r="Q556" s="78">
        <v>0</v>
      </c>
      <c r="R556" s="79">
        <f>IFERROR(VLOOKUP($B556,JADWAL!$G$6:$J$690,4,0),"")</f>
        <v>46266</v>
      </c>
      <c r="S556" s="77">
        <f t="shared" si="18"/>
        <v>2</v>
      </c>
      <c r="T556" s="77"/>
      <c r="U556" s="37" t="s">
        <v>2242</v>
      </c>
      <c r="V556" s="37" t="s">
        <v>2250</v>
      </c>
      <c r="W556" s="37"/>
      <c r="X556" s="37" t="s">
        <v>20</v>
      </c>
    </row>
    <row r="557" spans="1:24" x14ac:dyDescent="0.3">
      <c r="A557" s="37">
        <f t="shared" si="19"/>
        <v>556</v>
      </c>
      <c r="B557" s="76" t="s">
        <v>236</v>
      </c>
      <c r="C557" s="76" t="s">
        <v>235</v>
      </c>
      <c r="D557" s="76" t="s">
        <v>2521</v>
      </c>
      <c r="E557" s="77">
        <v>399201442</v>
      </c>
      <c r="F557" s="77">
        <v>2500000</v>
      </c>
      <c r="G557" s="77" t="s">
        <v>2827</v>
      </c>
      <c r="H557" s="77" t="s">
        <v>2828</v>
      </c>
      <c r="I557" s="76" t="s">
        <v>2102</v>
      </c>
      <c r="J557" s="76" t="s">
        <v>48</v>
      </c>
      <c r="K557" s="76" t="e">
        <f>VLOOKUP($B557,'WILL TOKO SEP'!A558:AK1297,37,0)</f>
        <v>#N/A</v>
      </c>
      <c r="L557" s="76" t="s">
        <v>2104</v>
      </c>
      <c r="M557" s="37" t="s">
        <v>8</v>
      </c>
      <c r="N557" s="78">
        <v>0</v>
      </c>
      <c r="O557" s="79">
        <v>46192</v>
      </c>
      <c r="P557" s="78">
        <v>0</v>
      </c>
      <c r="Q557" s="78">
        <v>0</v>
      </c>
      <c r="R557" s="79">
        <f>IFERROR(VLOOKUP($B557,JADWAL!$G$6:$J$690,4,0),"")</f>
        <v>46270</v>
      </c>
      <c r="S557" s="77">
        <f t="shared" si="18"/>
        <v>2</v>
      </c>
      <c r="T557" s="77"/>
      <c r="U557" s="37" t="s">
        <v>2242</v>
      </c>
      <c r="V557" s="37" t="s">
        <v>2250</v>
      </c>
      <c r="W557" s="37"/>
      <c r="X557" s="37" t="s">
        <v>44</v>
      </c>
    </row>
    <row r="558" spans="1:24" x14ac:dyDescent="0.3">
      <c r="A558" s="37">
        <f t="shared" si="19"/>
        <v>557</v>
      </c>
      <c r="B558" s="76" t="s">
        <v>26</v>
      </c>
      <c r="C558" s="76" t="s">
        <v>25</v>
      </c>
      <c r="D558" s="76" t="s">
        <v>2529</v>
      </c>
      <c r="E558" s="77">
        <v>395060887</v>
      </c>
      <c r="F558" s="77">
        <v>2000000</v>
      </c>
      <c r="G558" s="77" t="s">
        <v>2819</v>
      </c>
      <c r="H558" s="77" t="s">
        <v>2856</v>
      </c>
      <c r="I558" s="76" t="s">
        <v>2102</v>
      </c>
      <c r="J558" s="76" t="s">
        <v>9</v>
      </c>
      <c r="K558" s="76" t="e">
        <f>VLOOKUP($B558,'WILL TOKO SEP'!A559:AK1298,37,0)</f>
        <v>#N/A</v>
      </c>
      <c r="L558" s="76" t="s">
        <v>2104</v>
      </c>
      <c r="M558" s="37" t="s">
        <v>8</v>
      </c>
      <c r="N558" s="78">
        <v>0</v>
      </c>
      <c r="O558" s="79">
        <v>46181</v>
      </c>
      <c r="P558" s="78">
        <v>0</v>
      </c>
      <c r="Q558" s="78">
        <v>0</v>
      </c>
      <c r="R558" s="79">
        <f>IFERROR(VLOOKUP($B558,JADWAL!$G$6:$J$690,4,0),"")</f>
        <v>46267</v>
      </c>
      <c r="S558" s="77">
        <f t="shared" si="18"/>
        <v>2</v>
      </c>
      <c r="T558" s="77"/>
      <c r="U558" s="37" t="s">
        <v>2242</v>
      </c>
      <c r="V558" s="37" t="s">
        <v>2250</v>
      </c>
      <c r="W558" s="37"/>
      <c r="X558" s="37" t="s">
        <v>20</v>
      </c>
    </row>
    <row r="559" spans="1:24" x14ac:dyDescent="0.3">
      <c r="A559" s="37">
        <f t="shared" si="19"/>
        <v>558</v>
      </c>
      <c r="B559" s="76" t="s">
        <v>136</v>
      </c>
      <c r="C559" s="76" t="s">
        <v>135</v>
      </c>
      <c r="D559" s="76" t="s">
        <v>2536</v>
      </c>
      <c r="E559" s="77">
        <v>196436842</v>
      </c>
      <c r="F559" s="77">
        <v>2000000</v>
      </c>
      <c r="G559" s="77" t="s">
        <v>2867</v>
      </c>
      <c r="H559" s="77" t="s">
        <v>2870</v>
      </c>
      <c r="I559" s="76" t="s">
        <v>2102</v>
      </c>
      <c r="J559" s="76" t="s">
        <v>9</v>
      </c>
      <c r="K559" s="76" t="e">
        <f>VLOOKUP($B559,'WILL TOKO SEP'!A560:AK1299,37,0)</f>
        <v>#N/A</v>
      </c>
      <c r="L559" s="76" t="s">
        <v>2104</v>
      </c>
      <c r="M559" s="37" t="s">
        <v>8</v>
      </c>
      <c r="N559" s="78">
        <v>0</v>
      </c>
      <c r="O559" s="79">
        <v>46185</v>
      </c>
      <c r="P559" s="78">
        <v>0</v>
      </c>
      <c r="Q559" s="78">
        <v>0</v>
      </c>
      <c r="R559" s="79" t="str">
        <f>IFERROR(VLOOKUP($B559,JADWAL!$G$6:$J$690,4,0),"")</f>
        <v/>
      </c>
      <c r="S559" s="77">
        <f t="shared" si="18"/>
        <v>2</v>
      </c>
      <c r="T559" s="77"/>
      <c r="U559" s="37" t="s">
        <v>2242</v>
      </c>
      <c r="V559" s="37" t="s">
        <v>2250</v>
      </c>
      <c r="W559" s="37"/>
      <c r="X559" s="37" t="s">
        <v>124</v>
      </c>
    </row>
    <row r="560" spans="1:24" x14ac:dyDescent="0.3">
      <c r="A560" s="37">
        <f t="shared" si="19"/>
        <v>559</v>
      </c>
      <c r="B560" s="76" t="s">
        <v>155</v>
      </c>
      <c r="C560" s="76" t="s">
        <v>154</v>
      </c>
      <c r="D560" s="76" t="s">
        <v>2538</v>
      </c>
      <c r="E560" s="77">
        <v>567340754</v>
      </c>
      <c r="F560" s="77">
        <v>3500000</v>
      </c>
      <c r="G560" s="77" t="s">
        <v>2813</v>
      </c>
      <c r="H560" s="77" t="s">
        <v>2871</v>
      </c>
      <c r="I560" s="76" t="s">
        <v>2102</v>
      </c>
      <c r="J560" s="76" t="s">
        <v>9</v>
      </c>
      <c r="K560" s="76" t="e">
        <f>VLOOKUP($B560,'WILL TOKO SEP'!A561:AK1300,37,0)</f>
        <v>#N/A</v>
      </c>
      <c r="L560" s="76" t="s">
        <v>2104</v>
      </c>
      <c r="M560" s="37" t="s">
        <v>8</v>
      </c>
      <c r="N560" s="78">
        <v>0</v>
      </c>
      <c r="O560" s="79">
        <v>46191</v>
      </c>
      <c r="P560" s="78">
        <v>0</v>
      </c>
      <c r="Q560" s="78">
        <v>0</v>
      </c>
      <c r="R560" s="79" t="str">
        <f>IFERROR(VLOOKUP($B560,JADWAL!$G$6:$J$690,4,0),"")</f>
        <v/>
      </c>
      <c r="S560" s="77">
        <f t="shared" si="18"/>
        <v>2</v>
      </c>
      <c r="T560" s="77"/>
      <c r="U560" s="37" t="s">
        <v>2242</v>
      </c>
      <c r="V560" s="37" t="s">
        <v>2250</v>
      </c>
      <c r="W560" s="37"/>
      <c r="X560" s="37" t="s">
        <v>124</v>
      </c>
    </row>
    <row r="561" spans="1:24" x14ac:dyDescent="0.3">
      <c r="A561" s="37">
        <f t="shared" si="19"/>
        <v>560</v>
      </c>
      <c r="B561" s="76" t="s">
        <v>203</v>
      </c>
      <c r="C561" s="76" t="s">
        <v>202</v>
      </c>
      <c r="D561" s="76" t="s">
        <v>2556</v>
      </c>
      <c r="E561" s="77">
        <v>704613816</v>
      </c>
      <c r="F561" s="77">
        <v>4000000</v>
      </c>
      <c r="G561" s="77" t="s">
        <v>2825</v>
      </c>
      <c r="H561" s="77" t="s">
        <v>2836</v>
      </c>
      <c r="I561" s="76" t="s">
        <v>2102</v>
      </c>
      <c r="J561" s="76" t="s">
        <v>36</v>
      </c>
      <c r="K561" s="76" t="e">
        <f>VLOOKUP($B561,'WILL TOKO SEP'!A562:AK1301,37,0)</f>
        <v>#N/A</v>
      </c>
      <c r="L561" s="76" t="s">
        <v>2104</v>
      </c>
      <c r="M561" s="37" t="s">
        <v>8</v>
      </c>
      <c r="N561" s="79">
        <v>46168</v>
      </c>
      <c r="O561" s="79">
        <v>46196</v>
      </c>
      <c r="P561" s="78">
        <v>0</v>
      </c>
      <c r="Q561" s="78">
        <v>0</v>
      </c>
      <c r="R561" s="79" t="str">
        <f>IFERROR(VLOOKUP($B561,JADWAL!$G$6:$J$690,4,0),"")</f>
        <v/>
      </c>
      <c r="S561" s="77">
        <f t="shared" si="18"/>
        <v>1</v>
      </c>
      <c r="T561" s="77"/>
      <c r="U561" s="37" t="s">
        <v>2242</v>
      </c>
      <c r="V561" s="37" t="s">
        <v>2250</v>
      </c>
      <c r="W561" s="37"/>
      <c r="X561" s="37" t="s">
        <v>13</v>
      </c>
    </row>
    <row r="562" spans="1:24" x14ac:dyDescent="0.3">
      <c r="A562" s="37">
        <f t="shared" si="19"/>
        <v>561</v>
      </c>
      <c r="B562" s="76" t="s">
        <v>206</v>
      </c>
      <c r="C562" s="76" t="s">
        <v>205</v>
      </c>
      <c r="D562" s="76" t="s">
        <v>2562</v>
      </c>
      <c r="E562" s="77">
        <v>423592202</v>
      </c>
      <c r="F562" s="77">
        <v>2500000</v>
      </c>
      <c r="G562" s="77" t="s">
        <v>2821</v>
      </c>
      <c r="H562" s="77" t="s">
        <v>2846</v>
      </c>
      <c r="I562" s="76" t="s">
        <v>2102</v>
      </c>
      <c r="J562" s="76" t="s">
        <v>36</v>
      </c>
      <c r="K562" s="76" t="e">
        <f>VLOOKUP($B562,'WILL TOKO SEP'!A563:AK1302,37,0)</f>
        <v>#N/A</v>
      </c>
      <c r="L562" s="76" t="s">
        <v>2104</v>
      </c>
      <c r="M562" s="37" t="s">
        <v>8</v>
      </c>
      <c r="N562" s="79">
        <v>46160</v>
      </c>
      <c r="O562" s="79">
        <v>46191</v>
      </c>
      <c r="P562" s="78">
        <v>0</v>
      </c>
      <c r="Q562" s="78">
        <v>0</v>
      </c>
      <c r="R562" s="79">
        <f>IFERROR(VLOOKUP($B562,JADWAL!$G$6:$J$690,4,0),"")</f>
        <v>46269</v>
      </c>
      <c r="S562" s="77">
        <f t="shared" si="18"/>
        <v>1</v>
      </c>
      <c r="T562" s="77"/>
      <c r="U562" s="37" t="s">
        <v>2242</v>
      </c>
      <c r="V562" s="37" t="s">
        <v>2250</v>
      </c>
      <c r="W562" s="37"/>
      <c r="X562" s="37" t="s">
        <v>13</v>
      </c>
    </row>
    <row r="563" spans="1:24" x14ac:dyDescent="0.3">
      <c r="A563" s="37">
        <f t="shared" si="19"/>
        <v>562</v>
      </c>
      <c r="B563" s="76" t="s">
        <v>39</v>
      </c>
      <c r="C563" s="76" t="s">
        <v>38</v>
      </c>
      <c r="D563" s="76" t="s">
        <v>5579</v>
      </c>
      <c r="E563" s="77">
        <v>384207357</v>
      </c>
      <c r="F563" s="77">
        <v>2000000</v>
      </c>
      <c r="G563" s="77" t="s">
        <v>2821</v>
      </c>
      <c r="H563" s="77" t="s">
        <v>2822</v>
      </c>
      <c r="I563" s="76" t="s">
        <v>2102</v>
      </c>
      <c r="J563" s="76" t="s">
        <v>36</v>
      </c>
      <c r="K563" s="76" t="str">
        <f>VLOOKUP($B563,'WILL TOKO SEP'!A564:AK1303,37,0)</f>
        <v>Tabanan</v>
      </c>
      <c r="L563" s="76" t="s">
        <v>2104</v>
      </c>
      <c r="M563" s="37" t="s">
        <v>8</v>
      </c>
      <c r="N563" s="78">
        <v>0</v>
      </c>
      <c r="O563" s="79">
        <v>46178</v>
      </c>
      <c r="P563" s="78">
        <v>0</v>
      </c>
      <c r="Q563" s="78">
        <v>0</v>
      </c>
      <c r="R563" s="79">
        <f>IFERROR(VLOOKUP($B563,JADWAL!$G$6:$J$690,4,0),"")</f>
        <v>46266</v>
      </c>
      <c r="S563" s="77">
        <f t="shared" si="18"/>
        <v>2</v>
      </c>
      <c r="T563" s="77"/>
      <c r="U563" s="37" t="s">
        <v>2242</v>
      </c>
      <c r="V563" s="37" t="s">
        <v>2250</v>
      </c>
      <c r="W563" s="37"/>
      <c r="X563" s="37" t="s">
        <v>13</v>
      </c>
    </row>
    <row r="564" spans="1:24" x14ac:dyDescent="0.3">
      <c r="A564" s="37">
        <f t="shared" si="19"/>
        <v>563</v>
      </c>
      <c r="B564" s="76" t="s">
        <v>197</v>
      </c>
      <c r="C564" s="76" t="s">
        <v>196</v>
      </c>
      <c r="D564" s="76" t="s">
        <v>2567</v>
      </c>
      <c r="E564" s="77">
        <v>398563444</v>
      </c>
      <c r="F564" s="77">
        <v>2000000</v>
      </c>
      <c r="G564" s="77" t="s">
        <v>2825</v>
      </c>
      <c r="H564" s="77" t="s">
        <v>2853</v>
      </c>
      <c r="I564" s="76" t="s">
        <v>2102</v>
      </c>
      <c r="J564" s="76" t="s">
        <v>9</v>
      </c>
      <c r="K564" s="76" t="e">
        <f>VLOOKUP($B564,'WILL TOKO SEP'!A565:AK1304,37,0)</f>
        <v>#N/A</v>
      </c>
      <c r="L564" s="76" t="s">
        <v>2104</v>
      </c>
      <c r="M564" s="37" t="s">
        <v>8</v>
      </c>
      <c r="N564" s="78">
        <v>0</v>
      </c>
      <c r="O564" s="79">
        <v>46175</v>
      </c>
      <c r="P564" s="78">
        <v>0</v>
      </c>
      <c r="Q564" s="78">
        <v>0</v>
      </c>
      <c r="R564" s="79">
        <f>IFERROR(VLOOKUP($B564,JADWAL!$G$6:$J$690,4,0),"")</f>
        <v>46266</v>
      </c>
      <c r="S564" s="77">
        <f t="shared" si="18"/>
        <v>2</v>
      </c>
      <c r="T564" s="77"/>
      <c r="U564" s="37" t="s">
        <v>2242</v>
      </c>
      <c r="V564" s="37" t="s">
        <v>2250</v>
      </c>
      <c r="W564" s="37"/>
      <c r="X564" s="37" t="s">
        <v>20</v>
      </c>
    </row>
    <row r="565" spans="1:24" x14ac:dyDescent="0.3">
      <c r="A565" s="37">
        <f t="shared" si="19"/>
        <v>564</v>
      </c>
      <c r="B565" s="76" t="s">
        <v>114</v>
      </c>
      <c r="C565" s="76" t="s">
        <v>113</v>
      </c>
      <c r="D565" s="76" t="s">
        <v>2569</v>
      </c>
      <c r="E565" s="77">
        <v>332707225</v>
      </c>
      <c r="F565" s="77">
        <v>2500000</v>
      </c>
      <c r="G565" s="77" t="s">
        <v>2813</v>
      </c>
      <c r="H565" s="77" t="s">
        <v>2858</v>
      </c>
      <c r="I565" s="76" t="s">
        <v>2102</v>
      </c>
      <c r="J565" s="76" t="s">
        <v>36</v>
      </c>
      <c r="K565" s="76" t="e">
        <f>VLOOKUP($B565,'WILL TOKO SEP'!A566:AK1305,37,0)</f>
        <v>#N/A</v>
      </c>
      <c r="L565" s="76" t="s">
        <v>2104</v>
      </c>
      <c r="M565" s="37" t="s">
        <v>8</v>
      </c>
      <c r="N565" s="78">
        <v>0</v>
      </c>
      <c r="O565" s="79">
        <v>46178</v>
      </c>
      <c r="P565" s="78">
        <v>0</v>
      </c>
      <c r="Q565" s="78">
        <v>0</v>
      </c>
      <c r="R565" s="79">
        <f>IFERROR(VLOOKUP($B565,JADWAL!$G$6:$J$690,4,0),"")</f>
        <v>46266</v>
      </c>
      <c r="S565" s="77">
        <f t="shared" si="18"/>
        <v>2</v>
      </c>
      <c r="T565" s="77"/>
      <c r="U565" s="37" t="s">
        <v>2242</v>
      </c>
      <c r="V565" s="37" t="s">
        <v>2250</v>
      </c>
      <c r="W565" s="37"/>
      <c r="X565" s="37" t="s">
        <v>13</v>
      </c>
    </row>
    <row r="566" spans="1:24" x14ac:dyDescent="0.3">
      <c r="A566" s="37">
        <f t="shared" si="19"/>
        <v>565</v>
      </c>
      <c r="B566" s="76" t="s">
        <v>133</v>
      </c>
      <c r="C566" s="76" t="s">
        <v>132</v>
      </c>
      <c r="D566" s="76" t="s">
        <v>2573</v>
      </c>
      <c r="E566" s="77">
        <v>295576035</v>
      </c>
      <c r="F566" s="77">
        <v>2000000</v>
      </c>
      <c r="G566" s="77" t="s">
        <v>2813</v>
      </c>
      <c r="H566" s="77" t="s">
        <v>2871</v>
      </c>
      <c r="I566" s="76" t="s">
        <v>2102</v>
      </c>
      <c r="J566" s="76" t="s">
        <v>9</v>
      </c>
      <c r="K566" s="76" t="e">
        <f>VLOOKUP($B566,'WILL TOKO SEP'!A567:AK1306,37,0)</f>
        <v>#N/A</v>
      </c>
      <c r="L566" s="76" t="s">
        <v>2104</v>
      </c>
      <c r="M566" s="37" t="s">
        <v>8</v>
      </c>
      <c r="N566" s="78">
        <v>0</v>
      </c>
      <c r="O566" s="79">
        <v>46178</v>
      </c>
      <c r="P566" s="78">
        <v>0</v>
      </c>
      <c r="Q566" s="78">
        <v>0</v>
      </c>
      <c r="R566" s="79">
        <f>IFERROR(VLOOKUP($B566,JADWAL!$G$6:$J$690,4,0),"")</f>
        <v>46266</v>
      </c>
      <c r="S566" s="77">
        <f t="shared" si="18"/>
        <v>2</v>
      </c>
      <c r="T566" s="77"/>
      <c r="U566" s="37" t="s">
        <v>2242</v>
      </c>
      <c r="V566" s="37" t="s">
        <v>2250</v>
      </c>
      <c r="W566" s="37"/>
      <c r="X566" s="37" t="s">
        <v>124</v>
      </c>
    </row>
    <row r="567" spans="1:24" x14ac:dyDescent="0.3">
      <c r="A567" s="37">
        <f t="shared" si="19"/>
        <v>566</v>
      </c>
      <c r="B567" s="76" t="s">
        <v>61</v>
      </c>
      <c r="C567" s="76" t="s">
        <v>60</v>
      </c>
      <c r="D567" s="76" t="s">
        <v>2574</v>
      </c>
      <c r="E567" s="77">
        <v>540735121</v>
      </c>
      <c r="F567" s="77">
        <v>3000000</v>
      </c>
      <c r="G567" s="77" t="s">
        <v>2834</v>
      </c>
      <c r="H567" s="77" t="s">
        <v>2844</v>
      </c>
      <c r="I567" s="76" t="s">
        <v>2102</v>
      </c>
      <c r="J567" s="76" t="s">
        <v>58</v>
      </c>
      <c r="K567" s="76" t="e">
        <f>VLOOKUP($B567,'WILL TOKO SEP'!A568:AK1307,37,0)</f>
        <v>#N/A</v>
      </c>
      <c r="L567" s="76" t="s">
        <v>2104</v>
      </c>
      <c r="M567" s="37" t="s">
        <v>8</v>
      </c>
      <c r="N567" s="79">
        <v>46170</v>
      </c>
      <c r="O567" s="79">
        <v>46197</v>
      </c>
      <c r="P567" s="78">
        <v>0</v>
      </c>
      <c r="Q567" s="78">
        <v>0</v>
      </c>
      <c r="R567" s="79" t="str">
        <f>IFERROR(VLOOKUP($B567,JADWAL!$G$6:$J$690,4,0),"")</f>
        <v/>
      </c>
      <c r="S567" s="77">
        <f t="shared" si="18"/>
        <v>1</v>
      </c>
      <c r="T567" s="77"/>
      <c r="U567" s="37" t="s">
        <v>2242</v>
      </c>
      <c r="V567" s="37" t="s">
        <v>2250</v>
      </c>
      <c r="W567" s="37"/>
      <c r="X567" s="37" t="s">
        <v>27</v>
      </c>
    </row>
    <row r="568" spans="1:24" x14ac:dyDescent="0.3">
      <c r="A568" s="37">
        <f t="shared" si="19"/>
        <v>567</v>
      </c>
      <c r="B568" s="76" t="s">
        <v>248</v>
      </c>
      <c r="C568" s="76" t="s">
        <v>247</v>
      </c>
      <c r="D568" s="76" t="s">
        <v>2581</v>
      </c>
      <c r="E568" s="77">
        <v>482020713</v>
      </c>
      <c r="F568" s="77">
        <v>2500000</v>
      </c>
      <c r="G568" s="77" t="s">
        <v>2830</v>
      </c>
      <c r="H568" s="77" t="s">
        <v>2860</v>
      </c>
      <c r="I568" s="76" t="s">
        <v>2102</v>
      </c>
      <c r="J568" s="76" t="s">
        <v>9</v>
      </c>
      <c r="K568" s="76" t="e">
        <f>VLOOKUP($B568,'WILL TOKO SEP'!A569:AK1308,37,0)</f>
        <v>#N/A</v>
      </c>
      <c r="L568" s="76" t="s">
        <v>2104</v>
      </c>
      <c r="M568" s="37" t="s">
        <v>8</v>
      </c>
      <c r="N568" s="78">
        <v>0</v>
      </c>
      <c r="O568" s="79">
        <v>46188</v>
      </c>
      <c r="P568" s="78">
        <v>0</v>
      </c>
      <c r="Q568" s="78">
        <v>0</v>
      </c>
      <c r="R568" s="79" t="str">
        <f>IFERROR(VLOOKUP($B568,JADWAL!$G$6:$J$690,4,0),"")</f>
        <v/>
      </c>
      <c r="S568" s="77">
        <f t="shared" si="18"/>
        <v>2</v>
      </c>
      <c r="T568" s="77"/>
      <c r="U568" s="37" t="s">
        <v>2242</v>
      </c>
      <c r="V568" s="37" t="s">
        <v>2250</v>
      </c>
      <c r="W568" s="37"/>
      <c r="X568" s="37" t="s">
        <v>20</v>
      </c>
    </row>
    <row r="569" spans="1:24" x14ac:dyDescent="0.3">
      <c r="A569" s="37">
        <f t="shared" si="19"/>
        <v>568</v>
      </c>
      <c r="B569" s="76" t="s">
        <v>117</v>
      </c>
      <c r="C569" s="76" t="s">
        <v>116</v>
      </c>
      <c r="D569" s="76" t="s">
        <v>5243</v>
      </c>
      <c r="E569" s="77">
        <v>492546738</v>
      </c>
      <c r="F569" s="77">
        <v>3000000</v>
      </c>
      <c r="G569" s="77" t="s">
        <v>2819</v>
      </c>
      <c r="H569" s="77" t="s">
        <v>2820</v>
      </c>
      <c r="I569" s="76" t="s">
        <v>2102</v>
      </c>
      <c r="J569" s="76" t="s">
        <v>4</v>
      </c>
      <c r="K569" s="76" t="str">
        <f>VLOOKUP($B569,'WILL TOKO SEP'!A570:AK1309,37,0)</f>
        <v>DENPASAR BARAT</v>
      </c>
      <c r="L569" s="76" t="s">
        <v>2104</v>
      </c>
      <c r="M569" s="37" t="s">
        <v>8</v>
      </c>
      <c r="N569" s="79">
        <v>46165</v>
      </c>
      <c r="O569" s="79">
        <v>46199</v>
      </c>
      <c r="P569" s="78">
        <v>0</v>
      </c>
      <c r="Q569" s="78">
        <v>0</v>
      </c>
      <c r="R569" s="79" t="str">
        <f>IFERROR(VLOOKUP($B569,JADWAL!$G$6:$J$690,4,0),"")</f>
        <v/>
      </c>
      <c r="S569" s="77">
        <f t="shared" si="18"/>
        <v>1</v>
      </c>
      <c r="T569" s="77"/>
      <c r="U569" s="37" t="s">
        <v>2242</v>
      </c>
      <c r="V569" s="37" t="s">
        <v>2250</v>
      </c>
      <c r="W569" s="37"/>
      <c r="X569" s="37" t="s">
        <v>2</v>
      </c>
    </row>
    <row r="570" spans="1:24" x14ac:dyDescent="0.3">
      <c r="A570" s="37">
        <f t="shared" si="19"/>
        <v>569</v>
      </c>
      <c r="B570" s="76" t="s">
        <v>149</v>
      </c>
      <c r="C570" s="76" t="s">
        <v>148</v>
      </c>
      <c r="D570" s="76" t="s">
        <v>5518</v>
      </c>
      <c r="E570" s="77">
        <v>411332126</v>
      </c>
      <c r="F570" s="77">
        <v>2000000</v>
      </c>
      <c r="G570" s="77" t="s">
        <v>2821</v>
      </c>
      <c r="H570" s="77" t="s">
        <v>2846</v>
      </c>
      <c r="I570" s="76" t="s">
        <v>2102</v>
      </c>
      <c r="J570" s="76" t="s">
        <v>36</v>
      </c>
      <c r="K570" s="76" t="str">
        <f>VLOOKUP($B570,'WILL TOKO SEP'!A571:AK1310,37,0)</f>
        <v>KERAMBITAN</v>
      </c>
      <c r="L570" s="76" t="s">
        <v>2104</v>
      </c>
      <c r="M570" s="37" t="s">
        <v>8</v>
      </c>
      <c r="N570" s="78">
        <v>0</v>
      </c>
      <c r="O570" s="79">
        <v>46184</v>
      </c>
      <c r="P570" s="78">
        <v>0</v>
      </c>
      <c r="Q570" s="78">
        <v>0</v>
      </c>
      <c r="R570" s="79" t="str">
        <f>IFERROR(VLOOKUP($B570,JADWAL!$G$6:$J$690,4,0),"")</f>
        <v/>
      </c>
      <c r="S570" s="77">
        <f t="shared" si="18"/>
        <v>2</v>
      </c>
      <c r="T570" s="77"/>
      <c r="U570" s="37" t="s">
        <v>2242</v>
      </c>
      <c r="V570" s="37" t="s">
        <v>2250</v>
      </c>
      <c r="W570" s="37"/>
      <c r="X570" s="37" t="s">
        <v>13</v>
      </c>
    </row>
    <row r="571" spans="1:24" x14ac:dyDescent="0.3">
      <c r="A571" s="37">
        <f t="shared" si="19"/>
        <v>570</v>
      </c>
      <c r="B571" s="76" t="s">
        <v>35</v>
      </c>
      <c r="C571" s="76" t="s">
        <v>34</v>
      </c>
      <c r="D571" s="76" t="s">
        <v>2589</v>
      </c>
      <c r="E571" s="77">
        <v>601634155</v>
      </c>
      <c r="F571" s="77">
        <v>3500000</v>
      </c>
      <c r="G571" s="77" t="s">
        <v>2834</v>
      </c>
      <c r="H571" s="77" t="s">
        <v>2835</v>
      </c>
      <c r="I571" s="76" t="s">
        <v>2102</v>
      </c>
      <c r="J571" s="76" t="s">
        <v>32</v>
      </c>
      <c r="K571" s="76" t="e">
        <f>VLOOKUP($B571,'WILL TOKO SEP'!A572:AK1311,37,0)</f>
        <v>#N/A</v>
      </c>
      <c r="L571" s="76" t="s">
        <v>2104</v>
      </c>
      <c r="M571" s="37" t="s">
        <v>8</v>
      </c>
      <c r="N571" s="78">
        <v>0</v>
      </c>
      <c r="O571" s="79">
        <v>46182</v>
      </c>
      <c r="P571" s="78">
        <v>0</v>
      </c>
      <c r="Q571" s="78">
        <v>0</v>
      </c>
      <c r="R571" s="79" t="str">
        <f>IFERROR(VLOOKUP($B571,JADWAL!$G$6:$J$690,4,0),"")</f>
        <v/>
      </c>
      <c r="S571" s="77">
        <f t="shared" si="18"/>
        <v>2</v>
      </c>
      <c r="T571" s="77"/>
      <c r="U571" s="37" t="s">
        <v>2242</v>
      </c>
      <c r="V571" s="37" t="s">
        <v>2250</v>
      </c>
      <c r="W571" s="37"/>
      <c r="X571" s="37" t="s">
        <v>27</v>
      </c>
    </row>
    <row r="572" spans="1:24" x14ac:dyDescent="0.3">
      <c r="A572" s="37">
        <f t="shared" si="19"/>
        <v>571</v>
      </c>
      <c r="B572" s="76" t="s">
        <v>161</v>
      </c>
      <c r="C572" s="76" t="s">
        <v>5741</v>
      </c>
      <c r="D572" s="76" t="s">
        <v>2601</v>
      </c>
      <c r="E572" s="77">
        <v>490268252</v>
      </c>
      <c r="F572" s="77">
        <v>2500000</v>
      </c>
      <c r="G572" s="77" t="s">
        <v>2834</v>
      </c>
      <c r="H572" s="77" t="s">
        <v>2835</v>
      </c>
      <c r="I572" s="76" t="s">
        <v>2102</v>
      </c>
      <c r="J572" s="76" t="s">
        <v>32</v>
      </c>
      <c r="K572" s="76" t="e">
        <f>VLOOKUP($B572,'WILL TOKO SEP'!A573:AK1312,37,0)</f>
        <v>#N/A</v>
      </c>
      <c r="L572" s="76" t="s">
        <v>2104</v>
      </c>
      <c r="M572" s="37" t="s">
        <v>8</v>
      </c>
      <c r="N572" s="78">
        <v>0</v>
      </c>
      <c r="O572" s="79">
        <v>46176</v>
      </c>
      <c r="P572" s="78">
        <v>0</v>
      </c>
      <c r="Q572" s="78">
        <v>0</v>
      </c>
      <c r="R572" s="79">
        <f>IFERROR(VLOOKUP($B572,JADWAL!$G$6:$J$690,4,0),"")</f>
        <v>46267</v>
      </c>
      <c r="S572" s="77">
        <f t="shared" si="18"/>
        <v>2</v>
      </c>
      <c r="T572" s="77"/>
      <c r="U572" s="37" t="s">
        <v>2242</v>
      </c>
      <c r="V572" s="37" t="s">
        <v>2250</v>
      </c>
      <c r="W572" s="37"/>
      <c r="X572" s="37" t="s">
        <v>27</v>
      </c>
    </row>
    <row r="573" spans="1:24" x14ac:dyDescent="0.3">
      <c r="A573" s="37">
        <f t="shared" si="19"/>
        <v>572</v>
      </c>
      <c r="B573" s="76" t="s">
        <v>242</v>
      </c>
      <c r="C573" s="76" t="s">
        <v>241</v>
      </c>
      <c r="D573" s="76" t="s">
        <v>2618</v>
      </c>
      <c r="E573" s="77">
        <v>264120700</v>
      </c>
      <c r="F573" s="77">
        <v>2000000</v>
      </c>
      <c r="G573" s="77" t="s">
        <v>2827</v>
      </c>
      <c r="H573" s="77" t="s">
        <v>2828</v>
      </c>
      <c r="I573" s="76" t="s">
        <v>2102</v>
      </c>
      <c r="J573" s="76" t="s">
        <v>48</v>
      </c>
      <c r="K573" s="76" t="e">
        <f>VLOOKUP($B573,'WILL TOKO SEP'!A574:AK1313,37,0)</f>
        <v>#N/A</v>
      </c>
      <c r="L573" s="76" t="s">
        <v>2104</v>
      </c>
      <c r="M573" s="37" t="s">
        <v>8</v>
      </c>
      <c r="N573" s="79">
        <v>46170</v>
      </c>
      <c r="O573" s="79">
        <v>46193</v>
      </c>
      <c r="P573" s="78">
        <v>0</v>
      </c>
      <c r="Q573" s="78">
        <v>0</v>
      </c>
      <c r="R573" s="79" t="str">
        <f>IFERROR(VLOOKUP($B573,JADWAL!$G$6:$J$690,4,0),"")</f>
        <v/>
      </c>
      <c r="S573" s="77">
        <f t="shared" si="18"/>
        <v>1</v>
      </c>
      <c r="T573" s="77"/>
      <c r="U573" s="37" t="s">
        <v>2242</v>
      </c>
      <c r="V573" s="37" t="s">
        <v>2250</v>
      </c>
      <c r="W573" s="37"/>
      <c r="X573" s="37" t="s">
        <v>44</v>
      </c>
    </row>
    <row r="574" spans="1:24" x14ac:dyDescent="0.3">
      <c r="A574" s="37">
        <f t="shared" si="19"/>
        <v>573</v>
      </c>
      <c r="B574" s="76" t="s">
        <v>139</v>
      </c>
      <c r="C574" s="76" t="s">
        <v>5757</v>
      </c>
      <c r="D574" s="76" t="s">
        <v>2619</v>
      </c>
      <c r="E574" s="77">
        <v>432888446</v>
      </c>
      <c r="F574" s="77">
        <v>2500000</v>
      </c>
      <c r="G574" s="77" t="s">
        <v>2817</v>
      </c>
      <c r="H574" s="77" t="s">
        <v>2865</v>
      </c>
      <c r="I574" s="76" t="s">
        <v>2102</v>
      </c>
      <c r="J574" s="76" t="s">
        <v>9</v>
      </c>
      <c r="K574" s="76" t="e">
        <f>VLOOKUP($B574,'WILL TOKO SEP'!A575:AK1314,37,0)</f>
        <v>#N/A</v>
      </c>
      <c r="L574" s="76" t="s">
        <v>2104</v>
      </c>
      <c r="M574" s="37" t="s">
        <v>8</v>
      </c>
      <c r="N574" s="78">
        <v>0</v>
      </c>
      <c r="O574" s="79">
        <v>46179</v>
      </c>
      <c r="P574" s="78">
        <v>0</v>
      </c>
      <c r="Q574" s="78">
        <v>0</v>
      </c>
      <c r="R574" s="79">
        <f>IFERROR(VLOOKUP($B574,JADWAL!$G$6:$J$690,4,0),"")</f>
        <v>46269</v>
      </c>
      <c r="S574" s="77">
        <f t="shared" si="18"/>
        <v>2</v>
      </c>
      <c r="T574" s="77"/>
      <c r="U574" s="37" t="s">
        <v>2242</v>
      </c>
      <c r="V574" s="37" t="s">
        <v>2250</v>
      </c>
      <c r="W574" s="37"/>
      <c r="X574" s="37" t="s">
        <v>20</v>
      </c>
    </row>
    <row r="575" spans="1:24" x14ac:dyDescent="0.3">
      <c r="A575" s="37">
        <f t="shared" si="19"/>
        <v>574</v>
      </c>
      <c r="B575" s="76" t="s">
        <v>166</v>
      </c>
      <c r="C575" s="76" t="s">
        <v>5747</v>
      </c>
      <c r="D575" s="76" t="s">
        <v>2629</v>
      </c>
      <c r="E575" s="77">
        <v>490303666</v>
      </c>
      <c r="F575" s="77">
        <v>2500000</v>
      </c>
      <c r="G575" s="77" t="s">
        <v>2825</v>
      </c>
      <c r="H575" s="77" t="s">
        <v>2837</v>
      </c>
      <c r="I575" s="76" t="s">
        <v>2102</v>
      </c>
      <c r="J575" s="76" t="s">
        <v>9</v>
      </c>
      <c r="K575" s="76" t="e">
        <f>VLOOKUP($B575,'WILL TOKO SEP'!A576:AK1315,37,0)</f>
        <v>#N/A</v>
      </c>
      <c r="L575" s="76" t="s">
        <v>2104</v>
      </c>
      <c r="M575" s="37" t="s">
        <v>8</v>
      </c>
      <c r="N575" s="78">
        <v>0</v>
      </c>
      <c r="O575" s="79">
        <v>46181</v>
      </c>
      <c r="P575" s="78">
        <v>0</v>
      </c>
      <c r="Q575" s="78">
        <v>0</v>
      </c>
      <c r="R575" s="79">
        <f>IFERROR(VLOOKUP($B575,JADWAL!$G$6:$J$690,4,0),"")</f>
        <v>46266</v>
      </c>
      <c r="S575" s="77">
        <f t="shared" si="18"/>
        <v>2</v>
      </c>
      <c r="T575" s="77"/>
      <c r="U575" s="37" t="s">
        <v>2242</v>
      </c>
      <c r="V575" s="37" t="s">
        <v>2250</v>
      </c>
      <c r="W575" s="37"/>
      <c r="X575" s="37" t="s">
        <v>20</v>
      </c>
    </row>
    <row r="576" spans="1:24" x14ac:dyDescent="0.3">
      <c r="A576" s="37">
        <f t="shared" si="19"/>
        <v>575</v>
      </c>
      <c r="B576" s="76" t="s">
        <v>43</v>
      </c>
      <c r="C576" s="76" t="s">
        <v>42</v>
      </c>
      <c r="D576" s="76" t="s">
        <v>2630</v>
      </c>
      <c r="E576" s="77">
        <v>458404867</v>
      </c>
      <c r="F576" s="77">
        <v>2500000</v>
      </c>
      <c r="G576" s="77" t="s">
        <v>2834</v>
      </c>
      <c r="H576" s="77" t="s">
        <v>2869</v>
      </c>
      <c r="I576" s="76" t="s">
        <v>2102</v>
      </c>
      <c r="J576" s="76" t="s">
        <v>40</v>
      </c>
      <c r="K576" s="76" t="e">
        <f>VLOOKUP($B576,'WILL TOKO SEP'!A577:AK1316,37,0)</f>
        <v>#N/A</v>
      </c>
      <c r="L576" s="76" t="s">
        <v>2104</v>
      </c>
      <c r="M576" s="37" t="s">
        <v>8</v>
      </c>
      <c r="N576" s="79">
        <v>46171</v>
      </c>
      <c r="O576" s="79">
        <v>46203</v>
      </c>
      <c r="P576" s="78">
        <v>0</v>
      </c>
      <c r="Q576" s="78">
        <v>0</v>
      </c>
      <c r="R576" s="79" t="str">
        <f>IFERROR(VLOOKUP($B576,JADWAL!$G$6:$J$690,4,0),"")</f>
        <v/>
      </c>
      <c r="S576" s="77">
        <f t="shared" si="18"/>
        <v>1</v>
      </c>
      <c r="T576" s="77"/>
      <c r="U576" s="37" t="s">
        <v>2242</v>
      </c>
      <c r="V576" s="37" t="s">
        <v>2250</v>
      </c>
      <c r="W576" s="37"/>
      <c r="X576" s="37" t="s">
        <v>27</v>
      </c>
    </row>
    <row r="577" spans="1:24" x14ac:dyDescent="0.3">
      <c r="A577" s="37">
        <f t="shared" si="19"/>
        <v>576</v>
      </c>
      <c r="B577" s="76" t="s">
        <v>152</v>
      </c>
      <c r="C577" s="76" t="s">
        <v>151</v>
      </c>
      <c r="D577" s="76" t="s">
        <v>5267</v>
      </c>
      <c r="E577" s="77">
        <v>432320166</v>
      </c>
      <c r="F577" s="77">
        <v>2000000</v>
      </c>
      <c r="G577" s="77" t="s">
        <v>2815</v>
      </c>
      <c r="H577" s="77" t="s">
        <v>2859</v>
      </c>
      <c r="I577" s="76" t="s">
        <v>2102</v>
      </c>
      <c r="J577" s="76" t="s">
        <v>28</v>
      </c>
      <c r="K577" s="76" t="str">
        <f>VLOOKUP($B577,'WILL TOKO SEP'!A578:AK1317,37,0)</f>
        <v>SUKAWATI</v>
      </c>
      <c r="L577" s="76" t="s">
        <v>2103</v>
      </c>
      <c r="M577" s="37" t="s">
        <v>8</v>
      </c>
      <c r="N577" s="78">
        <v>0</v>
      </c>
      <c r="O577" s="79">
        <v>46175</v>
      </c>
      <c r="P577" s="78">
        <v>0</v>
      </c>
      <c r="Q577" s="78">
        <v>0</v>
      </c>
      <c r="R577" s="79">
        <f>IFERROR(VLOOKUP($B577,JADWAL!$G$6:$J$690,4,0),"")</f>
        <v>46267</v>
      </c>
      <c r="S577" s="77">
        <f t="shared" si="18"/>
        <v>2</v>
      </c>
      <c r="T577" s="77"/>
      <c r="U577" s="37" t="s">
        <v>2242</v>
      </c>
      <c r="V577" s="37" t="s">
        <v>2250</v>
      </c>
      <c r="W577" s="37"/>
      <c r="X577" s="37" t="s">
        <v>27</v>
      </c>
    </row>
    <row r="578" spans="1:24" x14ac:dyDescent="0.3">
      <c r="A578" s="37">
        <f t="shared" si="19"/>
        <v>577</v>
      </c>
      <c r="B578" s="76" t="s">
        <v>214</v>
      </c>
      <c r="C578" s="76" t="s">
        <v>213</v>
      </c>
      <c r="D578" s="76" t="s">
        <v>2692</v>
      </c>
      <c r="E578" s="77">
        <v>406956920</v>
      </c>
      <c r="F578" s="77">
        <v>2000000</v>
      </c>
      <c r="G578" s="77" t="s">
        <v>2813</v>
      </c>
      <c r="H578" s="77" t="s">
        <v>2824</v>
      </c>
      <c r="I578" s="76" t="s">
        <v>2102</v>
      </c>
      <c r="J578" s="76" t="s">
        <v>9</v>
      </c>
      <c r="K578" s="76" t="e">
        <f>VLOOKUP($B578,'WILL TOKO SEP'!A579:AK1318,37,0)</f>
        <v>#N/A</v>
      </c>
      <c r="L578" s="76" t="s">
        <v>2103</v>
      </c>
      <c r="M578" s="37" t="s">
        <v>8</v>
      </c>
      <c r="N578" s="78">
        <v>0</v>
      </c>
      <c r="O578" s="79">
        <v>46181</v>
      </c>
      <c r="P578" s="78">
        <v>0</v>
      </c>
      <c r="Q578" s="78">
        <v>0</v>
      </c>
      <c r="R578" s="79">
        <f>IFERROR(VLOOKUP($B578,JADWAL!$G$6:$J$690,4,0),"")</f>
        <v>46268</v>
      </c>
      <c r="S578" s="77">
        <f t="shared" ref="S578:S585" si="20">COUNTIF(N578:P578,"0")</f>
        <v>2</v>
      </c>
      <c r="T578" s="77"/>
      <c r="U578" s="37" t="s">
        <v>2242</v>
      </c>
      <c r="V578" s="37" t="s">
        <v>2250</v>
      </c>
      <c r="W578" s="37"/>
      <c r="X578" s="37" t="s">
        <v>124</v>
      </c>
    </row>
    <row r="579" spans="1:24" x14ac:dyDescent="0.3">
      <c r="A579" s="37">
        <f t="shared" si="19"/>
        <v>578</v>
      </c>
      <c r="B579" s="76" t="s">
        <v>245</v>
      </c>
      <c r="C579" s="76" t="s">
        <v>244</v>
      </c>
      <c r="D579" s="76" t="s">
        <v>2693</v>
      </c>
      <c r="E579" s="77">
        <v>560202175</v>
      </c>
      <c r="F579" s="77">
        <v>3000000</v>
      </c>
      <c r="G579" s="77" t="s">
        <v>2827</v>
      </c>
      <c r="H579" s="77" t="s">
        <v>2866</v>
      </c>
      <c r="I579" s="76" t="s">
        <v>2102</v>
      </c>
      <c r="J579" s="76" t="s">
        <v>48</v>
      </c>
      <c r="K579" s="76" t="e">
        <f>VLOOKUP($B579,'WILL TOKO SEP'!A580:AK1319,37,0)</f>
        <v>#N/A</v>
      </c>
      <c r="L579" s="76" t="s">
        <v>2104</v>
      </c>
      <c r="M579" s="37" t="s">
        <v>8</v>
      </c>
      <c r="N579" s="79">
        <v>46161</v>
      </c>
      <c r="O579" s="79">
        <v>46199</v>
      </c>
      <c r="P579" s="78">
        <v>0</v>
      </c>
      <c r="Q579" s="78">
        <v>0</v>
      </c>
      <c r="R579" s="79">
        <f>IFERROR(VLOOKUP($B579,JADWAL!$G$6:$J$690,4,0),"")</f>
        <v>46267</v>
      </c>
      <c r="S579" s="77">
        <f t="shared" si="20"/>
        <v>1</v>
      </c>
      <c r="T579" s="77"/>
      <c r="U579" s="37" t="s">
        <v>2242</v>
      </c>
      <c r="V579" s="37" t="s">
        <v>2250</v>
      </c>
      <c r="W579" s="37"/>
      <c r="X579" s="37" t="s">
        <v>44</v>
      </c>
    </row>
    <row r="580" spans="1:24" x14ac:dyDescent="0.3">
      <c r="A580" s="37">
        <f t="shared" ref="A580:A585" si="21">A579+1</f>
        <v>579</v>
      </c>
      <c r="B580" s="76" t="s">
        <v>174</v>
      </c>
      <c r="C580" s="76" t="s">
        <v>173</v>
      </c>
      <c r="D580" s="76" t="s">
        <v>2695</v>
      </c>
      <c r="E580" s="77">
        <v>499159652</v>
      </c>
      <c r="F580" s="77">
        <v>2000000</v>
      </c>
      <c r="G580" s="77" t="s">
        <v>2827</v>
      </c>
      <c r="H580" s="77" t="s">
        <v>2864</v>
      </c>
      <c r="I580" s="76" t="s">
        <v>2102</v>
      </c>
      <c r="J580" s="76" t="s">
        <v>48</v>
      </c>
      <c r="K580" s="76" t="e">
        <f>VLOOKUP($B580,'WILL TOKO SEP'!A581:AK1320,37,0)</f>
        <v>#N/A</v>
      </c>
      <c r="L580" s="76" t="s">
        <v>2104</v>
      </c>
      <c r="M580" s="37" t="s">
        <v>8</v>
      </c>
      <c r="N580" s="78">
        <v>0</v>
      </c>
      <c r="O580" s="79">
        <v>46184</v>
      </c>
      <c r="P580" s="78">
        <v>0</v>
      </c>
      <c r="Q580" s="78">
        <v>0</v>
      </c>
      <c r="R580" s="79">
        <f>IFERROR(VLOOKUP($B580,JADWAL!$G$6:$J$690,4,0),"")</f>
        <v>46266</v>
      </c>
      <c r="S580" s="77">
        <f t="shared" si="20"/>
        <v>2</v>
      </c>
      <c r="T580" s="77"/>
      <c r="U580" s="37" t="s">
        <v>2242</v>
      </c>
      <c r="V580" s="37" t="s">
        <v>2250</v>
      </c>
      <c r="W580" s="37"/>
      <c r="X580" s="37" t="s">
        <v>44</v>
      </c>
    </row>
    <row r="581" spans="1:24" x14ac:dyDescent="0.3">
      <c r="A581" s="37">
        <f t="shared" si="21"/>
        <v>580</v>
      </c>
      <c r="B581" s="76" t="s">
        <v>127</v>
      </c>
      <c r="C581" s="76" t="s">
        <v>5750</v>
      </c>
      <c r="D581" s="76" t="s">
        <v>2709</v>
      </c>
      <c r="E581" s="77">
        <v>448923703</v>
      </c>
      <c r="F581" s="77">
        <v>2000000</v>
      </c>
      <c r="G581" s="77" t="s">
        <v>2817</v>
      </c>
      <c r="H581" s="77" t="s">
        <v>2865</v>
      </c>
      <c r="I581" s="76" t="s">
        <v>2102</v>
      </c>
      <c r="J581" s="76" t="s">
        <v>9</v>
      </c>
      <c r="K581" s="76" t="e">
        <f>VLOOKUP($B581,'WILL TOKO SEP'!A582:AK1321,37,0)</f>
        <v>#N/A</v>
      </c>
      <c r="L581" s="76" t="s">
        <v>2104</v>
      </c>
      <c r="M581" s="37" t="s">
        <v>8</v>
      </c>
      <c r="N581" s="78">
        <v>0</v>
      </c>
      <c r="O581" s="79">
        <v>46178</v>
      </c>
      <c r="P581" s="78">
        <v>0</v>
      </c>
      <c r="Q581" s="78">
        <v>0</v>
      </c>
      <c r="R581" s="79">
        <f>IFERROR(VLOOKUP($B581,JADWAL!$G$6:$J$690,4,0),"")</f>
        <v>46266</v>
      </c>
      <c r="S581" s="77">
        <f t="shared" si="20"/>
        <v>2</v>
      </c>
      <c r="T581" s="77"/>
      <c r="U581" s="37" t="s">
        <v>2242</v>
      </c>
      <c r="V581" s="37" t="s">
        <v>2250</v>
      </c>
      <c r="W581" s="37"/>
      <c r="X581" s="37" t="s">
        <v>124</v>
      </c>
    </row>
    <row r="582" spans="1:24" x14ac:dyDescent="0.3">
      <c r="A582" s="37">
        <f t="shared" si="21"/>
        <v>581</v>
      </c>
      <c r="B582" s="76" t="s">
        <v>80</v>
      </c>
      <c r="C582" s="76" t="s">
        <v>79</v>
      </c>
      <c r="D582" s="76" t="s">
        <v>2710</v>
      </c>
      <c r="E582" s="77">
        <v>364538918</v>
      </c>
      <c r="F582" s="77">
        <v>2000000</v>
      </c>
      <c r="G582" s="77" t="s">
        <v>2830</v>
      </c>
      <c r="H582" s="77" t="s">
        <v>2847</v>
      </c>
      <c r="I582" s="76" t="s">
        <v>2102</v>
      </c>
      <c r="J582" s="76" t="s">
        <v>4</v>
      </c>
      <c r="K582" s="76" t="e">
        <f>VLOOKUP($B582,'WILL TOKO SEP'!A583:AK1322,37,0)</f>
        <v>#N/A</v>
      </c>
      <c r="L582" s="76" t="s">
        <v>2103</v>
      </c>
      <c r="M582" s="37" t="s">
        <v>8</v>
      </c>
      <c r="N582" s="78">
        <v>0</v>
      </c>
      <c r="O582" s="79">
        <v>46176</v>
      </c>
      <c r="P582" s="78">
        <v>0</v>
      </c>
      <c r="Q582" s="78">
        <v>0</v>
      </c>
      <c r="R582" s="79">
        <f>IFERROR(VLOOKUP($B582,JADWAL!$G$6:$J$690,4,0),"")</f>
        <v>46266</v>
      </c>
      <c r="S582" s="77">
        <f t="shared" si="20"/>
        <v>2</v>
      </c>
      <c r="T582" s="77"/>
      <c r="U582" s="37" t="s">
        <v>2242</v>
      </c>
      <c r="V582" s="37" t="s">
        <v>2250</v>
      </c>
      <c r="W582" s="37"/>
      <c r="X582" s="37" t="s">
        <v>77</v>
      </c>
    </row>
    <row r="583" spans="1:24" x14ac:dyDescent="0.3">
      <c r="A583" s="37">
        <f t="shared" si="21"/>
        <v>582</v>
      </c>
      <c r="B583" s="76" t="s">
        <v>209</v>
      </c>
      <c r="C583" s="76" t="s">
        <v>208</v>
      </c>
      <c r="D583" s="76" t="s">
        <v>2711</v>
      </c>
      <c r="E583" s="77">
        <v>429541707</v>
      </c>
      <c r="F583" s="77">
        <v>3000000</v>
      </c>
      <c r="G583" s="77" t="s">
        <v>2815</v>
      </c>
      <c r="H583" s="77" t="s">
        <v>2859</v>
      </c>
      <c r="I583" s="76" t="s">
        <v>2102</v>
      </c>
      <c r="J583" s="76" t="s">
        <v>28</v>
      </c>
      <c r="K583" s="76" t="e">
        <f>VLOOKUP($B583,'WILL TOKO SEP'!A584:AK1323,37,0)</f>
        <v>#N/A</v>
      </c>
      <c r="L583" s="76" t="s">
        <v>2103</v>
      </c>
      <c r="M583" s="37" t="s">
        <v>8</v>
      </c>
      <c r="N583" s="78">
        <v>0</v>
      </c>
      <c r="O583" s="79">
        <v>46178</v>
      </c>
      <c r="P583" s="78">
        <v>0</v>
      </c>
      <c r="Q583" s="78">
        <v>0</v>
      </c>
      <c r="R583" s="79">
        <f>IFERROR(VLOOKUP($B583,JADWAL!$G$6:$J$690,4,0),"")</f>
        <v>46267</v>
      </c>
      <c r="S583" s="77">
        <f t="shared" si="20"/>
        <v>2</v>
      </c>
      <c r="T583" s="77"/>
      <c r="U583" s="37" t="s">
        <v>2242</v>
      </c>
      <c r="V583" s="37" t="s">
        <v>2250</v>
      </c>
      <c r="W583" s="37"/>
      <c r="X583" s="37" t="s">
        <v>27</v>
      </c>
    </row>
    <row r="584" spans="1:24" x14ac:dyDescent="0.3">
      <c r="A584" s="37">
        <f t="shared" si="21"/>
        <v>583</v>
      </c>
      <c r="B584" s="76" t="s">
        <v>23</v>
      </c>
      <c r="C584" s="76" t="s">
        <v>22</v>
      </c>
      <c r="D584" s="76" t="s">
        <v>5498</v>
      </c>
      <c r="E584" s="77">
        <v>527340639</v>
      </c>
      <c r="F584" s="77">
        <v>2000000</v>
      </c>
      <c r="G584" s="77" t="s">
        <v>2813</v>
      </c>
      <c r="H584" s="77" t="s">
        <v>2858</v>
      </c>
      <c r="I584" s="76" t="s">
        <v>2102</v>
      </c>
      <c r="J584" s="76" t="s">
        <v>9</v>
      </c>
      <c r="K584" s="76" t="str">
        <f>VLOOKUP($B584,'WILL TOKO SEP'!A585:AK1324,37,0)</f>
        <v>MENGWI</v>
      </c>
      <c r="L584" s="76" t="s">
        <v>2104</v>
      </c>
      <c r="M584" s="37" t="s">
        <v>8</v>
      </c>
      <c r="N584" s="79">
        <v>46155</v>
      </c>
      <c r="O584" s="79">
        <v>46202</v>
      </c>
      <c r="P584" s="78">
        <v>0</v>
      </c>
      <c r="Q584" s="79">
        <v>46237</v>
      </c>
      <c r="R584" s="79" t="str">
        <f>IFERROR(VLOOKUP($B584,JADWAL!$G$6:$J$690,4,0),"")</f>
        <v/>
      </c>
      <c r="S584" s="77">
        <f t="shared" si="20"/>
        <v>1</v>
      </c>
      <c r="T584" s="77"/>
      <c r="U584" s="37" t="s">
        <v>2242</v>
      </c>
      <c r="V584" s="37" t="s">
        <v>2250</v>
      </c>
      <c r="W584" s="37"/>
      <c r="X584" s="37" t="s">
        <v>20</v>
      </c>
    </row>
    <row r="585" spans="1:24" x14ac:dyDescent="0.3">
      <c r="A585" s="37">
        <f t="shared" si="21"/>
        <v>584</v>
      </c>
      <c r="B585" s="76" t="s">
        <v>11</v>
      </c>
      <c r="C585" s="76" t="s">
        <v>10</v>
      </c>
      <c r="D585" s="76" t="e">
        <v>#N/A</v>
      </c>
      <c r="E585" s="77">
        <v>21092596</v>
      </c>
      <c r="F585" s="77">
        <v>2000000</v>
      </c>
      <c r="G585" s="77" t="e">
        <v>#N/A</v>
      </c>
      <c r="H585" s="77" t="e">
        <v>#N/A</v>
      </c>
      <c r="I585" s="76" t="s">
        <v>2102</v>
      </c>
      <c r="J585" s="76" t="e">
        <v>#N/A</v>
      </c>
      <c r="K585" s="76" t="e">
        <f>VLOOKUP($B585,'WILL TOKO SEP'!A586:AK1325,37,0)</f>
        <v>#N/A</v>
      </c>
      <c r="L585" s="76" t="s">
        <v>2104</v>
      </c>
      <c r="M585" s="37" t="s">
        <v>8</v>
      </c>
      <c r="N585" s="78">
        <v>0</v>
      </c>
      <c r="O585" s="79">
        <v>46198</v>
      </c>
      <c r="P585" s="78">
        <v>0</v>
      </c>
      <c r="Q585" s="79">
        <v>46256</v>
      </c>
      <c r="R585" s="79" t="str">
        <f>IFERROR(VLOOKUP($B585,JADWAL!$G$6:$J$690,4,0),"")</f>
        <v/>
      </c>
      <c r="S585" s="77">
        <f t="shared" si="20"/>
        <v>2</v>
      </c>
      <c r="T585" s="77"/>
      <c r="U585" s="37" t="s">
        <v>2242</v>
      </c>
      <c r="V585" s="37" t="s">
        <v>2250</v>
      </c>
      <c r="W585" s="37"/>
      <c r="X585" s="37" t="s">
        <v>2</v>
      </c>
    </row>
    <row r="587" spans="1:24" x14ac:dyDescent="0.3">
      <c r="A587" s="240">
        <v>585</v>
      </c>
      <c r="B587" s="76" t="s">
        <v>311</v>
      </c>
      <c r="C587" s="76" t="s">
        <v>310</v>
      </c>
      <c r="D587" s="76" t="s">
        <v>5410</v>
      </c>
      <c r="E587" s="77">
        <v>398315467</v>
      </c>
      <c r="F587" s="77">
        <v>2000000</v>
      </c>
      <c r="G587" s="77" t="s">
        <v>2830</v>
      </c>
      <c r="H587" s="77" t="s">
        <v>2831</v>
      </c>
      <c r="I587" s="76" t="s">
        <v>2102</v>
      </c>
      <c r="J587" s="76" t="s">
        <v>4</v>
      </c>
      <c r="K587" s="76" t="str">
        <f>VLOOKUP($B587,'WILL TOKO SEP'!A588:AK1327,37,0)</f>
        <v>DENPASAR SELATAN</v>
      </c>
      <c r="L587" s="76" t="s">
        <v>2103</v>
      </c>
      <c r="M587" s="37" t="s">
        <v>255</v>
      </c>
      <c r="N587" s="78">
        <v>0</v>
      </c>
      <c r="O587" s="78">
        <v>0</v>
      </c>
      <c r="P587" s="79">
        <v>46217</v>
      </c>
      <c r="Q587" s="78">
        <v>0</v>
      </c>
      <c r="R587" s="79" t="e">
        <f>IF($B587&lt;&gt;"",VLOOKUP($B587,JADWAL!$G$6:$J$700,4,FALSE),"")</f>
        <v>#N/A</v>
      </c>
      <c r="S587" s="77">
        <f t="shared" ref="S587:S618" si="22">COUNTIF(N587:P587,"0")</f>
        <v>2</v>
      </c>
      <c r="T587" s="77"/>
      <c r="U587" s="37" t="s">
        <v>2242</v>
      </c>
      <c r="V587" s="37" t="s">
        <v>2250</v>
      </c>
      <c r="W587" s="37"/>
      <c r="X587" s="37"/>
    </row>
    <row r="588" spans="1:24" x14ac:dyDescent="0.3">
      <c r="A588" s="37">
        <f>A587+1</f>
        <v>586</v>
      </c>
      <c r="B588" s="76" t="s">
        <v>389</v>
      </c>
      <c r="C588" s="76" t="s">
        <v>388</v>
      </c>
      <c r="D588" s="76" t="s">
        <v>2299</v>
      </c>
      <c r="E588" s="77">
        <v>641673212</v>
      </c>
      <c r="F588" s="77">
        <v>2500000</v>
      </c>
      <c r="G588" s="77" t="s">
        <v>2827</v>
      </c>
      <c r="H588" s="77" t="s">
        <v>2848</v>
      </c>
      <c r="I588" s="76" t="s">
        <v>2102</v>
      </c>
      <c r="J588" s="76" t="s">
        <v>48</v>
      </c>
      <c r="K588" s="76" t="e">
        <f>VLOOKUP($B588,'WILL TOKO SEP'!A589:AK1328,37,0)</f>
        <v>#N/A</v>
      </c>
      <c r="L588" s="76" t="s">
        <v>2104</v>
      </c>
      <c r="M588" s="37" t="s">
        <v>255</v>
      </c>
      <c r="N588" s="78">
        <v>0</v>
      </c>
      <c r="O588" s="78">
        <v>0</v>
      </c>
      <c r="P588" s="79">
        <v>46207</v>
      </c>
      <c r="Q588" s="78">
        <v>0</v>
      </c>
      <c r="R588" s="79" t="e">
        <f>IF($B588&lt;&gt;"",VLOOKUP($B588,JADWAL!$G$6:$J$700,4,FALSE),"")</f>
        <v>#N/A</v>
      </c>
      <c r="S588" s="77">
        <f t="shared" si="22"/>
        <v>2</v>
      </c>
      <c r="T588" s="77"/>
      <c r="U588" s="37" t="s">
        <v>2242</v>
      </c>
      <c r="V588" s="37" t="s">
        <v>2250</v>
      </c>
      <c r="W588" s="37"/>
      <c r="X588" s="37"/>
    </row>
    <row r="589" spans="1:24" x14ac:dyDescent="0.3">
      <c r="A589" s="37">
        <f t="shared" ref="A589:A652" si="23">A588+1</f>
        <v>587</v>
      </c>
      <c r="B589" s="76" t="s">
        <v>415</v>
      </c>
      <c r="C589" s="76" t="s">
        <v>414</v>
      </c>
      <c r="D589" s="76" t="s">
        <v>2301</v>
      </c>
      <c r="E589" s="77">
        <v>448121451</v>
      </c>
      <c r="F589" s="77">
        <v>2500000</v>
      </c>
      <c r="G589" s="77" t="s">
        <v>2815</v>
      </c>
      <c r="H589" s="77" t="s">
        <v>2857</v>
      </c>
      <c r="I589" s="76" t="s">
        <v>2102</v>
      </c>
      <c r="J589" s="76" t="s">
        <v>28</v>
      </c>
      <c r="K589" s="76" t="e">
        <f>VLOOKUP($B589,'WILL TOKO SEP'!A590:AK1329,37,0)</f>
        <v>#N/A</v>
      </c>
      <c r="L589" s="76" t="s">
        <v>2103</v>
      </c>
      <c r="M589" s="37" t="s">
        <v>255</v>
      </c>
      <c r="N589" s="78">
        <v>0</v>
      </c>
      <c r="O589" s="78">
        <v>0</v>
      </c>
      <c r="P589" s="79">
        <v>46205</v>
      </c>
      <c r="Q589" s="78">
        <v>0</v>
      </c>
      <c r="R589" s="79" t="e">
        <f>IF($B589&lt;&gt;"",VLOOKUP($B589,JADWAL!$G$6:$J$700,4,FALSE),"")</f>
        <v>#N/A</v>
      </c>
      <c r="S589" s="77">
        <f t="shared" si="22"/>
        <v>2</v>
      </c>
      <c r="T589" s="77"/>
      <c r="U589" s="37" t="s">
        <v>2242</v>
      </c>
      <c r="V589" s="37" t="s">
        <v>2250</v>
      </c>
      <c r="W589" s="37"/>
      <c r="X589" s="37"/>
    </row>
    <row r="590" spans="1:24" x14ac:dyDescent="0.3">
      <c r="A590" s="37">
        <f t="shared" si="23"/>
        <v>588</v>
      </c>
      <c r="B590" s="76" t="s">
        <v>457</v>
      </c>
      <c r="C590" s="76" t="s">
        <v>456</v>
      </c>
      <c r="D590" s="76" t="s">
        <v>5321</v>
      </c>
      <c r="E590" s="77">
        <v>395002175</v>
      </c>
      <c r="F590" s="77">
        <v>2500000</v>
      </c>
      <c r="G590" s="77" t="s">
        <v>2815</v>
      </c>
      <c r="H590" s="77" t="s">
        <v>2857</v>
      </c>
      <c r="I590" s="76" t="s">
        <v>2102</v>
      </c>
      <c r="J590" s="76" t="s">
        <v>28</v>
      </c>
      <c r="K590" s="76" t="str">
        <f>VLOOKUP($B590,'WILL TOKO SEP'!A591:AK1330,37,0)</f>
        <v>Tegallalang</v>
      </c>
      <c r="L590" s="76" t="s">
        <v>2103</v>
      </c>
      <c r="M590" s="37" t="s">
        <v>255</v>
      </c>
      <c r="N590" s="78">
        <v>0</v>
      </c>
      <c r="O590" s="78">
        <v>0</v>
      </c>
      <c r="P590" s="79">
        <v>46204</v>
      </c>
      <c r="Q590" s="78">
        <v>0</v>
      </c>
      <c r="R590" s="79" t="e">
        <f>IF($B590&lt;&gt;"",VLOOKUP($B590,JADWAL!$G$6:$J$700,4,FALSE),"")</f>
        <v>#N/A</v>
      </c>
      <c r="S590" s="77">
        <f t="shared" si="22"/>
        <v>2</v>
      </c>
      <c r="T590" s="77"/>
      <c r="U590" s="37" t="s">
        <v>2242</v>
      </c>
      <c r="V590" s="37" t="s">
        <v>2250</v>
      </c>
      <c r="W590" s="37"/>
      <c r="X590" s="37"/>
    </row>
    <row r="591" spans="1:24" x14ac:dyDescent="0.3">
      <c r="A591" s="37">
        <f t="shared" si="23"/>
        <v>589</v>
      </c>
      <c r="B591" s="76" t="s">
        <v>447</v>
      </c>
      <c r="C591" s="76" t="s">
        <v>446</v>
      </c>
      <c r="D591" s="76" t="s">
        <v>2338</v>
      </c>
      <c r="E591" s="77">
        <v>424464663</v>
      </c>
      <c r="F591" s="77">
        <v>2000000</v>
      </c>
      <c r="G591" s="77" t="s">
        <v>2821</v>
      </c>
      <c r="H591" s="77" t="s">
        <v>2822</v>
      </c>
      <c r="I591" s="76" t="s">
        <v>2102</v>
      </c>
      <c r="J591" s="76" t="s">
        <v>36</v>
      </c>
      <c r="K591" s="76" t="e">
        <f>VLOOKUP($B591,'WILL TOKO SEP'!A592:AK1331,37,0)</f>
        <v>#N/A</v>
      </c>
      <c r="L591" s="76" t="s">
        <v>2104</v>
      </c>
      <c r="M591" s="37" t="s">
        <v>255</v>
      </c>
      <c r="N591" s="78">
        <v>0</v>
      </c>
      <c r="O591" s="78">
        <v>0</v>
      </c>
      <c r="P591" s="79">
        <v>46204</v>
      </c>
      <c r="Q591" s="78">
        <v>0</v>
      </c>
      <c r="R591" s="79" t="e">
        <f>IF($B591&lt;&gt;"",VLOOKUP($B591,JADWAL!$G$6:$J$700,4,FALSE),"")</f>
        <v>#N/A</v>
      </c>
      <c r="S591" s="77">
        <f t="shared" si="22"/>
        <v>2</v>
      </c>
      <c r="T591" s="77"/>
      <c r="U591" s="37" t="s">
        <v>2242</v>
      </c>
      <c r="V591" s="37" t="s">
        <v>2250</v>
      </c>
      <c r="W591" s="37"/>
      <c r="X591" s="37"/>
    </row>
    <row r="592" spans="1:24" x14ac:dyDescent="0.3">
      <c r="A592" s="37">
        <f t="shared" si="23"/>
        <v>590</v>
      </c>
      <c r="B592" s="76" t="s">
        <v>313</v>
      </c>
      <c r="C592" s="76" t="s">
        <v>312</v>
      </c>
      <c r="D592" s="76" t="s">
        <v>5330</v>
      </c>
      <c r="E592" s="77">
        <v>416817065</v>
      </c>
      <c r="F592" s="77">
        <v>2000000</v>
      </c>
      <c r="G592" s="77" t="s">
        <v>2825</v>
      </c>
      <c r="H592" s="77" t="s">
        <v>2853</v>
      </c>
      <c r="I592" s="76" t="s">
        <v>2102</v>
      </c>
      <c r="J592" s="76" t="s">
        <v>9</v>
      </c>
      <c r="K592" s="76" t="str">
        <f>VLOOKUP($B592,'WILL TOKO SEP'!A593:AK1332,37,0)</f>
        <v>MENGWI</v>
      </c>
      <c r="L592" s="76" t="s">
        <v>2104</v>
      </c>
      <c r="M592" s="37" t="s">
        <v>255</v>
      </c>
      <c r="N592" s="78">
        <v>0</v>
      </c>
      <c r="O592" s="78">
        <v>0</v>
      </c>
      <c r="P592" s="79">
        <v>46216</v>
      </c>
      <c r="Q592" s="78">
        <v>0</v>
      </c>
      <c r="R592" s="79" t="e">
        <f>IF($B592&lt;&gt;"",VLOOKUP($B592,JADWAL!$G$6:$J$700,4,FALSE),"")</f>
        <v>#N/A</v>
      </c>
      <c r="S592" s="77">
        <f t="shared" si="22"/>
        <v>2</v>
      </c>
      <c r="T592" s="77"/>
      <c r="U592" s="37" t="s">
        <v>2242</v>
      </c>
      <c r="V592" s="37" t="s">
        <v>2250</v>
      </c>
      <c r="W592" s="37"/>
      <c r="X592" s="37"/>
    </row>
    <row r="593" spans="1:24" x14ac:dyDescent="0.3">
      <c r="A593" s="37">
        <f t="shared" si="23"/>
        <v>591</v>
      </c>
      <c r="B593" s="76" t="s">
        <v>400</v>
      </c>
      <c r="C593" s="76" t="s">
        <v>399</v>
      </c>
      <c r="D593" s="76" t="s">
        <v>5374</v>
      </c>
      <c r="E593" s="77">
        <v>409139414</v>
      </c>
      <c r="F593" s="77">
        <v>2000000</v>
      </c>
      <c r="G593" s="77" t="s">
        <v>2834</v>
      </c>
      <c r="H593" s="77" t="s">
        <v>2844</v>
      </c>
      <c r="I593" s="76" t="s">
        <v>2102</v>
      </c>
      <c r="J593" s="76" t="s">
        <v>32</v>
      </c>
      <c r="K593" s="76" t="str">
        <f>VLOOKUP($B593,'WILL TOKO SEP'!A594:AK1333,37,0)</f>
        <v>KINTAMANI</v>
      </c>
      <c r="L593" s="76" t="s">
        <v>2104</v>
      </c>
      <c r="M593" s="37" t="s">
        <v>255</v>
      </c>
      <c r="N593" s="78">
        <v>0</v>
      </c>
      <c r="O593" s="78">
        <v>0</v>
      </c>
      <c r="P593" s="79">
        <v>46206</v>
      </c>
      <c r="Q593" s="78">
        <v>0</v>
      </c>
      <c r="R593" s="79" t="e">
        <f>IF($B593&lt;&gt;"",VLOOKUP($B593,JADWAL!$G$6:$J$700,4,FALSE),"")</f>
        <v>#N/A</v>
      </c>
      <c r="S593" s="77">
        <f t="shared" si="22"/>
        <v>2</v>
      </c>
      <c r="T593" s="77"/>
      <c r="U593" s="37" t="s">
        <v>2242</v>
      </c>
      <c r="V593" s="37" t="s">
        <v>2250</v>
      </c>
      <c r="W593" s="37"/>
      <c r="X593" s="37"/>
    </row>
    <row r="594" spans="1:24" x14ac:dyDescent="0.3">
      <c r="A594" s="37">
        <f t="shared" si="23"/>
        <v>592</v>
      </c>
      <c r="B594" s="76" t="s">
        <v>404</v>
      </c>
      <c r="C594" s="76" t="s">
        <v>403</v>
      </c>
      <c r="D594" s="76" t="s">
        <v>5447</v>
      </c>
      <c r="E594" s="77">
        <v>346611100</v>
      </c>
      <c r="F594" s="77">
        <v>2000000</v>
      </c>
      <c r="G594" s="77" t="s">
        <v>2817</v>
      </c>
      <c r="H594" s="77" t="s">
        <v>2818</v>
      </c>
      <c r="I594" s="76" t="s">
        <v>2102</v>
      </c>
      <c r="J594" s="76" t="s">
        <v>4</v>
      </c>
      <c r="K594" s="76" t="str">
        <f>VLOOKUP($B594,'WILL TOKO SEP'!A595:AK1334,37,0)</f>
        <v>DENPASAR SELATAN</v>
      </c>
      <c r="L594" s="76" t="s">
        <v>2103</v>
      </c>
      <c r="M594" s="37" t="s">
        <v>255</v>
      </c>
      <c r="N594" s="78">
        <v>0</v>
      </c>
      <c r="O594" s="78">
        <v>0</v>
      </c>
      <c r="P594" s="79">
        <v>46206</v>
      </c>
      <c r="Q594" s="78">
        <v>0</v>
      </c>
      <c r="R594" s="79" t="e">
        <f>IF($B594&lt;&gt;"",VLOOKUP($B594,JADWAL!$G$6:$J$700,4,FALSE),"")</f>
        <v>#N/A</v>
      </c>
      <c r="S594" s="77">
        <f t="shared" si="22"/>
        <v>2</v>
      </c>
      <c r="T594" s="77"/>
      <c r="U594" s="37" t="s">
        <v>2242</v>
      </c>
      <c r="V594" s="37" t="s">
        <v>2250</v>
      </c>
      <c r="W594" s="37"/>
      <c r="X594" s="37"/>
    </row>
    <row r="595" spans="1:24" x14ac:dyDescent="0.3">
      <c r="A595" s="37">
        <f t="shared" si="23"/>
        <v>593</v>
      </c>
      <c r="B595" s="76" t="s">
        <v>463</v>
      </c>
      <c r="C595" s="76" t="s">
        <v>462</v>
      </c>
      <c r="D595" s="76" t="s">
        <v>2364</v>
      </c>
      <c r="E595" s="77">
        <v>412485795</v>
      </c>
      <c r="F595" s="77">
        <v>2500000</v>
      </c>
      <c r="G595" s="77" t="s">
        <v>2815</v>
      </c>
      <c r="H595" s="77" t="s">
        <v>2816</v>
      </c>
      <c r="I595" s="76" t="s">
        <v>2102</v>
      </c>
      <c r="J595" s="76" t="s">
        <v>28</v>
      </c>
      <c r="K595" s="76" t="e">
        <f>VLOOKUP($B595,'WILL TOKO SEP'!A596:AK1335,37,0)</f>
        <v>#N/A</v>
      </c>
      <c r="L595" s="76" t="s">
        <v>2103</v>
      </c>
      <c r="M595" s="37" t="s">
        <v>255</v>
      </c>
      <c r="N595" s="78">
        <v>0</v>
      </c>
      <c r="O595" s="78">
        <v>0</v>
      </c>
      <c r="P595" s="79">
        <v>46204</v>
      </c>
      <c r="Q595" s="78">
        <v>0</v>
      </c>
      <c r="R595" s="79" t="e">
        <f>IF($B595&lt;&gt;"",VLOOKUP($B595,JADWAL!$G$6:$J$700,4,FALSE),"")</f>
        <v>#N/A</v>
      </c>
      <c r="S595" s="77">
        <f t="shared" si="22"/>
        <v>2</v>
      </c>
      <c r="T595" s="77"/>
      <c r="U595" s="37" t="s">
        <v>2242</v>
      </c>
      <c r="V595" s="37" t="s">
        <v>2250</v>
      </c>
      <c r="W595" s="37"/>
      <c r="X595" s="37"/>
    </row>
    <row r="596" spans="1:24" x14ac:dyDescent="0.3">
      <c r="A596" s="37">
        <f t="shared" si="23"/>
        <v>594</v>
      </c>
      <c r="B596" s="76" t="s">
        <v>281</v>
      </c>
      <c r="C596" s="76" t="s">
        <v>280</v>
      </c>
      <c r="D596" s="76" t="s">
        <v>2375</v>
      </c>
      <c r="E596" s="77">
        <v>815072742</v>
      </c>
      <c r="F596" s="77">
        <v>4000000</v>
      </c>
      <c r="G596" s="77" t="s">
        <v>2834</v>
      </c>
      <c r="H596" s="77" t="s">
        <v>2869</v>
      </c>
      <c r="I596" s="76" t="s">
        <v>2102</v>
      </c>
      <c r="J596" s="76" t="s">
        <v>40</v>
      </c>
      <c r="K596" s="76" t="e">
        <f>VLOOKUP($B596,'WILL TOKO SEP'!A597:AK1336,37,0)</f>
        <v>#N/A</v>
      </c>
      <c r="L596" s="76" t="s">
        <v>2104</v>
      </c>
      <c r="M596" s="37" t="s">
        <v>255</v>
      </c>
      <c r="N596" s="79">
        <v>46155</v>
      </c>
      <c r="O596" s="78">
        <v>0</v>
      </c>
      <c r="P596" s="79">
        <v>46226</v>
      </c>
      <c r="Q596" s="78">
        <v>0</v>
      </c>
      <c r="R596" s="79" t="e">
        <f>IF($B596&lt;&gt;"",VLOOKUP($B596,JADWAL!$G$6:$J$700,4,FALSE),"")</f>
        <v>#N/A</v>
      </c>
      <c r="S596" s="77">
        <f t="shared" si="22"/>
        <v>1</v>
      </c>
      <c r="T596" s="77"/>
      <c r="U596" s="37" t="s">
        <v>2242</v>
      </c>
      <c r="V596" s="37" t="s">
        <v>2250</v>
      </c>
      <c r="W596" s="37"/>
      <c r="X596" s="37"/>
    </row>
    <row r="597" spans="1:24" x14ac:dyDescent="0.3">
      <c r="A597" s="37">
        <f t="shared" si="23"/>
        <v>595</v>
      </c>
      <c r="B597" s="76" t="s">
        <v>454</v>
      </c>
      <c r="C597" s="76" t="s">
        <v>453</v>
      </c>
      <c r="D597" s="76" t="s">
        <v>2378</v>
      </c>
      <c r="E597" s="77">
        <v>393222836</v>
      </c>
      <c r="F597" s="77">
        <v>2500000</v>
      </c>
      <c r="G597" s="77" t="s">
        <v>2821</v>
      </c>
      <c r="H597" s="77" t="s">
        <v>2822</v>
      </c>
      <c r="I597" s="76" t="s">
        <v>2102</v>
      </c>
      <c r="J597" s="76" t="s">
        <v>36</v>
      </c>
      <c r="K597" s="76" t="e">
        <f>VLOOKUP($B597,'WILL TOKO SEP'!A598:AK1337,37,0)</f>
        <v>#N/A</v>
      </c>
      <c r="L597" s="76" t="s">
        <v>2104</v>
      </c>
      <c r="M597" s="37" t="s">
        <v>255</v>
      </c>
      <c r="N597" s="78">
        <v>0</v>
      </c>
      <c r="O597" s="78">
        <v>0</v>
      </c>
      <c r="P597" s="79">
        <v>46204</v>
      </c>
      <c r="Q597" s="78">
        <v>0</v>
      </c>
      <c r="R597" s="79" t="e">
        <f>IF($B597&lt;&gt;"",VLOOKUP($B597,JADWAL!$G$6:$J$700,4,FALSE),"")</f>
        <v>#N/A</v>
      </c>
      <c r="S597" s="77">
        <f t="shared" si="22"/>
        <v>2</v>
      </c>
      <c r="T597" s="77"/>
      <c r="U597" s="37" t="s">
        <v>2242</v>
      </c>
      <c r="V597" s="37" t="s">
        <v>2250</v>
      </c>
      <c r="W597" s="37"/>
      <c r="X597" s="37"/>
    </row>
    <row r="598" spans="1:24" x14ac:dyDescent="0.3">
      <c r="A598" s="37">
        <f t="shared" si="23"/>
        <v>596</v>
      </c>
      <c r="B598" s="76" t="s">
        <v>292</v>
      </c>
      <c r="C598" s="76" t="s">
        <v>291</v>
      </c>
      <c r="D598" s="76" t="s">
        <v>2398</v>
      </c>
      <c r="E598" s="77">
        <v>402233942</v>
      </c>
      <c r="F598" s="77">
        <v>3500000</v>
      </c>
      <c r="G598" s="77" t="s">
        <v>2840</v>
      </c>
      <c r="H598" s="77" t="s">
        <v>2861</v>
      </c>
      <c r="I598" s="76" t="s">
        <v>2102</v>
      </c>
      <c r="J598" s="76" t="s">
        <v>28</v>
      </c>
      <c r="K598" s="76" t="e">
        <f>VLOOKUP($B598,'WILL TOKO SEP'!A599:AK1338,37,0)</f>
        <v>#N/A</v>
      </c>
      <c r="L598" s="76" t="s">
        <v>2103</v>
      </c>
      <c r="M598" s="37" t="s">
        <v>255</v>
      </c>
      <c r="N598" s="78">
        <v>0</v>
      </c>
      <c r="O598" s="78">
        <v>0</v>
      </c>
      <c r="P598" s="79">
        <v>46221</v>
      </c>
      <c r="Q598" s="78">
        <v>0</v>
      </c>
      <c r="R598" s="79" t="e">
        <f>IF($B598&lt;&gt;"",VLOOKUP($B598,JADWAL!$G$6:$J$700,4,FALSE),"")</f>
        <v>#N/A</v>
      </c>
      <c r="S598" s="77">
        <f t="shared" si="22"/>
        <v>2</v>
      </c>
      <c r="T598" s="77"/>
      <c r="U598" s="37" t="s">
        <v>2242</v>
      </c>
      <c r="V598" s="37" t="s">
        <v>2250</v>
      </c>
      <c r="W598" s="37"/>
      <c r="X598" s="37"/>
    </row>
    <row r="599" spans="1:24" x14ac:dyDescent="0.3">
      <c r="A599" s="37">
        <f t="shared" si="23"/>
        <v>597</v>
      </c>
      <c r="B599" s="76" t="s">
        <v>303</v>
      </c>
      <c r="C599" s="76" t="s">
        <v>302</v>
      </c>
      <c r="D599" s="76" t="s">
        <v>5372</v>
      </c>
      <c r="E599" s="77">
        <v>577471286</v>
      </c>
      <c r="F599" s="77">
        <v>2000000</v>
      </c>
      <c r="G599" s="77" t="s">
        <v>2834</v>
      </c>
      <c r="H599" s="77" t="s">
        <v>2869</v>
      </c>
      <c r="I599" s="76" t="s">
        <v>2102</v>
      </c>
      <c r="J599" s="76" t="s">
        <v>40</v>
      </c>
      <c r="K599" s="76" t="str">
        <f>VLOOKUP($B599,'WILL TOKO SEP'!A600:AK1339,37,0)</f>
        <v>ABANG</v>
      </c>
      <c r="L599" s="76" t="s">
        <v>2104</v>
      </c>
      <c r="M599" s="37" t="s">
        <v>255</v>
      </c>
      <c r="N599" s="78">
        <v>0</v>
      </c>
      <c r="O599" s="78">
        <v>0</v>
      </c>
      <c r="P599" s="79">
        <v>46218</v>
      </c>
      <c r="Q599" s="78">
        <v>0</v>
      </c>
      <c r="R599" s="79" t="e">
        <f>IF($B599&lt;&gt;"",VLOOKUP($B599,JADWAL!$G$6:$J$700,4,FALSE),"")</f>
        <v>#N/A</v>
      </c>
      <c r="S599" s="77">
        <f t="shared" si="22"/>
        <v>2</v>
      </c>
      <c r="T599" s="77"/>
      <c r="U599" s="37" t="s">
        <v>2242</v>
      </c>
      <c r="V599" s="37" t="s">
        <v>2250</v>
      </c>
      <c r="W599" s="37"/>
      <c r="X599" s="37"/>
    </row>
    <row r="600" spans="1:24" x14ac:dyDescent="0.3">
      <c r="A600" s="37">
        <f t="shared" si="23"/>
        <v>598</v>
      </c>
      <c r="B600" s="76" t="s">
        <v>370</v>
      </c>
      <c r="C600" s="76" t="s">
        <v>369</v>
      </c>
      <c r="D600" s="76" t="s">
        <v>2402</v>
      </c>
      <c r="E600" s="77">
        <v>340653576</v>
      </c>
      <c r="F600" s="77">
        <v>2000000</v>
      </c>
      <c r="G600" s="77" t="s">
        <v>2821</v>
      </c>
      <c r="H600" s="77" t="s">
        <v>2822</v>
      </c>
      <c r="I600" s="76" t="s">
        <v>2102</v>
      </c>
      <c r="J600" s="76" t="s">
        <v>36</v>
      </c>
      <c r="K600" s="76" t="e">
        <f>VLOOKUP($B600,'WILL TOKO SEP'!A601:AK1340,37,0)</f>
        <v>#N/A</v>
      </c>
      <c r="L600" s="76" t="s">
        <v>2104</v>
      </c>
      <c r="M600" s="37" t="s">
        <v>255</v>
      </c>
      <c r="N600" s="79">
        <v>46167</v>
      </c>
      <c r="O600" s="79">
        <v>46181</v>
      </c>
      <c r="P600" s="79">
        <v>46210</v>
      </c>
      <c r="Q600" s="78">
        <v>0</v>
      </c>
      <c r="R600" s="79" t="e">
        <f>IF($B600&lt;&gt;"",VLOOKUP($B600,JADWAL!$G$6:$J$700,4,FALSE),"")</f>
        <v>#N/A</v>
      </c>
      <c r="S600" s="77">
        <f t="shared" si="22"/>
        <v>0</v>
      </c>
      <c r="T600" s="77"/>
      <c r="U600" s="37" t="s">
        <v>2242</v>
      </c>
      <c r="V600" s="37" t="s">
        <v>2250</v>
      </c>
      <c r="W600" s="37"/>
      <c r="X600" s="37"/>
    </row>
    <row r="601" spans="1:24" x14ac:dyDescent="0.3">
      <c r="A601" s="37">
        <f t="shared" si="23"/>
        <v>599</v>
      </c>
      <c r="B601" s="76" t="s">
        <v>451</v>
      </c>
      <c r="C601" s="76" t="s">
        <v>450</v>
      </c>
      <c r="D601" s="76" t="s">
        <v>2403</v>
      </c>
      <c r="E601" s="77">
        <v>153704526</v>
      </c>
      <c r="F601" s="77">
        <v>2000000</v>
      </c>
      <c r="G601" s="77" t="s">
        <v>2834</v>
      </c>
      <c r="H601" s="77" t="s">
        <v>2835</v>
      </c>
      <c r="I601" s="76" t="s">
        <v>2102</v>
      </c>
      <c r="J601" s="76" t="s">
        <v>32</v>
      </c>
      <c r="K601" s="76" t="e">
        <f>VLOOKUP($B601,'WILL TOKO SEP'!A602:AK1341,37,0)</f>
        <v>#N/A</v>
      </c>
      <c r="L601" s="76" t="s">
        <v>2104</v>
      </c>
      <c r="M601" s="37" t="s">
        <v>255</v>
      </c>
      <c r="N601" s="78">
        <v>0</v>
      </c>
      <c r="O601" s="78">
        <v>0</v>
      </c>
      <c r="P601" s="79">
        <v>46204</v>
      </c>
      <c r="Q601" s="78">
        <v>0</v>
      </c>
      <c r="R601" s="79" t="e">
        <f>IF($B601&lt;&gt;"",VLOOKUP($B601,JADWAL!$G$6:$J$700,4,FALSE),"")</f>
        <v>#N/A</v>
      </c>
      <c r="S601" s="77">
        <f t="shared" si="22"/>
        <v>2</v>
      </c>
      <c r="T601" s="77"/>
      <c r="U601" s="37" t="s">
        <v>2242</v>
      </c>
      <c r="V601" s="37" t="s">
        <v>2250</v>
      </c>
      <c r="W601" s="37"/>
      <c r="X601" s="37"/>
    </row>
    <row r="602" spans="1:24" x14ac:dyDescent="0.3">
      <c r="A602" s="37">
        <f t="shared" si="23"/>
        <v>600</v>
      </c>
      <c r="B602" s="76" t="s">
        <v>335</v>
      </c>
      <c r="C602" s="76" t="s">
        <v>334</v>
      </c>
      <c r="D602" s="76" t="s">
        <v>5569</v>
      </c>
      <c r="E602" s="77">
        <v>461465286</v>
      </c>
      <c r="F602" s="77">
        <v>2000000</v>
      </c>
      <c r="G602" s="77" t="s">
        <v>2834</v>
      </c>
      <c r="H602" s="77" t="s">
        <v>2839</v>
      </c>
      <c r="I602" s="76" t="s">
        <v>2102</v>
      </c>
      <c r="J602" s="76" t="s">
        <v>32</v>
      </c>
      <c r="K602" s="76" t="str">
        <f>VLOOKUP($B602,'WILL TOKO SEP'!A603:AK1342,37,0)</f>
        <v>Tembuku</v>
      </c>
      <c r="L602" s="76" t="s">
        <v>2104</v>
      </c>
      <c r="M602" s="37" t="s">
        <v>255</v>
      </c>
      <c r="N602" s="78">
        <v>0</v>
      </c>
      <c r="O602" s="78">
        <v>0</v>
      </c>
      <c r="P602" s="79">
        <v>46212</v>
      </c>
      <c r="Q602" s="78">
        <v>0</v>
      </c>
      <c r="R602" s="79" t="e">
        <f>IF($B602&lt;&gt;"",VLOOKUP($B602,JADWAL!$G$6:$J$700,4,FALSE),"")</f>
        <v>#N/A</v>
      </c>
      <c r="S602" s="77">
        <f t="shared" si="22"/>
        <v>2</v>
      </c>
      <c r="T602" s="77"/>
      <c r="U602" s="37" t="s">
        <v>2242</v>
      </c>
      <c r="V602" s="37" t="s">
        <v>2250</v>
      </c>
      <c r="W602" s="37"/>
      <c r="X602" s="37"/>
    </row>
    <row r="603" spans="1:24" x14ac:dyDescent="0.3">
      <c r="A603" s="37">
        <f t="shared" si="23"/>
        <v>601</v>
      </c>
      <c r="B603" s="76" t="s">
        <v>417</v>
      </c>
      <c r="C603" s="76" t="s">
        <v>416</v>
      </c>
      <c r="D603" s="76" t="s">
        <v>5154</v>
      </c>
      <c r="E603" s="77">
        <v>395732531</v>
      </c>
      <c r="F603" s="77">
        <v>2500000</v>
      </c>
      <c r="G603" s="77" t="s">
        <v>2813</v>
      </c>
      <c r="H603" s="77" t="s">
        <v>2832</v>
      </c>
      <c r="I603" s="76" t="s">
        <v>2102</v>
      </c>
      <c r="J603" s="76" t="s">
        <v>9</v>
      </c>
      <c r="K603" s="76" t="e">
        <f>VLOOKUP($B603,'WILL TOKO SEP'!A604:AK1343,37,0)</f>
        <v>#N/A</v>
      </c>
      <c r="L603" s="76" t="s">
        <v>2103</v>
      </c>
      <c r="M603" s="37" t="s">
        <v>255</v>
      </c>
      <c r="N603" s="78">
        <v>0</v>
      </c>
      <c r="O603" s="78">
        <v>0</v>
      </c>
      <c r="P603" s="79">
        <v>46205</v>
      </c>
      <c r="Q603" s="78">
        <v>0</v>
      </c>
      <c r="R603" s="79" t="e">
        <f>IF($B603&lt;&gt;"",VLOOKUP($B603,JADWAL!$G$6:$J$700,4,FALSE),"")</f>
        <v>#N/A</v>
      </c>
      <c r="S603" s="77">
        <f t="shared" si="22"/>
        <v>2</v>
      </c>
      <c r="T603" s="77"/>
      <c r="U603" s="37" t="s">
        <v>2242</v>
      </c>
      <c r="V603" s="37" t="s">
        <v>2250</v>
      </c>
      <c r="W603" s="37"/>
      <c r="X603" s="37"/>
    </row>
    <row r="604" spans="1:24" x14ac:dyDescent="0.3">
      <c r="A604" s="37">
        <f t="shared" si="23"/>
        <v>602</v>
      </c>
      <c r="B604" s="76" t="s">
        <v>444</v>
      </c>
      <c r="C604" s="76" t="s">
        <v>443</v>
      </c>
      <c r="D604" s="76" t="s">
        <v>5504</v>
      </c>
      <c r="E604" s="77">
        <v>427919110</v>
      </c>
      <c r="F604" s="77">
        <v>2000000</v>
      </c>
      <c r="G604" s="77" t="s">
        <v>2815</v>
      </c>
      <c r="H604" s="77" t="s">
        <v>2829</v>
      </c>
      <c r="I604" s="76" t="s">
        <v>2102</v>
      </c>
      <c r="J604" s="76" t="s">
        <v>28</v>
      </c>
      <c r="K604" s="76" t="str">
        <f>VLOOKUP($B604,'WILL TOKO SEP'!A605:AK1344,37,0)</f>
        <v xml:space="preserve">BLAHBATUH </v>
      </c>
      <c r="L604" s="76" t="s">
        <v>2103</v>
      </c>
      <c r="M604" s="37" t="s">
        <v>255</v>
      </c>
      <c r="N604" s="78">
        <v>0</v>
      </c>
      <c r="O604" s="78">
        <v>0</v>
      </c>
      <c r="P604" s="79">
        <v>46204</v>
      </c>
      <c r="Q604" s="78">
        <v>0</v>
      </c>
      <c r="R604" s="79" t="e">
        <f>IF($B604&lt;&gt;"",VLOOKUP($B604,JADWAL!$G$6:$J$700,4,FALSE),"")</f>
        <v>#N/A</v>
      </c>
      <c r="S604" s="77">
        <f t="shared" si="22"/>
        <v>2</v>
      </c>
      <c r="T604" s="77"/>
      <c r="U604" s="37" t="s">
        <v>2242</v>
      </c>
      <c r="V604" s="37" t="s">
        <v>2250</v>
      </c>
      <c r="W604" s="37"/>
      <c r="X604" s="37"/>
    </row>
    <row r="605" spans="1:24" x14ac:dyDescent="0.3">
      <c r="A605" s="37">
        <f t="shared" si="23"/>
        <v>603</v>
      </c>
      <c r="B605" s="76" t="s">
        <v>267</v>
      </c>
      <c r="C605" s="76" t="s">
        <v>266</v>
      </c>
      <c r="D605" s="76" t="s">
        <v>2410</v>
      </c>
      <c r="E605" s="77">
        <v>346879166</v>
      </c>
      <c r="F605" s="77">
        <v>2500000</v>
      </c>
      <c r="G605" s="77" t="s">
        <v>2813</v>
      </c>
      <c r="H605" s="77" t="s">
        <v>2824</v>
      </c>
      <c r="I605" s="76" t="s">
        <v>2102</v>
      </c>
      <c r="J605" s="76" t="s">
        <v>9</v>
      </c>
      <c r="K605" s="76" t="e">
        <f>VLOOKUP($B605,'WILL TOKO SEP'!A606:AK1345,37,0)</f>
        <v>#N/A</v>
      </c>
      <c r="L605" s="76" t="s">
        <v>2103</v>
      </c>
      <c r="M605" s="37" t="s">
        <v>255</v>
      </c>
      <c r="N605" s="78">
        <v>0</v>
      </c>
      <c r="O605" s="79">
        <v>46178</v>
      </c>
      <c r="P605" s="79">
        <v>46232</v>
      </c>
      <c r="Q605" s="78">
        <v>0</v>
      </c>
      <c r="R605" s="79" t="e">
        <f>IF($B605&lt;&gt;"",VLOOKUP($B605,JADWAL!$G$6:$J$700,4,FALSE),"")</f>
        <v>#N/A</v>
      </c>
      <c r="S605" s="77">
        <f t="shared" si="22"/>
        <v>1</v>
      </c>
      <c r="T605" s="77"/>
      <c r="U605" s="37" t="s">
        <v>2242</v>
      </c>
      <c r="V605" s="37" t="s">
        <v>2250</v>
      </c>
      <c r="W605" s="37"/>
      <c r="X605" s="37"/>
    </row>
    <row r="606" spans="1:24" x14ac:dyDescent="0.3">
      <c r="A606" s="37">
        <f t="shared" si="23"/>
        <v>604</v>
      </c>
      <c r="B606" s="76" t="s">
        <v>409</v>
      </c>
      <c r="C606" s="76" t="s">
        <v>408</v>
      </c>
      <c r="D606" s="76" t="s">
        <v>2423</v>
      </c>
      <c r="E606" s="77">
        <v>736426820</v>
      </c>
      <c r="F606" s="77">
        <v>5000000</v>
      </c>
      <c r="G606" s="77" t="s">
        <v>2840</v>
      </c>
      <c r="H606" s="77" t="s">
        <v>2873</v>
      </c>
      <c r="I606" s="76" t="s">
        <v>2102</v>
      </c>
      <c r="J606" s="76" t="s">
        <v>9</v>
      </c>
      <c r="K606" s="76" t="e">
        <f>VLOOKUP($B606,'WILL TOKO SEP'!A607:AK1346,37,0)</f>
        <v>#N/A</v>
      </c>
      <c r="L606" s="76" t="s">
        <v>2104</v>
      </c>
      <c r="M606" s="37" t="s">
        <v>255</v>
      </c>
      <c r="N606" s="78">
        <v>0</v>
      </c>
      <c r="O606" s="78">
        <v>0</v>
      </c>
      <c r="P606" s="79">
        <v>46206</v>
      </c>
      <c r="Q606" s="78">
        <v>0</v>
      </c>
      <c r="R606" s="79" t="e">
        <f>IF($B606&lt;&gt;"",VLOOKUP($B606,JADWAL!$G$6:$J$700,4,FALSE),"")</f>
        <v>#N/A</v>
      </c>
      <c r="S606" s="77">
        <f t="shared" si="22"/>
        <v>2</v>
      </c>
      <c r="T606" s="77"/>
      <c r="U606" s="37" t="s">
        <v>2242</v>
      </c>
      <c r="V606" s="37" t="s">
        <v>2250</v>
      </c>
      <c r="W606" s="37"/>
      <c r="X606" s="37"/>
    </row>
    <row r="607" spans="1:24" x14ac:dyDescent="0.3">
      <c r="A607" s="37">
        <f t="shared" si="23"/>
        <v>605</v>
      </c>
      <c r="B607" s="76" t="s">
        <v>354</v>
      </c>
      <c r="C607" s="76" t="s">
        <v>353</v>
      </c>
      <c r="D607" s="76" t="s">
        <v>2424</v>
      </c>
      <c r="E607" s="77">
        <v>565014358</v>
      </c>
      <c r="F607" s="77">
        <v>3000000</v>
      </c>
      <c r="G607" s="77" t="s">
        <v>2830</v>
      </c>
      <c r="H607" s="77" t="s">
        <v>2860</v>
      </c>
      <c r="I607" s="76" t="s">
        <v>2102</v>
      </c>
      <c r="J607" s="76" t="s">
        <v>9</v>
      </c>
      <c r="K607" s="76" t="e">
        <f>VLOOKUP($B607,'WILL TOKO SEP'!A608:AK1347,37,0)</f>
        <v>#N/A</v>
      </c>
      <c r="L607" s="76" t="s">
        <v>2104</v>
      </c>
      <c r="M607" s="37" t="s">
        <v>255</v>
      </c>
      <c r="N607" s="78">
        <v>0</v>
      </c>
      <c r="O607" s="78">
        <v>0</v>
      </c>
      <c r="P607" s="79">
        <v>46211</v>
      </c>
      <c r="Q607" s="78">
        <v>0</v>
      </c>
      <c r="R607" s="79" t="e">
        <f>IF($B607&lt;&gt;"",VLOOKUP($B607,JADWAL!$G$6:$J$700,4,FALSE),"")</f>
        <v>#N/A</v>
      </c>
      <c r="S607" s="77">
        <f t="shared" si="22"/>
        <v>2</v>
      </c>
      <c r="T607" s="77"/>
      <c r="U607" s="37" t="s">
        <v>2242</v>
      </c>
      <c r="V607" s="37" t="s">
        <v>2250</v>
      </c>
      <c r="W607" s="37"/>
      <c r="X607" s="37"/>
    </row>
    <row r="608" spans="1:24" x14ac:dyDescent="0.3">
      <c r="A608" s="37">
        <f t="shared" si="23"/>
        <v>606</v>
      </c>
      <c r="B608" s="76" t="s">
        <v>286</v>
      </c>
      <c r="C608" s="76" t="s">
        <v>5735</v>
      </c>
      <c r="D608" s="76" t="s">
        <v>2432</v>
      </c>
      <c r="E608" s="77">
        <v>495128335</v>
      </c>
      <c r="F608" s="77">
        <v>3000000</v>
      </c>
      <c r="G608" s="77" t="s">
        <v>2813</v>
      </c>
      <c r="H608" s="77" t="s">
        <v>2871</v>
      </c>
      <c r="I608" s="76" t="s">
        <v>2102</v>
      </c>
      <c r="J608" s="76" t="s">
        <v>9</v>
      </c>
      <c r="K608" s="76" t="e">
        <f>VLOOKUP($B608,'WILL TOKO SEP'!A609:AK1348,37,0)</f>
        <v>#N/A</v>
      </c>
      <c r="L608" s="76" t="s">
        <v>2103</v>
      </c>
      <c r="M608" s="37" t="s">
        <v>255</v>
      </c>
      <c r="N608" s="78">
        <v>0</v>
      </c>
      <c r="O608" s="78">
        <v>0</v>
      </c>
      <c r="P608" s="79">
        <v>46224</v>
      </c>
      <c r="Q608" s="78">
        <v>0</v>
      </c>
      <c r="R608" s="79" t="e">
        <f>IF($B608&lt;&gt;"",VLOOKUP($B608,JADWAL!$G$6:$J$700,4,FALSE),"")</f>
        <v>#N/A</v>
      </c>
      <c r="S608" s="77">
        <f t="shared" si="22"/>
        <v>2</v>
      </c>
      <c r="T608" s="77"/>
      <c r="U608" s="37" t="s">
        <v>2242</v>
      </c>
      <c r="V608" s="37" t="s">
        <v>2250</v>
      </c>
      <c r="W608" s="37"/>
      <c r="X608" s="37"/>
    </row>
    <row r="609" spans="1:24" x14ac:dyDescent="0.3">
      <c r="A609" s="37">
        <f t="shared" si="23"/>
        <v>607</v>
      </c>
      <c r="B609" s="76" t="s">
        <v>351</v>
      </c>
      <c r="C609" s="76" t="s">
        <v>350</v>
      </c>
      <c r="D609" s="76" t="s">
        <v>5538</v>
      </c>
      <c r="E609" s="77">
        <v>392961067</v>
      </c>
      <c r="F609" s="77">
        <v>2000000</v>
      </c>
      <c r="G609" s="77" t="s">
        <v>2813</v>
      </c>
      <c r="H609" s="77" t="s">
        <v>2858</v>
      </c>
      <c r="I609" s="76" t="s">
        <v>2102</v>
      </c>
      <c r="J609" s="76" t="s">
        <v>36</v>
      </c>
      <c r="K609" s="76" t="str">
        <f>VLOOKUP($B609,'WILL TOKO SEP'!A610:AK1349,37,0)</f>
        <v>KEDIRI</v>
      </c>
      <c r="L609" s="76" t="s">
        <v>2104</v>
      </c>
      <c r="M609" s="37" t="s">
        <v>255</v>
      </c>
      <c r="N609" s="78">
        <v>0</v>
      </c>
      <c r="O609" s="78">
        <v>0</v>
      </c>
      <c r="P609" s="79">
        <v>46211</v>
      </c>
      <c r="Q609" s="78">
        <v>0</v>
      </c>
      <c r="R609" s="79" t="e">
        <f>IF($B609&lt;&gt;"",VLOOKUP($B609,JADWAL!$G$6:$J$700,4,FALSE),"")</f>
        <v>#N/A</v>
      </c>
      <c r="S609" s="77">
        <f t="shared" si="22"/>
        <v>2</v>
      </c>
      <c r="T609" s="77"/>
      <c r="U609" s="37" t="s">
        <v>2242</v>
      </c>
      <c r="V609" s="37" t="s">
        <v>2250</v>
      </c>
      <c r="W609" s="37"/>
      <c r="X609" s="37"/>
    </row>
    <row r="610" spans="1:24" x14ac:dyDescent="0.3">
      <c r="A610" s="37">
        <f t="shared" si="23"/>
        <v>608</v>
      </c>
      <c r="B610" s="76" t="s">
        <v>460</v>
      </c>
      <c r="C610" s="76" t="s">
        <v>459</v>
      </c>
      <c r="D610" s="76" t="s">
        <v>5274</v>
      </c>
      <c r="E610" s="77">
        <v>402219509</v>
      </c>
      <c r="F610" s="77">
        <v>2000000</v>
      </c>
      <c r="G610" s="77" t="s">
        <v>2821</v>
      </c>
      <c r="H610" s="77" t="s">
        <v>2854</v>
      </c>
      <c r="I610" s="76" t="s">
        <v>2102</v>
      </c>
      <c r="J610" s="76" t="s">
        <v>4</v>
      </c>
      <c r="K610" s="76" t="e">
        <f>VLOOKUP($B610,'WILL TOKO SEP'!A611:AK1350,37,0)</f>
        <v>#N/A</v>
      </c>
      <c r="L610" s="76" t="s">
        <v>2104</v>
      </c>
      <c r="M610" s="37" t="s">
        <v>255</v>
      </c>
      <c r="N610" s="78">
        <v>0</v>
      </c>
      <c r="O610" s="78">
        <v>0</v>
      </c>
      <c r="P610" s="79">
        <v>46204</v>
      </c>
      <c r="Q610" s="78">
        <v>0</v>
      </c>
      <c r="R610" s="79" t="e">
        <f>IF($B610&lt;&gt;"",VLOOKUP($B610,JADWAL!$G$6:$J$700,4,FALSE),"")</f>
        <v>#N/A</v>
      </c>
      <c r="S610" s="77">
        <f t="shared" si="22"/>
        <v>2</v>
      </c>
      <c r="T610" s="77"/>
      <c r="U610" s="37" t="s">
        <v>2242</v>
      </c>
      <c r="V610" s="37" t="s">
        <v>2250</v>
      </c>
      <c r="W610" s="37"/>
      <c r="X610" s="37"/>
    </row>
    <row r="611" spans="1:24" x14ac:dyDescent="0.3">
      <c r="A611" s="37">
        <f t="shared" si="23"/>
        <v>609</v>
      </c>
      <c r="B611" s="76" t="s">
        <v>468</v>
      </c>
      <c r="C611" s="76" t="s">
        <v>467</v>
      </c>
      <c r="D611" s="76" t="s">
        <v>2437</v>
      </c>
      <c r="E611" s="77">
        <v>380574164</v>
      </c>
      <c r="F611" s="77">
        <v>2000000</v>
      </c>
      <c r="G611" s="77" t="s">
        <v>2821</v>
      </c>
      <c r="H611" s="77" t="s">
        <v>2854</v>
      </c>
      <c r="I611" s="76" t="s">
        <v>2102</v>
      </c>
      <c r="J611" s="76" t="s">
        <v>4</v>
      </c>
      <c r="K611" s="76" t="e">
        <f>VLOOKUP($B611,'WILL TOKO SEP'!A612:AK1351,37,0)</f>
        <v>#N/A</v>
      </c>
      <c r="L611" s="76" t="s">
        <v>2104</v>
      </c>
      <c r="M611" s="37" t="s">
        <v>255</v>
      </c>
      <c r="N611" s="78">
        <v>0</v>
      </c>
      <c r="O611" s="78">
        <v>0</v>
      </c>
      <c r="P611" s="79">
        <v>46204</v>
      </c>
      <c r="Q611" s="78">
        <v>0</v>
      </c>
      <c r="R611" s="79" t="e">
        <f>IF($B611&lt;&gt;"",VLOOKUP($B611,JADWAL!$G$6:$J$700,4,FALSE),"")</f>
        <v>#N/A</v>
      </c>
      <c r="S611" s="77">
        <f t="shared" si="22"/>
        <v>2</v>
      </c>
      <c r="T611" s="77"/>
      <c r="U611" s="37" t="s">
        <v>2242</v>
      </c>
      <c r="V611" s="37" t="s">
        <v>2250</v>
      </c>
      <c r="W611" s="37"/>
      <c r="X611" s="37"/>
    </row>
    <row r="612" spans="1:24" x14ac:dyDescent="0.3">
      <c r="A612" s="37">
        <f t="shared" si="23"/>
        <v>610</v>
      </c>
      <c r="B612" s="80" t="s">
        <v>258</v>
      </c>
      <c r="C612" s="76" t="s">
        <v>257</v>
      </c>
      <c r="D612" s="76" t="s">
        <v>5404</v>
      </c>
      <c r="E612" s="77">
        <v>466360843</v>
      </c>
      <c r="F612" s="77">
        <v>2000000</v>
      </c>
      <c r="G612" s="77" t="s">
        <v>2817</v>
      </c>
      <c r="H612" s="77" t="s">
        <v>2851</v>
      </c>
      <c r="I612" s="80" t="s">
        <v>2102</v>
      </c>
      <c r="J612" s="76" t="s">
        <v>4</v>
      </c>
      <c r="K612" s="76" t="str">
        <f>VLOOKUP($B612,'WILL TOKO SEP'!A613:AK1352,37,0)</f>
        <v>DENPASAR SELATAN</v>
      </c>
      <c r="L612" s="80" t="s">
        <v>2103</v>
      </c>
      <c r="M612" s="37" t="s">
        <v>255</v>
      </c>
      <c r="N612" s="160">
        <v>46147</v>
      </c>
      <c r="O612" s="161">
        <v>0</v>
      </c>
      <c r="P612" s="161">
        <v>0</v>
      </c>
      <c r="Q612" s="79">
        <v>46258</v>
      </c>
      <c r="R612" s="79" t="e">
        <f>IF($B612&lt;&gt;"",VLOOKUP($B612,JADWAL!$G$6:$J$700,4,FALSE),"")</f>
        <v>#N/A</v>
      </c>
      <c r="S612" s="159">
        <f t="shared" si="22"/>
        <v>2</v>
      </c>
      <c r="T612" s="159"/>
      <c r="U612" s="81" t="s">
        <v>2242</v>
      </c>
      <c r="V612" s="81" t="s">
        <v>2250</v>
      </c>
      <c r="W612" s="81"/>
      <c r="X612" s="37"/>
    </row>
    <row r="613" spans="1:24" x14ac:dyDescent="0.3">
      <c r="A613" s="37">
        <f t="shared" si="23"/>
        <v>611</v>
      </c>
      <c r="B613" s="76" t="s">
        <v>300</v>
      </c>
      <c r="C613" s="76" t="s">
        <v>299</v>
      </c>
      <c r="D613" s="76" t="s">
        <v>2438</v>
      </c>
      <c r="E613" s="77">
        <v>459049234</v>
      </c>
      <c r="F613" s="77">
        <v>2500000</v>
      </c>
      <c r="G613" s="77" t="s">
        <v>2813</v>
      </c>
      <c r="H613" s="77" t="s">
        <v>2824</v>
      </c>
      <c r="I613" s="76" t="s">
        <v>2102</v>
      </c>
      <c r="J613" s="76" t="s">
        <v>9</v>
      </c>
      <c r="K613" s="76" t="e">
        <f>VLOOKUP($B613,'WILL TOKO SEP'!A614:AK1353,37,0)</f>
        <v>#N/A</v>
      </c>
      <c r="L613" s="76" t="s">
        <v>2103</v>
      </c>
      <c r="M613" s="37" t="s">
        <v>255</v>
      </c>
      <c r="N613" s="78">
        <v>0</v>
      </c>
      <c r="O613" s="78">
        <v>0</v>
      </c>
      <c r="P613" s="79">
        <v>46219</v>
      </c>
      <c r="Q613" s="78">
        <v>0</v>
      </c>
      <c r="R613" s="79" t="e">
        <f>IF($B613&lt;&gt;"",VLOOKUP($B613,JADWAL!$G$6:$J$700,4,FALSE),"")</f>
        <v>#N/A</v>
      </c>
      <c r="S613" s="77">
        <f t="shared" si="22"/>
        <v>2</v>
      </c>
      <c r="T613" s="77"/>
      <c r="U613" s="37" t="s">
        <v>2242</v>
      </c>
      <c r="V613" s="37" t="s">
        <v>2250</v>
      </c>
      <c r="W613" s="37"/>
      <c r="X613" s="37"/>
    </row>
    <row r="614" spans="1:24" x14ac:dyDescent="0.3">
      <c r="A614" s="37">
        <f t="shared" si="23"/>
        <v>612</v>
      </c>
      <c r="B614" s="76" t="s">
        <v>425</v>
      </c>
      <c r="C614" s="76" t="s">
        <v>5758</v>
      </c>
      <c r="D614" s="76" t="s">
        <v>5309</v>
      </c>
      <c r="E614" s="77">
        <v>431586627</v>
      </c>
      <c r="F614" s="77">
        <v>2500000</v>
      </c>
      <c r="G614" s="77" t="s">
        <v>2827</v>
      </c>
      <c r="H614" s="77" t="s">
        <v>2866</v>
      </c>
      <c r="I614" s="76" t="s">
        <v>2102</v>
      </c>
      <c r="J614" s="76" t="s">
        <v>48</v>
      </c>
      <c r="K614" s="76" t="e">
        <f>VLOOKUP($B614,'WILL TOKO SEP'!A615:AK1354,37,0)</f>
        <v>#N/A</v>
      </c>
      <c r="L614" s="76" t="s">
        <v>2104</v>
      </c>
      <c r="M614" s="37" t="s">
        <v>255</v>
      </c>
      <c r="N614" s="78">
        <v>0</v>
      </c>
      <c r="O614" s="78">
        <v>0</v>
      </c>
      <c r="P614" s="79">
        <v>46205</v>
      </c>
      <c r="Q614" s="78">
        <v>0</v>
      </c>
      <c r="R614" s="79" t="e">
        <f>IF($B614&lt;&gt;"",VLOOKUP($B614,JADWAL!$G$6:$J$700,4,FALSE),"")</f>
        <v>#N/A</v>
      </c>
      <c r="S614" s="77">
        <f t="shared" si="22"/>
        <v>2</v>
      </c>
      <c r="T614" s="77"/>
      <c r="U614" s="37" t="s">
        <v>2242</v>
      </c>
      <c r="V614" s="37" t="s">
        <v>2250</v>
      </c>
      <c r="W614" s="37"/>
      <c r="X614" s="37"/>
    </row>
    <row r="615" spans="1:24" x14ac:dyDescent="0.3">
      <c r="A615" s="37">
        <f t="shared" si="23"/>
        <v>613</v>
      </c>
      <c r="B615" s="76" t="s">
        <v>338</v>
      </c>
      <c r="C615" s="76" t="s">
        <v>337</v>
      </c>
      <c r="D615" s="76" t="s">
        <v>2445</v>
      </c>
      <c r="E615" s="77">
        <v>410762928</v>
      </c>
      <c r="F615" s="77">
        <v>2000000</v>
      </c>
      <c r="G615" s="77" t="s">
        <v>2825</v>
      </c>
      <c r="H615" s="77" t="s">
        <v>2837</v>
      </c>
      <c r="I615" s="76" t="s">
        <v>2102</v>
      </c>
      <c r="J615" s="76" t="s">
        <v>9</v>
      </c>
      <c r="K615" s="76" t="e">
        <f>VLOOKUP($B615,'WILL TOKO SEP'!A616:AK1355,37,0)</f>
        <v>#N/A</v>
      </c>
      <c r="L615" s="76" t="s">
        <v>2104</v>
      </c>
      <c r="M615" s="37" t="s">
        <v>255</v>
      </c>
      <c r="N615" s="78">
        <v>0</v>
      </c>
      <c r="O615" s="78">
        <v>0</v>
      </c>
      <c r="P615" s="79">
        <v>46212</v>
      </c>
      <c r="Q615" s="78">
        <v>0</v>
      </c>
      <c r="R615" s="79" t="e">
        <f>IF($B615&lt;&gt;"",VLOOKUP($B615,JADWAL!$G$6:$J$700,4,FALSE),"")</f>
        <v>#N/A</v>
      </c>
      <c r="S615" s="77">
        <f t="shared" si="22"/>
        <v>2</v>
      </c>
      <c r="T615" s="77"/>
      <c r="U615" s="37" t="s">
        <v>2242</v>
      </c>
      <c r="V615" s="37" t="s">
        <v>2250</v>
      </c>
      <c r="W615" s="37"/>
      <c r="X615" s="37"/>
    </row>
    <row r="616" spans="1:24" x14ac:dyDescent="0.3">
      <c r="A616" s="37">
        <f t="shared" si="23"/>
        <v>614</v>
      </c>
      <c r="B616" s="76" t="s">
        <v>1667</v>
      </c>
      <c r="C616" s="76" t="s">
        <v>1666</v>
      </c>
      <c r="D616" s="76" t="s">
        <v>2463</v>
      </c>
      <c r="E616" s="77">
        <v>367837207</v>
      </c>
      <c r="F616" s="77">
        <v>2000000</v>
      </c>
      <c r="G616" s="77" t="s">
        <v>2815</v>
      </c>
      <c r="H616" s="77" t="s">
        <v>2829</v>
      </c>
      <c r="I616" s="76" t="s">
        <v>2102</v>
      </c>
      <c r="J616" s="76" t="s">
        <v>28</v>
      </c>
      <c r="K616" s="76" t="e">
        <f>VLOOKUP($B616,'WILL TOKO SEP'!A617:AK1356,37,0)</f>
        <v>#N/A</v>
      </c>
      <c r="L616" s="76" t="s">
        <v>2103</v>
      </c>
      <c r="M616" s="37" t="s">
        <v>255</v>
      </c>
      <c r="N616" s="79">
        <v>46163</v>
      </c>
      <c r="O616" s="79">
        <v>46184</v>
      </c>
      <c r="P616" s="79">
        <v>46213</v>
      </c>
      <c r="Q616" s="79">
        <v>46242</v>
      </c>
      <c r="R616" s="79" t="e">
        <f>IF($B616&lt;&gt;"",VLOOKUP($B616,JADWAL!$G$6:$J$700,4,FALSE),"")</f>
        <v>#N/A</v>
      </c>
      <c r="S616" s="77">
        <f t="shared" si="22"/>
        <v>0</v>
      </c>
      <c r="T616" s="77"/>
      <c r="U616" s="37" t="s">
        <v>2242</v>
      </c>
      <c r="V616" s="37" t="s">
        <v>2250</v>
      </c>
      <c r="W616" s="37"/>
      <c r="X616" s="37"/>
    </row>
    <row r="617" spans="1:24" x14ac:dyDescent="0.3">
      <c r="A617" s="37">
        <f t="shared" si="23"/>
        <v>615</v>
      </c>
      <c r="B617" s="76" t="s">
        <v>431</v>
      </c>
      <c r="C617" s="76" t="s">
        <v>430</v>
      </c>
      <c r="D617" s="76" t="s">
        <v>5484</v>
      </c>
      <c r="E617" s="77">
        <v>418687278</v>
      </c>
      <c r="F617" s="77">
        <v>2000000</v>
      </c>
      <c r="G617" s="77" t="s">
        <v>2821</v>
      </c>
      <c r="H617" s="77" t="s">
        <v>2846</v>
      </c>
      <c r="I617" s="76" t="s">
        <v>2102</v>
      </c>
      <c r="J617" s="76" t="s">
        <v>36</v>
      </c>
      <c r="K617" s="76" t="str">
        <f>VLOOKUP($B617,'WILL TOKO SEP'!A618:AK1357,37,0)</f>
        <v>PENEBEL</v>
      </c>
      <c r="L617" s="76" t="s">
        <v>2104</v>
      </c>
      <c r="M617" s="37" t="s">
        <v>255</v>
      </c>
      <c r="N617" s="78">
        <v>0</v>
      </c>
      <c r="O617" s="78">
        <v>0</v>
      </c>
      <c r="P617" s="79">
        <v>46205</v>
      </c>
      <c r="Q617" s="78">
        <v>0</v>
      </c>
      <c r="R617" s="79" t="e">
        <f>IF($B617&lt;&gt;"",VLOOKUP($B617,JADWAL!$G$6:$J$700,4,FALSE),"")</f>
        <v>#N/A</v>
      </c>
      <c r="S617" s="77">
        <f t="shared" si="22"/>
        <v>2</v>
      </c>
      <c r="T617" s="77"/>
      <c r="U617" s="37" t="s">
        <v>2242</v>
      </c>
      <c r="V617" s="37" t="s">
        <v>2250</v>
      </c>
      <c r="W617" s="37"/>
      <c r="X617" s="37"/>
    </row>
    <row r="618" spans="1:24" x14ac:dyDescent="0.3">
      <c r="A618" s="37">
        <f t="shared" si="23"/>
        <v>616</v>
      </c>
      <c r="B618" s="76" t="s">
        <v>344</v>
      </c>
      <c r="C618" s="76" t="s">
        <v>343</v>
      </c>
      <c r="D618" s="76" t="s">
        <v>2469</v>
      </c>
      <c r="E618" s="77">
        <v>298374619</v>
      </c>
      <c r="F618" s="77">
        <v>2000000</v>
      </c>
      <c r="G618" s="77" t="s">
        <v>2867</v>
      </c>
      <c r="H618" s="77" t="s">
        <v>2870</v>
      </c>
      <c r="I618" s="76" t="s">
        <v>2102</v>
      </c>
      <c r="J618" s="76" t="s">
        <v>9</v>
      </c>
      <c r="K618" s="76" t="e">
        <f>VLOOKUP($B618,'WILL TOKO SEP'!A619:AK1358,37,0)</f>
        <v>#N/A</v>
      </c>
      <c r="L618" s="76" t="s">
        <v>2104</v>
      </c>
      <c r="M618" s="37" t="s">
        <v>255</v>
      </c>
      <c r="N618" s="78">
        <v>0</v>
      </c>
      <c r="O618" s="78">
        <v>0</v>
      </c>
      <c r="P618" s="79">
        <v>46211</v>
      </c>
      <c r="Q618" s="78">
        <v>0</v>
      </c>
      <c r="R618" s="79" t="e">
        <f>IF($B618&lt;&gt;"",VLOOKUP($B618,JADWAL!$G$6:$J$700,4,FALSE),"")</f>
        <v>#N/A</v>
      </c>
      <c r="S618" s="77">
        <f t="shared" si="22"/>
        <v>2</v>
      </c>
      <c r="T618" s="77"/>
      <c r="U618" s="37" t="s">
        <v>2242</v>
      </c>
      <c r="V618" s="37" t="s">
        <v>2250</v>
      </c>
      <c r="W618" s="37"/>
      <c r="X618" s="37"/>
    </row>
    <row r="619" spans="1:24" x14ac:dyDescent="0.3">
      <c r="A619" s="37">
        <f t="shared" si="23"/>
        <v>617</v>
      </c>
      <c r="B619" s="76" t="s">
        <v>348</v>
      </c>
      <c r="C619" s="76" t="s">
        <v>347</v>
      </c>
      <c r="D619" s="76" t="s">
        <v>2472</v>
      </c>
      <c r="E619" s="77">
        <v>571788993</v>
      </c>
      <c r="F619" s="77">
        <v>3500000</v>
      </c>
      <c r="G619" s="77" t="s">
        <v>2834</v>
      </c>
      <c r="H619" s="77" t="s">
        <v>2842</v>
      </c>
      <c r="I619" s="76" t="s">
        <v>2102</v>
      </c>
      <c r="J619" s="76" t="s">
        <v>58</v>
      </c>
      <c r="K619" s="76" t="e">
        <f>VLOOKUP($B619,'WILL TOKO SEP'!A620:AK1359,37,0)</f>
        <v>#N/A</v>
      </c>
      <c r="L619" s="76" t="s">
        <v>2104</v>
      </c>
      <c r="M619" s="37" t="s">
        <v>255</v>
      </c>
      <c r="N619" s="78">
        <v>0</v>
      </c>
      <c r="O619" s="78">
        <v>0</v>
      </c>
      <c r="P619" s="79">
        <v>46211</v>
      </c>
      <c r="Q619" s="78">
        <v>0</v>
      </c>
      <c r="R619" s="79" t="e">
        <f>IF($B619&lt;&gt;"",VLOOKUP($B619,JADWAL!$G$6:$J$700,4,FALSE),"")</f>
        <v>#N/A</v>
      </c>
      <c r="S619" s="77">
        <f t="shared" ref="S619:S650" si="24">COUNTIF(N619:P619,"0")</f>
        <v>2</v>
      </c>
      <c r="T619" s="77"/>
      <c r="U619" s="37" t="s">
        <v>2242</v>
      </c>
      <c r="V619" s="37" t="s">
        <v>2250</v>
      </c>
      <c r="W619" s="37"/>
      <c r="X619" s="37"/>
    </row>
    <row r="620" spans="1:24" x14ac:dyDescent="0.3">
      <c r="A620" s="37">
        <f t="shared" si="23"/>
        <v>618</v>
      </c>
      <c r="B620" s="76" t="s">
        <v>381</v>
      </c>
      <c r="C620" s="76" t="s">
        <v>380</v>
      </c>
      <c r="D620" s="76" t="s">
        <v>2488</v>
      </c>
      <c r="E620" s="77">
        <v>365780855</v>
      </c>
      <c r="F620" s="77">
        <v>3000000</v>
      </c>
      <c r="G620" s="77" t="s">
        <v>2830</v>
      </c>
      <c r="H620" s="77" t="s">
        <v>2831</v>
      </c>
      <c r="I620" s="76" t="s">
        <v>2102</v>
      </c>
      <c r="J620" s="76" t="s">
        <v>4</v>
      </c>
      <c r="K620" s="76" t="e">
        <f>VLOOKUP($B620,'WILL TOKO SEP'!A621:AK1360,37,0)</f>
        <v>#N/A</v>
      </c>
      <c r="L620" s="76" t="s">
        <v>2103</v>
      </c>
      <c r="M620" s="37" t="s">
        <v>255</v>
      </c>
      <c r="N620" s="78">
        <v>0</v>
      </c>
      <c r="O620" s="78">
        <v>0</v>
      </c>
      <c r="P620" s="79">
        <v>46209</v>
      </c>
      <c r="Q620" s="78">
        <v>0</v>
      </c>
      <c r="R620" s="79" t="e">
        <f>IF($B620&lt;&gt;"",VLOOKUP($B620,JADWAL!$G$6:$J$700,4,FALSE),"")</f>
        <v>#N/A</v>
      </c>
      <c r="S620" s="77">
        <f t="shared" si="24"/>
        <v>2</v>
      </c>
      <c r="T620" s="77"/>
      <c r="U620" s="37" t="s">
        <v>2242</v>
      </c>
      <c r="V620" s="37" t="s">
        <v>2250</v>
      </c>
      <c r="W620" s="37"/>
      <c r="X620" s="37"/>
    </row>
    <row r="621" spans="1:24" x14ac:dyDescent="0.3">
      <c r="A621" s="37">
        <f t="shared" si="23"/>
        <v>619</v>
      </c>
      <c r="B621" s="76" t="s">
        <v>321</v>
      </c>
      <c r="C621" s="76" t="s">
        <v>320</v>
      </c>
      <c r="D621" s="76" t="s">
        <v>2489</v>
      </c>
      <c r="E621" s="77">
        <v>425671816</v>
      </c>
      <c r="F621" s="77">
        <v>2000000</v>
      </c>
      <c r="G621" s="77" t="s">
        <v>2819</v>
      </c>
      <c r="H621" s="77" t="s">
        <v>2862</v>
      </c>
      <c r="I621" s="76" t="s">
        <v>2102</v>
      </c>
      <c r="J621" s="76" t="s">
        <v>9</v>
      </c>
      <c r="K621" s="76" t="e">
        <f>VLOOKUP($B621,'WILL TOKO SEP'!A622:AK1361,37,0)</f>
        <v>#N/A</v>
      </c>
      <c r="L621" s="76" t="s">
        <v>2104</v>
      </c>
      <c r="M621" s="37" t="s">
        <v>255</v>
      </c>
      <c r="N621" s="78">
        <v>0</v>
      </c>
      <c r="O621" s="78">
        <v>0</v>
      </c>
      <c r="P621" s="79">
        <v>46214</v>
      </c>
      <c r="Q621" s="78">
        <v>0</v>
      </c>
      <c r="R621" s="79" t="e">
        <f>IF($B621&lt;&gt;"",VLOOKUP($B621,JADWAL!$G$6:$J$700,4,FALSE),"")</f>
        <v>#N/A</v>
      </c>
      <c r="S621" s="77">
        <f t="shared" si="24"/>
        <v>2</v>
      </c>
      <c r="T621" s="77"/>
      <c r="U621" s="37" t="s">
        <v>2242</v>
      </c>
      <c r="V621" s="37" t="s">
        <v>2250</v>
      </c>
      <c r="W621" s="37"/>
      <c r="X621" s="37"/>
    </row>
    <row r="622" spans="1:24" x14ac:dyDescent="0.3">
      <c r="A622" s="37">
        <f t="shared" si="23"/>
        <v>620</v>
      </c>
      <c r="B622" s="76" t="s">
        <v>356</v>
      </c>
      <c r="C622" s="76" t="s">
        <v>355</v>
      </c>
      <c r="D622" s="76" t="s">
        <v>2491</v>
      </c>
      <c r="E622" s="77">
        <v>547769111</v>
      </c>
      <c r="F622" s="77">
        <v>3000000</v>
      </c>
      <c r="G622" s="77" t="s">
        <v>2817</v>
      </c>
      <c r="H622" s="77" t="s">
        <v>2865</v>
      </c>
      <c r="I622" s="76" t="s">
        <v>2102</v>
      </c>
      <c r="J622" s="76" t="s">
        <v>9</v>
      </c>
      <c r="K622" s="76" t="e">
        <f>VLOOKUP($B622,'WILL TOKO SEP'!A623:AK1362,37,0)</f>
        <v>#N/A</v>
      </c>
      <c r="L622" s="76" t="s">
        <v>2104</v>
      </c>
      <c r="M622" s="37" t="s">
        <v>255</v>
      </c>
      <c r="N622" s="78">
        <v>0</v>
      </c>
      <c r="O622" s="78">
        <v>0</v>
      </c>
      <c r="P622" s="79">
        <v>46211</v>
      </c>
      <c r="Q622" s="78">
        <v>0</v>
      </c>
      <c r="R622" s="79" t="e">
        <f>IF($B622&lt;&gt;"",VLOOKUP($B622,JADWAL!$G$6:$J$700,4,FALSE),"")</f>
        <v>#N/A</v>
      </c>
      <c r="S622" s="77">
        <f t="shared" si="24"/>
        <v>2</v>
      </c>
      <c r="T622" s="77"/>
      <c r="U622" s="37" t="s">
        <v>2242</v>
      </c>
      <c r="V622" s="37" t="s">
        <v>2250</v>
      </c>
      <c r="W622" s="37"/>
      <c r="X622" s="37"/>
    </row>
    <row r="623" spans="1:24" x14ac:dyDescent="0.3">
      <c r="A623" s="37">
        <f t="shared" si="23"/>
        <v>621</v>
      </c>
      <c r="B623" s="76" t="s">
        <v>315</v>
      </c>
      <c r="C623" s="76" t="s">
        <v>314</v>
      </c>
      <c r="D623" s="76" t="s">
        <v>5565</v>
      </c>
      <c r="E623" s="77">
        <v>483552987</v>
      </c>
      <c r="F623" s="77">
        <v>2000000</v>
      </c>
      <c r="G623" s="77" t="s">
        <v>2813</v>
      </c>
      <c r="H623" s="77" t="s">
        <v>2871</v>
      </c>
      <c r="I623" s="76" t="s">
        <v>2102</v>
      </c>
      <c r="J623" s="76" t="s">
        <v>9</v>
      </c>
      <c r="K623" s="76" t="str">
        <f>VLOOKUP($B623,'WILL TOKO SEP'!A624:AK1363,37,0)</f>
        <v>Kuta</v>
      </c>
      <c r="L623" s="76" t="s">
        <v>2104</v>
      </c>
      <c r="M623" s="37" t="s">
        <v>255</v>
      </c>
      <c r="N623" s="78">
        <v>0</v>
      </c>
      <c r="O623" s="78">
        <v>0</v>
      </c>
      <c r="P623" s="79">
        <v>46216</v>
      </c>
      <c r="Q623" s="78">
        <v>0</v>
      </c>
      <c r="R623" s="79" t="e">
        <f>IF($B623&lt;&gt;"",VLOOKUP($B623,JADWAL!$G$6:$J$700,4,FALSE),"")</f>
        <v>#N/A</v>
      </c>
      <c r="S623" s="77">
        <f t="shared" si="24"/>
        <v>2</v>
      </c>
      <c r="T623" s="77"/>
      <c r="U623" s="37" t="s">
        <v>2242</v>
      </c>
      <c r="V623" s="37" t="s">
        <v>2250</v>
      </c>
      <c r="W623" s="37"/>
      <c r="X623" s="37"/>
    </row>
    <row r="624" spans="1:24" x14ac:dyDescent="0.3">
      <c r="A624" s="37">
        <f t="shared" si="23"/>
        <v>622</v>
      </c>
      <c r="B624" s="76" t="s">
        <v>397</v>
      </c>
      <c r="C624" s="76" t="s">
        <v>396</v>
      </c>
      <c r="D624" s="76" t="s">
        <v>5414</v>
      </c>
      <c r="E624" s="77">
        <v>562259331</v>
      </c>
      <c r="F624" s="77">
        <v>2000000</v>
      </c>
      <c r="G624" s="77" t="s">
        <v>2840</v>
      </c>
      <c r="H624" s="77" t="s">
        <v>2872</v>
      </c>
      <c r="I624" s="76" t="s">
        <v>2102</v>
      </c>
      <c r="J624" s="76" t="s">
        <v>48</v>
      </c>
      <c r="K624" s="76" t="str">
        <f>VLOOKUP($B624,'WILL TOKO SEP'!A625:AK1364,37,0)</f>
        <v>BULELENG</v>
      </c>
      <c r="L624" s="76" t="s">
        <v>2104</v>
      </c>
      <c r="M624" s="37" t="s">
        <v>255</v>
      </c>
      <c r="N624" s="78">
        <v>0</v>
      </c>
      <c r="O624" s="78">
        <v>0</v>
      </c>
      <c r="P624" s="79">
        <v>46206</v>
      </c>
      <c r="Q624" s="78">
        <v>0</v>
      </c>
      <c r="R624" s="79" t="e">
        <f>IF($B624&lt;&gt;"",VLOOKUP($B624,JADWAL!$G$6:$J$700,4,FALSE),"")</f>
        <v>#N/A</v>
      </c>
      <c r="S624" s="77">
        <f t="shared" si="24"/>
        <v>2</v>
      </c>
      <c r="T624" s="77"/>
      <c r="U624" s="37" t="s">
        <v>2242</v>
      </c>
      <c r="V624" s="37" t="s">
        <v>2250</v>
      </c>
      <c r="W624" s="37"/>
      <c r="X624" s="37"/>
    </row>
    <row r="625" spans="1:24" x14ac:dyDescent="0.3">
      <c r="A625" s="37">
        <f t="shared" si="23"/>
        <v>623</v>
      </c>
      <c r="B625" s="76" t="s">
        <v>428</v>
      </c>
      <c r="C625" s="76" t="s">
        <v>427</v>
      </c>
      <c r="D625" s="76" t="s">
        <v>2553</v>
      </c>
      <c r="E625" s="77">
        <v>382624453</v>
      </c>
      <c r="F625" s="77">
        <v>2000000</v>
      </c>
      <c r="G625" s="77" t="s">
        <v>2813</v>
      </c>
      <c r="H625" s="77" t="s">
        <v>2814</v>
      </c>
      <c r="I625" s="76" t="s">
        <v>2102</v>
      </c>
      <c r="J625" s="76" t="s">
        <v>9</v>
      </c>
      <c r="K625" s="76" t="e">
        <f>VLOOKUP($B625,'WILL TOKO SEP'!A626:AK1365,37,0)</f>
        <v>#N/A</v>
      </c>
      <c r="L625" s="76" t="s">
        <v>2103</v>
      </c>
      <c r="M625" s="37" t="s">
        <v>255</v>
      </c>
      <c r="N625" s="78">
        <v>0</v>
      </c>
      <c r="O625" s="78">
        <v>0</v>
      </c>
      <c r="P625" s="79">
        <v>46205</v>
      </c>
      <c r="Q625" s="78">
        <v>0</v>
      </c>
      <c r="R625" s="79" t="e">
        <f>IF($B625&lt;&gt;"",VLOOKUP($B625,JADWAL!$G$6:$J$700,4,FALSE),"")</f>
        <v>#N/A</v>
      </c>
      <c r="S625" s="77">
        <f t="shared" si="24"/>
        <v>2</v>
      </c>
      <c r="T625" s="77"/>
      <c r="U625" s="37" t="s">
        <v>2242</v>
      </c>
      <c r="V625" s="37" t="s">
        <v>2250</v>
      </c>
      <c r="W625" s="37"/>
      <c r="X625" s="37"/>
    </row>
    <row r="626" spans="1:24" x14ac:dyDescent="0.3">
      <c r="A626" s="37">
        <f t="shared" si="23"/>
        <v>624</v>
      </c>
      <c r="B626" s="76" t="s">
        <v>275</v>
      </c>
      <c r="C626" s="76" t="s">
        <v>5715</v>
      </c>
      <c r="D626" s="76" t="s">
        <v>2563</v>
      </c>
      <c r="E626" s="77">
        <v>504054654</v>
      </c>
      <c r="F626" s="77">
        <v>3000000</v>
      </c>
      <c r="G626" s="77" t="s">
        <v>2825</v>
      </c>
      <c r="H626" s="77" t="s">
        <v>2853</v>
      </c>
      <c r="I626" s="76" t="s">
        <v>2102</v>
      </c>
      <c r="J626" s="76" t="s">
        <v>9</v>
      </c>
      <c r="K626" s="76" t="e">
        <f>VLOOKUP($B626,'WILL TOKO SEP'!A627:AK1366,37,0)</f>
        <v>#N/A</v>
      </c>
      <c r="L626" s="76" t="s">
        <v>2104</v>
      </c>
      <c r="M626" s="37" t="s">
        <v>255</v>
      </c>
      <c r="N626" s="78">
        <v>0</v>
      </c>
      <c r="O626" s="79">
        <v>46175</v>
      </c>
      <c r="P626" s="79">
        <v>46227</v>
      </c>
      <c r="Q626" s="78">
        <v>0</v>
      </c>
      <c r="R626" s="79" t="e">
        <f>IF($B626&lt;&gt;"",VLOOKUP($B626,JADWAL!$G$6:$J$700,4,FALSE),"")</f>
        <v>#N/A</v>
      </c>
      <c r="S626" s="77">
        <f t="shared" si="24"/>
        <v>1</v>
      </c>
      <c r="T626" s="77"/>
      <c r="U626" s="37" t="s">
        <v>2242</v>
      </c>
      <c r="V626" s="37" t="s">
        <v>2250</v>
      </c>
      <c r="W626" s="37"/>
      <c r="X626" s="37"/>
    </row>
    <row r="627" spans="1:24" x14ac:dyDescent="0.3">
      <c r="A627" s="37">
        <f t="shared" si="23"/>
        <v>625</v>
      </c>
      <c r="B627" s="76" t="s">
        <v>372</v>
      </c>
      <c r="C627" s="76" t="s">
        <v>371</v>
      </c>
      <c r="D627" s="76" t="s">
        <v>5282</v>
      </c>
      <c r="E627" s="77">
        <v>527910355</v>
      </c>
      <c r="F627" s="77">
        <v>3000000</v>
      </c>
      <c r="G627" s="77" t="s">
        <v>2813</v>
      </c>
      <c r="H627" s="77" t="s">
        <v>2858</v>
      </c>
      <c r="I627" s="76" t="s">
        <v>2102</v>
      </c>
      <c r="J627" s="76" t="s">
        <v>36</v>
      </c>
      <c r="K627" s="76" t="e">
        <f>VLOOKUP($B627,'WILL TOKO SEP'!A628:AK1367,37,0)</f>
        <v>#N/A</v>
      </c>
      <c r="L627" s="76" t="s">
        <v>2104</v>
      </c>
      <c r="M627" s="37" t="s">
        <v>255</v>
      </c>
      <c r="N627" s="79">
        <v>46160</v>
      </c>
      <c r="O627" s="79">
        <v>46184</v>
      </c>
      <c r="P627" s="79">
        <v>46210</v>
      </c>
      <c r="Q627" s="78">
        <v>0</v>
      </c>
      <c r="R627" s="79" t="e">
        <f>IF($B627&lt;&gt;"",VLOOKUP($B627,JADWAL!$G$6:$J$700,4,FALSE),"")</f>
        <v>#N/A</v>
      </c>
      <c r="S627" s="77">
        <f t="shared" si="24"/>
        <v>0</v>
      </c>
      <c r="T627" s="77"/>
      <c r="U627" s="37" t="s">
        <v>2242</v>
      </c>
      <c r="V627" s="37" t="s">
        <v>2250</v>
      </c>
      <c r="W627" s="37"/>
      <c r="X627" s="37"/>
    </row>
    <row r="628" spans="1:24" x14ac:dyDescent="0.3">
      <c r="A628" s="37">
        <f t="shared" si="23"/>
        <v>626</v>
      </c>
      <c r="B628" s="76" t="s">
        <v>365</v>
      </c>
      <c r="C628" s="76" t="s">
        <v>364</v>
      </c>
      <c r="D628" s="76" t="s">
        <v>5491</v>
      </c>
      <c r="E628" s="77">
        <v>465704560</v>
      </c>
      <c r="F628" s="77">
        <v>2000000</v>
      </c>
      <c r="G628" s="77" t="s">
        <v>2827</v>
      </c>
      <c r="H628" s="77" t="s">
        <v>2864</v>
      </c>
      <c r="I628" s="76" t="s">
        <v>2102</v>
      </c>
      <c r="J628" s="76" t="s">
        <v>48</v>
      </c>
      <c r="K628" s="76" t="str">
        <f>VLOOKUP($B628,'WILL TOKO SEP'!A629:AK1368,37,0)</f>
        <v>TEJAKULA</v>
      </c>
      <c r="L628" s="76" t="s">
        <v>2104</v>
      </c>
      <c r="M628" s="37" t="s">
        <v>255</v>
      </c>
      <c r="N628" s="78">
        <v>0</v>
      </c>
      <c r="O628" s="78">
        <v>0</v>
      </c>
      <c r="P628" s="79">
        <v>46210</v>
      </c>
      <c r="Q628" s="78">
        <v>0</v>
      </c>
      <c r="R628" s="79" t="e">
        <f>IF($B628&lt;&gt;"",VLOOKUP($B628,JADWAL!$G$6:$J$700,4,FALSE),"")</f>
        <v>#N/A</v>
      </c>
      <c r="S628" s="77">
        <f t="shared" si="24"/>
        <v>2</v>
      </c>
      <c r="T628" s="77"/>
      <c r="U628" s="37" t="s">
        <v>2242</v>
      </c>
      <c r="V628" s="37" t="s">
        <v>2250</v>
      </c>
      <c r="W628" s="37"/>
      <c r="X628" s="37"/>
    </row>
    <row r="629" spans="1:24" x14ac:dyDescent="0.3">
      <c r="A629" s="37">
        <f t="shared" si="23"/>
        <v>627</v>
      </c>
      <c r="B629" s="76" t="s">
        <v>438</v>
      </c>
      <c r="C629" s="76" t="s">
        <v>5785</v>
      </c>
      <c r="D629" s="76" t="s">
        <v>5363</v>
      </c>
      <c r="E629" s="77">
        <v>410899653</v>
      </c>
      <c r="F629" s="77">
        <v>2500000</v>
      </c>
      <c r="G629" s="77" t="s">
        <v>2815</v>
      </c>
      <c r="H629" s="77" t="s">
        <v>2857</v>
      </c>
      <c r="I629" s="76" t="s">
        <v>2102</v>
      </c>
      <c r="J629" s="76" t="s">
        <v>28</v>
      </c>
      <c r="K629" s="76" t="str">
        <f>VLOOKUP($B629,'WILL TOKO SEP'!A630:AK1369,37,0)</f>
        <v>UBUD</v>
      </c>
      <c r="L629" s="76" t="s">
        <v>2103</v>
      </c>
      <c r="M629" s="37" t="s">
        <v>255</v>
      </c>
      <c r="N629" s="78">
        <v>0</v>
      </c>
      <c r="O629" s="78">
        <v>0</v>
      </c>
      <c r="P629" s="79">
        <v>46205</v>
      </c>
      <c r="Q629" s="78">
        <v>0</v>
      </c>
      <c r="R629" s="79" t="e">
        <f>IF($B629&lt;&gt;"",VLOOKUP($B629,JADWAL!$G$6:$J$700,4,FALSE),"")</f>
        <v>#N/A</v>
      </c>
      <c r="S629" s="77">
        <f t="shared" si="24"/>
        <v>2</v>
      </c>
      <c r="T629" s="77"/>
      <c r="U629" s="37" t="s">
        <v>2242</v>
      </c>
      <c r="V629" s="37" t="s">
        <v>2250</v>
      </c>
      <c r="W629" s="37"/>
      <c r="X629" s="37"/>
    </row>
    <row r="630" spans="1:24" x14ac:dyDescent="0.3">
      <c r="A630" s="37">
        <f t="shared" si="23"/>
        <v>628</v>
      </c>
      <c r="B630" s="76" t="s">
        <v>278</v>
      </c>
      <c r="C630" s="76" t="s">
        <v>277</v>
      </c>
      <c r="D630" s="76" t="s">
        <v>2576</v>
      </c>
      <c r="E630" s="77">
        <v>621126188</v>
      </c>
      <c r="F630" s="77">
        <v>3000000</v>
      </c>
      <c r="G630" s="77" t="s">
        <v>2834</v>
      </c>
      <c r="H630" s="77" t="s">
        <v>2869</v>
      </c>
      <c r="I630" s="76" t="s">
        <v>2102</v>
      </c>
      <c r="J630" s="76" t="s">
        <v>40</v>
      </c>
      <c r="K630" s="76" t="e">
        <f>VLOOKUP($B630,'WILL TOKO SEP'!A631:AK1370,37,0)</f>
        <v>#N/A</v>
      </c>
      <c r="L630" s="76" t="s">
        <v>2104</v>
      </c>
      <c r="M630" s="37" t="s">
        <v>255</v>
      </c>
      <c r="N630" s="78">
        <v>0</v>
      </c>
      <c r="O630" s="79">
        <v>46177</v>
      </c>
      <c r="P630" s="79">
        <v>46226</v>
      </c>
      <c r="Q630" s="78">
        <v>0</v>
      </c>
      <c r="R630" s="79" t="e">
        <f>IF($B630&lt;&gt;"",VLOOKUP($B630,JADWAL!$G$6:$J$700,4,FALSE),"")</f>
        <v>#N/A</v>
      </c>
      <c r="S630" s="77">
        <f t="shared" si="24"/>
        <v>1</v>
      </c>
      <c r="T630" s="77"/>
      <c r="U630" s="37" t="s">
        <v>2242</v>
      </c>
      <c r="V630" s="37" t="s">
        <v>2250</v>
      </c>
      <c r="W630" s="37"/>
      <c r="X630" s="37"/>
    </row>
    <row r="631" spans="1:24" x14ac:dyDescent="0.3">
      <c r="A631" s="37">
        <f t="shared" si="23"/>
        <v>629</v>
      </c>
      <c r="B631" s="76" t="s">
        <v>362</v>
      </c>
      <c r="C631" s="76" t="s">
        <v>361</v>
      </c>
      <c r="D631" s="76" t="s">
        <v>2578</v>
      </c>
      <c r="E631" s="77">
        <v>526594391</v>
      </c>
      <c r="F631" s="77">
        <v>4000000</v>
      </c>
      <c r="G631" s="77" t="s">
        <v>2840</v>
      </c>
      <c r="H631" s="77" t="s">
        <v>2872</v>
      </c>
      <c r="I631" s="76" t="s">
        <v>2102</v>
      </c>
      <c r="J631" s="76" t="s">
        <v>48</v>
      </c>
      <c r="K631" s="76" t="e">
        <f>VLOOKUP($B631,'WILL TOKO SEP'!A632:AK1371,37,0)</f>
        <v>#N/A</v>
      </c>
      <c r="L631" s="76" t="s">
        <v>2104</v>
      </c>
      <c r="M631" s="37" t="s">
        <v>255</v>
      </c>
      <c r="N631" s="79">
        <v>46144</v>
      </c>
      <c r="O631" s="78">
        <v>0</v>
      </c>
      <c r="P631" s="79">
        <v>46211</v>
      </c>
      <c r="Q631" s="78">
        <v>0</v>
      </c>
      <c r="R631" s="79" t="e">
        <f>IF($B631&lt;&gt;"",VLOOKUP($B631,JADWAL!$G$6:$J$700,4,FALSE),"")</f>
        <v>#N/A</v>
      </c>
      <c r="S631" s="77">
        <f t="shared" si="24"/>
        <v>1</v>
      </c>
      <c r="T631" s="77"/>
      <c r="U631" s="37" t="s">
        <v>2242</v>
      </c>
      <c r="V631" s="37" t="s">
        <v>2250</v>
      </c>
      <c r="W631" s="37"/>
      <c r="X631" s="37"/>
    </row>
    <row r="632" spans="1:24" x14ac:dyDescent="0.3">
      <c r="A632" s="37">
        <f t="shared" si="23"/>
        <v>630</v>
      </c>
      <c r="B632" s="76" t="s">
        <v>305</v>
      </c>
      <c r="C632" s="76" t="s">
        <v>304</v>
      </c>
      <c r="D632" s="76" t="s">
        <v>2583</v>
      </c>
      <c r="E632" s="77">
        <v>528088270</v>
      </c>
      <c r="F632" s="77">
        <v>3000000</v>
      </c>
      <c r="G632" s="77" t="s">
        <v>2819</v>
      </c>
      <c r="H632" s="77" t="s">
        <v>2862</v>
      </c>
      <c r="I632" s="76" t="s">
        <v>2102</v>
      </c>
      <c r="J632" s="76" t="s">
        <v>9</v>
      </c>
      <c r="K632" s="76" t="e">
        <f>VLOOKUP($B632,'WILL TOKO SEP'!A633:AK1372,37,0)</f>
        <v>#N/A</v>
      </c>
      <c r="L632" s="76" t="s">
        <v>2104</v>
      </c>
      <c r="M632" s="37" t="s">
        <v>255</v>
      </c>
      <c r="N632" s="78">
        <v>0</v>
      </c>
      <c r="O632" s="78">
        <v>0</v>
      </c>
      <c r="P632" s="79">
        <v>46217</v>
      </c>
      <c r="Q632" s="78">
        <v>0</v>
      </c>
      <c r="R632" s="79" t="e">
        <f>IF($B632&lt;&gt;"",VLOOKUP($B632,JADWAL!$G$6:$J$700,4,FALSE),"")</f>
        <v>#N/A</v>
      </c>
      <c r="S632" s="77">
        <f t="shared" si="24"/>
        <v>2</v>
      </c>
      <c r="T632" s="77"/>
      <c r="U632" s="37" t="s">
        <v>2242</v>
      </c>
      <c r="V632" s="37" t="s">
        <v>2250</v>
      </c>
      <c r="W632" s="37"/>
      <c r="X632" s="37"/>
    </row>
    <row r="633" spans="1:24" x14ac:dyDescent="0.3">
      <c r="A633" s="37">
        <f t="shared" si="23"/>
        <v>631</v>
      </c>
      <c r="B633" s="76" t="s">
        <v>265</v>
      </c>
      <c r="C633" s="76" t="s">
        <v>5714</v>
      </c>
      <c r="D633" s="76" t="s">
        <v>2586</v>
      </c>
      <c r="E633" s="77">
        <v>567875781</v>
      </c>
      <c r="F633" s="77">
        <v>3500000</v>
      </c>
      <c r="G633" s="77" t="s">
        <v>2821</v>
      </c>
      <c r="H633" s="77" t="s">
        <v>2833</v>
      </c>
      <c r="I633" s="76" t="s">
        <v>2102</v>
      </c>
      <c r="J633" s="76" t="s">
        <v>36</v>
      </c>
      <c r="K633" s="76" t="e">
        <f>VLOOKUP($B633,'WILL TOKO SEP'!A634:AK1373,37,0)</f>
        <v>#N/A</v>
      </c>
      <c r="L633" s="76" t="s">
        <v>2104</v>
      </c>
      <c r="M633" s="37" t="s">
        <v>255</v>
      </c>
      <c r="N633" s="78">
        <v>0</v>
      </c>
      <c r="O633" s="78">
        <v>0</v>
      </c>
      <c r="P633" s="79">
        <v>46232</v>
      </c>
      <c r="Q633" s="78">
        <v>0</v>
      </c>
      <c r="R633" s="79" t="e">
        <f>IF($B633&lt;&gt;"",VLOOKUP($B633,JADWAL!$G$6:$J$700,4,FALSE),"")</f>
        <v>#N/A</v>
      </c>
      <c r="S633" s="77">
        <f t="shared" si="24"/>
        <v>2</v>
      </c>
      <c r="T633" s="77"/>
      <c r="U633" s="37" t="s">
        <v>2242</v>
      </c>
      <c r="V633" s="37" t="s">
        <v>2250</v>
      </c>
      <c r="W633" s="37"/>
      <c r="X633" s="37"/>
    </row>
    <row r="634" spans="1:24" x14ac:dyDescent="0.3">
      <c r="A634" s="37">
        <f t="shared" si="23"/>
        <v>632</v>
      </c>
      <c r="B634" s="76" t="s">
        <v>332</v>
      </c>
      <c r="C634" s="76" t="s">
        <v>331</v>
      </c>
      <c r="D634" s="76" t="s">
        <v>5516</v>
      </c>
      <c r="E634" s="77">
        <v>429173196</v>
      </c>
      <c r="F634" s="77">
        <v>2000000</v>
      </c>
      <c r="G634" s="77" t="s">
        <v>2827</v>
      </c>
      <c r="H634" s="77" t="s">
        <v>2864</v>
      </c>
      <c r="I634" s="76" t="s">
        <v>2102</v>
      </c>
      <c r="J634" s="76" t="s">
        <v>48</v>
      </c>
      <c r="K634" s="76" t="str">
        <f>VLOOKUP($B634,'WILL TOKO SEP'!A635:AK1374,37,0)</f>
        <v>KUBUTAMBAHAN</v>
      </c>
      <c r="L634" s="76" t="s">
        <v>2104</v>
      </c>
      <c r="M634" s="37" t="s">
        <v>255</v>
      </c>
      <c r="N634" s="78">
        <v>0</v>
      </c>
      <c r="O634" s="78">
        <v>0</v>
      </c>
      <c r="P634" s="79">
        <v>46212</v>
      </c>
      <c r="Q634" s="78">
        <v>0</v>
      </c>
      <c r="R634" s="79" t="e">
        <f>IF($B634&lt;&gt;"",VLOOKUP($B634,JADWAL!$G$6:$J$700,4,FALSE),"")</f>
        <v>#N/A</v>
      </c>
      <c r="S634" s="77">
        <f t="shared" si="24"/>
        <v>2</v>
      </c>
      <c r="T634" s="77"/>
      <c r="U634" s="37" t="s">
        <v>2242</v>
      </c>
      <c r="V634" s="37" t="s">
        <v>2250</v>
      </c>
      <c r="W634" s="37"/>
      <c r="X634" s="37"/>
    </row>
    <row r="635" spans="1:24" x14ac:dyDescent="0.3">
      <c r="A635" s="37">
        <f t="shared" si="23"/>
        <v>633</v>
      </c>
      <c r="B635" s="76" t="s">
        <v>394</v>
      </c>
      <c r="C635" s="76" t="s">
        <v>393</v>
      </c>
      <c r="D635" s="76" t="s">
        <v>5280</v>
      </c>
      <c r="E635" s="77">
        <v>514464192</v>
      </c>
      <c r="F635" s="77">
        <v>2500000</v>
      </c>
      <c r="G635" s="77" t="s">
        <v>2827</v>
      </c>
      <c r="H635" s="77" t="s">
        <v>2866</v>
      </c>
      <c r="I635" s="76" t="s">
        <v>2102</v>
      </c>
      <c r="J635" s="76" t="s">
        <v>48</v>
      </c>
      <c r="K635" s="76" t="e">
        <f>VLOOKUP($B635,'WILL TOKO SEP'!A636:AK1375,37,0)</f>
        <v>#N/A</v>
      </c>
      <c r="L635" s="76" t="s">
        <v>2104</v>
      </c>
      <c r="M635" s="37" t="s">
        <v>255</v>
      </c>
      <c r="N635" s="78">
        <v>0</v>
      </c>
      <c r="O635" s="78">
        <v>0</v>
      </c>
      <c r="P635" s="79">
        <v>46206</v>
      </c>
      <c r="Q635" s="78">
        <v>0</v>
      </c>
      <c r="R635" s="79" t="e">
        <f>IF($B635&lt;&gt;"",VLOOKUP($B635,JADWAL!$G$6:$J$700,4,FALSE),"")</f>
        <v>#N/A</v>
      </c>
      <c r="S635" s="77">
        <f t="shared" si="24"/>
        <v>2</v>
      </c>
      <c r="T635" s="77"/>
      <c r="U635" s="37" t="s">
        <v>2242</v>
      </c>
      <c r="V635" s="37" t="s">
        <v>2250</v>
      </c>
      <c r="W635" s="37"/>
      <c r="X635" s="37"/>
    </row>
    <row r="636" spans="1:24" x14ac:dyDescent="0.3">
      <c r="A636" s="37">
        <f t="shared" si="23"/>
        <v>634</v>
      </c>
      <c r="B636" s="76" t="s">
        <v>296</v>
      </c>
      <c r="C636" s="76" t="s">
        <v>295</v>
      </c>
      <c r="D636" s="76" t="s">
        <v>2596</v>
      </c>
      <c r="E636" s="77">
        <v>341639761</v>
      </c>
      <c r="F636" s="77">
        <v>2000000</v>
      </c>
      <c r="G636" s="77" t="s">
        <v>2819</v>
      </c>
      <c r="H636" s="77" t="s">
        <v>2862</v>
      </c>
      <c r="I636" s="76" t="s">
        <v>2102</v>
      </c>
      <c r="J636" s="76" t="s">
        <v>9</v>
      </c>
      <c r="K636" s="76" t="e">
        <f>VLOOKUP($B636,'WILL TOKO SEP'!A637:AK1376,37,0)</f>
        <v>#N/A</v>
      </c>
      <c r="L636" s="76" t="s">
        <v>2104</v>
      </c>
      <c r="M636" s="37" t="s">
        <v>255</v>
      </c>
      <c r="N636" s="78">
        <v>0</v>
      </c>
      <c r="O636" s="78">
        <v>0</v>
      </c>
      <c r="P636" s="79">
        <v>46219</v>
      </c>
      <c r="Q636" s="78">
        <v>0</v>
      </c>
      <c r="R636" s="79" t="e">
        <f>IF($B636&lt;&gt;"",VLOOKUP($B636,JADWAL!$G$6:$J$700,4,FALSE),"")</f>
        <v>#N/A</v>
      </c>
      <c r="S636" s="77">
        <f t="shared" si="24"/>
        <v>2</v>
      </c>
      <c r="T636" s="77"/>
      <c r="U636" s="37" t="s">
        <v>2242</v>
      </c>
      <c r="V636" s="37" t="s">
        <v>2250</v>
      </c>
      <c r="W636" s="37"/>
      <c r="X636" s="37"/>
    </row>
    <row r="637" spans="1:24" x14ac:dyDescent="0.3">
      <c r="A637" s="37">
        <f t="shared" si="23"/>
        <v>635</v>
      </c>
      <c r="B637" s="76" t="s">
        <v>308</v>
      </c>
      <c r="C637" s="76" t="s">
        <v>5753</v>
      </c>
      <c r="D637" s="76" t="s">
        <v>2602</v>
      </c>
      <c r="E637" s="77">
        <v>478503852</v>
      </c>
      <c r="F637" s="77">
        <v>3000000</v>
      </c>
      <c r="G637" s="77" t="s">
        <v>2827</v>
      </c>
      <c r="H637" s="77" t="s">
        <v>2864</v>
      </c>
      <c r="I637" s="76" t="s">
        <v>2102</v>
      </c>
      <c r="J637" s="76" t="s">
        <v>48</v>
      </c>
      <c r="K637" s="76" t="e">
        <f>VLOOKUP($B637,'WILL TOKO SEP'!A638:AK1377,37,0)</f>
        <v>#N/A</v>
      </c>
      <c r="L637" s="76" t="s">
        <v>2104</v>
      </c>
      <c r="M637" s="37" t="s">
        <v>255</v>
      </c>
      <c r="N637" s="78">
        <v>0</v>
      </c>
      <c r="O637" s="78">
        <v>0</v>
      </c>
      <c r="P637" s="79">
        <v>46217</v>
      </c>
      <c r="Q637" s="78">
        <v>0</v>
      </c>
      <c r="R637" s="79" t="e">
        <f>IF($B637&lt;&gt;"",VLOOKUP($B637,JADWAL!$G$6:$J$700,4,FALSE),"")</f>
        <v>#N/A</v>
      </c>
      <c r="S637" s="77">
        <f t="shared" si="24"/>
        <v>2</v>
      </c>
      <c r="T637" s="77"/>
      <c r="U637" s="37" t="s">
        <v>2242</v>
      </c>
      <c r="V637" s="37" t="s">
        <v>2250</v>
      </c>
      <c r="W637" s="37"/>
      <c r="X637" s="37"/>
    </row>
    <row r="638" spans="1:24" x14ac:dyDescent="0.3">
      <c r="A638" s="37">
        <f t="shared" si="23"/>
        <v>636</v>
      </c>
      <c r="B638" s="76" t="s">
        <v>375</v>
      </c>
      <c r="C638" s="76" t="s">
        <v>374</v>
      </c>
      <c r="D638" s="76" t="s">
        <v>2611</v>
      </c>
      <c r="E638" s="77">
        <v>470434054</v>
      </c>
      <c r="F638" s="77">
        <v>3000000</v>
      </c>
      <c r="G638" s="77" t="s">
        <v>2830</v>
      </c>
      <c r="H638" s="77" t="s">
        <v>2847</v>
      </c>
      <c r="I638" s="76" t="s">
        <v>2102</v>
      </c>
      <c r="J638" s="76" t="s">
        <v>4</v>
      </c>
      <c r="K638" s="76" t="e">
        <f>VLOOKUP($B638,'WILL TOKO SEP'!A639:AK1378,37,0)</f>
        <v>#N/A</v>
      </c>
      <c r="L638" s="76" t="s">
        <v>2103</v>
      </c>
      <c r="M638" s="37" t="s">
        <v>255</v>
      </c>
      <c r="N638" s="78">
        <v>0</v>
      </c>
      <c r="O638" s="78">
        <v>0</v>
      </c>
      <c r="P638" s="79">
        <v>46209</v>
      </c>
      <c r="Q638" s="78">
        <v>0</v>
      </c>
      <c r="R638" s="79" t="e">
        <f>IF($B638&lt;&gt;"",VLOOKUP($B638,JADWAL!$G$6:$J$700,4,FALSE),"")</f>
        <v>#N/A</v>
      </c>
      <c r="S638" s="77">
        <f t="shared" si="24"/>
        <v>2</v>
      </c>
      <c r="T638" s="77"/>
      <c r="U638" s="37" t="s">
        <v>2242</v>
      </c>
      <c r="V638" s="37" t="s">
        <v>2250</v>
      </c>
      <c r="W638" s="37"/>
      <c r="X638" s="37"/>
    </row>
    <row r="639" spans="1:24" x14ac:dyDescent="0.3">
      <c r="A639" s="37">
        <f t="shared" si="23"/>
        <v>637</v>
      </c>
      <c r="B639" s="76" t="s">
        <v>407</v>
      </c>
      <c r="C639" s="76" t="s">
        <v>406</v>
      </c>
      <c r="D639" s="76" t="s">
        <v>2612</v>
      </c>
      <c r="E639" s="77">
        <v>351783720</v>
      </c>
      <c r="F639" s="77">
        <v>2000000</v>
      </c>
      <c r="G639" s="77" t="s">
        <v>2815</v>
      </c>
      <c r="H639" s="77" t="s">
        <v>2859</v>
      </c>
      <c r="I639" s="76" t="s">
        <v>2102</v>
      </c>
      <c r="J639" s="76" t="s">
        <v>28</v>
      </c>
      <c r="K639" s="76" t="e">
        <f>VLOOKUP($B639,'WILL TOKO SEP'!A640:AK1379,37,0)</f>
        <v>#N/A</v>
      </c>
      <c r="L639" s="76" t="s">
        <v>2103</v>
      </c>
      <c r="M639" s="37" t="s">
        <v>255</v>
      </c>
      <c r="N639" s="78">
        <v>0</v>
      </c>
      <c r="O639" s="78">
        <v>0</v>
      </c>
      <c r="P639" s="79">
        <v>46206</v>
      </c>
      <c r="Q639" s="78">
        <v>0</v>
      </c>
      <c r="R639" s="79" t="e">
        <f>IF($B639&lt;&gt;"",VLOOKUP($B639,JADWAL!$G$6:$J$700,4,FALSE),"")</f>
        <v>#N/A</v>
      </c>
      <c r="S639" s="77">
        <f t="shared" si="24"/>
        <v>2</v>
      </c>
      <c r="T639" s="77"/>
      <c r="U639" s="37" t="s">
        <v>2242</v>
      </c>
      <c r="V639" s="37" t="s">
        <v>2250</v>
      </c>
      <c r="W639" s="37"/>
      <c r="X639" s="37"/>
    </row>
    <row r="640" spans="1:24" x14ac:dyDescent="0.3">
      <c r="A640" s="37">
        <f t="shared" si="23"/>
        <v>638</v>
      </c>
      <c r="B640" s="76" t="s">
        <v>391</v>
      </c>
      <c r="C640" s="76" t="s">
        <v>390</v>
      </c>
      <c r="D640" s="76" t="s">
        <v>2617</v>
      </c>
      <c r="E640" s="77">
        <v>559249226</v>
      </c>
      <c r="F640" s="77">
        <v>4000000</v>
      </c>
      <c r="G640" s="77" t="s">
        <v>2813</v>
      </c>
      <c r="H640" s="77" t="s">
        <v>2858</v>
      </c>
      <c r="I640" s="76" t="s">
        <v>2102</v>
      </c>
      <c r="J640" s="76" t="s">
        <v>36</v>
      </c>
      <c r="K640" s="76" t="e">
        <f>VLOOKUP($B640,'WILL TOKO SEP'!A641:AK1380,37,0)</f>
        <v>#N/A</v>
      </c>
      <c r="L640" s="76" t="s">
        <v>2104</v>
      </c>
      <c r="M640" s="37" t="s">
        <v>255</v>
      </c>
      <c r="N640" s="78">
        <v>0</v>
      </c>
      <c r="O640" s="78">
        <v>0</v>
      </c>
      <c r="P640" s="79">
        <v>46207</v>
      </c>
      <c r="Q640" s="78">
        <v>0</v>
      </c>
      <c r="R640" s="79" t="e">
        <f>IF($B640&lt;&gt;"",VLOOKUP($B640,JADWAL!$G$6:$J$700,4,FALSE),"")</f>
        <v>#N/A</v>
      </c>
      <c r="S640" s="77">
        <f t="shared" si="24"/>
        <v>2</v>
      </c>
      <c r="T640" s="77"/>
      <c r="U640" s="37" t="s">
        <v>2242</v>
      </c>
      <c r="V640" s="37" t="s">
        <v>2250</v>
      </c>
      <c r="W640" s="37"/>
      <c r="X640" s="37"/>
    </row>
    <row r="641" spans="1:24" x14ac:dyDescent="0.3">
      <c r="A641" s="37">
        <f t="shared" si="23"/>
        <v>639</v>
      </c>
      <c r="B641" s="76" t="s">
        <v>422</v>
      </c>
      <c r="C641" s="76" t="s">
        <v>421</v>
      </c>
      <c r="D641" s="76" t="s">
        <v>2620</v>
      </c>
      <c r="E641" s="77">
        <v>405994111</v>
      </c>
      <c r="F641" s="77">
        <v>2000000</v>
      </c>
      <c r="G641" s="77" t="s">
        <v>2821</v>
      </c>
      <c r="H641" s="77" t="s">
        <v>2833</v>
      </c>
      <c r="I641" s="76" t="s">
        <v>2102</v>
      </c>
      <c r="J641" s="76" t="s">
        <v>36</v>
      </c>
      <c r="K641" s="76" t="e">
        <f>VLOOKUP($B641,'WILL TOKO SEP'!A642:AK1381,37,0)</f>
        <v>#N/A</v>
      </c>
      <c r="L641" s="76" t="s">
        <v>2104</v>
      </c>
      <c r="M641" s="37" t="s">
        <v>255</v>
      </c>
      <c r="N641" s="78">
        <v>0</v>
      </c>
      <c r="O641" s="78">
        <v>0</v>
      </c>
      <c r="P641" s="79">
        <v>46205</v>
      </c>
      <c r="Q641" s="78">
        <v>0</v>
      </c>
      <c r="R641" s="79" t="e">
        <f>IF($B641&lt;&gt;"",VLOOKUP($B641,JADWAL!$G$6:$J$700,4,FALSE),"")</f>
        <v>#N/A</v>
      </c>
      <c r="S641" s="77">
        <f t="shared" si="24"/>
        <v>2</v>
      </c>
      <c r="T641" s="77"/>
      <c r="U641" s="37" t="s">
        <v>2242</v>
      </c>
      <c r="V641" s="37" t="s">
        <v>2250</v>
      </c>
      <c r="W641" s="37"/>
      <c r="X641" s="37"/>
    </row>
    <row r="642" spans="1:24" x14ac:dyDescent="0.3">
      <c r="A642" s="37">
        <f t="shared" si="23"/>
        <v>640</v>
      </c>
      <c r="B642" s="76" t="s">
        <v>386</v>
      </c>
      <c r="C642" s="76" t="s">
        <v>385</v>
      </c>
      <c r="D642" s="76" t="s">
        <v>2623</v>
      </c>
      <c r="E642" s="77">
        <v>418505563</v>
      </c>
      <c r="F642" s="77">
        <v>3000000</v>
      </c>
      <c r="G642" s="77" t="s">
        <v>2830</v>
      </c>
      <c r="H642" s="77" t="s">
        <v>2847</v>
      </c>
      <c r="I642" s="76" t="s">
        <v>2102</v>
      </c>
      <c r="J642" s="76" t="s">
        <v>4</v>
      </c>
      <c r="K642" s="76" t="e">
        <f>VLOOKUP($B642,'WILL TOKO SEP'!A643:AK1382,37,0)</f>
        <v>#N/A</v>
      </c>
      <c r="L642" s="76" t="s">
        <v>2103</v>
      </c>
      <c r="M642" s="37" t="s">
        <v>255</v>
      </c>
      <c r="N642" s="78">
        <v>0</v>
      </c>
      <c r="O642" s="78">
        <v>0</v>
      </c>
      <c r="P642" s="79">
        <v>46207</v>
      </c>
      <c r="Q642" s="78">
        <v>0</v>
      </c>
      <c r="R642" s="79" t="e">
        <f>IF($B642&lt;&gt;"",VLOOKUP($B642,JADWAL!$G$6:$J$700,4,FALSE),"")</f>
        <v>#N/A</v>
      </c>
      <c r="S642" s="77">
        <f t="shared" si="24"/>
        <v>2</v>
      </c>
      <c r="T642" s="77"/>
      <c r="U642" s="37" t="s">
        <v>2242</v>
      </c>
      <c r="V642" s="37" t="s">
        <v>2250</v>
      </c>
      <c r="W642" s="37"/>
      <c r="X642" s="37"/>
    </row>
    <row r="643" spans="1:24" x14ac:dyDescent="0.3">
      <c r="A643" s="37">
        <f t="shared" si="23"/>
        <v>641</v>
      </c>
      <c r="B643" s="76" t="s">
        <v>383</v>
      </c>
      <c r="C643" s="76" t="s">
        <v>382</v>
      </c>
      <c r="D643" s="76" t="s">
        <v>2628</v>
      </c>
      <c r="E643" s="77">
        <v>325920200</v>
      </c>
      <c r="F643" s="77">
        <v>2000000</v>
      </c>
      <c r="G643" s="77" t="s">
        <v>2817</v>
      </c>
      <c r="H643" s="77" t="s">
        <v>2851</v>
      </c>
      <c r="I643" s="76" t="s">
        <v>2102</v>
      </c>
      <c r="J643" s="76" t="s">
        <v>4</v>
      </c>
      <c r="K643" s="76" t="e">
        <f>VLOOKUP($B643,'WILL TOKO SEP'!A644:AK1383,37,0)</f>
        <v>#N/A</v>
      </c>
      <c r="L643" s="76" t="s">
        <v>2103</v>
      </c>
      <c r="M643" s="37" t="s">
        <v>255</v>
      </c>
      <c r="N643" s="78">
        <v>0</v>
      </c>
      <c r="O643" s="78">
        <v>0</v>
      </c>
      <c r="P643" s="79">
        <v>46209</v>
      </c>
      <c r="Q643" s="78">
        <v>0</v>
      </c>
      <c r="R643" s="79" t="e">
        <f>IF($B643&lt;&gt;"",VLOOKUP($B643,JADWAL!$G$6:$J$700,4,FALSE),"")</f>
        <v>#N/A</v>
      </c>
      <c r="S643" s="77">
        <f t="shared" si="24"/>
        <v>2</v>
      </c>
      <c r="T643" s="77"/>
      <c r="U643" s="37" t="s">
        <v>2242</v>
      </c>
      <c r="V643" s="37" t="s">
        <v>2250</v>
      </c>
      <c r="W643" s="37"/>
      <c r="X643" s="37"/>
    </row>
    <row r="644" spans="1:24" x14ac:dyDescent="0.3">
      <c r="A644" s="37">
        <f t="shared" si="23"/>
        <v>642</v>
      </c>
      <c r="B644" s="76" t="s">
        <v>324</v>
      </c>
      <c r="C644" s="76" t="s">
        <v>323</v>
      </c>
      <c r="D644" s="76" t="s">
        <v>2643</v>
      </c>
      <c r="E644" s="77">
        <v>359279717</v>
      </c>
      <c r="F644" s="77">
        <v>2000000</v>
      </c>
      <c r="G644" s="77" t="s">
        <v>2815</v>
      </c>
      <c r="H644" s="77" t="s">
        <v>2859</v>
      </c>
      <c r="I644" s="76" t="s">
        <v>2102</v>
      </c>
      <c r="J644" s="76" t="s">
        <v>28</v>
      </c>
      <c r="K644" s="76" t="e">
        <f>VLOOKUP($B644,'WILL TOKO SEP'!A645:AK1384,37,0)</f>
        <v>#N/A</v>
      </c>
      <c r="L644" s="76" t="s">
        <v>2103</v>
      </c>
      <c r="M644" s="37" t="s">
        <v>255</v>
      </c>
      <c r="N644" s="79">
        <v>46153</v>
      </c>
      <c r="O644" s="78">
        <v>0</v>
      </c>
      <c r="P644" s="79">
        <v>46214</v>
      </c>
      <c r="Q644" s="78">
        <v>0</v>
      </c>
      <c r="R644" s="79" t="e">
        <f>IF($B644&lt;&gt;"",VLOOKUP($B644,JADWAL!$G$6:$J$700,4,FALSE),"")</f>
        <v>#N/A</v>
      </c>
      <c r="S644" s="77">
        <f t="shared" si="24"/>
        <v>1</v>
      </c>
      <c r="T644" s="77"/>
      <c r="U644" s="37" t="s">
        <v>2242</v>
      </c>
      <c r="V644" s="37" t="s">
        <v>2250</v>
      </c>
      <c r="W644" s="37"/>
      <c r="X644" s="37"/>
    </row>
    <row r="645" spans="1:24" x14ac:dyDescent="0.3">
      <c r="A645" s="37">
        <f t="shared" si="23"/>
        <v>643</v>
      </c>
      <c r="B645" s="76" t="s">
        <v>359</v>
      </c>
      <c r="C645" s="76" t="s">
        <v>5744</v>
      </c>
      <c r="D645" s="76" t="s">
        <v>2648</v>
      </c>
      <c r="E645" s="77">
        <v>462293996</v>
      </c>
      <c r="F645" s="77">
        <v>3000000</v>
      </c>
      <c r="G645" s="77" t="s">
        <v>2813</v>
      </c>
      <c r="H645" s="77" t="s">
        <v>2858</v>
      </c>
      <c r="I645" s="76" t="s">
        <v>2102</v>
      </c>
      <c r="J645" s="76" t="s">
        <v>36</v>
      </c>
      <c r="K645" s="76" t="e">
        <f>VLOOKUP($B645,'WILL TOKO SEP'!A646:AK1385,37,0)</f>
        <v>#N/A</v>
      </c>
      <c r="L645" s="76" t="s">
        <v>2104</v>
      </c>
      <c r="M645" s="37" t="s">
        <v>255</v>
      </c>
      <c r="N645" s="78">
        <v>0</v>
      </c>
      <c r="O645" s="78">
        <v>0</v>
      </c>
      <c r="P645" s="79">
        <v>46211</v>
      </c>
      <c r="Q645" s="78">
        <v>0</v>
      </c>
      <c r="R645" s="79" t="e">
        <f>IF($B645&lt;&gt;"",VLOOKUP($B645,JADWAL!$G$6:$J$700,4,FALSE),"")</f>
        <v>#N/A</v>
      </c>
      <c r="S645" s="77">
        <f t="shared" si="24"/>
        <v>2</v>
      </c>
      <c r="T645" s="77"/>
      <c r="U645" s="37" t="s">
        <v>2242</v>
      </c>
      <c r="V645" s="37" t="s">
        <v>2250</v>
      </c>
      <c r="W645" s="37"/>
      <c r="X645" s="37"/>
    </row>
    <row r="646" spans="1:24" x14ac:dyDescent="0.3">
      <c r="A646" s="37">
        <f t="shared" si="23"/>
        <v>644</v>
      </c>
      <c r="B646" s="76" t="s">
        <v>442</v>
      </c>
      <c r="C646" s="76" t="s">
        <v>441</v>
      </c>
      <c r="D646" s="76" t="s">
        <v>2655</v>
      </c>
      <c r="E646" s="77">
        <v>0</v>
      </c>
      <c r="F646" s="77">
        <v>2500000</v>
      </c>
      <c r="G646" s="77" t="s">
        <v>2815</v>
      </c>
      <c r="H646" s="77" t="s">
        <v>2857</v>
      </c>
      <c r="I646" s="76" t="s">
        <v>2102</v>
      </c>
      <c r="J646" s="76" t="s">
        <v>28</v>
      </c>
      <c r="K646" s="76" t="e">
        <f>VLOOKUP($B646,'WILL TOKO SEP'!A647:AK1386,37,0)</f>
        <v>#N/A</v>
      </c>
      <c r="L646" s="76" t="s">
        <v>2103</v>
      </c>
      <c r="M646" s="37" t="s">
        <v>255</v>
      </c>
      <c r="N646" s="78">
        <v>0</v>
      </c>
      <c r="O646" s="78">
        <v>0</v>
      </c>
      <c r="P646" s="79">
        <v>46205</v>
      </c>
      <c r="Q646" s="78">
        <v>0</v>
      </c>
      <c r="R646" s="79" t="e">
        <f>IF($B646&lt;&gt;"",VLOOKUP($B646,JADWAL!$G$6:$J$700,4,FALSE),"")</f>
        <v>#N/A</v>
      </c>
      <c r="S646" s="77">
        <f t="shared" si="24"/>
        <v>2</v>
      </c>
      <c r="T646" s="77"/>
      <c r="U646" s="37" t="s">
        <v>2242</v>
      </c>
      <c r="V646" s="37" t="s">
        <v>2250</v>
      </c>
      <c r="W646" s="37"/>
      <c r="X646" s="37"/>
    </row>
    <row r="647" spans="1:24" x14ac:dyDescent="0.3">
      <c r="A647" s="37">
        <f t="shared" si="23"/>
        <v>645</v>
      </c>
      <c r="B647" s="76" t="s">
        <v>318</v>
      </c>
      <c r="C647" s="76" t="s">
        <v>317</v>
      </c>
      <c r="D647" s="76" t="s">
        <v>2662</v>
      </c>
      <c r="E647" s="77">
        <v>374357610</v>
      </c>
      <c r="F647" s="77">
        <v>2000000</v>
      </c>
      <c r="G647" s="77" t="s">
        <v>2819</v>
      </c>
      <c r="H647" s="77" t="s">
        <v>2820</v>
      </c>
      <c r="I647" s="76" t="s">
        <v>2102</v>
      </c>
      <c r="J647" s="76" t="s">
        <v>9</v>
      </c>
      <c r="K647" s="76" t="e">
        <f>VLOOKUP($B647,'WILL TOKO SEP'!A648:AK1387,37,0)</f>
        <v>#N/A</v>
      </c>
      <c r="L647" s="76" t="s">
        <v>2104</v>
      </c>
      <c r="M647" s="37" t="s">
        <v>255</v>
      </c>
      <c r="N647" s="78">
        <v>0</v>
      </c>
      <c r="O647" s="78">
        <v>0</v>
      </c>
      <c r="P647" s="79">
        <v>46214</v>
      </c>
      <c r="Q647" s="78">
        <v>0</v>
      </c>
      <c r="R647" s="79" t="e">
        <f>IF($B647&lt;&gt;"",VLOOKUP($B647,JADWAL!$G$6:$J$700,4,FALSE),"")</f>
        <v>#N/A</v>
      </c>
      <c r="S647" s="77">
        <f t="shared" si="24"/>
        <v>2</v>
      </c>
      <c r="T647" s="77"/>
      <c r="U647" s="37" t="s">
        <v>2242</v>
      </c>
      <c r="V647" s="37" t="s">
        <v>2250</v>
      </c>
      <c r="W647" s="37"/>
      <c r="X647" s="37"/>
    </row>
    <row r="648" spans="1:24" x14ac:dyDescent="0.3">
      <c r="A648" s="37">
        <f t="shared" si="23"/>
        <v>646</v>
      </c>
      <c r="B648" s="76" t="s">
        <v>449</v>
      </c>
      <c r="C648" s="76" t="s">
        <v>448</v>
      </c>
      <c r="D648" s="76" t="s">
        <v>2668</v>
      </c>
      <c r="E648" s="77">
        <v>430322285</v>
      </c>
      <c r="F648" s="77">
        <v>2500000</v>
      </c>
      <c r="G648" s="77" t="s">
        <v>2827</v>
      </c>
      <c r="H648" s="77" t="s">
        <v>2866</v>
      </c>
      <c r="I648" s="76" t="s">
        <v>2102</v>
      </c>
      <c r="J648" s="76" t="s">
        <v>48</v>
      </c>
      <c r="K648" s="76" t="e">
        <f>VLOOKUP($B648,'WILL TOKO SEP'!A649:AK1388,37,0)</f>
        <v>#N/A</v>
      </c>
      <c r="L648" s="76" t="s">
        <v>2104</v>
      </c>
      <c r="M648" s="37" t="s">
        <v>255</v>
      </c>
      <c r="N648" s="78">
        <v>0</v>
      </c>
      <c r="O648" s="78">
        <v>0</v>
      </c>
      <c r="P648" s="79">
        <v>46204</v>
      </c>
      <c r="Q648" s="78">
        <v>0</v>
      </c>
      <c r="R648" s="79" t="e">
        <f>IF($B648&lt;&gt;"",VLOOKUP($B648,JADWAL!$G$6:$J$700,4,FALSE),"")</f>
        <v>#N/A</v>
      </c>
      <c r="S648" s="77">
        <f t="shared" si="24"/>
        <v>2</v>
      </c>
      <c r="T648" s="77"/>
      <c r="U648" s="37" t="s">
        <v>2242</v>
      </c>
      <c r="V648" s="37" t="s">
        <v>2250</v>
      </c>
      <c r="W648" s="37"/>
      <c r="X648" s="37"/>
    </row>
    <row r="649" spans="1:24" x14ac:dyDescent="0.3">
      <c r="A649" s="37">
        <f t="shared" si="23"/>
        <v>647</v>
      </c>
      <c r="B649" s="76" t="s">
        <v>402</v>
      </c>
      <c r="C649" s="76" t="s">
        <v>401</v>
      </c>
      <c r="D649" s="76" t="s">
        <v>2670</v>
      </c>
      <c r="E649" s="77">
        <v>502017464</v>
      </c>
      <c r="F649" s="77">
        <v>3000000</v>
      </c>
      <c r="G649" s="77" t="s">
        <v>2813</v>
      </c>
      <c r="H649" s="77" t="s">
        <v>2858</v>
      </c>
      <c r="I649" s="76" t="s">
        <v>2102</v>
      </c>
      <c r="J649" s="76" t="s">
        <v>36</v>
      </c>
      <c r="K649" s="76" t="e">
        <f>VLOOKUP($B649,'WILL TOKO SEP'!A650:AK1389,37,0)</f>
        <v>#N/A</v>
      </c>
      <c r="L649" s="76" t="s">
        <v>2104</v>
      </c>
      <c r="M649" s="37" t="s">
        <v>255</v>
      </c>
      <c r="N649" s="78">
        <v>0</v>
      </c>
      <c r="O649" s="78">
        <v>0</v>
      </c>
      <c r="P649" s="79">
        <v>46206</v>
      </c>
      <c r="Q649" s="78">
        <v>0</v>
      </c>
      <c r="R649" s="79" t="e">
        <f>IF($B649&lt;&gt;"",VLOOKUP($B649,JADWAL!$G$6:$J$700,4,FALSE),"")</f>
        <v>#N/A</v>
      </c>
      <c r="S649" s="77">
        <f t="shared" si="24"/>
        <v>2</v>
      </c>
      <c r="T649" s="77"/>
      <c r="U649" s="37" t="s">
        <v>2242</v>
      </c>
      <c r="V649" s="37" t="s">
        <v>2250</v>
      </c>
      <c r="W649" s="37"/>
      <c r="X649" s="37"/>
    </row>
    <row r="650" spans="1:24" x14ac:dyDescent="0.3">
      <c r="A650" s="37">
        <f t="shared" si="23"/>
        <v>648</v>
      </c>
      <c r="B650" s="76" t="s">
        <v>433</v>
      </c>
      <c r="C650" s="76" t="s">
        <v>432</v>
      </c>
      <c r="D650" s="76" t="s">
        <v>2685</v>
      </c>
      <c r="E650" s="77">
        <v>449315083</v>
      </c>
      <c r="F650" s="77">
        <v>3000000</v>
      </c>
      <c r="G650" s="77" t="s">
        <v>2813</v>
      </c>
      <c r="H650" s="77" t="s">
        <v>2814</v>
      </c>
      <c r="I650" s="76" t="s">
        <v>2102</v>
      </c>
      <c r="J650" s="76" t="s">
        <v>9</v>
      </c>
      <c r="K650" s="76" t="e">
        <f>VLOOKUP($B650,'WILL TOKO SEP'!A651:AK1390,37,0)</f>
        <v>#N/A</v>
      </c>
      <c r="L650" s="76" t="s">
        <v>2103</v>
      </c>
      <c r="M650" s="37" t="s">
        <v>255</v>
      </c>
      <c r="N650" s="78">
        <v>0</v>
      </c>
      <c r="O650" s="78">
        <v>0</v>
      </c>
      <c r="P650" s="79">
        <v>46205</v>
      </c>
      <c r="Q650" s="78">
        <v>0</v>
      </c>
      <c r="R650" s="79" t="e">
        <f>IF($B650&lt;&gt;"",VLOOKUP($B650,JADWAL!$G$6:$J$700,4,FALSE),"")</f>
        <v>#N/A</v>
      </c>
      <c r="S650" s="77">
        <f t="shared" si="24"/>
        <v>2</v>
      </c>
      <c r="T650" s="77"/>
      <c r="U650" s="37" t="s">
        <v>2242</v>
      </c>
      <c r="V650" s="37" t="s">
        <v>2250</v>
      </c>
      <c r="W650" s="37"/>
      <c r="X650" s="37"/>
    </row>
    <row r="651" spans="1:24" x14ac:dyDescent="0.3">
      <c r="A651" s="37">
        <f t="shared" si="23"/>
        <v>649</v>
      </c>
      <c r="B651" s="76" t="s">
        <v>435</v>
      </c>
      <c r="C651" s="76" t="s">
        <v>434</v>
      </c>
      <c r="D651" s="76" t="s">
        <v>2687</v>
      </c>
      <c r="E651" s="77">
        <v>391069062</v>
      </c>
      <c r="F651" s="77">
        <v>3000000</v>
      </c>
      <c r="G651" s="77" t="s">
        <v>2813</v>
      </c>
      <c r="H651" s="77" t="s">
        <v>2832</v>
      </c>
      <c r="I651" s="76" t="s">
        <v>2102</v>
      </c>
      <c r="J651" s="76" t="s">
        <v>9</v>
      </c>
      <c r="K651" s="76" t="e">
        <f>VLOOKUP($B651,'WILL TOKO SEP'!A652:AK1391,37,0)</f>
        <v>#N/A</v>
      </c>
      <c r="L651" s="76" t="s">
        <v>2103</v>
      </c>
      <c r="M651" s="37" t="s">
        <v>255</v>
      </c>
      <c r="N651" s="78">
        <v>0</v>
      </c>
      <c r="O651" s="78">
        <v>0</v>
      </c>
      <c r="P651" s="79">
        <v>46205</v>
      </c>
      <c r="Q651" s="78">
        <v>0</v>
      </c>
      <c r="R651" s="79" t="e">
        <f>IF($B651&lt;&gt;"",VLOOKUP($B651,JADWAL!$G$6:$J$700,4,FALSE),"")</f>
        <v>#N/A</v>
      </c>
      <c r="S651" s="77">
        <f t="shared" ref="S651:S682" si="25">COUNTIF(N651:P651,"0")</f>
        <v>2</v>
      </c>
      <c r="T651" s="77"/>
      <c r="U651" s="37" t="s">
        <v>2242</v>
      </c>
      <c r="V651" s="37" t="s">
        <v>2250</v>
      </c>
      <c r="W651" s="37"/>
      <c r="X651" s="37"/>
    </row>
    <row r="652" spans="1:24" x14ac:dyDescent="0.3">
      <c r="A652" s="37">
        <f t="shared" si="23"/>
        <v>650</v>
      </c>
      <c r="B652" s="76" t="s">
        <v>327</v>
      </c>
      <c r="C652" s="76" t="s">
        <v>326</v>
      </c>
      <c r="D652" s="76" t="s">
        <v>2689</v>
      </c>
      <c r="E652" s="77">
        <v>435864798</v>
      </c>
      <c r="F652" s="77">
        <v>2500000</v>
      </c>
      <c r="G652" s="77" t="s">
        <v>2827</v>
      </c>
      <c r="H652" s="77" t="s">
        <v>2866</v>
      </c>
      <c r="I652" s="76" t="s">
        <v>2102</v>
      </c>
      <c r="J652" s="76" t="s">
        <v>48</v>
      </c>
      <c r="K652" s="76" t="e">
        <f>VLOOKUP($B652,'WILL TOKO SEP'!A653:AK1392,37,0)</f>
        <v>#N/A</v>
      </c>
      <c r="L652" s="76" t="s">
        <v>2104</v>
      </c>
      <c r="M652" s="37" t="s">
        <v>255</v>
      </c>
      <c r="N652" s="78">
        <v>0</v>
      </c>
      <c r="O652" s="78">
        <v>0</v>
      </c>
      <c r="P652" s="79">
        <v>46213</v>
      </c>
      <c r="Q652" s="78">
        <v>0</v>
      </c>
      <c r="R652" s="79" t="e">
        <f>IF($B652&lt;&gt;"",VLOOKUP($B652,JADWAL!$G$6:$J$700,4,FALSE),"")</f>
        <v>#N/A</v>
      </c>
      <c r="S652" s="77">
        <f t="shared" si="25"/>
        <v>2</v>
      </c>
      <c r="T652" s="77"/>
      <c r="U652" s="37" t="s">
        <v>2242</v>
      </c>
      <c r="V652" s="37" t="s">
        <v>2250</v>
      </c>
      <c r="W652" s="37"/>
      <c r="X652" s="37"/>
    </row>
    <row r="653" spans="1:24" x14ac:dyDescent="0.3">
      <c r="A653" s="37">
        <f t="shared" ref="A653:A716" si="26">A652+1</f>
        <v>651</v>
      </c>
      <c r="B653" s="76" t="s">
        <v>367</v>
      </c>
      <c r="C653" s="76" t="s">
        <v>5706</v>
      </c>
      <c r="D653" s="76" t="s">
        <v>2697</v>
      </c>
      <c r="E653" s="77">
        <v>557781184</v>
      </c>
      <c r="F653" s="77">
        <v>3000000</v>
      </c>
      <c r="G653" s="77" t="s">
        <v>2817</v>
      </c>
      <c r="H653" s="77" t="s">
        <v>2851</v>
      </c>
      <c r="I653" s="76" t="s">
        <v>2102</v>
      </c>
      <c r="J653" s="76" t="s">
        <v>9</v>
      </c>
      <c r="K653" s="76" t="e">
        <f>VLOOKUP($B653,'WILL TOKO SEP'!A654:AK1393,37,0)</f>
        <v>#N/A</v>
      </c>
      <c r="L653" s="76" t="s">
        <v>2104</v>
      </c>
      <c r="M653" s="37" t="s">
        <v>255</v>
      </c>
      <c r="N653" s="78">
        <v>0</v>
      </c>
      <c r="O653" s="78">
        <v>0</v>
      </c>
      <c r="P653" s="79">
        <v>46210</v>
      </c>
      <c r="Q653" s="78">
        <v>0</v>
      </c>
      <c r="R653" s="79" t="e">
        <f>IF($B653&lt;&gt;"",VLOOKUP($B653,JADWAL!$G$6:$J$700,4,FALSE),"")</f>
        <v>#N/A</v>
      </c>
      <c r="S653" s="77">
        <f t="shared" si="25"/>
        <v>2</v>
      </c>
      <c r="T653" s="77"/>
      <c r="U653" s="37" t="s">
        <v>2242</v>
      </c>
      <c r="V653" s="37" t="s">
        <v>2250</v>
      </c>
      <c r="W653" s="37"/>
      <c r="X653" s="37"/>
    </row>
    <row r="654" spans="1:24" x14ac:dyDescent="0.3">
      <c r="A654" s="37">
        <f t="shared" si="26"/>
        <v>652</v>
      </c>
      <c r="B654" s="76" t="s">
        <v>412</v>
      </c>
      <c r="C654" s="76" t="s">
        <v>411</v>
      </c>
      <c r="D654" s="76" t="s">
        <v>2698</v>
      </c>
      <c r="E654" s="77">
        <v>400520959</v>
      </c>
      <c r="F654" s="77">
        <v>2500000</v>
      </c>
      <c r="G654" s="77" t="s">
        <v>2821</v>
      </c>
      <c r="H654" s="77" t="s">
        <v>2833</v>
      </c>
      <c r="I654" s="76" t="s">
        <v>2102</v>
      </c>
      <c r="J654" s="76" t="s">
        <v>36</v>
      </c>
      <c r="K654" s="76" t="e">
        <f>VLOOKUP($B654,'WILL TOKO SEP'!A655:AK1394,37,0)</f>
        <v>#N/A</v>
      </c>
      <c r="L654" s="76" t="s">
        <v>2104</v>
      </c>
      <c r="M654" s="37" t="s">
        <v>255</v>
      </c>
      <c r="N654" s="78">
        <v>0</v>
      </c>
      <c r="O654" s="78">
        <v>0</v>
      </c>
      <c r="P654" s="79">
        <v>46205</v>
      </c>
      <c r="Q654" s="78">
        <v>0</v>
      </c>
      <c r="R654" s="79" t="e">
        <f>IF($B654&lt;&gt;"",VLOOKUP($B654,JADWAL!$G$6:$J$700,4,FALSE),"")</f>
        <v>#N/A</v>
      </c>
      <c r="S654" s="77">
        <f t="shared" si="25"/>
        <v>2</v>
      </c>
      <c r="T654" s="77"/>
      <c r="U654" s="37" t="s">
        <v>2242</v>
      </c>
      <c r="V654" s="37" t="s">
        <v>2250</v>
      </c>
      <c r="W654" s="37"/>
      <c r="X654" s="37"/>
    </row>
    <row r="655" spans="1:24" x14ac:dyDescent="0.3">
      <c r="A655" s="37">
        <f t="shared" si="26"/>
        <v>653</v>
      </c>
      <c r="B655" s="76" t="s">
        <v>465</v>
      </c>
      <c r="C655" s="76" t="s">
        <v>464</v>
      </c>
      <c r="D655" s="76" t="s">
        <v>2702</v>
      </c>
      <c r="E655" s="77">
        <v>361591656</v>
      </c>
      <c r="F655" s="77">
        <v>2500000</v>
      </c>
      <c r="G655" s="77" t="s">
        <v>2815</v>
      </c>
      <c r="H655" s="77" t="s">
        <v>2857</v>
      </c>
      <c r="I655" s="76" t="s">
        <v>2102</v>
      </c>
      <c r="J655" s="76" t="s">
        <v>28</v>
      </c>
      <c r="K655" s="76" t="e">
        <f>VLOOKUP($B655,'WILL TOKO SEP'!A656:AK1395,37,0)</f>
        <v>#N/A</v>
      </c>
      <c r="L655" s="76" t="s">
        <v>2103</v>
      </c>
      <c r="M655" s="37" t="s">
        <v>255</v>
      </c>
      <c r="N655" s="78">
        <v>0</v>
      </c>
      <c r="O655" s="78">
        <v>0</v>
      </c>
      <c r="P655" s="79">
        <v>46204</v>
      </c>
      <c r="Q655" s="78">
        <v>0</v>
      </c>
      <c r="R655" s="79" t="e">
        <f>IF($B655&lt;&gt;"",VLOOKUP($B655,JADWAL!$G$6:$J$700,4,FALSE),"")</f>
        <v>#N/A</v>
      </c>
      <c r="S655" s="77">
        <f t="shared" si="25"/>
        <v>2</v>
      </c>
      <c r="T655" s="77"/>
      <c r="U655" s="37" t="s">
        <v>2242</v>
      </c>
      <c r="V655" s="37" t="s">
        <v>2250</v>
      </c>
      <c r="W655" s="37"/>
      <c r="X655" s="37"/>
    </row>
    <row r="656" spans="1:24" x14ac:dyDescent="0.3">
      <c r="A656" s="37">
        <f t="shared" si="26"/>
        <v>654</v>
      </c>
      <c r="B656" s="76" t="s">
        <v>262</v>
      </c>
      <c r="C656" s="76" t="s">
        <v>261</v>
      </c>
      <c r="D656" s="76" t="s">
        <v>2703</v>
      </c>
      <c r="E656" s="77">
        <v>308615493</v>
      </c>
      <c r="F656" s="77">
        <v>4000000</v>
      </c>
      <c r="G656" s="77" t="s">
        <v>2867</v>
      </c>
      <c r="H656" s="77" t="s">
        <v>2870</v>
      </c>
      <c r="I656" s="76" t="s">
        <v>2102</v>
      </c>
      <c r="J656" s="76" t="s">
        <v>9</v>
      </c>
      <c r="K656" s="76" t="e">
        <f>VLOOKUP($B656,'WILL TOKO SEP'!A657:AK1396,37,0)</f>
        <v>#N/A</v>
      </c>
      <c r="L656" s="76" t="s">
        <v>2104</v>
      </c>
      <c r="M656" s="37" t="s">
        <v>255</v>
      </c>
      <c r="N656" s="78">
        <v>0</v>
      </c>
      <c r="O656" s="79">
        <v>46203</v>
      </c>
      <c r="P656" s="79">
        <v>46233</v>
      </c>
      <c r="Q656" s="78">
        <v>0</v>
      </c>
      <c r="R656" s="79" t="e">
        <f>IF($B656&lt;&gt;"",VLOOKUP($B656,JADWAL!$G$6:$J$700,4,FALSE),"")</f>
        <v>#N/A</v>
      </c>
      <c r="S656" s="77">
        <f t="shared" si="25"/>
        <v>1</v>
      </c>
      <c r="T656" s="77"/>
      <c r="U656" s="37" t="s">
        <v>2242</v>
      </c>
      <c r="V656" s="37" t="s">
        <v>2250</v>
      </c>
      <c r="W656" s="37"/>
      <c r="X656" s="37"/>
    </row>
    <row r="657" spans="1:24" x14ac:dyDescent="0.3">
      <c r="A657" s="37">
        <f t="shared" si="26"/>
        <v>655</v>
      </c>
      <c r="B657" s="76" t="s">
        <v>329</v>
      </c>
      <c r="C657" s="76" t="s">
        <v>328</v>
      </c>
      <c r="D657" s="76" t="s">
        <v>5317</v>
      </c>
      <c r="E657" s="77">
        <v>497517999</v>
      </c>
      <c r="F657" s="77">
        <v>2500000</v>
      </c>
      <c r="G657" s="77" t="s">
        <v>2813</v>
      </c>
      <c r="H657" s="77" t="s">
        <v>2814</v>
      </c>
      <c r="I657" s="76" t="s">
        <v>2102</v>
      </c>
      <c r="J657" s="76" t="s">
        <v>9</v>
      </c>
      <c r="K657" s="76" t="e">
        <f>VLOOKUP($B657,'WILL TOKO SEP'!A658:AK1397,37,0)</f>
        <v>#N/A</v>
      </c>
      <c r="L657" s="76" t="s">
        <v>2103</v>
      </c>
      <c r="M657" s="37" t="s">
        <v>255</v>
      </c>
      <c r="N657" s="78">
        <v>0</v>
      </c>
      <c r="O657" s="78">
        <v>0</v>
      </c>
      <c r="P657" s="79">
        <v>46213</v>
      </c>
      <c r="Q657" s="78">
        <v>0</v>
      </c>
      <c r="R657" s="79" t="e">
        <f>IF($B657&lt;&gt;"",VLOOKUP($B657,JADWAL!$G$6:$J$700,4,FALSE),"")</f>
        <v>#N/A</v>
      </c>
      <c r="S657" s="77">
        <f t="shared" si="25"/>
        <v>2</v>
      </c>
      <c r="T657" s="77"/>
      <c r="U657" s="37" t="s">
        <v>2242</v>
      </c>
      <c r="V657" s="37" t="s">
        <v>2250</v>
      </c>
      <c r="W657" s="37"/>
      <c r="X657" s="37"/>
    </row>
    <row r="658" spans="1:24" x14ac:dyDescent="0.3">
      <c r="A658" s="37">
        <f t="shared" si="26"/>
        <v>656</v>
      </c>
      <c r="B658" s="76" t="s">
        <v>294</v>
      </c>
      <c r="C658" s="76" t="s">
        <v>293</v>
      </c>
      <c r="D658" s="76" t="s">
        <v>2706</v>
      </c>
      <c r="E658" s="77">
        <v>559626602</v>
      </c>
      <c r="F658" s="77">
        <v>3500000</v>
      </c>
      <c r="G658" s="77" t="s">
        <v>2817</v>
      </c>
      <c r="H658" s="77" t="s">
        <v>2865</v>
      </c>
      <c r="I658" s="76" t="s">
        <v>2102</v>
      </c>
      <c r="J658" s="76" t="s">
        <v>9</v>
      </c>
      <c r="K658" s="76" t="e">
        <f>VLOOKUP($B658,'WILL TOKO SEP'!A659:AK1398,37,0)</f>
        <v>#N/A</v>
      </c>
      <c r="L658" s="76" t="s">
        <v>2104</v>
      </c>
      <c r="M658" s="37" t="s">
        <v>255</v>
      </c>
      <c r="N658" s="78">
        <v>0</v>
      </c>
      <c r="O658" s="78">
        <v>0</v>
      </c>
      <c r="P658" s="79">
        <v>46220</v>
      </c>
      <c r="Q658" s="78">
        <v>0</v>
      </c>
      <c r="R658" s="79" t="e">
        <f>IF($B658&lt;&gt;"",VLOOKUP($B658,JADWAL!$G$6:$J$700,4,FALSE),"")</f>
        <v>#N/A</v>
      </c>
      <c r="S658" s="77">
        <f t="shared" si="25"/>
        <v>2</v>
      </c>
      <c r="T658" s="77"/>
      <c r="U658" s="37" t="s">
        <v>2242</v>
      </c>
      <c r="V658" s="37" t="s">
        <v>2250</v>
      </c>
      <c r="W658" s="37"/>
      <c r="X658" s="37"/>
    </row>
    <row r="659" spans="1:24" x14ac:dyDescent="0.3">
      <c r="A659" s="37">
        <f t="shared" si="26"/>
        <v>657</v>
      </c>
      <c r="B659" s="76" t="s">
        <v>273</v>
      </c>
      <c r="C659" s="76" t="s">
        <v>272</v>
      </c>
      <c r="D659" s="76" t="s">
        <v>2708</v>
      </c>
      <c r="E659" s="77">
        <v>412983486</v>
      </c>
      <c r="F659" s="77">
        <v>2000000</v>
      </c>
      <c r="G659" s="77" t="s">
        <v>2821</v>
      </c>
      <c r="H659" s="77" t="s">
        <v>2846</v>
      </c>
      <c r="I659" s="76" t="s">
        <v>2102</v>
      </c>
      <c r="J659" s="76" t="s">
        <v>36</v>
      </c>
      <c r="K659" s="76" t="e">
        <f>VLOOKUP($B659,'WILL TOKO SEP'!A660:AK1399,37,0)</f>
        <v>#N/A</v>
      </c>
      <c r="L659" s="76" t="s">
        <v>2104</v>
      </c>
      <c r="M659" s="37" t="s">
        <v>255</v>
      </c>
      <c r="N659" s="79">
        <v>46171</v>
      </c>
      <c r="O659" s="78">
        <v>0</v>
      </c>
      <c r="P659" s="79">
        <v>46228</v>
      </c>
      <c r="Q659" s="78">
        <v>0</v>
      </c>
      <c r="R659" s="79" t="e">
        <f>IF($B659&lt;&gt;"",VLOOKUP($B659,JADWAL!$G$6:$J$700,4,FALSE),"")</f>
        <v>#N/A</v>
      </c>
      <c r="S659" s="77">
        <f t="shared" si="25"/>
        <v>1</v>
      </c>
      <c r="T659" s="77"/>
      <c r="U659" s="37" t="s">
        <v>2242</v>
      </c>
      <c r="V659" s="37" t="s">
        <v>2250</v>
      </c>
      <c r="W659" s="37"/>
      <c r="X659" s="37"/>
    </row>
    <row r="660" spans="1:24" x14ac:dyDescent="0.3">
      <c r="A660" s="37">
        <f t="shared" si="26"/>
        <v>658</v>
      </c>
      <c r="B660" s="76" t="s">
        <v>270</v>
      </c>
      <c r="C660" s="76" t="s">
        <v>269</v>
      </c>
      <c r="D660" s="76" t="s">
        <v>5513</v>
      </c>
      <c r="E660" s="77">
        <v>445120775</v>
      </c>
      <c r="F660" s="77">
        <v>2000000</v>
      </c>
      <c r="G660" s="77" t="s">
        <v>2819</v>
      </c>
      <c r="H660" s="77" t="s">
        <v>2823</v>
      </c>
      <c r="I660" s="76" t="s">
        <v>2102</v>
      </c>
      <c r="J660" s="76" t="s">
        <v>4</v>
      </c>
      <c r="K660" s="76" t="str">
        <f>VLOOKUP($B660,'WILL TOKO SEP'!A661:AK1400,37,0)</f>
        <v>DENPASAR BARAT</v>
      </c>
      <c r="L660" s="76" t="s">
        <v>2104</v>
      </c>
      <c r="M660" s="37" t="s">
        <v>255</v>
      </c>
      <c r="N660" s="79">
        <v>46153</v>
      </c>
      <c r="O660" s="78">
        <v>0</v>
      </c>
      <c r="P660" s="79">
        <v>46231</v>
      </c>
      <c r="Q660" s="78">
        <v>0</v>
      </c>
      <c r="R660" s="79" t="e">
        <f>IF($B660&lt;&gt;"",VLOOKUP($B660,JADWAL!$G$6:$J$700,4,FALSE),"")</f>
        <v>#N/A</v>
      </c>
      <c r="S660" s="77">
        <f t="shared" si="25"/>
        <v>1</v>
      </c>
      <c r="T660" s="77"/>
      <c r="U660" s="37" t="s">
        <v>2242</v>
      </c>
      <c r="V660" s="37" t="s">
        <v>2250</v>
      </c>
      <c r="W660" s="37"/>
      <c r="X660" s="37"/>
    </row>
    <row r="661" spans="1:24" x14ac:dyDescent="0.3">
      <c r="A661" s="37">
        <f t="shared" si="26"/>
        <v>659</v>
      </c>
      <c r="B661" s="76" t="s">
        <v>284</v>
      </c>
      <c r="C661" s="76" t="s">
        <v>283</v>
      </c>
      <c r="D661" s="76" t="s">
        <v>2712</v>
      </c>
      <c r="E661" s="77">
        <v>534686529</v>
      </c>
      <c r="F661" s="77">
        <v>5000000</v>
      </c>
      <c r="G661" s="77" t="s">
        <v>2840</v>
      </c>
      <c r="H661" s="77" t="s">
        <v>2861</v>
      </c>
      <c r="I661" s="76" t="s">
        <v>2102</v>
      </c>
      <c r="J661" s="76" t="s">
        <v>28</v>
      </c>
      <c r="K661" s="76" t="e">
        <f>VLOOKUP($B661,'WILL TOKO SEP'!A662:AK1401,37,0)</f>
        <v>#N/A</v>
      </c>
      <c r="L661" s="76" t="s">
        <v>2103</v>
      </c>
      <c r="M661" s="37" t="s">
        <v>255</v>
      </c>
      <c r="N661" s="79">
        <v>46170</v>
      </c>
      <c r="O661" s="78">
        <v>0</v>
      </c>
      <c r="P661" s="79">
        <v>46225</v>
      </c>
      <c r="Q661" s="78">
        <v>0</v>
      </c>
      <c r="R661" s="79" t="e">
        <f>IF($B661&lt;&gt;"",VLOOKUP($B661,JADWAL!$G$6:$J$700,4,FALSE),"")</f>
        <v>#N/A</v>
      </c>
      <c r="S661" s="77">
        <f t="shared" si="25"/>
        <v>1</v>
      </c>
      <c r="T661" s="77"/>
      <c r="U661" s="37" t="s">
        <v>2242</v>
      </c>
      <c r="V661" s="37" t="s">
        <v>2250</v>
      </c>
      <c r="W661" s="37"/>
      <c r="X661" s="37"/>
    </row>
    <row r="662" spans="1:24" x14ac:dyDescent="0.3">
      <c r="A662" s="37">
        <f t="shared" si="26"/>
        <v>660</v>
      </c>
      <c r="B662" s="76" t="s">
        <v>289</v>
      </c>
      <c r="C662" s="76" t="s">
        <v>288</v>
      </c>
      <c r="D662" s="76" t="s">
        <v>2719</v>
      </c>
      <c r="E662" s="77">
        <v>512794930</v>
      </c>
      <c r="F662" s="77">
        <v>3500000</v>
      </c>
      <c r="G662" s="77" t="s">
        <v>2840</v>
      </c>
      <c r="H662" s="77" t="s">
        <v>2872</v>
      </c>
      <c r="I662" s="76" t="s">
        <v>2102</v>
      </c>
      <c r="J662" s="76" t="s">
        <v>48</v>
      </c>
      <c r="K662" s="76" t="e">
        <f>VLOOKUP($B662,'WILL TOKO SEP'!A663:AK1402,37,0)</f>
        <v>#N/A</v>
      </c>
      <c r="L662" s="76" t="s">
        <v>2104</v>
      </c>
      <c r="M662" s="37" t="s">
        <v>255</v>
      </c>
      <c r="N662" s="78">
        <v>0</v>
      </c>
      <c r="O662" s="78">
        <v>0</v>
      </c>
      <c r="P662" s="79">
        <v>46221</v>
      </c>
      <c r="Q662" s="79">
        <v>46235</v>
      </c>
      <c r="R662" s="79" t="e">
        <f>IF($B662&lt;&gt;"",VLOOKUP($B662,JADWAL!$G$6:$J$700,4,FALSE),"")</f>
        <v>#N/A</v>
      </c>
      <c r="S662" s="77">
        <f t="shared" si="25"/>
        <v>2</v>
      </c>
      <c r="T662" s="77"/>
      <c r="U662" s="37" t="s">
        <v>2242</v>
      </c>
      <c r="V662" s="37" t="s">
        <v>2250</v>
      </c>
      <c r="W662" s="37"/>
      <c r="X662" s="37"/>
    </row>
    <row r="663" spans="1:24" x14ac:dyDescent="0.3">
      <c r="A663" s="37">
        <f t="shared" si="26"/>
        <v>661</v>
      </c>
      <c r="B663" s="76" t="s">
        <v>419</v>
      </c>
      <c r="C663" s="76" t="s">
        <v>418</v>
      </c>
      <c r="D663" s="76" t="s">
        <v>2720</v>
      </c>
      <c r="E663" s="77">
        <v>364877411</v>
      </c>
      <c r="F663" s="77">
        <v>2500000</v>
      </c>
      <c r="G663" s="77" t="s">
        <v>2821</v>
      </c>
      <c r="H663" s="77" t="s">
        <v>2822</v>
      </c>
      <c r="I663" s="76" t="s">
        <v>2102</v>
      </c>
      <c r="J663" s="76" t="s">
        <v>36</v>
      </c>
      <c r="K663" s="76" t="e">
        <f>VLOOKUP($B663,'WILL TOKO SEP'!A664:AK1403,37,0)</f>
        <v>#N/A</v>
      </c>
      <c r="L663" s="76" t="s">
        <v>2104</v>
      </c>
      <c r="M663" s="37" t="s">
        <v>255</v>
      </c>
      <c r="N663" s="78">
        <v>0</v>
      </c>
      <c r="O663" s="78">
        <v>0</v>
      </c>
      <c r="P663" s="79">
        <v>46205</v>
      </c>
      <c r="Q663" s="79">
        <v>46246</v>
      </c>
      <c r="R663" s="79" t="e">
        <f>IF($B663&lt;&gt;"",VLOOKUP($B663,JADWAL!$G$6:$J$700,4,FALSE),"")</f>
        <v>#N/A</v>
      </c>
      <c r="S663" s="77">
        <f t="shared" si="25"/>
        <v>2</v>
      </c>
      <c r="T663" s="77"/>
      <c r="U663" s="37" t="s">
        <v>2242</v>
      </c>
      <c r="V663" s="37" t="s">
        <v>2250</v>
      </c>
      <c r="W663" s="37"/>
      <c r="X663" s="37"/>
    </row>
    <row r="664" spans="1:24" x14ac:dyDescent="0.3">
      <c r="A664" s="37">
        <f t="shared" si="26"/>
        <v>662</v>
      </c>
      <c r="B664" s="76" t="s">
        <v>341</v>
      </c>
      <c r="C664" s="76" t="s">
        <v>340</v>
      </c>
      <c r="D664" s="76" t="s">
        <v>2747</v>
      </c>
      <c r="E664" s="77">
        <v>337559122</v>
      </c>
      <c r="F664" s="77">
        <v>2500000</v>
      </c>
      <c r="G664" s="77" t="s">
        <v>2825</v>
      </c>
      <c r="H664" s="77" t="s">
        <v>2837</v>
      </c>
      <c r="I664" s="76" t="s">
        <v>2102</v>
      </c>
      <c r="J664" s="76" t="s">
        <v>36</v>
      </c>
      <c r="K664" s="76" t="e">
        <f>VLOOKUP($B664,'WILL TOKO SEP'!A665:AK1404,37,0)</f>
        <v>#N/A</v>
      </c>
      <c r="L664" s="76" t="s">
        <v>2104</v>
      </c>
      <c r="M664" s="37" t="s">
        <v>255</v>
      </c>
      <c r="N664" s="78">
        <v>0</v>
      </c>
      <c r="O664" s="78">
        <v>0</v>
      </c>
      <c r="P664" s="79">
        <v>46211</v>
      </c>
      <c r="Q664" s="78">
        <v>0</v>
      </c>
      <c r="R664" s="79" t="e">
        <f>IF($B664&lt;&gt;"",VLOOKUP($B664,JADWAL!$G$6:$J$700,4,FALSE),"")</f>
        <v>#N/A</v>
      </c>
      <c r="S664" s="77">
        <f t="shared" si="25"/>
        <v>2</v>
      </c>
      <c r="T664" s="77"/>
      <c r="U664" s="37" t="s">
        <v>2242</v>
      </c>
      <c r="V664" s="37" t="s">
        <v>2250</v>
      </c>
      <c r="W664" s="37"/>
      <c r="X664" s="37"/>
    </row>
    <row r="665" spans="1:24" x14ac:dyDescent="0.3">
      <c r="A665" s="37">
        <f t="shared" si="26"/>
        <v>663</v>
      </c>
      <c r="B665" s="76" t="s">
        <v>378</v>
      </c>
      <c r="C665" s="76" t="s">
        <v>377</v>
      </c>
      <c r="D665" s="76" t="s">
        <v>2785</v>
      </c>
      <c r="E665" s="77">
        <v>448394643</v>
      </c>
      <c r="F665" s="77">
        <v>2000000</v>
      </c>
      <c r="G665" s="77" t="s">
        <v>2830</v>
      </c>
      <c r="H665" s="77" t="s">
        <v>2860</v>
      </c>
      <c r="I665" s="76" t="s">
        <v>2102</v>
      </c>
      <c r="J665" s="76" t="s">
        <v>9</v>
      </c>
      <c r="K665" s="76" t="e">
        <f>VLOOKUP($B665,'WILL TOKO SEP'!A666:AK1405,37,0)</f>
        <v>#N/A</v>
      </c>
      <c r="L665" s="76" t="s">
        <v>2104</v>
      </c>
      <c r="M665" s="37" t="s">
        <v>255</v>
      </c>
      <c r="N665" s="78">
        <v>0</v>
      </c>
      <c r="O665" s="78">
        <v>0</v>
      </c>
      <c r="P665" s="79">
        <v>46209</v>
      </c>
      <c r="Q665" s="78">
        <v>0</v>
      </c>
      <c r="R665" s="79" t="e">
        <f>IF($B665&lt;&gt;"",VLOOKUP($B665,JADWAL!$G$6:$J$700,4,FALSE),"")</f>
        <v>#N/A</v>
      </c>
      <c r="S665" s="77">
        <f t="shared" si="25"/>
        <v>2</v>
      </c>
      <c r="T665" s="77"/>
      <c r="U665" s="37" t="s">
        <v>2242</v>
      </c>
      <c r="V665" s="37" t="s">
        <v>2250</v>
      </c>
      <c r="W665" s="37"/>
      <c r="X665" s="37"/>
    </row>
    <row r="666" spans="1:24" x14ac:dyDescent="0.3">
      <c r="A666" s="37">
        <f t="shared" si="26"/>
        <v>664</v>
      </c>
      <c r="B666" s="76" t="s">
        <v>1870</v>
      </c>
      <c r="C666" s="76" t="s">
        <v>1869</v>
      </c>
      <c r="D666" s="76" t="s">
        <v>2263</v>
      </c>
      <c r="E666" s="77">
        <v>533204423</v>
      </c>
      <c r="F666" s="77">
        <v>4500000</v>
      </c>
      <c r="G666" s="77" t="s">
        <v>2815</v>
      </c>
      <c r="H666" s="77" t="s">
        <v>2816</v>
      </c>
      <c r="I666" s="76" t="s">
        <v>2102</v>
      </c>
      <c r="J666" s="76" t="s">
        <v>28</v>
      </c>
      <c r="K666" s="76" t="e">
        <f>VLOOKUP($B666,'WILL TOKO SEP'!A667:AK1406,37,0)</f>
        <v>#N/A</v>
      </c>
      <c r="L666" s="76" t="s">
        <v>2103</v>
      </c>
      <c r="M666" s="37" t="s">
        <v>496</v>
      </c>
      <c r="N666" s="79">
        <v>46146</v>
      </c>
      <c r="O666" s="78">
        <v>0</v>
      </c>
      <c r="P666" s="78">
        <v>0</v>
      </c>
      <c r="Q666" s="79">
        <v>46235</v>
      </c>
      <c r="R666" s="79" t="e">
        <f>IF($B666&lt;&gt;"",VLOOKUP($B666,JADWAL!$G$6:$J$700,4,FALSE),"")</f>
        <v>#N/A</v>
      </c>
      <c r="S666" s="77">
        <f t="shared" si="25"/>
        <v>2</v>
      </c>
      <c r="T666" s="77"/>
      <c r="U666" s="37" t="s">
        <v>2242</v>
      </c>
      <c r="V666" s="37" t="s">
        <v>2250</v>
      </c>
      <c r="W666" s="37"/>
      <c r="X666" s="37"/>
    </row>
    <row r="667" spans="1:24" x14ac:dyDescent="0.3">
      <c r="A667" s="37">
        <f t="shared" si="26"/>
        <v>665</v>
      </c>
      <c r="B667" s="76" t="s">
        <v>1802</v>
      </c>
      <c r="C667" s="76" t="s">
        <v>1801</v>
      </c>
      <c r="D667" s="76" t="s">
        <v>2271</v>
      </c>
      <c r="E667" s="77">
        <v>369156154</v>
      </c>
      <c r="F667" s="77">
        <v>2000000</v>
      </c>
      <c r="G667" s="77" t="s">
        <v>2830</v>
      </c>
      <c r="H667" s="77" t="s">
        <v>2831</v>
      </c>
      <c r="I667" s="76" t="s">
        <v>2102</v>
      </c>
      <c r="J667" s="76" t="s">
        <v>4</v>
      </c>
      <c r="K667" s="76" t="e">
        <f>VLOOKUP($B667,'WILL TOKO SEP'!A668:AK1407,37,0)</f>
        <v>#N/A</v>
      </c>
      <c r="L667" s="76" t="s">
        <v>2103</v>
      </c>
      <c r="M667" s="37" t="s">
        <v>496</v>
      </c>
      <c r="N667" s="79">
        <v>46146</v>
      </c>
      <c r="O667" s="78">
        <v>0</v>
      </c>
      <c r="P667" s="78">
        <v>0</v>
      </c>
      <c r="Q667" s="79">
        <v>46238</v>
      </c>
      <c r="R667" s="79" t="e">
        <f>IF($B667&lt;&gt;"",VLOOKUP($B667,JADWAL!$G$6:$J$700,4,FALSE),"")</f>
        <v>#N/A</v>
      </c>
      <c r="S667" s="77">
        <f t="shared" si="25"/>
        <v>2</v>
      </c>
      <c r="T667" s="77"/>
      <c r="U667" s="37" t="s">
        <v>2242</v>
      </c>
      <c r="V667" s="37" t="s">
        <v>2250</v>
      </c>
      <c r="W667" s="37"/>
      <c r="X667" s="37"/>
    </row>
    <row r="668" spans="1:24" x14ac:dyDescent="0.3">
      <c r="A668" s="37">
        <f t="shared" si="26"/>
        <v>666</v>
      </c>
      <c r="B668" s="76" t="s">
        <v>1437</v>
      </c>
      <c r="C668" s="76" t="s">
        <v>1436</v>
      </c>
      <c r="D668" s="76" t="s">
        <v>2275</v>
      </c>
      <c r="E668" s="77">
        <v>380976190</v>
      </c>
      <c r="F668" s="77">
        <v>2000000</v>
      </c>
      <c r="G668" s="77" t="s">
        <v>2834</v>
      </c>
      <c r="H668" s="77" t="s">
        <v>2835</v>
      </c>
      <c r="I668" s="76" t="s">
        <v>2102</v>
      </c>
      <c r="J668" s="76" t="s">
        <v>32</v>
      </c>
      <c r="K668" s="76" t="e">
        <f>VLOOKUP($B668,'WILL TOKO SEP'!A669:AK1408,37,0)</f>
        <v>#N/A</v>
      </c>
      <c r="L668" s="76" t="s">
        <v>2104</v>
      </c>
      <c r="M668" s="37" t="s">
        <v>496</v>
      </c>
      <c r="N668" s="79">
        <v>46161</v>
      </c>
      <c r="O668" s="78">
        <v>0</v>
      </c>
      <c r="P668" s="78">
        <v>0</v>
      </c>
      <c r="Q668" s="79">
        <v>46248</v>
      </c>
      <c r="R668" s="79" t="e">
        <f>IF($B668&lt;&gt;"",VLOOKUP($B668,JADWAL!$G$6:$J$700,4,FALSE),"")</f>
        <v>#N/A</v>
      </c>
      <c r="S668" s="77">
        <f t="shared" si="25"/>
        <v>2</v>
      </c>
      <c r="T668" s="77"/>
      <c r="U668" s="37" t="s">
        <v>2242</v>
      </c>
      <c r="V668" s="37" t="s">
        <v>2250</v>
      </c>
      <c r="W668" s="37"/>
      <c r="X668" s="37"/>
    </row>
    <row r="669" spans="1:24" x14ac:dyDescent="0.3">
      <c r="A669" s="37">
        <f t="shared" si="26"/>
        <v>667</v>
      </c>
      <c r="B669" s="76" t="s">
        <v>1748</v>
      </c>
      <c r="C669" s="76" t="s">
        <v>1747</v>
      </c>
      <c r="D669" s="76" t="s">
        <v>2277</v>
      </c>
      <c r="E669" s="77">
        <v>487418246</v>
      </c>
      <c r="F669" s="77">
        <v>2500000</v>
      </c>
      <c r="G669" s="77" t="s">
        <v>2825</v>
      </c>
      <c r="H669" s="77" t="s">
        <v>2837</v>
      </c>
      <c r="I669" s="76" t="s">
        <v>2102</v>
      </c>
      <c r="J669" s="76" t="s">
        <v>9</v>
      </c>
      <c r="K669" s="76" t="e">
        <f>VLOOKUP($B669,'WILL TOKO SEP'!A670:AK1409,37,0)</f>
        <v>#N/A</v>
      </c>
      <c r="L669" s="76" t="s">
        <v>2104</v>
      </c>
      <c r="M669" s="37" t="s">
        <v>496</v>
      </c>
      <c r="N669" s="79">
        <v>46157</v>
      </c>
      <c r="O669" s="78">
        <v>0</v>
      </c>
      <c r="P669" s="78">
        <v>0</v>
      </c>
      <c r="Q669" s="79">
        <v>46239</v>
      </c>
      <c r="R669" s="79" t="e">
        <f>IF($B669&lt;&gt;"",VLOOKUP($B669,JADWAL!$G$6:$J$700,4,FALSE),"")</f>
        <v>#N/A</v>
      </c>
      <c r="S669" s="77">
        <f t="shared" si="25"/>
        <v>2</v>
      </c>
      <c r="T669" s="77"/>
      <c r="U669" s="37" t="s">
        <v>2242</v>
      </c>
      <c r="V669" s="37" t="s">
        <v>2250</v>
      </c>
      <c r="W669" s="37"/>
      <c r="X669" s="37"/>
    </row>
    <row r="670" spans="1:24" x14ac:dyDescent="0.3">
      <c r="A670" s="37">
        <f t="shared" si="26"/>
        <v>668</v>
      </c>
      <c r="B670" s="76" t="s">
        <v>505</v>
      </c>
      <c r="C670" s="76" t="s">
        <v>504</v>
      </c>
      <c r="D670" s="76" t="s">
        <v>2283</v>
      </c>
      <c r="E670" s="77">
        <v>493097462</v>
      </c>
      <c r="F670" s="77">
        <v>2500000</v>
      </c>
      <c r="G670" s="77" t="s">
        <v>2821</v>
      </c>
      <c r="H670" s="77" t="s">
        <v>2845</v>
      </c>
      <c r="I670" s="76" t="s">
        <v>2102</v>
      </c>
      <c r="J670" s="76" t="s">
        <v>90</v>
      </c>
      <c r="K670" s="76" t="e">
        <f>VLOOKUP($B670,'WILL TOKO SEP'!A671:AK1410,37,0)</f>
        <v>#N/A</v>
      </c>
      <c r="L670" s="76" t="s">
        <v>2104</v>
      </c>
      <c r="M670" s="37" t="s">
        <v>496</v>
      </c>
      <c r="N670" s="79">
        <v>46162</v>
      </c>
      <c r="O670" s="78">
        <v>0</v>
      </c>
      <c r="P670" s="78">
        <v>0</v>
      </c>
      <c r="Q670" s="78">
        <v>0</v>
      </c>
      <c r="R670" s="79" t="e">
        <f>IF($B670&lt;&gt;"",VLOOKUP($B670,JADWAL!$G$6:$J$700,4,FALSE),"")</f>
        <v>#N/A</v>
      </c>
      <c r="S670" s="77">
        <f t="shared" si="25"/>
        <v>2</v>
      </c>
      <c r="T670" s="77"/>
      <c r="U670" s="37" t="s">
        <v>2242</v>
      </c>
      <c r="V670" s="37" t="s">
        <v>2250</v>
      </c>
      <c r="W670" s="37"/>
      <c r="X670" s="37"/>
    </row>
    <row r="671" spans="1:24" x14ac:dyDescent="0.3">
      <c r="A671" s="37">
        <f t="shared" si="26"/>
        <v>669</v>
      </c>
      <c r="B671" s="76" t="s">
        <v>1792</v>
      </c>
      <c r="C671" s="76" t="s">
        <v>1791</v>
      </c>
      <c r="D671" s="76" t="s">
        <v>2284</v>
      </c>
      <c r="E671" s="77">
        <v>426921945</v>
      </c>
      <c r="F671" s="77">
        <v>2000000</v>
      </c>
      <c r="G671" s="77" t="s">
        <v>2834</v>
      </c>
      <c r="H671" s="77" t="s">
        <v>2842</v>
      </c>
      <c r="I671" s="76" t="s">
        <v>2102</v>
      </c>
      <c r="J671" s="76" t="s">
        <v>58</v>
      </c>
      <c r="K671" s="76" t="e">
        <f>VLOOKUP($B671,'WILL TOKO SEP'!A672:AK1411,37,0)</f>
        <v>#N/A</v>
      </c>
      <c r="L671" s="76" t="s">
        <v>2104</v>
      </c>
      <c r="M671" s="37" t="s">
        <v>496</v>
      </c>
      <c r="N671" s="79">
        <v>46146</v>
      </c>
      <c r="O671" s="78">
        <v>0</v>
      </c>
      <c r="P671" s="78">
        <v>0</v>
      </c>
      <c r="Q671" s="79">
        <v>46238</v>
      </c>
      <c r="R671" s="79" t="e">
        <f>IF($B671&lt;&gt;"",VLOOKUP($B671,JADWAL!$G$6:$J$700,4,FALSE),"")</f>
        <v>#N/A</v>
      </c>
      <c r="S671" s="77">
        <f t="shared" si="25"/>
        <v>2</v>
      </c>
      <c r="T671" s="77"/>
      <c r="U671" s="37" t="s">
        <v>2242</v>
      </c>
      <c r="V671" s="37" t="s">
        <v>2250</v>
      </c>
      <c r="W671" s="37"/>
      <c r="X671" s="37"/>
    </row>
    <row r="672" spans="1:24" x14ac:dyDescent="0.3">
      <c r="A672" s="37">
        <f t="shared" si="26"/>
        <v>670</v>
      </c>
      <c r="B672" s="76" t="s">
        <v>1531</v>
      </c>
      <c r="C672" s="76" t="s">
        <v>1530</v>
      </c>
      <c r="D672" s="76" t="s">
        <v>5444</v>
      </c>
      <c r="E672" s="77">
        <v>435717841</v>
      </c>
      <c r="F672" s="77">
        <v>2000000</v>
      </c>
      <c r="G672" s="77" t="s">
        <v>2834</v>
      </c>
      <c r="H672" s="77" t="s">
        <v>2842</v>
      </c>
      <c r="I672" s="76" t="s">
        <v>2102</v>
      </c>
      <c r="J672" s="76" t="s">
        <v>40</v>
      </c>
      <c r="K672" s="76" t="e">
        <f>VLOOKUP($B672,'WILL TOKO SEP'!A673:AK1412,37,0)</f>
        <v>#N/A</v>
      </c>
      <c r="L672" s="76" t="s">
        <v>2104</v>
      </c>
      <c r="M672" s="37" t="s">
        <v>496</v>
      </c>
      <c r="N672" s="79">
        <v>46149</v>
      </c>
      <c r="O672" s="78">
        <v>0</v>
      </c>
      <c r="P672" s="78">
        <v>0</v>
      </c>
      <c r="Q672" s="79">
        <v>46246</v>
      </c>
      <c r="R672" s="79" t="e">
        <f>IF($B672&lt;&gt;"",VLOOKUP($B672,JADWAL!$G$6:$J$700,4,FALSE),"")</f>
        <v>#N/A</v>
      </c>
      <c r="S672" s="77">
        <f t="shared" si="25"/>
        <v>2</v>
      </c>
      <c r="T672" s="77"/>
      <c r="U672" s="37" t="s">
        <v>2242</v>
      </c>
      <c r="V672" s="37" t="s">
        <v>2250</v>
      </c>
      <c r="W672" s="37"/>
      <c r="X672" s="37"/>
    </row>
    <row r="673" spans="1:24" x14ac:dyDescent="0.3">
      <c r="A673" s="37">
        <f t="shared" si="26"/>
        <v>671</v>
      </c>
      <c r="B673" s="76" t="s">
        <v>1833</v>
      </c>
      <c r="C673" s="76" t="s">
        <v>1832</v>
      </c>
      <c r="D673" s="76" t="s">
        <v>5588</v>
      </c>
      <c r="E673" s="77">
        <v>372353020</v>
      </c>
      <c r="F673" s="77">
        <v>2000000</v>
      </c>
      <c r="G673" s="77" t="s">
        <v>2830</v>
      </c>
      <c r="H673" s="77" t="s">
        <v>2849</v>
      </c>
      <c r="I673" s="76" t="s">
        <v>2102</v>
      </c>
      <c r="J673" s="76" t="s">
        <v>4</v>
      </c>
      <c r="K673" s="76" t="str">
        <f>VLOOKUP($B673,'WILL TOKO SEP'!A674:AK1413,37,0)</f>
        <v>Denpasar Timur</v>
      </c>
      <c r="L673" s="76" t="s">
        <v>2103</v>
      </c>
      <c r="M673" s="37" t="s">
        <v>496</v>
      </c>
      <c r="N673" s="79">
        <v>46146</v>
      </c>
      <c r="O673" s="78">
        <v>0</v>
      </c>
      <c r="P673" s="78">
        <v>0</v>
      </c>
      <c r="Q673" s="79">
        <v>46237</v>
      </c>
      <c r="R673" s="79" t="e">
        <f>IF($B673&lt;&gt;"",VLOOKUP($B673,JADWAL!$G$6:$J$700,4,FALSE),"")</f>
        <v>#N/A</v>
      </c>
      <c r="S673" s="77">
        <f t="shared" si="25"/>
        <v>2</v>
      </c>
      <c r="T673" s="77"/>
      <c r="U673" s="37" t="s">
        <v>2242</v>
      </c>
      <c r="V673" s="37" t="s">
        <v>2250</v>
      </c>
      <c r="W673" s="37"/>
      <c r="X673" s="37"/>
    </row>
    <row r="674" spans="1:24" x14ac:dyDescent="0.3">
      <c r="A674" s="37">
        <f t="shared" si="26"/>
        <v>672</v>
      </c>
      <c r="B674" s="76" t="s">
        <v>1831</v>
      </c>
      <c r="C674" s="76" t="s">
        <v>1830</v>
      </c>
      <c r="D674" s="76" t="s">
        <v>2302</v>
      </c>
      <c r="E674" s="77">
        <v>441045909</v>
      </c>
      <c r="F674" s="77">
        <v>2500000</v>
      </c>
      <c r="G674" s="77" t="s">
        <v>2821</v>
      </c>
      <c r="H674" s="77" t="s">
        <v>2845</v>
      </c>
      <c r="I674" s="76" t="s">
        <v>2102</v>
      </c>
      <c r="J674" s="76" t="s">
        <v>36</v>
      </c>
      <c r="K674" s="76" t="e">
        <f>VLOOKUP($B674,'WILL TOKO SEP'!A675:AK1414,37,0)</f>
        <v>#N/A</v>
      </c>
      <c r="L674" s="76" t="s">
        <v>2104</v>
      </c>
      <c r="M674" s="37" t="s">
        <v>496</v>
      </c>
      <c r="N674" s="79">
        <v>46146</v>
      </c>
      <c r="O674" s="78">
        <v>0</v>
      </c>
      <c r="P674" s="78">
        <v>0</v>
      </c>
      <c r="Q674" s="79">
        <v>46237</v>
      </c>
      <c r="R674" s="79" t="e">
        <f>IF($B674&lt;&gt;"",VLOOKUP($B674,JADWAL!$G$6:$J$700,4,FALSE),"")</f>
        <v>#N/A</v>
      </c>
      <c r="S674" s="77">
        <f t="shared" si="25"/>
        <v>2</v>
      </c>
      <c r="T674" s="77"/>
      <c r="U674" s="37" t="s">
        <v>2242</v>
      </c>
      <c r="V674" s="37" t="s">
        <v>2250</v>
      </c>
      <c r="W674" s="37"/>
      <c r="X674" s="37"/>
    </row>
    <row r="675" spans="1:24" x14ac:dyDescent="0.3">
      <c r="A675" s="37">
        <f t="shared" si="26"/>
        <v>673</v>
      </c>
      <c r="B675" s="76" t="s">
        <v>1674</v>
      </c>
      <c r="C675" s="76" t="s">
        <v>1673</v>
      </c>
      <c r="D675" s="76" t="s">
        <v>5174</v>
      </c>
      <c r="E675" s="77">
        <v>509627975</v>
      </c>
      <c r="F675" s="77">
        <v>2500000</v>
      </c>
      <c r="G675" s="77" t="s">
        <v>2827</v>
      </c>
      <c r="H675" s="77" t="s">
        <v>2848</v>
      </c>
      <c r="I675" s="76" t="s">
        <v>2102</v>
      </c>
      <c r="J675" s="76" t="s">
        <v>48</v>
      </c>
      <c r="K675" s="76" t="e">
        <f>VLOOKUP($B675,'WILL TOKO SEP'!A676:AK1415,37,0)</f>
        <v>#N/A</v>
      </c>
      <c r="L675" s="76" t="s">
        <v>2104</v>
      </c>
      <c r="M675" s="37" t="s">
        <v>496</v>
      </c>
      <c r="N675" s="79">
        <v>46153</v>
      </c>
      <c r="O675" s="78">
        <v>0</v>
      </c>
      <c r="P675" s="78">
        <v>0</v>
      </c>
      <c r="Q675" s="79">
        <v>46241</v>
      </c>
      <c r="R675" s="79" t="e">
        <f>IF($B675&lt;&gt;"",VLOOKUP($B675,JADWAL!$G$6:$J$700,4,FALSE),"")</f>
        <v>#N/A</v>
      </c>
      <c r="S675" s="77">
        <f t="shared" si="25"/>
        <v>2</v>
      </c>
      <c r="T675" s="77"/>
      <c r="U675" s="37" t="s">
        <v>2242</v>
      </c>
      <c r="V675" s="37" t="s">
        <v>2250</v>
      </c>
      <c r="W675" s="37"/>
      <c r="X675" s="37"/>
    </row>
    <row r="676" spans="1:24" x14ac:dyDescent="0.3">
      <c r="A676" s="37">
        <f t="shared" si="26"/>
        <v>674</v>
      </c>
      <c r="B676" s="76" t="s">
        <v>499</v>
      </c>
      <c r="C676" s="76" t="s">
        <v>498</v>
      </c>
      <c r="D676" s="76" t="s">
        <v>5340</v>
      </c>
      <c r="E676" s="77">
        <v>580480770</v>
      </c>
      <c r="F676" s="77">
        <v>2000000</v>
      </c>
      <c r="G676" s="77" t="s">
        <v>2840</v>
      </c>
      <c r="H676" s="77" t="s">
        <v>2843</v>
      </c>
      <c r="I676" s="76" t="s">
        <v>2102</v>
      </c>
      <c r="J676" s="76" t="s">
        <v>90</v>
      </c>
      <c r="K676" s="76" t="e">
        <f>VLOOKUP($B676,'WILL TOKO SEP'!A677:AK1416,37,0)</f>
        <v>#N/A</v>
      </c>
      <c r="L676" s="76" t="s">
        <v>2104</v>
      </c>
      <c r="M676" s="37" t="s">
        <v>496</v>
      </c>
      <c r="N676" s="79">
        <v>46164</v>
      </c>
      <c r="O676" s="78">
        <v>0</v>
      </c>
      <c r="P676" s="78">
        <v>0</v>
      </c>
      <c r="Q676" s="78">
        <v>0</v>
      </c>
      <c r="R676" s="79" t="e">
        <f>IF($B676&lt;&gt;"",VLOOKUP($B676,JADWAL!$G$6:$J$700,4,FALSE),"")</f>
        <v>#N/A</v>
      </c>
      <c r="S676" s="77">
        <f t="shared" si="25"/>
        <v>2</v>
      </c>
      <c r="T676" s="77"/>
      <c r="U676" s="37" t="s">
        <v>2242</v>
      </c>
      <c r="V676" s="37" t="s">
        <v>2250</v>
      </c>
      <c r="W676" s="37"/>
      <c r="X676" s="37"/>
    </row>
    <row r="677" spans="1:24" x14ac:dyDescent="0.3">
      <c r="A677" s="37">
        <f t="shared" si="26"/>
        <v>675</v>
      </c>
      <c r="B677" s="76" t="s">
        <v>1752</v>
      </c>
      <c r="C677" s="76" t="s">
        <v>1751</v>
      </c>
      <c r="D677" s="76" t="s">
        <v>2323</v>
      </c>
      <c r="E677" s="77">
        <v>388575310</v>
      </c>
      <c r="F677" s="77">
        <v>3000000</v>
      </c>
      <c r="G677" s="77" t="s">
        <v>2813</v>
      </c>
      <c r="H677" s="77" t="s">
        <v>2832</v>
      </c>
      <c r="I677" s="76" t="s">
        <v>2102</v>
      </c>
      <c r="J677" s="76" t="s">
        <v>9</v>
      </c>
      <c r="K677" s="76" t="e">
        <f>VLOOKUP($B677,'WILL TOKO SEP'!A678:AK1417,37,0)</f>
        <v>#N/A</v>
      </c>
      <c r="L677" s="76" t="s">
        <v>2103</v>
      </c>
      <c r="M677" s="37" t="s">
        <v>496</v>
      </c>
      <c r="N677" s="79">
        <v>46147</v>
      </c>
      <c r="O677" s="78">
        <v>0</v>
      </c>
      <c r="P677" s="78">
        <v>0</v>
      </c>
      <c r="Q677" s="79">
        <v>46239</v>
      </c>
      <c r="R677" s="79" t="e">
        <f>IF($B677&lt;&gt;"",VLOOKUP($B677,JADWAL!$G$6:$J$700,4,FALSE),"")</f>
        <v>#N/A</v>
      </c>
      <c r="S677" s="77">
        <f t="shared" si="25"/>
        <v>2</v>
      </c>
      <c r="T677" s="77"/>
      <c r="U677" s="37" t="s">
        <v>2242</v>
      </c>
      <c r="V677" s="37" t="s">
        <v>2250</v>
      </c>
      <c r="W677" s="37"/>
      <c r="X677" s="37"/>
    </row>
    <row r="678" spans="1:24" x14ac:dyDescent="0.3">
      <c r="A678" s="37">
        <f t="shared" si="26"/>
        <v>676</v>
      </c>
      <c r="B678" s="76" t="s">
        <v>1487</v>
      </c>
      <c r="C678" s="76" t="s">
        <v>1486</v>
      </c>
      <c r="D678" s="76" t="s">
        <v>2327</v>
      </c>
      <c r="E678" s="77">
        <v>425589861</v>
      </c>
      <c r="F678" s="77">
        <v>3000000</v>
      </c>
      <c r="G678" s="77" t="s">
        <v>2815</v>
      </c>
      <c r="H678" s="77" t="s">
        <v>2855</v>
      </c>
      <c r="I678" s="76" t="s">
        <v>2102</v>
      </c>
      <c r="J678" s="76" t="s">
        <v>28</v>
      </c>
      <c r="K678" s="76" t="e">
        <f>VLOOKUP($B678,'WILL TOKO SEP'!A679:AK1418,37,0)</f>
        <v>#N/A</v>
      </c>
      <c r="L678" s="76" t="s">
        <v>2103</v>
      </c>
      <c r="M678" s="37" t="s">
        <v>496</v>
      </c>
      <c r="N678" s="79">
        <v>46146</v>
      </c>
      <c r="O678" s="78">
        <v>0</v>
      </c>
      <c r="P678" s="78">
        <v>0</v>
      </c>
      <c r="Q678" s="79">
        <v>46247</v>
      </c>
      <c r="R678" s="79" t="e">
        <f>IF($B678&lt;&gt;"",VLOOKUP($B678,JADWAL!$G$6:$J$700,4,FALSE),"")</f>
        <v>#N/A</v>
      </c>
      <c r="S678" s="77">
        <f t="shared" si="25"/>
        <v>2</v>
      </c>
      <c r="T678" s="77"/>
      <c r="U678" s="37" t="s">
        <v>2242</v>
      </c>
      <c r="V678" s="37" t="s">
        <v>2250</v>
      </c>
      <c r="W678" s="37"/>
      <c r="X678" s="37"/>
    </row>
    <row r="679" spans="1:24" x14ac:dyDescent="0.3">
      <c r="A679" s="37">
        <f t="shared" si="26"/>
        <v>677</v>
      </c>
      <c r="B679" s="76" t="s">
        <v>1818</v>
      </c>
      <c r="C679" s="76" t="s">
        <v>1817</v>
      </c>
      <c r="D679" s="76" t="s">
        <v>5138</v>
      </c>
      <c r="E679" s="77">
        <v>363395332</v>
      </c>
      <c r="F679" s="77">
        <v>2500000</v>
      </c>
      <c r="G679" s="77" t="s">
        <v>2830</v>
      </c>
      <c r="H679" s="77" t="s">
        <v>2847</v>
      </c>
      <c r="I679" s="76" t="s">
        <v>2102</v>
      </c>
      <c r="J679" s="76" t="s">
        <v>4</v>
      </c>
      <c r="K679" s="76" t="e">
        <f>VLOOKUP($B679,'WILL TOKO SEP'!A680:AK1419,37,0)</f>
        <v>#N/A</v>
      </c>
      <c r="L679" s="76" t="s">
        <v>2103</v>
      </c>
      <c r="M679" s="37" t="s">
        <v>496</v>
      </c>
      <c r="N679" s="79">
        <v>46153</v>
      </c>
      <c r="O679" s="78">
        <v>0</v>
      </c>
      <c r="P679" s="78">
        <v>0</v>
      </c>
      <c r="Q679" s="79">
        <v>46237</v>
      </c>
      <c r="R679" s="79" t="e">
        <f>IF($B679&lt;&gt;"",VLOOKUP($B679,JADWAL!$G$6:$J$700,4,FALSE),"")</f>
        <v>#N/A</v>
      </c>
      <c r="S679" s="77">
        <f t="shared" si="25"/>
        <v>2</v>
      </c>
      <c r="T679" s="77"/>
      <c r="U679" s="37" t="s">
        <v>2242</v>
      </c>
      <c r="V679" s="37" t="s">
        <v>2250</v>
      </c>
      <c r="W679" s="37"/>
      <c r="X679" s="37"/>
    </row>
    <row r="680" spans="1:24" x14ac:dyDescent="0.3">
      <c r="A680" s="37">
        <f t="shared" si="26"/>
        <v>678</v>
      </c>
      <c r="B680" s="76" t="s">
        <v>1711</v>
      </c>
      <c r="C680" s="76" t="s">
        <v>1710</v>
      </c>
      <c r="D680" s="76" t="s">
        <v>2339</v>
      </c>
      <c r="E680" s="77">
        <v>473840265</v>
      </c>
      <c r="F680" s="77">
        <v>3000000</v>
      </c>
      <c r="G680" s="77" t="s">
        <v>2813</v>
      </c>
      <c r="H680" s="77" t="s">
        <v>2863</v>
      </c>
      <c r="I680" s="76" t="s">
        <v>2102</v>
      </c>
      <c r="J680" s="76" t="s">
        <v>9</v>
      </c>
      <c r="K680" s="76" t="e">
        <f>VLOOKUP($B680,'WILL TOKO SEP'!A681:AK1420,37,0)</f>
        <v>#N/A</v>
      </c>
      <c r="L680" s="76" t="s">
        <v>2104</v>
      </c>
      <c r="M680" s="37" t="s">
        <v>496</v>
      </c>
      <c r="N680" s="79">
        <v>46154</v>
      </c>
      <c r="O680" s="78">
        <v>0</v>
      </c>
      <c r="P680" s="78">
        <v>0</v>
      </c>
      <c r="Q680" s="79">
        <v>46240</v>
      </c>
      <c r="R680" s="79" t="e">
        <f>IF($B680&lt;&gt;"",VLOOKUP($B680,JADWAL!$G$6:$J$700,4,FALSE),"")</f>
        <v>#N/A</v>
      </c>
      <c r="S680" s="77">
        <f t="shared" si="25"/>
        <v>2</v>
      </c>
      <c r="T680" s="77"/>
      <c r="U680" s="37" t="s">
        <v>2242</v>
      </c>
      <c r="V680" s="37" t="s">
        <v>2250</v>
      </c>
      <c r="W680" s="37"/>
      <c r="X680" s="37"/>
    </row>
    <row r="681" spans="1:24" x14ac:dyDescent="0.3">
      <c r="A681" s="37">
        <f t="shared" si="26"/>
        <v>679</v>
      </c>
      <c r="B681" s="76" t="s">
        <v>1706</v>
      </c>
      <c r="C681" s="76" t="s">
        <v>1705</v>
      </c>
      <c r="D681" s="76" t="s">
        <v>2352</v>
      </c>
      <c r="E681" s="77">
        <v>435839782</v>
      </c>
      <c r="F681" s="77">
        <v>3000000</v>
      </c>
      <c r="G681" s="77" t="s">
        <v>2821</v>
      </c>
      <c r="H681" s="77" t="s">
        <v>2846</v>
      </c>
      <c r="I681" s="76" t="s">
        <v>2102</v>
      </c>
      <c r="J681" s="76" t="s">
        <v>36</v>
      </c>
      <c r="K681" s="76" t="e">
        <f>VLOOKUP($B681,'WILL TOKO SEP'!A682:AK1421,37,0)</f>
        <v>#N/A</v>
      </c>
      <c r="L681" s="76" t="s">
        <v>2104</v>
      </c>
      <c r="M681" s="37" t="s">
        <v>496</v>
      </c>
      <c r="N681" s="79">
        <v>46157</v>
      </c>
      <c r="O681" s="78">
        <v>0</v>
      </c>
      <c r="P681" s="78">
        <v>0</v>
      </c>
      <c r="Q681" s="79">
        <v>46240</v>
      </c>
      <c r="R681" s="79" t="e">
        <f>IF($B681&lt;&gt;"",VLOOKUP($B681,JADWAL!$G$6:$J$700,4,FALSE),"")</f>
        <v>#N/A</v>
      </c>
      <c r="S681" s="77">
        <f t="shared" si="25"/>
        <v>2</v>
      </c>
      <c r="T681" s="77"/>
      <c r="U681" s="37" t="s">
        <v>2242</v>
      </c>
      <c r="V681" s="37" t="s">
        <v>2250</v>
      </c>
      <c r="W681" s="37"/>
      <c r="X681" s="37"/>
    </row>
    <row r="682" spans="1:24" x14ac:dyDescent="0.3">
      <c r="A682" s="37">
        <f t="shared" si="26"/>
        <v>680</v>
      </c>
      <c r="B682" s="76" t="s">
        <v>1551</v>
      </c>
      <c r="C682" s="76" t="s">
        <v>1550</v>
      </c>
      <c r="D682" s="76" t="s">
        <v>5573</v>
      </c>
      <c r="E682" s="77">
        <v>511722392</v>
      </c>
      <c r="F682" s="77">
        <v>2000000</v>
      </c>
      <c r="G682" s="77" t="s">
        <v>2825</v>
      </c>
      <c r="H682" s="77" t="s">
        <v>2853</v>
      </c>
      <c r="I682" s="76" t="s">
        <v>2102</v>
      </c>
      <c r="J682" s="76" t="s">
        <v>36</v>
      </c>
      <c r="K682" s="76" t="str">
        <f>VLOOKUP($B682,'WILL TOKO SEP'!A683:AK1422,37,0)</f>
        <v>Marga</v>
      </c>
      <c r="L682" s="76" t="s">
        <v>2104</v>
      </c>
      <c r="M682" s="37" t="s">
        <v>496</v>
      </c>
      <c r="N682" s="79">
        <v>46154</v>
      </c>
      <c r="O682" s="78">
        <v>0</v>
      </c>
      <c r="P682" s="78">
        <v>0</v>
      </c>
      <c r="Q682" s="79">
        <v>46245</v>
      </c>
      <c r="R682" s="79" t="e">
        <f>IF($B682&lt;&gt;"",VLOOKUP($B682,JADWAL!$G$6:$J$700,4,FALSE),"")</f>
        <v>#N/A</v>
      </c>
      <c r="S682" s="77">
        <f t="shared" si="25"/>
        <v>2</v>
      </c>
      <c r="T682" s="77"/>
      <c r="U682" s="37" t="s">
        <v>2242</v>
      </c>
      <c r="V682" s="37" t="s">
        <v>2250</v>
      </c>
      <c r="W682" s="37"/>
      <c r="X682" s="37"/>
    </row>
    <row r="683" spans="1:24" x14ac:dyDescent="0.3">
      <c r="A683" s="37">
        <f t="shared" si="26"/>
        <v>681</v>
      </c>
      <c r="B683" s="76" t="s">
        <v>502</v>
      </c>
      <c r="C683" s="76" t="s">
        <v>501</v>
      </c>
      <c r="D683" s="76" t="s">
        <v>2356</v>
      </c>
      <c r="E683" s="77">
        <v>447567489</v>
      </c>
      <c r="F683" s="77">
        <v>2000000</v>
      </c>
      <c r="G683" s="77" t="s">
        <v>2840</v>
      </c>
      <c r="H683" s="77" t="s">
        <v>2843</v>
      </c>
      <c r="I683" s="76" t="s">
        <v>2102</v>
      </c>
      <c r="J683" s="76" t="s">
        <v>90</v>
      </c>
      <c r="K683" s="76" t="e">
        <f>VLOOKUP($B683,'WILL TOKO SEP'!A684:AK1423,37,0)</f>
        <v>#N/A</v>
      </c>
      <c r="L683" s="76" t="s">
        <v>2104</v>
      </c>
      <c r="M683" s="37" t="s">
        <v>496</v>
      </c>
      <c r="N683" s="79">
        <v>46163</v>
      </c>
      <c r="O683" s="78">
        <v>0</v>
      </c>
      <c r="P683" s="78">
        <v>0</v>
      </c>
      <c r="Q683" s="78">
        <v>0</v>
      </c>
      <c r="R683" s="79" t="e">
        <f>IF($B683&lt;&gt;"",VLOOKUP($B683,JADWAL!$G$6:$J$700,4,FALSE),"")</f>
        <v>#N/A</v>
      </c>
      <c r="S683" s="77">
        <f t="shared" ref="S683:S714" si="27">COUNTIF(N683:P683,"0")</f>
        <v>2</v>
      </c>
      <c r="T683" s="77"/>
      <c r="U683" s="37" t="s">
        <v>2242</v>
      </c>
      <c r="V683" s="37" t="s">
        <v>2250</v>
      </c>
      <c r="W683" s="37"/>
      <c r="X683" s="37"/>
    </row>
    <row r="684" spans="1:24" x14ac:dyDescent="0.3">
      <c r="A684" s="37">
        <f t="shared" si="26"/>
        <v>682</v>
      </c>
      <c r="B684" s="76" t="s">
        <v>1709</v>
      </c>
      <c r="C684" s="76" t="s">
        <v>1708</v>
      </c>
      <c r="D684" s="76" t="s">
        <v>2359</v>
      </c>
      <c r="E684" s="77">
        <v>329051728</v>
      </c>
      <c r="F684" s="77">
        <v>2000000</v>
      </c>
      <c r="G684" s="77" t="s">
        <v>2815</v>
      </c>
      <c r="H684" s="77" t="s">
        <v>2816</v>
      </c>
      <c r="I684" s="76" t="s">
        <v>2102</v>
      </c>
      <c r="J684" s="76" t="s">
        <v>28</v>
      </c>
      <c r="K684" s="76" t="e">
        <f>VLOOKUP($B684,'WILL TOKO SEP'!A685:AK1424,37,0)</f>
        <v>#N/A</v>
      </c>
      <c r="L684" s="76" t="s">
        <v>2103</v>
      </c>
      <c r="M684" s="37" t="s">
        <v>496</v>
      </c>
      <c r="N684" s="79">
        <v>46157</v>
      </c>
      <c r="O684" s="78">
        <v>0</v>
      </c>
      <c r="P684" s="78">
        <v>0</v>
      </c>
      <c r="Q684" s="79">
        <v>46240</v>
      </c>
      <c r="R684" s="79" t="e">
        <f>IF($B684&lt;&gt;"",VLOOKUP($B684,JADWAL!$G$6:$J$700,4,FALSE),"")</f>
        <v>#N/A</v>
      </c>
      <c r="S684" s="77">
        <f t="shared" si="27"/>
        <v>2</v>
      </c>
      <c r="T684" s="77"/>
      <c r="U684" s="37" t="s">
        <v>2242</v>
      </c>
      <c r="V684" s="37" t="s">
        <v>2250</v>
      </c>
      <c r="W684" s="37"/>
      <c r="X684" s="37"/>
    </row>
    <row r="685" spans="1:24" x14ac:dyDescent="0.3">
      <c r="A685" s="37">
        <f t="shared" si="26"/>
        <v>683</v>
      </c>
      <c r="B685" s="76" t="s">
        <v>1440</v>
      </c>
      <c r="C685" s="76" t="s">
        <v>1439</v>
      </c>
      <c r="D685" s="76" t="s">
        <v>2361</v>
      </c>
      <c r="E685" s="77">
        <v>445015557</v>
      </c>
      <c r="F685" s="77">
        <v>2000000</v>
      </c>
      <c r="G685" s="77" t="s">
        <v>2834</v>
      </c>
      <c r="H685" s="77" t="s">
        <v>2835</v>
      </c>
      <c r="I685" s="76" t="s">
        <v>2102</v>
      </c>
      <c r="J685" s="76" t="s">
        <v>32</v>
      </c>
      <c r="K685" s="76" t="e">
        <f>VLOOKUP($B685,'WILL TOKO SEP'!A686:AK1425,37,0)</f>
        <v>#N/A</v>
      </c>
      <c r="L685" s="76" t="s">
        <v>2104</v>
      </c>
      <c r="M685" s="37" t="s">
        <v>496</v>
      </c>
      <c r="N685" s="79">
        <v>46161</v>
      </c>
      <c r="O685" s="79">
        <v>46181</v>
      </c>
      <c r="P685" s="78">
        <v>0</v>
      </c>
      <c r="Q685" s="79">
        <v>46248</v>
      </c>
      <c r="R685" s="79" t="e">
        <f>IF($B685&lt;&gt;"",VLOOKUP($B685,JADWAL!$G$6:$J$700,4,FALSE),"")</f>
        <v>#N/A</v>
      </c>
      <c r="S685" s="77">
        <f t="shared" si="27"/>
        <v>1</v>
      </c>
      <c r="T685" s="77"/>
      <c r="U685" s="37" t="s">
        <v>2242</v>
      </c>
      <c r="V685" s="37" t="s">
        <v>2250</v>
      </c>
      <c r="W685" s="37"/>
      <c r="X685" s="37"/>
    </row>
    <row r="686" spans="1:24" x14ac:dyDescent="0.3">
      <c r="A686" s="37">
        <f t="shared" si="26"/>
        <v>684</v>
      </c>
      <c r="B686" s="76" t="s">
        <v>1874</v>
      </c>
      <c r="C686" s="76" t="s">
        <v>1873</v>
      </c>
      <c r="D686" s="76" t="s">
        <v>5397</v>
      </c>
      <c r="E686" s="77">
        <v>473094084</v>
      </c>
      <c r="F686" s="77">
        <v>2000000</v>
      </c>
      <c r="G686" s="77" t="s">
        <v>2815</v>
      </c>
      <c r="H686" s="77" t="s">
        <v>2859</v>
      </c>
      <c r="I686" s="76" t="s">
        <v>2102</v>
      </c>
      <c r="J686" s="76" t="s">
        <v>28</v>
      </c>
      <c r="K686" s="76" t="e">
        <f>VLOOKUP($B686,'WILL TOKO SEP'!A687:AK1426,37,0)</f>
        <v>#N/A</v>
      </c>
      <c r="L686" s="76" t="s">
        <v>2103</v>
      </c>
      <c r="M686" s="37" t="s">
        <v>496</v>
      </c>
      <c r="N686" s="79">
        <v>46144</v>
      </c>
      <c r="O686" s="78">
        <v>0</v>
      </c>
      <c r="P686" s="78">
        <v>0</v>
      </c>
      <c r="Q686" s="79">
        <v>46235</v>
      </c>
      <c r="R686" s="79" t="e">
        <f>IF($B686&lt;&gt;"",VLOOKUP($B686,JADWAL!$G$6:$J$700,4,FALSE),"")</f>
        <v>#N/A</v>
      </c>
      <c r="S686" s="77">
        <f t="shared" si="27"/>
        <v>2</v>
      </c>
      <c r="T686" s="77"/>
      <c r="U686" s="37" t="s">
        <v>2242</v>
      </c>
      <c r="V686" s="37" t="s">
        <v>2250</v>
      </c>
      <c r="W686" s="37"/>
      <c r="X686" s="37"/>
    </row>
    <row r="687" spans="1:24" x14ac:dyDescent="0.3">
      <c r="A687" s="37">
        <f t="shared" si="26"/>
        <v>685</v>
      </c>
      <c r="B687" s="76" t="s">
        <v>1795</v>
      </c>
      <c r="C687" s="76" t="s">
        <v>1794</v>
      </c>
      <c r="D687" s="76" t="s">
        <v>5420</v>
      </c>
      <c r="E687" s="77">
        <v>444882817</v>
      </c>
      <c r="F687" s="77">
        <v>2000000</v>
      </c>
      <c r="G687" s="77" t="s">
        <v>2821</v>
      </c>
      <c r="H687" s="77" t="s">
        <v>2833</v>
      </c>
      <c r="I687" s="76" t="s">
        <v>2102</v>
      </c>
      <c r="J687" s="76" t="s">
        <v>36</v>
      </c>
      <c r="K687" s="76" t="e">
        <f>VLOOKUP($B687,'WILL TOKO SEP'!A688:AK1427,37,0)</f>
        <v>#N/A</v>
      </c>
      <c r="L687" s="76" t="s">
        <v>2104</v>
      </c>
      <c r="M687" s="37" t="s">
        <v>496</v>
      </c>
      <c r="N687" s="79">
        <v>46146</v>
      </c>
      <c r="O687" s="78">
        <v>0</v>
      </c>
      <c r="P687" s="78">
        <v>0</v>
      </c>
      <c r="Q687" s="79">
        <v>46238</v>
      </c>
      <c r="R687" s="79" t="e">
        <f>IF($B687&lt;&gt;"",VLOOKUP($B687,JADWAL!$G$6:$J$700,4,FALSE),"")</f>
        <v>#N/A</v>
      </c>
      <c r="S687" s="77">
        <f t="shared" si="27"/>
        <v>2</v>
      </c>
      <c r="T687" s="77"/>
      <c r="U687" s="37" t="s">
        <v>2242</v>
      </c>
      <c r="V687" s="37" t="s">
        <v>2250</v>
      </c>
      <c r="W687" s="37"/>
      <c r="X687" s="37"/>
    </row>
    <row r="688" spans="1:24" x14ac:dyDescent="0.3">
      <c r="A688" s="37">
        <f t="shared" si="26"/>
        <v>686</v>
      </c>
      <c r="B688" s="76" t="s">
        <v>1788</v>
      </c>
      <c r="C688" s="76" t="s">
        <v>1787</v>
      </c>
      <c r="D688" s="76" t="s">
        <v>5214</v>
      </c>
      <c r="E688" s="77">
        <v>530692157</v>
      </c>
      <c r="F688" s="77">
        <v>2500000</v>
      </c>
      <c r="G688" s="77" t="s">
        <v>2825</v>
      </c>
      <c r="H688" s="77" t="s">
        <v>2853</v>
      </c>
      <c r="I688" s="76" t="s">
        <v>2102</v>
      </c>
      <c r="J688" s="76" t="s">
        <v>9</v>
      </c>
      <c r="K688" s="76" t="e">
        <f>VLOOKUP($B688,'WILL TOKO SEP'!A689:AK1428,37,0)</f>
        <v>#N/A</v>
      </c>
      <c r="L688" s="76" t="s">
        <v>2104</v>
      </c>
      <c r="M688" s="37" t="s">
        <v>496</v>
      </c>
      <c r="N688" s="79">
        <v>46147</v>
      </c>
      <c r="O688" s="78">
        <v>0</v>
      </c>
      <c r="P688" s="78">
        <v>0</v>
      </c>
      <c r="Q688" s="79">
        <v>46238</v>
      </c>
      <c r="R688" s="79" t="e">
        <f>IF($B688&lt;&gt;"",VLOOKUP($B688,JADWAL!$G$6:$J$700,4,FALSE),"")</f>
        <v>#N/A</v>
      </c>
      <c r="S688" s="77">
        <f t="shared" si="27"/>
        <v>2</v>
      </c>
      <c r="T688" s="77"/>
      <c r="U688" s="37" t="s">
        <v>2242</v>
      </c>
      <c r="V688" s="37" t="s">
        <v>2250</v>
      </c>
      <c r="W688" s="37"/>
      <c r="X688" s="37"/>
    </row>
    <row r="689" spans="1:24" x14ac:dyDescent="0.3">
      <c r="A689" s="37">
        <f t="shared" si="26"/>
        <v>687</v>
      </c>
      <c r="B689" s="76" t="s">
        <v>1526</v>
      </c>
      <c r="C689" s="76" t="s">
        <v>1525</v>
      </c>
      <c r="D689" s="76" t="s">
        <v>5459</v>
      </c>
      <c r="E689" s="77">
        <v>166672436</v>
      </c>
      <c r="F689" s="77">
        <v>2000000</v>
      </c>
      <c r="G689" s="77" t="s">
        <v>2867</v>
      </c>
      <c r="H689" s="77" t="s">
        <v>2870</v>
      </c>
      <c r="I689" s="76" t="s">
        <v>2102</v>
      </c>
      <c r="J689" s="76" t="s">
        <v>9</v>
      </c>
      <c r="K689" s="76" t="e">
        <f>VLOOKUP($B689,'WILL TOKO SEP'!A690:AK1429,37,0)</f>
        <v>#N/A</v>
      </c>
      <c r="L689" s="76" t="s">
        <v>2104</v>
      </c>
      <c r="M689" s="37" t="s">
        <v>496</v>
      </c>
      <c r="N689" s="79">
        <v>46157</v>
      </c>
      <c r="O689" s="78">
        <v>0</v>
      </c>
      <c r="P689" s="78">
        <v>0</v>
      </c>
      <c r="Q689" s="79">
        <v>46246</v>
      </c>
      <c r="R689" s="79" t="e">
        <f>IF($B689&lt;&gt;"",VLOOKUP($B689,JADWAL!$G$6:$J$700,4,FALSE),"")</f>
        <v>#N/A</v>
      </c>
      <c r="S689" s="77">
        <f t="shared" si="27"/>
        <v>2</v>
      </c>
      <c r="T689" s="77"/>
      <c r="U689" s="37" t="s">
        <v>2242</v>
      </c>
      <c r="V689" s="37" t="s">
        <v>2250</v>
      </c>
      <c r="W689" s="37"/>
      <c r="X689" s="37"/>
    </row>
    <row r="690" spans="1:24" x14ac:dyDescent="0.3">
      <c r="A690" s="37">
        <f t="shared" si="26"/>
        <v>688</v>
      </c>
      <c r="B690" s="76" t="s">
        <v>1775</v>
      </c>
      <c r="C690" s="76" t="s">
        <v>1774</v>
      </c>
      <c r="D690" s="76" t="s">
        <v>2380</v>
      </c>
      <c r="E690" s="77">
        <v>465521770</v>
      </c>
      <c r="F690" s="77">
        <v>2500000</v>
      </c>
      <c r="G690" s="77" t="s">
        <v>2825</v>
      </c>
      <c r="H690" s="77" t="s">
        <v>2853</v>
      </c>
      <c r="I690" s="76" t="s">
        <v>2102</v>
      </c>
      <c r="J690" s="76" t="s">
        <v>9</v>
      </c>
      <c r="K690" s="76" t="e">
        <f>VLOOKUP($B690,'WILL TOKO SEP'!A691:AK1430,37,0)</f>
        <v>#N/A</v>
      </c>
      <c r="L690" s="76" t="s">
        <v>2104</v>
      </c>
      <c r="M690" s="37" t="s">
        <v>496</v>
      </c>
      <c r="N690" s="79">
        <v>46164</v>
      </c>
      <c r="O690" s="79">
        <v>46178</v>
      </c>
      <c r="P690" s="78">
        <v>0</v>
      </c>
      <c r="Q690" s="79">
        <v>46238</v>
      </c>
      <c r="R690" s="79" t="e">
        <f>IF($B690&lt;&gt;"",VLOOKUP($B690,JADWAL!$G$6:$J$700,4,FALSE),"")</f>
        <v>#N/A</v>
      </c>
      <c r="S690" s="77">
        <f t="shared" si="27"/>
        <v>1</v>
      </c>
      <c r="T690" s="77"/>
      <c r="U690" s="37" t="s">
        <v>2242</v>
      </c>
      <c r="V690" s="37" t="s">
        <v>2250</v>
      </c>
      <c r="W690" s="37"/>
      <c r="X690" s="37"/>
    </row>
    <row r="691" spans="1:24" x14ac:dyDescent="0.3">
      <c r="A691" s="37">
        <f t="shared" si="26"/>
        <v>689</v>
      </c>
      <c r="B691" s="76" t="s">
        <v>1651</v>
      </c>
      <c r="C691" s="76" t="s">
        <v>1650</v>
      </c>
      <c r="D691" s="76" t="s">
        <v>2387</v>
      </c>
      <c r="E691" s="77">
        <v>436766479</v>
      </c>
      <c r="F691" s="77">
        <v>2000000</v>
      </c>
      <c r="G691" s="77" t="s">
        <v>2821</v>
      </c>
      <c r="H691" s="77" t="s">
        <v>2822</v>
      </c>
      <c r="I691" s="76" t="s">
        <v>2102</v>
      </c>
      <c r="J691" s="76" t="s">
        <v>36</v>
      </c>
      <c r="K691" s="76" t="e">
        <f>VLOOKUP($B691,'WILL TOKO SEP'!A692:AK1431,37,0)</f>
        <v>#N/A</v>
      </c>
      <c r="L691" s="76" t="s">
        <v>2104</v>
      </c>
      <c r="M691" s="37" t="s">
        <v>496</v>
      </c>
      <c r="N691" s="79">
        <v>46148</v>
      </c>
      <c r="O691" s="78">
        <v>0</v>
      </c>
      <c r="P691" s="78">
        <v>0</v>
      </c>
      <c r="Q691" s="79">
        <v>46242</v>
      </c>
      <c r="R691" s="79" t="e">
        <f>IF($B691&lt;&gt;"",VLOOKUP($B691,JADWAL!$G$6:$J$700,4,FALSE),"")</f>
        <v>#N/A</v>
      </c>
      <c r="S691" s="77">
        <f t="shared" si="27"/>
        <v>2</v>
      </c>
      <c r="T691" s="77"/>
      <c r="U691" s="37" t="s">
        <v>2242</v>
      </c>
      <c r="V691" s="37" t="s">
        <v>2250</v>
      </c>
      <c r="W691" s="37"/>
      <c r="X691" s="37"/>
    </row>
    <row r="692" spans="1:24" x14ac:dyDescent="0.3">
      <c r="A692" s="37">
        <f t="shared" si="26"/>
        <v>690</v>
      </c>
      <c r="B692" s="76" t="s">
        <v>1863</v>
      </c>
      <c r="C692" s="76" t="s">
        <v>5764</v>
      </c>
      <c r="D692" s="76" t="s">
        <v>5650</v>
      </c>
      <c r="E692" s="77">
        <v>506612244</v>
      </c>
      <c r="F692" s="77">
        <v>3000000</v>
      </c>
      <c r="G692" s="77" t="s">
        <v>2825</v>
      </c>
      <c r="H692" s="77" t="s">
        <v>2853</v>
      </c>
      <c r="I692" s="76" t="s">
        <v>2102</v>
      </c>
      <c r="J692" s="76" t="s">
        <v>9</v>
      </c>
      <c r="K692" s="76" t="str">
        <f>VLOOKUP($B692,'WILL TOKO SEP'!A693:AK1432,37,0)</f>
        <v>Abiansemal</v>
      </c>
      <c r="L692" s="76" t="s">
        <v>2104</v>
      </c>
      <c r="M692" s="37" t="s">
        <v>496</v>
      </c>
      <c r="N692" s="79">
        <v>46147</v>
      </c>
      <c r="O692" s="78">
        <v>0</v>
      </c>
      <c r="P692" s="78">
        <v>0</v>
      </c>
      <c r="Q692" s="79">
        <v>46235</v>
      </c>
      <c r="R692" s="79" t="e">
        <f>IF($B692&lt;&gt;"",VLOOKUP($B692,JADWAL!$G$6:$J$700,4,FALSE),"")</f>
        <v>#N/A</v>
      </c>
      <c r="S692" s="77">
        <f t="shared" si="27"/>
        <v>2</v>
      </c>
      <c r="T692" s="77"/>
      <c r="U692" s="37" t="s">
        <v>2242</v>
      </c>
      <c r="V692" s="37" t="s">
        <v>2250</v>
      </c>
      <c r="W692" s="37"/>
      <c r="X692" s="37"/>
    </row>
    <row r="693" spans="1:24" x14ac:dyDescent="0.3">
      <c r="A693" s="37">
        <f t="shared" si="26"/>
        <v>691</v>
      </c>
      <c r="B693" s="76" t="s">
        <v>1648</v>
      </c>
      <c r="C693" s="76" t="s">
        <v>1647</v>
      </c>
      <c r="D693" s="76" t="s">
        <v>2392</v>
      </c>
      <c r="E693" s="77">
        <v>362713290</v>
      </c>
      <c r="F693" s="77">
        <v>2500000</v>
      </c>
      <c r="G693" s="77" t="s">
        <v>2817</v>
      </c>
      <c r="H693" s="77" t="s">
        <v>2851</v>
      </c>
      <c r="I693" s="76" t="s">
        <v>2102</v>
      </c>
      <c r="J693" s="76" t="s">
        <v>4</v>
      </c>
      <c r="K693" s="76" t="e">
        <f>VLOOKUP($B693,'WILL TOKO SEP'!A694:AK1433,37,0)</f>
        <v>#N/A</v>
      </c>
      <c r="L693" s="76" t="s">
        <v>2103</v>
      </c>
      <c r="M693" s="37" t="s">
        <v>496</v>
      </c>
      <c r="N693" s="79">
        <v>46149</v>
      </c>
      <c r="O693" s="78">
        <v>0</v>
      </c>
      <c r="P693" s="78">
        <v>0</v>
      </c>
      <c r="Q693" s="79">
        <v>46242</v>
      </c>
      <c r="R693" s="79" t="e">
        <f>IF($B693&lt;&gt;"",VLOOKUP($B693,JADWAL!$G$6:$J$700,4,FALSE),"")</f>
        <v>#N/A</v>
      </c>
      <c r="S693" s="77">
        <f t="shared" si="27"/>
        <v>2</v>
      </c>
      <c r="T693" s="77"/>
      <c r="U693" s="37" t="s">
        <v>2242</v>
      </c>
      <c r="V693" s="37" t="s">
        <v>2250</v>
      </c>
      <c r="W693" s="37"/>
      <c r="X693" s="37"/>
    </row>
    <row r="694" spans="1:24" x14ac:dyDescent="0.3">
      <c r="A694" s="37">
        <f t="shared" si="26"/>
        <v>692</v>
      </c>
      <c r="B694" s="76" t="s">
        <v>1800</v>
      </c>
      <c r="C694" s="76" t="s">
        <v>1799</v>
      </c>
      <c r="D694" s="76" t="s">
        <v>5349</v>
      </c>
      <c r="E694" s="77">
        <v>435127899</v>
      </c>
      <c r="F694" s="77">
        <v>2500000</v>
      </c>
      <c r="G694" s="77" t="s">
        <v>2834</v>
      </c>
      <c r="H694" s="77" t="s">
        <v>2844</v>
      </c>
      <c r="I694" s="76" t="s">
        <v>2102</v>
      </c>
      <c r="J694" s="76" t="s">
        <v>58</v>
      </c>
      <c r="K694" s="76" t="e">
        <f>VLOOKUP($B694,'WILL TOKO SEP'!A695:AK1434,37,0)</f>
        <v>#N/A</v>
      </c>
      <c r="L694" s="76" t="s">
        <v>2104</v>
      </c>
      <c r="M694" s="37" t="s">
        <v>496</v>
      </c>
      <c r="N694" s="79">
        <v>46146</v>
      </c>
      <c r="O694" s="78">
        <v>0</v>
      </c>
      <c r="P694" s="78">
        <v>0</v>
      </c>
      <c r="Q694" s="79">
        <v>46238</v>
      </c>
      <c r="R694" s="79" t="e">
        <f>IF($B694&lt;&gt;"",VLOOKUP($B694,JADWAL!$G$6:$J$700,4,FALSE),"")</f>
        <v>#N/A</v>
      </c>
      <c r="S694" s="77">
        <f t="shared" si="27"/>
        <v>2</v>
      </c>
      <c r="T694" s="77"/>
      <c r="U694" s="37" t="s">
        <v>2242</v>
      </c>
      <c r="V694" s="37" t="s">
        <v>2250</v>
      </c>
      <c r="W694" s="37"/>
      <c r="X694" s="37"/>
    </row>
    <row r="695" spans="1:24" x14ac:dyDescent="0.3">
      <c r="A695" s="37">
        <f t="shared" si="26"/>
        <v>693</v>
      </c>
      <c r="B695" s="76" t="s">
        <v>1435</v>
      </c>
      <c r="C695" s="76" t="s">
        <v>1434</v>
      </c>
      <c r="D695" s="76" t="s">
        <v>2404</v>
      </c>
      <c r="E695" s="77">
        <v>567724137</v>
      </c>
      <c r="F695" s="77">
        <v>4000000</v>
      </c>
      <c r="G695" s="77" t="s">
        <v>2821</v>
      </c>
      <c r="H695" s="77" t="s">
        <v>2846</v>
      </c>
      <c r="I695" s="76" t="s">
        <v>2102</v>
      </c>
      <c r="J695" s="76" t="s">
        <v>36</v>
      </c>
      <c r="K695" s="76" t="e">
        <f>VLOOKUP($B695,'WILL TOKO SEP'!A696:AK1435,37,0)</f>
        <v>#N/A</v>
      </c>
      <c r="L695" s="76" t="s">
        <v>2104</v>
      </c>
      <c r="M695" s="37" t="s">
        <v>496</v>
      </c>
      <c r="N695" s="78">
        <v>0</v>
      </c>
      <c r="O695" s="79">
        <v>46184</v>
      </c>
      <c r="P695" s="78">
        <v>0</v>
      </c>
      <c r="Q695" s="79">
        <v>46248</v>
      </c>
      <c r="R695" s="79" t="e">
        <f>IF($B695&lt;&gt;"",VLOOKUP($B695,JADWAL!$G$6:$J$700,4,FALSE),"")</f>
        <v>#N/A</v>
      </c>
      <c r="S695" s="77">
        <f t="shared" si="27"/>
        <v>2</v>
      </c>
      <c r="T695" s="77"/>
      <c r="U695" s="37" t="s">
        <v>2242</v>
      </c>
      <c r="V695" s="37" t="s">
        <v>2250</v>
      </c>
      <c r="W695" s="37"/>
      <c r="X695" s="37"/>
    </row>
    <row r="696" spans="1:24" x14ac:dyDescent="0.3">
      <c r="A696" s="37">
        <f t="shared" si="26"/>
        <v>694</v>
      </c>
      <c r="B696" s="76" t="s">
        <v>1676</v>
      </c>
      <c r="C696" s="76" t="s">
        <v>1675</v>
      </c>
      <c r="D696" s="76" t="s">
        <v>3747</v>
      </c>
      <c r="E696" s="77">
        <v>514473209</v>
      </c>
      <c r="F696" s="77">
        <v>3500000</v>
      </c>
      <c r="G696" s="77" t="s">
        <v>2815</v>
      </c>
      <c r="H696" s="77" t="s">
        <v>2859</v>
      </c>
      <c r="I696" s="76" t="s">
        <v>2102</v>
      </c>
      <c r="J696" s="76" t="s">
        <v>28</v>
      </c>
      <c r="K696" s="76" t="e">
        <f>VLOOKUP($B696,'WILL TOKO SEP'!A697:AK1436,37,0)</f>
        <v>#N/A</v>
      </c>
      <c r="L696" s="76" t="s">
        <v>2103</v>
      </c>
      <c r="M696" s="37" t="s">
        <v>496</v>
      </c>
      <c r="N696" s="79">
        <v>46147</v>
      </c>
      <c r="O696" s="78">
        <v>0</v>
      </c>
      <c r="P696" s="78">
        <v>0</v>
      </c>
      <c r="Q696" s="79">
        <v>46241</v>
      </c>
      <c r="R696" s="79" t="e">
        <f>IF($B696&lt;&gt;"",VLOOKUP($B696,JADWAL!$G$6:$J$700,4,FALSE),"")</f>
        <v>#N/A</v>
      </c>
      <c r="S696" s="77">
        <f t="shared" si="27"/>
        <v>2</v>
      </c>
      <c r="T696" s="77"/>
      <c r="U696" s="37" t="s">
        <v>2242</v>
      </c>
      <c r="V696" s="37" t="s">
        <v>2250</v>
      </c>
      <c r="W696" s="37"/>
      <c r="X696" s="37"/>
    </row>
    <row r="697" spans="1:24" x14ac:dyDescent="0.3">
      <c r="A697" s="37">
        <f t="shared" si="26"/>
        <v>695</v>
      </c>
      <c r="B697" s="76" t="s">
        <v>1805</v>
      </c>
      <c r="C697" s="76" t="s">
        <v>1804</v>
      </c>
      <c r="D697" s="76" t="s">
        <v>2409</v>
      </c>
      <c r="E697" s="77">
        <v>534979808</v>
      </c>
      <c r="F697" s="77">
        <v>4500000</v>
      </c>
      <c r="G697" s="77" t="s">
        <v>2821</v>
      </c>
      <c r="H697" s="77" t="s">
        <v>2833</v>
      </c>
      <c r="I697" s="76" t="s">
        <v>2102</v>
      </c>
      <c r="J697" s="76" t="s">
        <v>36</v>
      </c>
      <c r="K697" s="76" t="e">
        <f>VLOOKUP($B697,'WILL TOKO SEP'!A698:AK1437,37,0)</f>
        <v>#N/A</v>
      </c>
      <c r="L697" s="76" t="s">
        <v>2104</v>
      </c>
      <c r="M697" s="37" t="s">
        <v>496</v>
      </c>
      <c r="N697" s="79">
        <v>46146</v>
      </c>
      <c r="O697" s="78">
        <v>0</v>
      </c>
      <c r="P697" s="78">
        <v>0</v>
      </c>
      <c r="Q697" s="79">
        <v>46238</v>
      </c>
      <c r="R697" s="79" t="e">
        <f>IF($B697&lt;&gt;"",VLOOKUP($B697,JADWAL!$G$6:$J$700,4,FALSE),"")</f>
        <v>#N/A</v>
      </c>
      <c r="S697" s="77">
        <f t="shared" si="27"/>
        <v>2</v>
      </c>
      <c r="T697" s="77"/>
      <c r="U697" s="37" t="s">
        <v>2242</v>
      </c>
      <c r="V697" s="37" t="s">
        <v>2250</v>
      </c>
      <c r="W697" s="37"/>
      <c r="X697" s="37"/>
    </row>
    <row r="698" spans="1:24" x14ac:dyDescent="0.3">
      <c r="A698" s="37">
        <f t="shared" si="26"/>
        <v>696</v>
      </c>
      <c r="B698" s="76" t="s">
        <v>1786</v>
      </c>
      <c r="C698" s="76" t="s">
        <v>1785</v>
      </c>
      <c r="D698" s="76" t="s">
        <v>2419</v>
      </c>
      <c r="E698" s="77">
        <v>471349839</v>
      </c>
      <c r="F698" s="77">
        <v>3000000</v>
      </c>
      <c r="G698" s="77" t="s">
        <v>2819</v>
      </c>
      <c r="H698" s="77" t="s">
        <v>2820</v>
      </c>
      <c r="I698" s="76" t="s">
        <v>2102</v>
      </c>
      <c r="J698" s="76" t="s">
        <v>4</v>
      </c>
      <c r="K698" s="76" t="e">
        <f>VLOOKUP($B698,'WILL TOKO SEP'!A699:AK1438,37,0)</f>
        <v>#N/A</v>
      </c>
      <c r="L698" s="76" t="s">
        <v>2104</v>
      </c>
      <c r="M698" s="37" t="s">
        <v>496</v>
      </c>
      <c r="N698" s="79">
        <v>46148</v>
      </c>
      <c r="O698" s="78">
        <v>0</v>
      </c>
      <c r="P698" s="78">
        <v>0</v>
      </c>
      <c r="Q698" s="79">
        <v>46238</v>
      </c>
      <c r="R698" s="79" t="e">
        <f>IF($B698&lt;&gt;"",VLOOKUP($B698,JADWAL!$G$6:$J$700,4,FALSE),"")</f>
        <v>#N/A</v>
      </c>
      <c r="S698" s="77">
        <f t="shared" si="27"/>
        <v>2</v>
      </c>
      <c r="T698" s="77"/>
      <c r="U698" s="37" t="s">
        <v>2242</v>
      </c>
      <c r="V698" s="37" t="s">
        <v>2250</v>
      </c>
      <c r="W698" s="37"/>
      <c r="X698" s="37"/>
    </row>
    <row r="699" spans="1:24" x14ac:dyDescent="0.3">
      <c r="A699" s="37">
        <f t="shared" si="26"/>
        <v>697</v>
      </c>
      <c r="B699" s="76" t="s">
        <v>1797</v>
      </c>
      <c r="C699" s="76" t="s">
        <v>1796</v>
      </c>
      <c r="D699" s="76" t="s">
        <v>5352</v>
      </c>
      <c r="E699" s="77">
        <v>435756728</v>
      </c>
      <c r="F699" s="77">
        <v>2000000</v>
      </c>
      <c r="G699" s="77" t="s">
        <v>2830</v>
      </c>
      <c r="H699" s="77" t="s">
        <v>2849</v>
      </c>
      <c r="I699" s="76" t="s">
        <v>2102</v>
      </c>
      <c r="J699" s="76" t="s">
        <v>4</v>
      </c>
      <c r="K699" s="76" t="e">
        <f>VLOOKUP($B699,'WILL TOKO SEP'!A700:AK1439,37,0)</f>
        <v>#N/A</v>
      </c>
      <c r="L699" s="76" t="s">
        <v>2103</v>
      </c>
      <c r="M699" s="37" t="s">
        <v>496</v>
      </c>
      <c r="N699" s="79">
        <v>46146</v>
      </c>
      <c r="O699" s="78">
        <v>0</v>
      </c>
      <c r="P699" s="78">
        <v>0</v>
      </c>
      <c r="Q699" s="79">
        <v>46238</v>
      </c>
      <c r="R699" s="79" t="e">
        <f>IF($B699&lt;&gt;"",VLOOKUP($B699,JADWAL!$G$6:$J$700,4,FALSE),"")</f>
        <v>#N/A</v>
      </c>
      <c r="S699" s="77">
        <f t="shared" si="27"/>
        <v>2</v>
      </c>
      <c r="T699" s="77"/>
      <c r="U699" s="37" t="s">
        <v>2242</v>
      </c>
      <c r="V699" s="37" t="s">
        <v>2250</v>
      </c>
      <c r="W699" s="37"/>
      <c r="X699" s="37"/>
    </row>
    <row r="700" spans="1:24" x14ac:dyDescent="0.3">
      <c r="A700" s="37">
        <f t="shared" si="26"/>
        <v>698</v>
      </c>
      <c r="B700" s="76" t="s">
        <v>1533</v>
      </c>
      <c r="C700" s="76" t="s">
        <v>5737</v>
      </c>
      <c r="D700" s="76" t="s">
        <v>5508</v>
      </c>
      <c r="E700" s="77">
        <v>484480650</v>
      </c>
      <c r="F700" s="77">
        <v>2000000</v>
      </c>
      <c r="G700" s="77" t="s">
        <v>2819</v>
      </c>
      <c r="H700" s="77" t="s">
        <v>2856</v>
      </c>
      <c r="I700" s="76" t="s">
        <v>2102</v>
      </c>
      <c r="J700" s="76" t="s">
        <v>4</v>
      </c>
      <c r="K700" s="76" t="e">
        <f>VLOOKUP($B700,'WILL TOKO SEP'!A701:AK1440,37,0)</f>
        <v>#N/A</v>
      </c>
      <c r="L700" s="76" t="s">
        <v>2104</v>
      </c>
      <c r="M700" s="37" t="s">
        <v>496</v>
      </c>
      <c r="N700" s="79">
        <v>46147</v>
      </c>
      <c r="O700" s="78">
        <v>0</v>
      </c>
      <c r="P700" s="78">
        <v>0</v>
      </c>
      <c r="Q700" s="79">
        <v>46246</v>
      </c>
      <c r="R700" s="79" t="e">
        <f>IF($B700&lt;&gt;"",VLOOKUP($B700,JADWAL!$G$6:$J$700,4,FALSE),"")</f>
        <v>#N/A</v>
      </c>
      <c r="S700" s="77">
        <f t="shared" si="27"/>
        <v>2</v>
      </c>
      <c r="T700" s="77"/>
      <c r="U700" s="37" t="s">
        <v>2242</v>
      </c>
      <c r="V700" s="37" t="s">
        <v>2250</v>
      </c>
      <c r="W700" s="37"/>
      <c r="X700" s="37"/>
    </row>
    <row r="701" spans="1:24" x14ac:dyDescent="0.3">
      <c r="A701" s="37">
        <f t="shared" si="26"/>
        <v>699</v>
      </c>
      <c r="B701" s="76" t="s">
        <v>1868</v>
      </c>
      <c r="C701" s="76" t="s">
        <v>5702</v>
      </c>
      <c r="D701" s="76" t="s">
        <v>2435</v>
      </c>
      <c r="E701" s="77">
        <v>555723175</v>
      </c>
      <c r="F701" s="77">
        <v>4500000</v>
      </c>
      <c r="G701" s="77" t="s">
        <v>2815</v>
      </c>
      <c r="H701" s="77" t="s">
        <v>2859</v>
      </c>
      <c r="I701" s="76" t="s">
        <v>2102</v>
      </c>
      <c r="J701" s="76" t="s">
        <v>28</v>
      </c>
      <c r="K701" s="76" t="e">
        <f>VLOOKUP($B701,'WILL TOKO SEP'!A702:AK1441,37,0)</f>
        <v>#N/A</v>
      </c>
      <c r="L701" s="76" t="s">
        <v>2103</v>
      </c>
      <c r="M701" s="37" t="s">
        <v>496</v>
      </c>
      <c r="N701" s="79">
        <v>46147</v>
      </c>
      <c r="O701" s="78">
        <v>0</v>
      </c>
      <c r="P701" s="78">
        <v>0</v>
      </c>
      <c r="Q701" s="79">
        <v>46235</v>
      </c>
      <c r="R701" s="79" t="e">
        <f>IF($B701&lt;&gt;"",VLOOKUP($B701,JADWAL!$G$6:$J$700,4,FALSE),"")</f>
        <v>#N/A</v>
      </c>
      <c r="S701" s="77">
        <f t="shared" si="27"/>
        <v>2</v>
      </c>
      <c r="T701" s="77"/>
      <c r="U701" s="37" t="s">
        <v>2242</v>
      </c>
      <c r="V701" s="37" t="s">
        <v>2250</v>
      </c>
      <c r="W701" s="37"/>
      <c r="X701" s="37"/>
    </row>
    <row r="702" spans="1:24" x14ac:dyDescent="0.3">
      <c r="A702" s="37">
        <f t="shared" si="26"/>
        <v>700</v>
      </c>
      <c r="B702" s="76" t="s">
        <v>1445</v>
      </c>
      <c r="C702" s="76" t="s">
        <v>1444</v>
      </c>
      <c r="D702" s="76" t="s">
        <v>5581</v>
      </c>
      <c r="E702" s="77">
        <v>381893316</v>
      </c>
      <c r="F702" s="77">
        <v>2000000</v>
      </c>
      <c r="G702" s="77" t="s">
        <v>2834</v>
      </c>
      <c r="H702" s="77" t="s">
        <v>2835</v>
      </c>
      <c r="I702" s="76" t="s">
        <v>2102</v>
      </c>
      <c r="J702" s="76" t="s">
        <v>32</v>
      </c>
      <c r="K702" s="76" t="str">
        <f>VLOOKUP($B702,'WILL TOKO SEP'!A703:AK1442,37,0)</f>
        <v>Susut</v>
      </c>
      <c r="L702" s="76" t="s">
        <v>2104</v>
      </c>
      <c r="M702" s="37" t="s">
        <v>496</v>
      </c>
      <c r="N702" s="79">
        <v>46160</v>
      </c>
      <c r="O702" s="79">
        <v>46182</v>
      </c>
      <c r="P702" s="78">
        <v>0</v>
      </c>
      <c r="Q702" s="79">
        <v>46248</v>
      </c>
      <c r="R702" s="79" t="e">
        <f>IF($B702&lt;&gt;"",VLOOKUP($B702,JADWAL!$G$6:$J$700,4,FALSE),"")</f>
        <v>#N/A</v>
      </c>
      <c r="S702" s="77">
        <f t="shared" si="27"/>
        <v>1</v>
      </c>
      <c r="T702" s="77"/>
      <c r="U702" s="37" t="s">
        <v>2242</v>
      </c>
      <c r="V702" s="37" t="s">
        <v>2250</v>
      </c>
      <c r="W702" s="37"/>
      <c r="X702" s="37"/>
    </row>
    <row r="703" spans="1:24" x14ac:dyDescent="0.3">
      <c r="A703" s="37">
        <f t="shared" si="26"/>
        <v>701</v>
      </c>
      <c r="B703" s="76" t="s">
        <v>1639</v>
      </c>
      <c r="C703" s="76" t="s">
        <v>1638</v>
      </c>
      <c r="D703" s="76" t="s">
        <v>2449</v>
      </c>
      <c r="E703" s="77">
        <v>520697477</v>
      </c>
      <c r="F703" s="77">
        <v>2000000</v>
      </c>
      <c r="G703" s="77" t="s">
        <v>2827</v>
      </c>
      <c r="H703" s="77" t="s">
        <v>2848</v>
      </c>
      <c r="I703" s="76" t="s">
        <v>2102</v>
      </c>
      <c r="J703" s="76" t="s">
        <v>48</v>
      </c>
      <c r="K703" s="76" t="e">
        <f>VLOOKUP($B703,'WILL TOKO SEP'!A704:AK1443,37,0)</f>
        <v>#N/A</v>
      </c>
      <c r="L703" s="76" t="s">
        <v>2104</v>
      </c>
      <c r="M703" s="37" t="s">
        <v>496</v>
      </c>
      <c r="N703" s="79">
        <v>46154</v>
      </c>
      <c r="O703" s="79">
        <v>46183</v>
      </c>
      <c r="P703" s="78">
        <v>0</v>
      </c>
      <c r="Q703" s="79">
        <v>46242</v>
      </c>
      <c r="R703" s="79" t="e">
        <f>IF($B703&lt;&gt;"",VLOOKUP($B703,JADWAL!$G$6:$J$700,4,FALSE),"")</f>
        <v>#N/A</v>
      </c>
      <c r="S703" s="77">
        <f t="shared" si="27"/>
        <v>1</v>
      </c>
      <c r="T703" s="77"/>
      <c r="U703" s="37" t="s">
        <v>2242</v>
      </c>
      <c r="V703" s="37" t="s">
        <v>2250</v>
      </c>
      <c r="W703" s="37"/>
      <c r="X703" s="37"/>
    </row>
    <row r="704" spans="1:24" x14ac:dyDescent="0.3">
      <c r="A704" s="37">
        <f t="shared" si="26"/>
        <v>702</v>
      </c>
      <c r="B704" s="76" t="s">
        <v>1779</v>
      </c>
      <c r="C704" s="76" t="s">
        <v>1778</v>
      </c>
      <c r="D704" s="76" t="s">
        <v>2471</v>
      </c>
      <c r="E704" s="77">
        <v>421769019</v>
      </c>
      <c r="F704" s="77">
        <v>2000000</v>
      </c>
      <c r="G704" s="77" t="s">
        <v>2827</v>
      </c>
      <c r="H704" s="77" t="s">
        <v>2848</v>
      </c>
      <c r="I704" s="76" t="s">
        <v>2102</v>
      </c>
      <c r="J704" s="76" t="s">
        <v>48</v>
      </c>
      <c r="K704" s="76" t="e">
        <f>VLOOKUP($B704,'WILL TOKO SEP'!A705:AK1444,37,0)</f>
        <v>#N/A</v>
      </c>
      <c r="L704" s="76" t="s">
        <v>2104</v>
      </c>
      <c r="M704" s="37" t="s">
        <v>496</v>
      </c>
      <c r="N704" s="79">
        <v>46157</v>
      </c>
      <c r="O704" s="78">
        <v>0</v>
      </c>
      <c r="P704" s="78">
        <v>0</v>
      </c>
      <c r="Q704" s="79">
        <v>46238</v>
      </c>
      <c r="R704" s="79" t="e">
        <f>IF($B704&lt;&gt;"",VLOOKUP($B704,JADWAL!$G$6:$J$700,4,FALSE),"")</f>
        <v>#N/A</v>
      </c>
      <c r="S704" s="77">
        <f t="shared" si="27"/>
        <v>2</v>
      </c>
      <c r="T704" s="77"/>
      <c r="U704" s="37" t="s">
        <v>2242</v>
      </c>
      <c r="V704" s="37" t="s">
        <v>2250</v>
      </c>
      <c r="W704" s="37"/>
      <c r="X704" s="37"/>
    </row>
    <row r="705" spans="1:24" x14ac:dyDescent="0.3">
      <c r="A705" s="37">
        <f t="shared" si="26"/>
        <v>703</v>
      </c>
      <c r="B705" s="76" t="s">
        <v>1783</v>
      </c>
      <c r="C705" s="76" t="s">
        <v>1782</v>
      </c>
      <c r="D705" s="76" t="s">
        <v>2483</v>
      </c>
      <c r="E705" s="77">
        <v>514299397</v>
      </c>
      <c r="F705" s="77">
        <v>3000000</v>
      </c>
      <c r="G705" s="77" t="s">
        <v>2813</v>
      </c>
      <c r="H705" s="77" t="s">
        <v>2832</v>
      </c>
      <c r="I705" s="76" t="s">
        <v>2102</v>
      </c>
      <c r="J705" s="76" t="s">
        <v>9</v>
      </c>
      <c r="K705" s="76" t="e">
        <f>VLOOKUP($B705,'WILL TOKO SEP'!A706:AK1445,37,0)</f>
        <v>#N/A</v>
      </c>
      <c r="L705" s="76" t="s">
        <v>2103</v>
      </c>
      <c r="M705" s="37" t="s">
        <v>496</v>
      </c>
      <c r="N705" s="79">
        <v>46151</v>
      </c>
      <c r="O705" s="78">
        <v>0</v>
      </c>
      <c r="P705" s="78">
        <v>0</v>
      </c>
      <c r="Q705" s="79">
        <v>46238</v>
      </c>
      <c r="R705" s="79" t="e">
        <f>IF($B705&lt;&gt;"",VLOOKUP($B705,JADWAL!$G$6:$J$700,4,FALSE),"")</f>
        <v>#N/A</v>
      </c>
      <c r="S705" s="77">
        <f t="shared" si="27"/>
        <v>2</v>
      </c>
      <c r="T705" s="77"/>
      <c r="U705" s="37" t="s">
        <v>2242</v>
      </c>
      <c r="V705" s="37" t="s">
        <v>2250</v>
      </c>
      <c r="W705" s="37"/>
      <c r="X705" s="37"/>
    </row>
    <row r="706" spans="1:24" x14ac:dyDescent="0.3">
      <c r="A706" s="37">
        <f t="shared" si="26"/>
        <v>704</v>
      </c>
      <c r="B706" s="76" t="s">
        <v>1593</v>
      </c>
      <c r="C706" s="76" t="s">
        <v>1592</v>
      </c>
      <c r="D706" s="76" t="s">
        <v>2484</v>
      </c>
      <c r="E706" s="77">
        <v>384683605</v>
      </c>
      <c r="F706" s="77">
        <v>2000000</v>
      </c>
      <c r="G706" s="77" t="s">
        <v>2825</v>
      </c>
      <c r="H706" s="77" t="s">
        <v>2837</v>
      </c>
      <c r="I706" s="76" t="s">
        <v>2102</v>
      </c>
      <c r="J706" s="76" t="s">
        <v>9</v>
      </c>
      <c r="K706" s="76" t="e">
        <f>VLOOKUP($B706,'WILL TOKO SEP'!A707:AK1446,37,0)</f>
        <v>#N/A</v>
      </c>
      <c r="L706" s="76" t="s">
        <v>2104</v>
      </c>
      <c r="M706" s="37" t="s">
        <v>496</v>
      </c>
      <c r="N706" s="79">
        <v>46157</v>
      </c>
      <c r="O706" s="78">
        <v>0</v>
      </c>
      <c r="P706" s="78">
        <v>0</v>
      </c>
      <c r="Q706" s="79">
        <v>46244</v>
      </c>
      <c r="R706" s="79" t="e">
        <f>IF($B706&lt;&gt;"",VLOOKUP($B706,JADWAL!$G$6:$J$700,4,FALSE),"")</f>
        <v>#N/A</v>
      </c>
      <c r="S706" s="77">
        <f t="shared" si="27"/>
        <v>2</v>
      </c>
      <c r="T706" s="77"/>
      <c r="U706" s="37" t="s">
        <v>2242</v>
      </c>
      <c r="V706" s="37" t="s">
        <v>2250</v>
      </c>
      <c r="W706" s="37"/>
      <c r="X706" s="37"/>
    </row>
    <row r="707" spans="1:24" x14ac:dyDescent="0.3">
      <c r="A707" s="37">
        <f t="shared" si="26"/>
        <v>705</v>
      </c>
      <c r="B707" s="76" t="s">
        <v>1591</v>
      </c>
      <c r="C707" s="76" t="s">
        <v>5723</v>
      </c>
      <c r="D707" s="76" t="s">
        <v>2485</v>
      </c>
      <c r="E707" s="77">
        <v>515643275</v>
      </c>
      <c r="F707" s="77">
        <v>2500000</v>
      </c>
      <c r="G707" s="77" t="s">
        <v>2827</v>
      </c>
      <c r="H707" s="77" t="s">
        <v>2828</v>
      </c>
      <c r="I707" s="76" t="s">
        <v>2102</v>
      </c>
      <c r="J707" s="76" t="s">
        <v>48</v>
      </c>
      <c r="K707" s="76" t="e">
        <f>VLOOKUP($B707,'WILL TOKO SEP'!A708:AK1447,37,0)</f>
        <v>#N/A</v>
      </c>
      <c r="L707" s="76" t="s">
        <v>2104</v>
      </c>
      <c r="M707" s="37" t="s">
        <v>496</v>
      </c>
      <c r="N707" s="79">
        <v>46160</v>
      </c>
      <c r="O707" s="78">
        <v>0</v>
      </c>
      <c r="P707" s="78">
        <v>0</v>
      </c>
      <c r="Q707" s="79">
        <v>46244</v>
      </c>
      <c r="R707" s="79" t="e">
        <f>IF($B707&lt;&gt;"",VLOOKUP($B707,JADWAL!$G$6:$J$700,4,FALSE),"")</f>
        <v>#N/A</v>
      </c>
      <c r="S707" s="77">
        <f t="shared" si="27"/>
        <v>2</v>
      </c>
      <c r="T707" s="77"/>
      <c r="U707" s="37" t="s">
        <v>2242</v>
      </c>
      <c r="V707" s="37" t="s">
        <v>2250</v>
      </c>
      <c r="W707" s="37"/>
      <c r="X707" s="37"/>
    </row>
    <row r="708" spans="1:24" x14ac:dyDescent="0.3">
      <c r="A708" s="37">
        <f t="shared" si="26"/>
        <v>706</v>
      </c>
      <c r="B708" s="76" t="s">
        <v>1872</v>
      </c>
      <c r="C708" s="76" t="s">
        <v>1871</v>
      </c>
      <c r="D708" s="76" t="s">
        <v>2505</v>
      </c>
      <c r="E708" s="77">
        <v>558135442</v>
      </c>
      <c r="F708" s="77">
        <v>4000000</v>
      </c>
      <c r="G708" s="77" t="s">
        <v>2840</v>
      </c>
      <c r="H708" s="77" t="s">
        <v>2873</v>
      </c>
      <c r="I708" s="76" t="s">
        <v>2102</v>
      </c>
      <c r="J708" s="76" t="s">
        <v>36</v>
      </c>
      <c r="K708" s="76" t="e">
        <f>VLOOKUP($B708,'WILL TOKO SEP'!A709:AK1448,37,0)</f>
        <v>#N/A</v>
      </c>
      <c r="L708" s="76" t="s">
        <v>2104</v>
      </c>
      <c r="M708" s="37" t="s">
        <v>496</v>
      </c>
      <c r="N708" s="79">
        <v>46144</v>
      </c>
      <c r="O708" s="78">
        <v>0</v>
      </c>
      <c r="P708" s="78">
        <v>0</v>
      </c>
      <c r="Q708" s="79">
        <v>46235</v>
      </c>
      <c r="R708" s="79" t="e">
        <f>IF($B708&lt;&gt;"",VLOOKUP($B708,JADWAL!$G$6:$J$700,4,FALSE),"")</f>
        <v>#N/A</v>
      </c>
      <c r="S708" s="77">
        <f t="shared" si="27"/>
        <v>2</v>
      </c>
      <c r="T708" s="77"/>
      <c r="U708" s="37" t="s">
        <v>2242</v>
      </c>
      <c r="V708" s="37" t="s">
        <v>2250</v>
      </c>
      <c r="W708" s="37"/>
      <c r="X708" s="37"/>
    </row>
    <row r="709" spans="1:24" x14ac:dyDescent="0.3">
      <c r="A709" s="37">
        <f t="shared" si="26"/>
        <v>707</v>
      </c>
      <c r="B709" s="76" t="s">
        <v>1597</v>
      </c>
      <c r="C709" s="76" t="s">
        <v>1596</v>
      </c>
      <c r="D709" s="76" t="s">
        <v>2518</v>
      </c>
      <c r="E709" s="77">
        <v>429931570</v>
      </c>
      <c r="F709" s="77">
        <v>3000000</v>
      </c>
      <c r="G709" s="77" t="s">
        <v>2825</v>
      </c>
      <c r="H709" s="77" t="s">
        <v>2836</v>
      </c>
      <c r="I709" s="76" t="s">
        <v>2102</v>
      </c>
      <c r="J709" s="76" t="s">
        <v>36</v>
      </c>
      <c r="K709" s="76" t="e">
        <f>VLOOKUP($B709,'WILL TOKO SEP'!A710:AK1449,37,0)</f>
        <v>#N/A</v>
      </c>
      <c r="L709" s="76" t="s">
        <v>2104</v>
      </c>
      <c r="M709" s="37" t="s">
        <v>496</v>
      </c>
      <c r="N709" s="79">
        <v>46149</v>
      </c>
      <c r="O709" s="78">
        <v>0</v>
      </c>
      <c r="P709" s="78">
        <v>0</v>
      </c>
      <c r="Q709" s="79">
        <v>46244</v>
      </c>
      <c r="R709" s="79" t="e">
        <f>IF($B709&lt;&gt;"",VLOOKUP($B709,JADWAL!$G$6:$J$700,4,FALSE),"")</f>
        <v>#N/A</v>
      </c>
      <c r="S709" s="77">
        <f t="shared" si="27"/>
        <v>2</v>
      </c>
      <c r="T709" s="77"/>
      <c r="U709" s="37" t="s">
        <v>2242</v>
      </c>
      <c r="V709" s="37" t="s">
        <v>2250</v>
      </c>
      <c r="W709" s="37"/>
      <c r="X709" s="37"/>
    </row>
    <row r="710" spans="1:24" x14ac:dyDescent="0.3">
      <c r="A710" s="37">
        <f t="shared" si="26"/>
        <v>708</v>
      </c>
      <c r="B710" s="80" t="s">
        <v>510</v>
      </c>
      <c r="C710" s="76" t="s">
        <v>509</v>
      </c>
      <c r="D710" s="76" t="s">
        <v>2524</v>
      </c>
      <c r="E710" s="77">
        <v>425201922</v>
      </c>
      <c r="F710" s="77">
        <v>2500000</v>
      </c>
      <c r="G710" s="77" t="s">
        <v>2821</v>
      </c>
      <c r="H710" s="77" t="s">
        <v>2854</v>
      </c>
      <c r="I710" s="80" t="s">
        <v>2102</v>
      </c>
      <c r="J710" s="76" t="s">
        <v>4</v>
      </c>
      <c r="K710" s="76" t="e">
        <f>VLOOKUP($B710,'WILL TOKO SEP'!A711:AK1450,37,0)</f>
        <v>#N/A</v>
      </c>
      <c r="L710" s="80" t="s">
        <v>2104</v>
      </c>
      <c r="M710" s="37" t="s">
        <v>496</v>
      </c>
      <c r="N710" s="79">
        <v>46150</v>
      </c>
      <c r="O710" s="78">
        <v>0</v>
      </c>
      <c r="P710" s="78">
        <v>0</v>
      </c>
      <c r="Q710" s="78">
        <v>0</v>
      </c>
      <c r="R710" s="79" t="e">
        <f>IF($B710&lt;&gt;"",VLOOKUP($B710,JADWAL!$G$6:$J$700,4,FALSE),"")</f>
        <v>#N/A</v>
      </c>
      <c r="S710" s="77">
        <f t="shared" si="27"/>
        <v>2</v>
      </c>
      <c r="T710" s="77"/>
      <c r="U710" s="37" t="s">
        <v>2242</v>
      </c>
      <c r="V710" s="37" t="s">
        <v>2250</v>
      </c>
      <c r="W710" s="37"/>
      <c r="X710" s="37"/>
    </row>
    <row r="711" spans="1:24" x14ac:dyDescent="0.3">
      <c r="A711" s="37">
        <f t="shared" si="26"/>
        <v>709</v>
      </c>
      <c r="B711" s="76" t="s">
        <v>1595</v>
      </c>
      <c r="C711" s="76" t="s">
        <v>1594</v>
      </c>
      <c r="D711" s="76" t="s">
        <v>2550</v>
      </c>
      <c r="E711" s="77">
        <v>431370432</v>
      </c>
      <c r="F711" s="77">
        <v>2500000</v>
      </c>
      <c r="G711" s="77" t="s">
        <v>2815</v>
      </c>
      <c r="H711" s="77" t="s">
        <v>2829</v>
      </c>
      <c r="I711" s="76" t="s">
        <v>2102</v>
      </c>
      <c r="J711" s="76" t="s">
        <v>28</v>
      </c>
      <c r="K711" s="76" t="e">
        <f>VLOOKUP($B711,'WILL TOKO SEP'!A712:AK1451,37,0)</f>
        <v>#N/A</v>
      </c>
      <c r="L711" s="76" t="s">
        <v>2103</v>
      </c>
      <c r="M711" s="37" t="s">
        <v>496</v>
      </c>
      <c r="N711" s="79">
        <v>46154</v>
      </c>
      <c r="O711" s="78">
        <v>0</v>
      </c>
      <c r="P711" s="78">
        <v>0</v>
      </c>
      <c r="Q711" s="79">
        <v>46244</v>
      </c>
      <c r="R711" s="79" t="e">
        <f>IF($B711&lt;&gt;"",VLOOKUP($B711,JADWAL!$G$6:$J$700,4,FALSE),"")</f>
        <v>#N/A</v>
      </c>
      <c r="S711" s="77">
        <f t="shared" si="27"/>
        <v>2</v>
      </c>
      <c r="T711" s="77"/>
      <c r="U711" s="37" t="s">
        <v>2242</v>
      </c>
      <c r="V711" s="37" t="s">
        <v>2250</v>
      </c>
      <c r="W711" s="37"/>
      <c r="X711" s="37"/>
    </row>
    <row r="712" spans="1:24" x14ac:dyDescent="0.3">
      <c r="A712" s="37">
        <f t="shared" si="26"/>
        <v>710</v>
      </c>
      <c r="B712" s="76" t="s">
        <v>1865</v>
      </c>
      <c r="C712" s="76" t="s">
        <v>1864</v>
      </c>
      <c r="D712" s="76" t="s">
        <v>2551</v>
      </c>
      <c r="E712" s="77">
        <v>461480988</v>
      </c>
      <c r="F712" s="77">
        <v>2500000</v>
      </c>
      <c r="G712" s="77" t="s">
        <v>2825</v>
      </c>
      <c r="H712" s="77" t="s">
        <v>2837</v>
      </c>
      <c r="I712" s="76" t="s">
        <v>2102</v>
      </c>
      <c r="J712" s="76" t="s">
        <v>36</v>
      </c>
      <c r="K712" s="76" t="e">
        <f>VLOOKUP($B712,'WILL TOKO SEP'!A713:AK1452,37,0)</f>
        <v>#N/A</v>
      </c>
      <c r="L712" s="76" t="s">
        <v>2104</v>
      </c>
      <c r="M712" s="37" t="s">
        <v>496</v>
      </c>
      <c r="N712" s="79">
        <v>46147</v>
      </c>
      <c r="O712" s="78">
        <v>0</v>
      </c>
      <c r="P712" s="78">
        <v>0</v>
      </c>
      <c r="Q712" s="79">
        <v>46235</v>
      </c>
      <c r="R712" s="79" t="e">
        <f>IF($B712&lt;&gt;"",VLOOKUP($B712,JADWAL!$G$6:$J$700,4,FALSE),"")</f>
        <v>#N/A</v>
      </c>
      <c r="S712" s="77">
        <f t="shared" si="27"/>
        <v>2</v>
      </c>
      <c r="T712" s="77"/>
      <c r="U712" s="37" t="s">
        <v>2242</v>
      </c>
      <c r="V712" s="37" t="s">
        <v>2250</v>
      </c>
      <c r="W712" s="37"/>
      <c r="X712" s="37"/>
    </row>
    <row r="713" spans="1:24" x14ac:dyDescent="0.3">
      <c r="A713" s="37">
        <f t="shared" si="26"/>
        <v>711</v>
      </c>
      <c r="B713" s="76" t="s">
        <v>1528</v>
      </c>
      <c r="C713" s="76" t="s">
        <v>1527</v>
      </c>
      <c r="D713" s="76" t="s">
        <v>2554</v>
      </c>
      <c r="E713" s="77">
        <v>216991587</v>
      </c>
      <c r="F713" s="77">
        <v>2000000</v>
      </c>
      <c r="G713" s="77" t="s">
        <v>2867</v>
      </c>
      <c r="H713" s="77" t="s">
        <v>2876</v>
      </c>
      <c r="I713" s="76" t="s">
        <v>2102</v>
      </c>
      <c r="J713" s="76" t="s">
        <v>9</v>
      </c>
      <c r="K713" s="76" t="e">
        <f>VLOOKUP($B713,'WILL TOKO SEP'!A714:AK1453,37,0)</f>
        <v>#N/A</v>
      </c>
      <c r="L713" s="76" t="s">
        <v>2103</v>
      </c>
      <c r="M713" s="37" t="s">
        <v>496</v>
      </c>
      <c r="N713" s="79">
        <v>46154</v>
      </c>
      <c r="O713" s="78">
        <v>0</v>
      </c>
      <c r="P713" s="78">
        <v>0</v>
      </c>
      <c r="Q713" s="79">
        <v>46246</v>
      </c>
      <c r="R713" s="79" t="e">
        <f>IF($B713&lt;&gt;"",VLOOKUP($B713,JADWAL!$G$6:$J$700,4,FALSE),"")</f>
        <v>#N/A</v>
      </c>
      <c r="S713" s="77">
        <f t="shared" si="27"/>
        <v>2</v>
      </c>
      <c r="T713" s="77"/>
      <c r="U713" s="37" t="s">
        <v>2242</v>
      </c>
      <c r="V713" s="37" t="s">
        <v>2250</v>
      </c>
      <c r="W713" s="37"/>
      <c r="X713" s="37"/>
    </row>
    <row r="714" spans="1:24" x14ac:dyDescent="0.3">
      <c r="A714" s="37">
        <f t="shared" si="26"/>
        <v>712</v>
      </c>
      <c r="B714" s="76" t="s">
        <v>1746</v>
      </c>
      <c r="C714" s="76" t="s">
        <v>1745</v>
      </c>
      <c r="D714" s="76" t="s">
        <v>2559</v>
      </c>
      <c r="E714" s="77">
        <v>468407650</v>
      </c>
      <c r="F714" s="77">
        <v>2500000</v>
      </c>
      <c r="G714" s="77" t="s">
        <v>2827</v>
      </c>
      <c r="H714" s="77" t="s">
        <v>2828</v>
      </c>
      <c r="I714" s="76" t="s">
        <v>2102</v>
      </c>
      <c r="J714" s="76" t="s">
        <v>48</v>
      </c>
      <c r="K714" s="76" t="e">
        <f>VLOOKUP($B714,'WILL TOKO SEP'!A715:AK1454,37,0)</f>
        <v>#N/A</v>
      </c>
      <c r="L714" s="76" t="s">
        <v>2104</v>
      </c>
      <c r="M714" s="37" t="s">
        <v>496</v>
      </c>
      <c r="N714" s="79">
        <v>46164</v>
      </c>
      <c r="O714" s="79">
        <v>46182</v>
      </c>
      <c r="P714" s="78">
        <v>0</v>
      </c>
      <c r="Q714" s="79">
        <v>46239</v>
      </c>
      <c r="R714" s="79" t="e">
        <f>IF($B714&lt;&gt;"",VLOOKUP($B714,JADWAL!$G$6:$J$700,4,FALSE),"")</f>
        <v>#N/A</v>
      </c>
      <c r="S714" s="77">
        <f t="shared" si="27"/>
        <v>1</v>
      </c>
      <c r="T714" s="77"/>
      <c r="U714" s="37" t="s">
        <v>2242</v>
      </c>
      <c r="V714" s="37" t="s">
        <v>2250</v>
      </c>
      <c r="W714" s="37"/>
      <c r="X714" s="37"/>
    </row>
    <row r="715" spans="1:24" x14ac:dyDescent="0.3">
      <c r="A715" s="37">
        <f t="shared" si="26"/>
        <v>713</v>
      </c>
      <c r="B715" s="76" t="s">
        <v>1483</v>
      </c>
      <c r="C715" s="76" t="s">
        <v>1482</v>
      </c>
      <c r="D715" s="76" t="s">
        <v>2564</v>
      </c>
      <c r="E715" s="77">
        <v>401420077</v>
      </c>
      <c r="F715" s="77">
        <v>3000000</v>
      </c>
      <c r="G715" s="77" t="s">
        <v>2813</v>
      </c>
      <c r="H715" s="77" t="s">
        <v>2863</v>
      </c>
      <c r="I715" s="76" t="s">
        <v>2102</v>
      </c>
      <c r="J715" s="76" t="s">
        <v>9</v>
      </c>
      <c r="K715" s="76" t="e">
        <f>VLOOKUP($B715,'WILL TOKO SEP'!A716:AK1455,37,0)</f>
        <v>#N/A</v>
      </c>
      <c r="L715" s="76" t="s">
        <v>2104</v>
      </c>
      <c r="M715" s="37" t="s">
        <v>496</v>
      </c>
      <c r="N715" s="78">
        <v>0</v>
      </c>
      <c r="O715" s="79">
        <v>46182</v>
      </c>
      <c r="P715" s="78">
        <v>0</v>
      </c>
      <c r="Q715" s="79">
        <v>46247</v>
      </c>
      <c r="R715" s="79" t="e">
        <f>IF($B715&lt;&gt;"",VLOOKUP($B715,JADWAL!$G$6:$J$700,4,FALSE),"")</f>
        <v>#N/A</v>
      </c>
      <c r="S715" s="77">
        <f t="shared" ref="S715:S743" si="28">COUNTIF(N715:P715,"0")</f>
        <v>2</v>
      </c>
      <c r="T715" s="77"/>
      <c r="U715" s="37" t="s">
        <v>2242</v>
      </c>
      <c r="V715" s="37" t="s">
        <v>2250</v>
      </c>
      <c r="W715" s="37"/>
      <c r="X715" s="37"/>
    </row>
    <row r="716" spans="1:24" x14ac:dyDescent="0.3">
      <c r="A716" s="37">
        <f t="shared" si="26"/>
        <v>714</v>
      </c>
      <c r="B716" s="76" t="s">
        <v>1442</v>
      </c>
      <c r="C716" s="76" t="s">
        <v>5780</v>
      </c>
      <c r="D716" s="76" t="s">
        <v>2579</v>
      </c>
      <c r="E716" s="77">
        <v>409105592</v>
      </c>
      <c r="F716" s="77">
        <v>2500000</v>
      </c>
      <c r="G716" s="77" t="s">
        <v>2834</v>
      </c>
      <c r="H716" s="77" t="s">
        <v>2835</v>
      </c>
      <c r="I716" s="76" t="s">
        <v>2102</v>
      </c>
      <c r="J716" s="76" t="s">
        <v>32</v>
      </c>
      <c r="K716" s="76" t="e">
        <f>VLOOKUP($B716,'WILL TOKO SEP'!A717:AK1456,37,0)</f>
        <v>#N/A</v>
      </c>
      <c r="L716" s="76" t="s">
        <v>2104</v>
      </c>
      <c r="M716" s="37" t="s">
        <v>496</v>
      </c>
      <c r="N716" s="79">
        <v>46160</v>
      </c>
      <c r="O716" s="78">
        <v>0</v>
      </c>
      <c r="P716" s="78">
        <v>0</v>
      </c>
      <c r="Q716" s="79">
        <v>46248</v>
      </c>
      <c r="R716" s="79" t="e">
        <f>IF($B716&lt;&gt;"",VLOOKUP($B716,JADWAL!$G$6:$J$700,4,FALSE),"")</f>
        <v>#N/A</v>
      </c>
      <c r="S716" s="77">
        <f t="shared" si="28"/>
        <v>2</v>
      </c>
      <c r="T716" s="77"/>
      <c r="U716" s="37" t="s">
        <v>2242</v>
      </c>
      <c r="V716" s="37" t="s">
        <v>2250</v>
      </c>
      <c r="W716" s="37"/>
      <c r="X716" s="37"/>
    </row>
    <row r="717" spans="1:24" x14ac:dyDescent="0.3">
      <c r="A717" s="37">
        <f t="shared" ref="A717:A743" si="29">A716+1</f>
        <v>715</v>
      </c>
      <c r="B717" s="76" t="s">
        <v>1671</v>
      </c>
      <c r="C717" s="76" t="s">
        <v>1670</v>
      </c>
      <c r="D717" s="76" t="s">
        <v>2580</v>
      </c>
      <c r="E717" s="77">
        <v>393321877</v>
      </c>
      <c r="F717" s="77">
        <v>2500000</v>
      </c>
      <c r="G717" s="77" t="s">
        <v>2815</v>
      </c>
      <c r="H717" s="77" t="s">
        <v>2857</v>
      </c>
      <c r="I717" s="76" t="s">
        <v>2102</v>
      </c>
      <c r="J717" s="76" t="s">
        <v>28</v>
      </c>
      <c r="K717" s="76" t="e">
        <f>VLOOKUP($B717,'WILL TOKO SEP'!A718:AK1457,37,0)</f>
        <v>#N/A</v>
      </c>
      <c r="L717" s="76" t="s">
        <v>2103</v>
      </c>
      <c r="M717" s="37" t="s">
        <v>496</v>
      </c>
      <c r="N717" s="79">
        <v>46154</v>
      </c>
      <c r="O717" s="78">
        <v>0</v>
      </c>
      <c r="P717" s="78">
        <v>0</v>
      </c>
      <c r="Q717" s="79">
        <v>46241</v>
      </c>
      <c r="R717" s="79" t="e">
        <f>IF($B717&lt;&gt;"",VLOOKUP($B717,JADWAL!$G$6:$J$700,4,FALSE),"")</f>
        <v>#N/A</v>
      </c>
      <c r="S717" s="77">
        <f t="shared" si="28"/>
        <v>2</v>
      </c>
      <c r="T717" s="77"/>
      <c r="U717" s="37" t="s">
        <v>2242</v>
      </c>
      <c r="V717" s="37" t="s">
        <v>2250</v>
      </c>
      <c r="W717" s="37"/>
      <c r="X717" s="37"/>
    </row>
    <row r="718" spans="1:24" x14ac:dyDescent="0.3">
      <c r="A718" s="37">
        <f t="shared" si="29"/>
        <v>716</v>
      </c>
      <c r="B718" s="76" t="s">
        <v>1704</v>
      </c>
      <c r="C718" s="76" t="s">
        <v>5796</v>
      </c>
      <c r="D718" s="76" t="s">
        <v>2592</v>
      </c>
      <c r="E718" s="77">
        <v>231050149</v>
      </c>
      <c r="F718" s="77">
        <v>2000000</v>
      </c>
      <c r="G718" s="77" t="s">
        <v>2817</v>
      </c>
      <c r="H718" s="77" t="s">
        <v>2865</v>
      </c>
      <c r="I718" s="76" t="s">
        <v>2102</v>
      </c>
      <c r="J718" s="76" t="s">
        <v>9</v>
      </c>
      <c r="K718" s="76" t="e">
        <f>VLOOKUP($B718,'WILL TOKO SEP'!A719:AK1458,37,0)</f>
        <v>#N/A</v>
      </c>
      <c r="L718" s="76" t="s">
        <v>2104</v>
      </c>
      <c r="M718" s="37" t="s">
        <v>496</v>
      </c>
      <c r="N718" s="79">
        <v>46162</v>
      </c>
      <c r="O718" s="78">
        <v>0</v>
      </c>
      <c r="P718" s="78">
        <v>0</v>
      </c>
      <c r="Q718" s="79">
        <v>46240</v>
      </c>
      <c r="R718" s="79" t="e">
        <f>IF($B718&lt;&gt;"",VLOOKUP($B718,JADWAL!$G$6:$J$700,4,FALSE),"")</f>
        <v>#N/A</v>
      </c>
      <c r="S718" s="77">
        <f t="shared" si="28"/>
        <v>2</v>
      </c>
      <c r="T718" s="77"/>
      <c r="U718" s="37" t="s">
        <v>2242</v>
      </c>
      <c r="V718" s="37" t="s">
        <v>2250</v>
      </c>
      <c r="W718" s="37"/>
      <c r="X718" s="37"/>
    </row>
    <row r="719" spans="1:24" x14ac:dyDescent="0.3">
      <c r="A719" s="37">
        <f t="shared" si="29"/>
        <v>717</v>
      </c>
      <c r="B719" s="76" t="s">
        <v>1820</v>
      </c>
      <c r="C719" s="76" t="s">
        <v>1819</v>
      </c>
      <c r="D719" s="76" t="s">
        <v>2598</v>
      </c>
      <c r="E719" s="77">
        <v>419482350</v>
      </c>
      <c r="F719" s="77">
        <v>2000000</v>
      </c>
      <c r="G719" s="77" t="s">
        <v>2817</v>
      </c>
      <c r="H719" s="77" t="s">
        <v>2850</v>
      </c>
      <c r="I719" s="76" t="s">
        <v>2102</v>
      </c>
      <c r="J719" s="76" t="s">
        <v>4</v>
      </c>
      <c r="K719" s="76" t="e">
        <f>VLOOKUP($B719,'WILL TOKO SEP'!A720:AK1459,37,0)</f>
        <v>#N/A</v>
      </c>
      <c r="L719" s="76" t="s">
        <v>2103</v>
      </c>
      <c r="M719" s="37" t="s">
        <v>496</v>
      </c>
      <c r="N719" s="79">
        <v>46148</v>
      </c>
      <c r="O719" s="78">
        <v>0</v>
      </c>
      <c r="P719" s="78">
        <v>0</v>
      </c>
      <c r="Q719" s="79">
        <v>46237</v>
      </c>
      <c r="R719" s="79" t="e">
        <f>IF($B719&lt;&gt;"",VLOOKUP($B719,JADWAL!$G$6:$J$700,4,FALSE),"")</f>
        <v>#N/A</v>
      </c>
      <c r="S719" s="77">
        <f t="shared" si="28"/>
        <v>2</v>
      </c>
      <c r="T719" s="77"/>
      <c r="U719" s="37" t="s">
        <v>2242</v>
      </c>
      <c r="V719" s="37" t="s">
        <v>2250</v>
      </c>
      <c r="W719" s="37"/>
      <c r="X719" s="37"/>
    </row>
    <row r="720" spans="1:24" x14ac:dyDescent="0.3">
      <c r="A720" s="37">
        <f t="shared" si="29"/>
        <v>718</v>
      </c>
      <c r="B720" s="76" t="s">
        <v>1553</v>
      </c>
      <c r="C720" s="76" t="s">
        <v>5766</v>
      </c>
      <c r="D720" s="76" t="s">
        <v>2603</v>
      </c>
      <c r="E720" s="77">
        <v>467814358</v>
      </c>
      <c r="F720" s="77">
        <v>2000000</v>
      </c>
      <c r="G720" s="77" t="s">
        <v>2817</v>
      </c>
      <c r="H720" s="77" t="s">
        <v>2851</v>
      </c>
      <c r="I720" s="76" t="s">
        <v>2102</v>
      </c>
      <c r="J720" s="76" t="s">
        <v>9</v>
      </c>
      <c r="K720" s="76" t="e">
        <f>VLOOKUP($B720,'WILL TOKO SEP'!A721:AK1460,37,0)</f>
        <v>#N/A</v>
      </c>
      <c r="L720" s="76" t="s">
        <v>2104</v>
      </c>
      <c r="M720" s="37" t="s">
        <v>496</v>
      </c>
      <c r="N720" s="79">
        <v>46150</v>
      </c>
      <c r="O720" s="78">
        <v>0</v>
      </c>
      <c r="P720" s="78">
        <v>0</v>
      </c>
      <c r="Q720" s="79">
        <v>46245</v>
      </c>
      <c r="R720" s="79" t="e">
        <f>IF($B720&lt;&gt;"",VLOOKUP($B720,JADWAL!$G$6:$J$700,4,FALSE),"")</f>
        <v>#N/A</v>
      </c>
      <c r="S720" s="77">
        <f t="shared" si="28"/>
        <v>2</v>
      </c>
      <c r="T720" s="77"/>
      <c r="U720" s="37" t="s">
        <v>2242</v>
      </c>
      <c r="V720" s="37" t="s">
        <v>2250</v>
      </c>
      <c r="W720" s="37"/>
      <c r="X720" s="37"/>
    </row>
    <row r="721" spans="1:24" x14ac:dyDescent="0.3">
      <c r="A721" s="37">
        <f t="shared" si="29"/>
        <v>719</v>
      </c>
      <c r="B721" s="76" t="s">
        <v>1713</v>
      </c>
      <c r="C721" s="76" t="s">
        <v>1712</v>
      </c>
      <c r="D721" s="76" t="s">
        <v>2610</v>
      </c>
      <c r="E721" s="77">
        <v>371870543</v>
      </c>
      <c r="F721" s="77">
        <v>2000000</v>
      </c>
      <c r="G721" s="77" t="s">
        <v>2815</v>
      </c>
      <c r="H721" s="77" t="s">
        <v>2816</v>
      </c>
      <c r="I721" s="76" t="s">
        <v>2102</v>
      </c>
      <c r="J721" s="76" t="s">
        <v>28</v>
      </c>
      <c r="K721" s="76" t="e">
        <f>VLOOKUP($B721,'WILL TOKO SEP'!A722:AK1461,37,0)</f>
        <v>#N/A</v>
      </c>
      <c r="L721" s="76" t="s">
        <v>2103</v>
      </c>
      <c r="M721" s="37" t="s">
        <v>496</v>
      </c>
      <c r="N721" s="79">
        <v>46150</v>
      </c>
      <c r="O721" s="78">
        <v>0</v>
      </c>
      <c r="P721" s="78">
        <v>0</v>
      </c>
      <c r="Q721" s="79">
        <v>46240</v>
      </c>
      <c r="R721" s="79" t="e">
        <f>IF($B721&lt;&gt;"",VLOOKUP($B721,JADWAL!$G$6:$J$700,4,FALSE),"")</f>
        <v>#N/A</v>
      </c>
      <c r="S721" s="77">
        <f t="shared" si="28"/>
        <v>2</v>
      </c>
      <c r="T721" s="77"/>
      <c r="U721" s="37" t="s">
        <v>2242</v>
      </c>
      <c r="V721" s="37" t="s">
        <v>2250</v>
      </c>
      <c r="W721" s="37"/>
      <c r="X721" s="37"/>
    </row>
    <row r="722" spans="1:24" x14ac:dyDescent="0.3">
      <c r="A722" s="37">
        <f t="shared" si="29"/>
        <v>720</v>
      </c>
      <c r="B722" s="76" t="s">
        <v>1828</v>
      </c>
      <c r="C722" s="76" t="s">
        <v>1827</v>
      </c>
      <c r="D722" s="76" t="s">
        <v>2632</v>
      </c>
      <c r="E722" s="77">
        <v>388746120</v>
      </c>
      <c r="F722" s="77">
        <v>2000000</v>
      </c>
      <c r="G722" s="77" t="s">
        <v>2821</v>
      </c>
      <c r="H722" s="77" t="s">
        <v>2822</v>
      </c>
      <c r="I722" s="76" t="s">
        <v>2102</v>
      </c>
      <c r="J722" s="76" t="s">
        <v>36</v>
      </c>
      <c r="K722" s="76" t="e">
        <f>VLOOKUP($B722,'WILL TOKO SEP'!A723:AK1462,37,0)</f>
        <v>#N/A</v>
      </c>
      <c r="L722" s="76" t="s">
        <v>2104</v>
      </c>
      <c r="M722" s="37" t="s">
        <v>496</v>
      </c>
      <c r="N722" s="79">
        <v>46146</v>
      </c>
      <c r="O722" s="78">
        <v>0</v>
      </c>
      <c r="P722" s="78">
        <v>0</v>
      </c>
      <c r="Q722" s="79">
        <v>46237</v>
      </c>
      <c r="R722" s="79" t="e">
        <f>IF($B722&lt;&gt;"",VLOOKUP($B722,JADWAL!$G$6:$J$700,4,FALSE),"")</f>
        <v>#N/A</v>
      </c>
      <c r="S722" s="77">
        <f t="shared" si="28"/>
        <v>2</v>
      </c>
      <c r="T722" s="77"/>
      <c r="U722" s="37" t="s">
        <v>2242</v>
      </c>
      <c r="V722" s="37" t="s">
        <v>2250</v>
      </c>
      <c r="W722" s="37"/>
      <c r="X722" s="37"/>
    </row>
    <row r="723" spans="1:24" x14ac:dyDescent="0.3">
      <c r="A723" s="37">
        <f t="shared" si="29"/>
        <v>721</v>
      </c>
      <c r="B723" s="76" t="s">
        <v>1825</v>
      </c>
      <c r="C723" s="76" t="s">
        <v>5740</v>
      </c>
      <c r="D723" s="76" t="s">
        <v>2637</v>
      </c>
      <c r="E723" s="77">
        <v>487110970</v>
      </c>
      <c r="F723" s="77">
        <v>4000000</v>
      </c>
      <c r="G723" s="77" t="s">
        <v>2827</v>
      </c>
      <c r="H723" s="77" t="s">
        <v>2866</v>
      </c>
      <c r="I723" s="76" t="s">
        <v>2102</v>
      </c>
      <c r="J723" s="76" t="s">
        <v>48</v>
      </c>
      <c r="K723" s="76" t="e">
        <f>VLOOKUP($B723,'WILL TOKO SEP'!A724:AK1463,37,0)</f>
        <v>#N/A</v>
      </c>
      <c r="L723" s="76" t="s">
        <v>2104</v>
      </c>
      <c r="M723" s="37" t="s">
        <v>496</v>
      </c>
      <c r="N723" s="79">
        <v>46147</v>
      </c>
      <c r="O723" s="78">
        <v>0</v>
      </c>
      <c r="P723" s="78">
        <v>0</v>
      </c>
      <c r="Q723" s="79">
        <v>46237</v>
      </c>
      <c r="R723" s="79" t="e">
        <f>IF($B723&lt;&gt;"",VLOOKUP($B723,JADWAL!$G$6:$J$700,4,FALSE),"")</f>
        <v>#N/A</v>
      </c>
      <c r="S723" s="77">
        <f t="shared" si="28"/>
        <v>2</v>
      </c>
      <c r="T723" s="77"/>
      <c r="U723" s="37" t="s">
        <v>2242</v>
      </c>
      <c r="V723" s="37" t="s">
        <v>2250</v>
      </c>
      <c r="W723" s="37"/>
      <c r="X723" s="37"/>
    </row>
    <row r="724" spans="1:24" x14ac:dyDescent="0.3">
      <c r="A724" s="37">
        <f t="shared" si="29"/>
        <v>722</v>
      </c>
      <c r="B724" s="76" t="s">
        <v>1777</v>
      </c>
      <c r="C724" s="76" t="s">
        <v>1776</v>
      </c>
      <c r="D724" s="76" t="s">
        <v>2640</v>
      </c>
      <c r="E724" s="77">
        <v>374461297</v>
      </c>
      <c r="F724" s="77">
        <v>2000000</v>
      </c>
      <c r="G724" s="77" t="s">
        <v>2827</v>
      </c>
      <c r="H724" s="77" t="s">
        <v>2866</v>
      </c>
      <c r="I724" s="76" t="s">
        <v>2102</v>
      </c>
      <c r="J724" s="76" t="s">
        <v>48</v>
      </c>
      <c r="K724" s="76" t="e">
        <f>VLOOKUP($B724,'WILL TOKO SEP'!A725:AK1464,37,0)</f>
        <v>#N/A</v>
      </c>
      <c r="L724" s="76" t="s">
        <v>2104</v>
      </c>
      <c r="M724" s="37" t="s">
        <v>496</v>
      </c>
      <c r="N724" s="79">
        <v>46157</v>
      </c>
      <c r="O724" s="78">
        <v>0</v>
      </c>
      <c r="P724" s="78">
        <v>0</v>
      </c>
      <c r="Q724" s="79">
        <v>46238</v>
      </c>
      <c r="R724" s="79" t="e">
        <f>IF($B724&lt;&gt;"",VLOOKUP($B724,JADWAL!$G$6:$J$700,4,FALSE),"")</f>
        <v>#N/A</v>
      </c>
      <c r="S724" s="77">
        <f t="shared" si="28"/>
        <v>2</v>
      </c>
      <c r="T724" s="77"/>
      <c r="U724" s="37" t="s">
        <v>2242</v>
      </c>
      <c r="V724" s="37" t="s">
        <v>2250</v>
      </c>
      <c r="W724" s="37"/>
      <c r="X724" s="37"/>
    </row>
    <row r="725" spans="1:24" x14ac:dyDescent="0.3">
      <c r="A725" s="37">
        <f t="shared" si="29"/>
        <v>723</v>
      </c>
      <c r="B725" s="76" t="s">
        <v>1781</v>
      </c>
      <c r="C725" s="76" t="s">
        <v>1780</v>
      </c>
      <c r="D725" s="76" t="s">
        <v>2645</v>
      </c>
      <c r="E725" s="77">
        <v>388200637</v>
      </c>
      <c r="F725" s="77">
        <v>2000000</v>
      </c>
      <c r="G725" s="77" t="s">
        <v>2815</v>
      </c>
      <c r="H725" s="77" t="s">
        <v>2829</v>
      </c>
      <c r="I725" s="76" t="s">
        <v>2102</v>
      </c>
      <c r="J725" s="76" t="s">
        <v>28</v>
      </c>
      <c r="K725" s="76" t="e">
        <f>VLOOKUP($B725,'WILL TOKO SEP'!A726:AK1465,37,0)</f>
        <v>#N/A</v>
      </c>
      <c r="L725" s="76" t="s">
        <v>2103</v>
      </c>
      <c r="M725" s="37" t="s">
        <v>496</v>
      </c>
      <c r="N725" s="79">
        <v>46153</v>
      </c>
      <c r="O725" s="78">
        <v>0</v>
      </c>
      <c r="P725" s="78">
        <v>0</v>
      </c>
      <c r="Q725" s="79">
        <v>46238</v>
      </c>
      <c r="R725" s="79" t="e">
        <f>IF($B725&lt;&gt;"",VLOOKUP($B725,JADWAL!$G$6:$J$700,4,FALSE),"")</f>
        <v>#N/A</v>
      </c>
      <c r="S725" s="77">
        <f t="shared" si="28"/>
        <v>2</v>
      </c>
      <c r="T725" s="77"/>
      <c r="U725" s="37" t="s">
        <v>2242</v>
      </c>
      <c r="V725" s="37" t="s">
        <v>2250</v>
      </c>
      <c r="W725" s="37"/>
      <c r="X725" s="37"/>
    </row>
    <row r="726" spans="1:24" x14ac:dyDescent="0.3">
      <c r="A726" s="37">
        <f t="shared" si="29"/>
        <v>724</v>
      </c>
      <c r="B726" s="76" t="s">
        <v>1750</v>
      </c>
      <c r="C726" s="76" t="s">
        <v>1749</v>
      </c>
      <c r="D726" s="76" t="s">
        <v>2665</v>
      </c>
      <c r="E726" s="77">
        <v>411762805</v>
      </c>
      <c r="F726" s="77">
        <v>2000000</v>
      </c>
      <c r="G726" s="77" t="s">
        <v>2825</v>
      </c>
      <c r="H726" s="77" t="s">
        <v>2836</v>
      </c>
      <c r="I726" s="76" t="s">
        <v>2102</v>
      </c>
      <c r="J726" s="76" t="s">
        <v>9</v>
      </c>
      <c r="K726" s="76" t="e">
        <f>VLOOKUP($B726,'WILL TOKO SEP'!A727:AK1466,37,0)</f>
        <v>#N/A</v>
      </c>
      <c r="L726" s="76" t="s">
        <v>2104</v>
      </c>
      <c r="M726" s="37" t="s">
        <v>496</v>
      </c>
      <c r="N726" s="79">
        <v>46153</v>
      </c>
      <c r="O726" s="78">
        <v>0</v>
      </c>
      <c r="P726" s="78">
        <v>0</v>
      </c>
      <c r="Q726" s="79">
        <v>46239</v>
      </c>
      <c r="R726" s="79" t="e">
        <f>IF($B726&lt;&gt;"",VLOOKUP($B726,JADWAL!$G$6:$J$700,4,FALSE),"")</f>
        <v>#N/A</v>
      </c>
      <c r="S726" s="77">
        <f t="shared" si="28"/>
        <v>2</v>
      </c>
      <c r="T726" s="77"/>
      <c r="U726" s="37" t="s">
        <v>2242</v>
      </c>
      <c r="V726" s="37" t="s">
        <v>2250</v>
      </c>
      <c r="W726" s="37"/>
      <c r="X726" s="37"/>
    </row>
    <row r="727" spans="1:24" x14ac:dyDescent="0.3">
      <c r="A727" s="37">
        <f t="shared" si="29"/>
        <v>725</v>
      </c>
      <c r="B727" s="76" t="s">
        <v>1524</v>
      </c>
      <c r="C727" s="76" t="s">
        <v>1523</v>
      </c>
      <c r="D727" s="76" t="s">
        <v>2677</v>
      </c>
      <c r="E727" s="77">
        <v>482651976</v>
      </c>
      <c r="F727" s="77">
        <v>3000000</v>
      </c>
      <c r="G727" s="77" t="s">
        <v>2834</v>
      </c>
      <c r="H727" s="77" t="s">
        <v>2869</v>
      </c>
      <c r="I727" s="76" t="s">
        <v>2102</v>
      </c>
      <c r="J727" s="76" t="s">
        <v>40</v>
      </c>
      <c r="K727" s="76" t="e">
        <f>VLOOKUP($B727,'WILL TOKO SEP'!A728:AK1467,37,0)</f>
        <v>#N/A</v>
      </c>
      <c r="L727" s="76" t="s">
        <v>2104</v>
      </c>
      <c r="M727" s="37" t="s">
        <v>496</v>
      </c>
      <c r="N727" s="79">
        <v>46161</v>
      </c>
      <c r="O727" s="78">
        <v>0</v>
      </c>
      <c r="P727" s="78">
        <v>0</v>
      </c>
      <c r="Q727" s="79">
        <v>46246</v>
      </c>
      <c r="R727" s="79" t="e">
        <f>IF($B727&lt;&gt;"",VLOOKUP($B727,JADWAL!$G$6:$J$700,4,FALSE),"")</f>
        <v>#N/A</v>
      </c>
      <c r="S727" s="77">
        <f t="shared" si="28"/>
        <v>2</v>
      </c>
      <c r="T727" s="77"/>
      <c r="U727" s="37" t="s">
        <v>2242</v>
      </c>
      <c r="V727" s="37" t="s">
        <v>2250</v>
      </c>
      <c r="W727" s="37"/>
      <c r="X727" s="37"/>
    </row>
    <row r="728" spans="1:24" x14ac:dyDescent="0.3">
      <c r="A728" s="37">
        <f t="shared" si="29"/>
        <v>726</v>
      </c>
      <c r="B728" s="76" t="s">
        <v>1822</v>
      </c>
      <c r="C728" s="76" t="s">
        <v>5781</v>
      </c>
      <c r="D728" s="76" t="s">
        <v>2678</v>
      </c>
      <c r="E728" s="77">
        <v>421543325</v>
      </c>
      <c r="F728" s="77">
        <v>3000000</v>
      </c>
      <c r="G728" s="77" t="s">
        <v>2813</v>
      </c>
      <c r="H728" s="77" t="s">
        <v>2814</v>
      </c>
      <c r="I728" s="76" t="s">
        <v>2102</v>
      </c>
      <c r="J728" s="76" t="s">
        <v>9</v>
      </c>
      <c r="K728" s="76" t="e">
        <f>VLOOKUP($B728,'WILL TOKO SEP'!A729:AK1468,37,0)</f>
        <v>#N/A</v>
      </c>
      <c r="L728" s="76" t="s">
        <v>2103</v>
      </c>
      <c r="M728" s="37" t="s">
        <v>496</v>
      </c>
      <c r="N728" s="79">
        <v>46147</v>
      </c>
      <c r="O728" s="78">
        <v>0</v>
      </c>
      <c r="P728" s="78">
        <v>0</v>
      </c>
      <c r="Q728" s="79">
        <v>46237</v>
      </c>
      <c r="R728" s="79" t="e">
        <f>IF($B728&lt;&gt;"",VLOOKUP($B728,JADWAL!$G$6:$J$700,4,FALSE),"")</f>
        <v>#N/A</v>
      </c>
      <c r="S728" s="77">
        <f t="shared" si="28"/>
        <v>2</v>
      </c>
      <c r="T728" s="77"/>
      <c r="U728" s="37" t="s">
        <v>2242</v>
      </c>
      <c r="V728" s="37" t="s">
        <v>2250</v>
      </c>
      <c r="W728" s="37"/>
      <c r="X728" s="37"/>
    </row>
    <row r="729" spans="1:24" x14ac:dyDescent="0.3">
      <c r="A729" s="37">
        <f t="shared" si="29"/>
        <v>727</v>
      </c>
      <c r="B729" s="76" t="s">
        <v>1485</v>
      </c>
      <c r="C729" s="76" t="s">
        <v>1484</v>
      </c>
      <c r="D729" s="76" t="s">
        <v>2699</v>
      </c>
      <c r="E729" s="77">
        <v>367390082</v>
      </c>
      <c r="F729" s="77">
        <v>3000000</v>
      </c>
      <c r="G729" s="77" t="s">
        <v>2813</v>
      </c>
      <c r="H729" s="77" t="s">
        <v>2863</v>
      </c>
      <c r="I729" s="76" t="s">
        <v>2102</v>
      </c>
      <c r="J729" s="76" t="s">
        <v>9</v>
      </c>
      <c r="K729" s="76" t="e">
        <f>VLOOKUP($B729,'WILL TOKO SEP'!A730:AK1469,37,0)</f>
        <v>#N/A</v>
      </c>
      <c r="L729" s="76" t="s">
        <v>2104</v>
      </c>
      <c r="M729" s="37" t="s">
        <v>496</v>
      </c>
      <c r="N729" s="79">
        <v>46155</v>
      </c>
      <c r="O729" s="78">
        <v>0</v>
      </c>
      <c r="P729" s="78">
        <v>0</v>
      </c>
      <c r="Q729" s="79">
        <v>46247</v>
      </c>
      <c r="R729" s="79" t="e">
        <f>IF($B729&lt;&gt;"",VLOOKUP($B729,JADWAL!$G$6:$J$700,4,FALSE),"")</f>
        <v>#N/A</v>
      </c>
      <c r="S729" s="77">
        <f t="shared" si="28"/>
        <v>2</v>
      </c>
      <c r="T729" s="77"/>
      <c r="U729" s="37" t="s">
        <v>2242</v>
      </c>
      <c r="V729" s="37" t="s">
        <v>2250</v>
      </c>
      <c r="W729" s="37"/>
      <c r="X729" s="37"/>
    </row>
    <row r="730" spans="1:24" x14ac:dyDescent="0.3">
      <c r="A730" s="37">
        <f t="shared" si="29"/>
        <v>728</v>
      </c>
      <c r="B730" s="76" t="s">
        <v>1646</v>
      </c>
      <c r="C730" s="76" t="s">
        <v>1645</v>
      </c>
      <c r="D730" s="76" t="s">
        <v>2707</v>
      </c>
      <c r="E730" s="77">
        <v>386717276</v>
      </c>
      <c r="F730" s="77">
        <v>2000000</v>
      </c>
      <c r="G730" s="77" t="s">
        <v>2815</v>
      </c>
      <c r="H730" s="77" t="s">
        <v>2859</v>
      </c>
      <c r="I730" s="76" t="s">
        <v>2102</v>
      </c>
      <c r="J730" s="76" t="s">
        <v>28</v>
      </c>
      <c r="K730" s="76" t="e">
        <f>VLOOKUP($B730,'WILL TOKO SEP'!A731:AK1470,37,0)</f>
        <v>#N/A</v>
      </c>
      <c r="L730" s="76" t="s">
        <v>2103</v>
      </c>
      <c r="M730" s="37" t="s">
        <v>496</v>
      </c>
      <c r="N730" s="79">
        <v>46153</v>
      </c>
      <c r="O730" s="78">
        <v>0</v>
      </c>
      <c r="P730" s="78">
        <v>0</v>
      </c>
      <c r="Q730" s="79">
        <v>46242</v>
      </c>
      <c r="R730" s="79" t="e">
        <f>IF($B730&lt;&gt;"",VLOOKUP($B730,JADWAL!$G$6:$J$700,4,FALSE),"")</f>
        <v>#N/A</v>
      </c>
      <c r="S730" s="77">
        <f t="shared" si="28"/>
        <v>2</v>
      </c>
      <c r="T730" s="77"/>
      <c r="U730" s="37" t="s">
        <v>2242</v>
      </c>
      <c r="V730" s="37" t="s">
        <v>2250</v>
      </c>
      <c r="W730" s="37"/>
      <c r="X730" s="37"/>
    </row>
    <row r="731" spans="1:24" x14ac:dyDescent="0.3">
      <c r="A731" s="37">
        <f t="shared" si="29"/>
        <v>729</v>
      </c>
      <c r="B731" s="76" t="s">
        <v>1790</v>
      </c>
      <c r="C731" s="76" t="s">
        <v>1789</v>
      </c>
      <c r="D731" s="76" t="s">
        <v>2716</v>
      </c>
      <c r="E731" s="77">
        <v>388819015</v>
      </c>
      <c r="F731" s="77">
        <v>3000000</v>
      </c>
      <c r="G731" s="77" t="s">
        <v>2819</v>
      </c>
      <c r="H731" s="77" t="s">
        <v>2820</v>
      </c>
      <c r="I731" s="76" t="s">
        <v>2102</v>
      </c>
      <c r="J731" s="76" t="s">
        <v>4</v>
      </c>
      <c r="K731" s="76" t="e">
        <f>VLOOKUP($B731,'WILL TOKO SEP'!A732:AK1471,37,0)</f>
        <v>#N/A</v>
      </c>
      <c r="L731" s="76" t="s">
        <v>2104</v>
      </c>
      <c r="M731" s="37" t="s">
        <v>496</v>
      </c>
      <c r="N731" s="79">
        <v>46147</v>
      </c>
      <c r="O731" s="78">
        <v>0</v>
      </c>
      <c r="P731" s="78">
        <v>0</v>
      </c>
      <c r="Q731" s="79">
        <v>46238</v>
      </c>
      <c r="R731" s="79" t="e">
        <f>IF($B731&lt;&gt;"",VLOOKUP($B731,JADWAL!$G$6:$J$700,4,FALSE),"")</f>
        <v>#N/A</v>
      </c>
      <c r="S731" s="77">
        <f t="shared" si="28"/>
        <v>2</v>
      </c>
      <c r="T731" s="77"/>
      <c r="U731" s="37" t="s">
        <v>2242</v>
      </c>
      <c r="V731" s="37" t="s">
        <v>2250</v>
      </c>
      <c r="W731" s="37"/>
      <c r="X731" s="37"/>
    </row>
    <row r="732" spans="1:24" x14ac:dyDescent="0.3">
      <c r="A732" s="37">
        <f t="shared" si="29"/>
        <v>730</v>
      </c>
      <c r="B732" s="76" t="s">
        <v>681</v>
      </c>
      <c r="C732" s="76" t="s">
        <v>680</v>
      </c>
      <c r="D732" s="76" t="s">
        <v>5395</v>
      </c>
      <c r="E732" s="77">
        <v>593834565</v>
      </c>
      <c r="F732" s="77">
        <v>2000000</v>
      </c>
      <c r="G732" s="77" t="s">
        <v>2834</v>
      </c>
      <c r="H732" s="77" t="s">
        <v>2842</v>
      </c>
      <c r="I732" s="76" t="s">
        <v>2102</v>
      </c>
      <c r="J732" s="76" t="s">
        <v>58</v>
      </c>
      <c r="K732" s="76" t="e">
        <f>VLOOKUP($B732,'WILL TOKO SEP'!A733:AK1472,37,0)</f>
        <v>#N/A</v>
      </c>
      <c r="L732" s="76" t="s">
        <v>2104</v>
      </c>
      <c r="M732" s="37" t="s">
        <v>496</v>
      </c>
      <c r="N732" s="79">
        <v>46148</v>
      </c>
      <c r="O732" s="78">
        <v>0</v>
      </c>
      <c r="P732" s="78">
        <v>0</v>
      </c>
      <c r="Q732" s="79">
        <v>46252</v>
      </c>
      <c r="R732" s="79" t="e">
        <f>IF($B732&lt;&gt;"",VLOOKUP($B732,JADWAL!$G$6:$J$700,4,FALSE),"")</f>
        <v>#N/A</v>
      </c>
      <c r="S732" s="77">
        <f t="shared" si="28"/>
        <v>2</v>
      </c>
      <c r="T732" s="77"/>
      <c r="U732" s="37" t="s">
        <v>2242</v>
      </c>
      <c r="V732" s="37" t="s">
        <v>2250</v>
      </c>
      <c r="W732" s="37"/>
      <c r="X732" s="37"/>
    </row>
    <row r="733" spans="1:24" x14ac:dyDescent="0.3">
      <c r="A733" s="37">
        <f t="shared" si="29"/>
        <v>731</v>
      </c>
      <c r="B733" s="76" t="s">
        <v>678</v>
      </c>
      <c r="C733" s="76" t="s">
        <v>677</v>
      </c>
      <c r="D733" s="76" t="s">
        <v>2723</v>
      </c>
      <c r="E733" s="77">
        <v>424703724</v>
      </c>
      <c r="F733" s="77">
        <v>2500000</v>
      </c>
      <c r="G733" s="77" t="s">
        <v>2815</v>
      </c>
      <c r="H733" s="77" t="s">
        <v>2829</v>
      </c>
      <c r="I733" s="76" t="s">
        <v>2102</v>
      </c>
      <c r="J733" s="76" t="s">
        <v>28</v>
      </c>
      <c r="K733" s="76" t="e">
        <f>VLOOKUP($B733,'WILL TOKO SEP'!A734:AK1473,37,0)</f>
        <v>#N/A</v>
      </c>
      <c r="L733" s="76" t="s">
        <v>2103</v>
      </c>
      <c r="M733" s="37" t="s">
        <v>496</v>
      </c>
      <c r="N733" s="79">
        <v>46154</v>
      </c>
      <c r="O733" s="78">
        <v>0</v>
      </c>
      <c r="P733" s="78">
        <v>0</v>
      </c>
      <c r="Q733" s="79">
        <v>46252</v>
      </c>
      <c r="R733" s="79" t="e">
        <f>IF($B733&lt;&gt;"",VLOOKUP($B733,JADWAL!$G$6:$J$700,4,FALSE),"")</f>
        <v>#N/A</v>
      </c>
      <c r="S733" s="77">
        <f t="shared" si="28"/>
        <v>2</v>
      </c>
      <c r="T733" s="77"/>
      <c r="U733" s="37" t="s">
        <v>2242</v>
      </c>
      <c r="V733" s="37" t="s">
        <v>2250</v>
      </c>
      <c r="W733" s="37"/>
      <c r="X733" s="37"/>
    </row>
    <row r="734" spans="1:24" x14ac:dyDescent="0.3">
      <c r="A734" s="37">
        <f t="shared" si="29"/>
        <v>732</v>
      </c>
      <c r="B734" s="76" t="s">
        <v>685</v>
      </c>
      <c r="C734" s="76" t="s">
        <v>684</v>
      </c>
      <c r="D734" s="76" t="s">
        <v>2725</v>
      </c>
      <c r="E734" s="77">
        <v>496028397</v>
      </c>
      <c r="F734" s="77">
        <v>3500000</v>
      </c>
      <c r="G734" s="77" t="s">
        <v>2813</v>
      </c>
      <c r="H734" s="77" t="s">
        <v>2871</v>
      </c>
      <c r="I734" s="76" t="s">
        <v>2102</v>
      </c>
      <c r="J734" s="76" t="s">
        <v>9</v>
      </c>
      <c r="K734" s="76" t="e">
        <f>VLOOKUP($B734,'WILL TOKO SEP'!A735:AK1474,37,0)</f>
        <v>#N/A</v>
      </c>
      <c r="L734" s="76" t="s">
        <v>2104</v>
      </c>
      <c r="M734" s="37" t="s">
        <v>496</v>
      </c>
      <c r="N734" s="79">
        <v>46153</v>
      </c>
      <c r="O734" s="78">
        <v>0</v>
      </c>
      <c r="P734" s="78">
        <v>0</v>
      </c>
      <c r="Q734" s="79">
        <v>46252</v>
      </c>
      <c r="R734" s="79" t="e">
        <f>IF($B734&lt;&gt;"",VLOOKUP($B734,JADWAL!$G$6:$J$700,4,FALSE),"")</f>
        <v>#N/A</v>
      </c>
      <c r="S734" s="77">
        <f t="shared" si="28"/>
        <v>2</v>
      </c>
      <c r="T734" s="77"/>
      <c r="U734" s="37" t="s">
        <v>2242</v>
      </c>
      <c r="V734" s="37" t="s">
        <v>2250</v>
      </c>
      <c r="W734" s="37"/>
      <c r="X734" s="37"/>
    </row>
    <row r="735" spans="1:24" x14ac:dyDescent="0.3">
      <c r="A735" s="37">
        <f t="shared" si="29"/>
        <v>733</v>
      </c>
      <c r="B735" s="76" t="s">
        <v>683</v>
      </c>
      <c r="C735" s="76" t="s">
        <v>5742</v>
      </c>
      <c r="D735" s="76" t="s">
        <v>2730</v>
      </c>
      <c r="E735" s="77">
        <v>478611779</v>
      </c>
      <c r="F735" s="77">
        <v>3000000</v>
      </c>
      <c r="G735" s="77" t="s">
        <v>2830</v>
      </c>
      <c r="H735" s="77" t="s">
        <v>2831</v>
      </c>
      <c r="I735" s="76" t="s">
        <v>2102</v>
      </c>
      <c r="J735" s="76" t="s">
        <v>4</v>
      </c>
      <c r="K735" s="76" t="e">
        <f>VLOOKUP($B735,'WILL TOKO SEP'!A736:AK1475,37,0)</f>
        <v>#N/A</v>
      </c>
      <c r="L735" s="76" t="s">
        <v>2103</v>
      </c>
      <c r="M735" s="37" t="s">
        <v>496</v>
      </c>
      <c r="N735" s="79">
        <v>46151</v>
      </c>
      <c r="O735" s="78">
        <v>0</v>
      </c>
      <c r="P735" s="78">
        <v>0</v>
      </c>
      <c r="Q735" s="79">
        <v>46252</v>
      </c>
      <c r="R735" s="79" t="e">
        <f>IF($B735&lt;&gt;"",VLOOKUP($B735,JADWAL!$G$6:$J$700,4,FALSE),"")</f>
        <v>#N/A</v>
      </c>
      <c r="S735" s="77">
        <f t="shared" si="28"/>
        <v>2</v>
      </c>
      <c r="T735" s="77"/>
      <c r="U735" s="37" t="s">
        <v>2242</v>
      </c>
      <c r="V735" s="37" t="s">
        <v>2250</v>
      </c>
      <c r="W735" s="37"/>
      <c r="X735" s="37"/>
    </row>
    <row r="736" spans="1:24" x14ac:dyDescent="0.3">
      <c r="A736" s="37">
        <f t="shared" si="29"/>
        <v>734</v>
      </c>
      <c r="B736" s="76" t="s">
        <v>675</v>
      </c>
      <c r="C736" s="76" t="s">
        <v>674</v>
      </c>
      <c r="D736" s="76" t="s">
        <v>5437</v>
      </c>
      <c r="E736" s="77">
        <v>484490215</v>
      </c>
      <c r="F736" s="77">
        <v>2000000</v>
      </c>
      <c r="G736" s="77" t="s">
        <v>2813</v>
      </c>
      <c r="H736" s="77" t="s">
        <v>2858</v>
      </c>
      <c r="I736" s="76" t="s">
        <v>2102</v>
      </c>
      <c r="J736" s="76" t="s">
        <v>9</v>
      </c>
      <c r="K736" s="76" t="e">
        <f>VLOOKUP($B736,'WILL TOKO SEP'!A737:AK1476,37,0)</f>
        <v>#N/A</v>
      </c>
      <c r="L736" s="76" t="s">
        <v>2104</v>
      </c>
      <c r="M736" s="37" t="s">
        <v>496</v>
      </c>
      <c r="N736" s="79">
        <v>46151</v>
      </c>
      <c r="O736" s="78">
        <v>0</v>
      </c>
      <c r="P736" s="78">
        <v>0</v>
      </c>
      <c r="Q736" s="79">
        <v>46253</v>
      </c>
      <c r="R736" s="79" t="e">
        <f>IF($B736&lt;&gt;"",VLOOKUP($B736,JADWAL!$G$6:$J$700,4,FALSE),"")</f>
        <v>#N/A</v>
      </c>
      <c r="S736" s="77">
        <f t="shared" si="28"/>
        <v>2</v>
      </c>
      <c r="T736" s="77"/>
      <c r="U736" s="37" t="s">
        <v>2242</v>
      </c>
      <c r="V736" s="37" t="s">
        <v>2250</v>
      </c>
      <c r="W736" s="37"/>
      <c r="X736" s="37"/>
    </row>
    <row r="737" spans="1:24" x14ac:dyDescent="0.3">
      <c r="A737" s="37">
        <f t="shared" si="29"/>
        <v>735</v>
      </c>
      <c r="B737" s="76" t="s">
        <v>667</v>
      </c>
      <c r="C737" s="76" t="s">
        <v>666</v>
      </c>
      <c r="D737" s="76" t="s">
        <v>5416</v>
      </c>
      <c r="E737" s="77">
        <v>548765280</v>
      </c>
      <c r="F737" s="77">
        <v>2000000</v>
      </c>
      <c r="G737" s="77" t="s">
        <v>2834</v>
      </c>
      <c r="H737" s="77" t="s">
        <v>2842</v>
      </c>
      <c r="I737" s="76" t="s">
        <v>2102</v>
      </c>
      <c r="J737" s="76" t="s">
        <v>32</v>
      </c>
      <c r="K737" s="76" t="e">
        <f>VLOOKUP($B737,'WILL TOKO SEP'!A738:AK1477,37,0)</f>
        <v>#N/A</v>
      </c>
      <c r="L737" s="76" t="s">
        <v>2104</v>
      </c>
      <c r="M737" s="37" t="s">
        <v>496</v>
      </c>
      <c r="N737" s="79">
        <v>46151</v>
      </c>
      <c r="O737" s="79">
        <v>46179</v>
      </c>
      <c r="P737" s="78">
        <v>0</v>
      </c>
      <c r="Q737" s="79">
        <v>46254</v>
      </c>
      <c r="R737" s="79" t="e">
        <f>IF($B737&lt;&gt;"",VLOOKUP($B737,JADWAL!$G$6:$J$700,4,FALSE),"")</f>
        <v>#N/A</v>
      </c>
      <c r="S737" s="77">
        <f t="shared" si="28"/>
        <v>1</v>
      </c>
      <c r="T737" s="77"/>
      <c r="U737" s="37" t="s">
        <v>2242</v>
      </c>
      <c r="V737" s="37" t="s">
        <v>2250</v>
      </c>
      <c r="W737" s="37"/>
      <c r="X737" s="37"/>
    </row>
    <row r="738" spans="1:24" x14ac:dyDescent="0.3">
      <c r="A738" s="37">
        <f t="shared" si="29"/>
        <v>736</v>
      </c>
      <c r="B738" s="76" t="s">
        <v>652</v>
      </c>
      <c r="C738" s="76" t="s">
        <v>651</v>
      </c>
      <c r="D738" s="76" t="s">
        <v>2757</v>
      </c>
      <c r="E738" s="77">
        <v>433499177</v>
      </c>
      <c r="F738" s="77">
        <v>3000000</v>
      </c>
      <c r="G738" s="77" t="s">
        <v>2834</v>
      </c>
      <c r="H738" s="77" t="s">
        <v>2839</v>
      </c>
      <c r="I738" s="76" t="s">
        <v>2102</v>
      </c>
      <c r="J738" s="76" t="s">
        <v>40</v>
      </c>
      <c r="K738" s="76" t="e">
        <f>VLOOKUP($B738,'WILL TOKO SEP'!A739:AK1478,37,0)</f>
        <v>#N/A</v>
      </c>
      <c r="L738" s="76" t="s">
        <v>2104</v>
      </c>
      <c r="M738" s="37" t="s">
        <v>496</v>
      </c>
      <c r="N738" s="79">
        <v>46155</v>
      </c>
      <c r="O738" s="78">
        <v>0</v>
      </c>
      <c r="P738" s="78">
        <v>0</v>
      </c>
      <c r="Q738" s="79">
        <v>46255</v>
      </c>
      <c r="R738" s="79" t="e">
        <f>IF($B738&lt;&gt;"",VLOOKUP($B738,JADWAL!$G$6:$J$700,4,FALSE),"")</f>
        <v>#N/A</v>
      </c>
      <c r="S738" s="77">
        <f t="shared" si="28"/>
        <v>2</v>
      </c>
      <c r="T738" s="77"/>
      <c r="U738" s="37" t="s">
        <v>2242</v>
      </c>
      <c r="V738" s="37" t="s">
        <v>2250</v>
      </c>
      <c r="W738" s="37"/>
      <c r="X738" s="37"/>
    </row>
    <row r="739" spans="1:24" x14ac:dyDescent="0.3">
      <c r="A739" s="37">
        <f t="shared" si="29"/>
        <v>737</v>
      </c>
      <c r="B739" s="76" t="s">
        <v>655</v>
      </c>
      <c r="C739" s="76" t="s">
        <v>654</v>
      </c>
      <c r="D739" s="76" t="s">
        <v>5163</v>
      </c>
      <c r="E739" s="77">
        <v>423398840</v>
      </c>
      <c r="F739" s="77">
        <v>2000000</v>
      </c>
      <c r="G739" s="77" t="s">
        <v>2834</v>
      </c>
      <c r="H739" s="77" t="s">
        <v>2839</v>
      </c>
      <c r="I739" s="76" t="s">
        <v>2102</v>
      </c>
      <c r="J739" s="76" t="s">
        <v>40</v>
      </c>
      <c r="K739" s="76" t="e">
        <f>VLOOKUP($B739,'WILL TOKO SEP'!A740:AK1479,37,0)</f>
        <v>#N/A</v>
      </c>
      <c r="L739" s="76" t="s">
        <v>2104</v>
      </c>
      <c r="M739" s="37" t="s">
        <v>496</v>
      </c>
      <c r="N739" s="79">
        <v>46149</v>
      </c>
      <c r="O739" s="78">
        <v>0</v>
      </c>
      <c r="P739" s="78">
        <v>0</v>
      </c>
      <c r="Q739" s="79">
        <v>46255</v>
      </c>
      <c r="R739" s="79" t="e">
        <f>IF($B739&lt;&gt;"",VLOOKUP($B739,JADWAL!$G$6:$J$700,4,FALSE),"")</f>
        <v>#N/A</v>
      </c>
      <c r="S739" s="77">
        <f t="shared" si="28"/>
        <v>2</v>
      </c>
      <c r="T739" s="77"/>
      <c r="U739" s="37" t="s">
        <v>2242</v>
      </c>
      <c r="V739" s="37" t="s">
        <v>2250</v>
      </c>
      <c r="W739" s="37"/>
      <c r="X739" s="37"/>
    </row>
    <row r="740" spans="1:24" x14ac:dyDescent="0.3">
      <c r="A740" s="37">
        <f t="shared" si="29"/>
        <v>738</v>
      </c>
      <c r="B740" s="76" t="s">
        <v>643</v>
      </c>
      <c r="C740" s="76" t="s">
        <v>642</v>
      </c>
      <c r="D740" s="76" t="s">
        <v>5171</v>
      </c>
      <c r="E740" s="77">
        <v>300827262</v>
      </c>
      <c r="F740" s="77">
        <v>2000000</v>
      </c>
      <c r="G740" s="77" t="s">
        <v>2834</v>
      </c>
      <c r="H740" s="77" t="s">
        <v>2839</v>
      </c>
      <c r="I740" s="76" t="s">
        <v>2102</v>
      </c>
      <c r="J740" s="76" t="s">
        <v>40</v>
      </c>
      <c r="K740" s="76" t="e">
        <f>VLOOKUP($B740,'WILL TOKO SEP'!A741:AK1480,37,0)</f>
        <v>#N/A</v>
      </c>
      <c r="L740" s="76" t="s">
        <v>2104</v>
      </c>
      <c r="M740" s="37" t="s">
        <v>496</v>
      </c>
      <c r="N740" s="79">
        <v>46155</v>
      </c>
      <c r="O740" s="78">
        <v>0</v>
      </c>
      <c r="P740" s="78">
        <v>0</v>
      </c>
      <c r="Q740" s="79">
        <v>46256</v>
      </c>
      <c r="R740" s="79" t="e">
        <f>IF($B740&lt;&gt;"",VLOOKUP($B740,JADWAL!$G$6:$J$700,4,FALSE),"")</f>
        <v>#N/A</v>
      </c>
      <c r="S740" s="77">
        <f t="shared" si="28"/>
        <v>2</v>
      </c>
      <c r="T740" s="77"/>
      <c r="U740" s="37" t="s">
        <v>2242</v>
      </c>
      <c r="V740" s="37" t="s">
        <v>2250</v>
      </c>
      <c r="W740" s="37"/>
      <c r="X740" s="37"/>
    </row>
    <row r="741" spans="1:24" x14ac:dyDescent="0.3">
      <c r="A741" s="37">
        <f t="shared" si="29"/>
        <v>739</v>
      </c>
      <c r="B741" s="76" t="s">
        <v>640</v>
      </c>
      <c r="C741" s="76" t="s">
        <v>639</v>
      </c>
      <c r="D741" s="76" t="s">
        <v>5544</v>
      </c>
      <c r="E741" s="77">
        <v>255390549</v>
      </c>
      <c r="F741" s="77">
        <v>2000000</v>
      </c>
      <c r="G741" s="77" t="s">
        <v>2834</v>
      </c>
      <c r="H741" s="77" t="s">
        <v>2839</v>
      </c>
      <c r="I741" s="76" t="s">
        <v>2102</v>
      </c>
      <c r="J741" s="76" t="s">
        <v>32</v>
      </c>
      <c r="K741" s="76" t="e">
        <f>VLOOKUP($B741,'WILL TOKO SEP'!A742:AK1481,37,0)</f>
        <v>#N/A</v>
      </c>
      <c r="L741" s="76" t="s">
        <v>2104</v>
      </c>
      <c r="M741" s="37" t="s">
        <v>496</v>
      </c>
      <c r="N741" s="79">
        <v>46162</v>
      </c>
      <c r="O741" s="78">
        <v>0</v>
      </c>
      <c r="P741" s="78">
        <v>0</v>
      </c>
      <c r="Q741" s="79">
        <v>46254</v>
      </c>
      <c r="R741" s="79" t="e">
        <f>IF($B741&lt;&gt;"",VLOOKUP($B741,JADWAL!$G$6:$J$700,4,FALSE),"")</f>
        <v>#N/A</v>
      </c>
      <c r="S741" s="77">
        <f t="shared" si="28"/>
        <v>2</v>
      </c>
      <c r="T741" s="77"/>
      <c r="U741" s="37" t="s">
        <v>2242</v>
      </c>
      <c r="V741" s="37" t="s">
        <v>2250</v>
      </c>
      <c r="W741" s="37"/>
      <c r="X741" s="37"/>
    </row>
    <row r="742" spans="1:24" x14ac:dyDescent="0.3">
      <c r="A742" s="37">
        <f t="shared" si="29"/>
        <v>740</v>
      </c>
      <c r="B742" s="76" t="s">
        <v>638</v>
      </c>
      <c r="C742" s="76" t="s">
        <v>637</v>
      </c>
      <c r="D742" s="76" t="s">
        <v>2776</v>
      </c>
      <c r="E742" s="77">
        <v>612009474</v>
      </c>
      <c r="F742" s="77">
        <v>2000000</v>
      </c>
      <c r="G742" s="77" t="s">
        <v>2834</v>
      </c>
      <c r="H742" s="77" t="s">
        <v>2869</v>
      </c>
      <c r="I742" s="76" t="s">
        <v>2102</v>
      </c>
      <c r="J742" s="76" t="s">
        <v>40</v>
      </c>
      <c r="K742" s="76" t="e">
        <f>VLOOKUP($B742,'WILL TOKO SEP'!A743:AK1482,37,0)</f>
        <v>#N/A</v>
      </c>
      <c r="L742" s="76" t="s">
        <v>2104</v>
      </c>
      <c r="M742" s="37" t="s">
        <v>496</v>
      </c>
      <c r="N742" s="79">
        <v>46151</v>
      </c>
      <c r="O742" s="78">
        <v>0</v>
      </c>
      <c r="P742" s="78">
        <v>0</v>
      </c>
      <c r="Q742" s="79">
        <v>46258</v>
      </c>
      <c r="R742" s="79" t="e">
        <f>IF($B742&lt;&gt;"",VLOOKUP($B742,JADWAL!$G$6:$J$700,4,FALSE),"")</f>
        <v>#N/A</v>
      </c>
      <c r="S742" s="77">
        <f t="shared" si="28"/>
        <v>2</v>
      </c>
      <c r="T742" s="77"/>
      <c r="U742" s="37" t="s">
        <v>2242</v>
      </c>
      <c r="V742" s="37" t="s">
        <v>2250</v>
      </c>
      <c r="W742" s="37"/>
      <c r="X742" s="37"/>
    </row>
    <row r="743" spans="1:24" x14ac:dyDescent="0.3">
      <c r="A743" s="37">
        <f t="shared" si="29"/>
        <v>741</v>
      </c>
      <c r="B743" s="76" t="s">
        <v>609</v>
      </c>
      <c r="C743" s="76" t="s">
        <v>5790</v>
      </c>
      <c r="D743" s="76" t="s">
        <v>2796</v>
      </c>
      <c r="E743" s="77">
        <v>420438817</v>
      </c>
      <c r="F743" s="77">
        <v>3000000</v>
      </c>
      <c r="G743" s="77" t="s">
        <v>2830</v>
      </c>
      <c r="H743" s="77" t="s">
        <v>2860</v>
      </c>
      <c r="I743" s="76" t="s">
        <v>2102</v>
      </c>
      <c r="J743" s="76" t="s">
        <v>28</v>
      </c>
      <c r="K743" s="76" t="e">
        <f>VLOOKUP($B743,'WILL TOKO SEP'!A744:AK1483,37,0)</f>
        <v>#N/A</v>
      </c>
      <c r="L743" s="76" t="s">
        <v>2103</v>
      </c>
      <c r="M743" s="37" t="s">
        <v>496</v>
      </c>
      <c r="N743" s="78">
        <v>0</v>
      </c>
      <c r="O743" s="79">
        <v>46182</v>
      </c>
      <c r="P743" s="78">
        <v>0</v>
      </c>
      <c r="Q743" s="79">
        <v>46260</v>
      </c>
      <c r="R743" s="79" t="e">
        <f>IF($B743&lt;&gt;"",VLOOKUP($B743,JADWAL!$G$6:$J$700,4,FALSE),"")</f>
        <v>#N/A</v>
      </c>
      <c r="S743" s="77">
        <f t="shared" si="28"/>
        <v>2</v>
      </c>
      <c r="T743" s="77"/>
      <c r="U743" s="37" t="s">
        <v>2242</v>
      </c>
      <c r="V743" s="37" t="s">
        <v>2250</v>
      </c>
      <c r="W743" s="37"/>
      <c r="X743" s="37"/>
    </row>
    <row r="744" spans="1:24" x14ac:dyDescent="0.3">
      <c r="B744" s="75"/>
      <c r="C744" s="75"/>
      <c r="D744" s="75"/>
      <c r="E744" s="75"/>
      <c r="F744" s="75"/>
      <c r="G744" s="75"/>
      <c r="H744" s="75"/>
    </row>
    <row r="980" spans="2:8" x14ac:dyDescent="0.3">
      <c r="B980" s="75"/>
      <c r="C980" s="75"/>
      <c r="D980" s="75"/>
      <c r="E980" s="75"/>
      <c r="F980" s="75"/>
      <c r="G980" s="75"/>
      <c r="H980" s="75"/>
    </row>
    <row r="981" spans="2:8" x14ac:dyDescent="0.3">
      <c r="B981" s="75"/>
      <c r="C981" s="75"/>
      <c r="D981" s="75"/>
      <c r="E981" s="75"/>
      <c r="F981" s="75"/>
      <c r="G981" s="75"/>
      <c r="H981" s="75"/>
    </row>
    <row r="982" spans="2:8" x14ac:dyDescent="0.3">
      <c r="B982" s="75"/>
      <c r="C982" s="75"/>
      <c r="D982" s="75"/>
      <c r="E982" s="75"/>
      <c r="F982" s="75"/>
      <c r="G982" s="75"/>
      <c r="H982" s="75"/>
    </row>
    <row r="983" spans="2:8" x14ac:dyDescent="0.3">
      <c r="B983" s="75"/>
      <c r="C983" s="75"/>
      <c r="D983" s="75"/>
      <c r="E983" s="75"/>
      <c r="F983" s="75"/>
      <c r="G983" s="75"/>
      <c r="H983" s="75"/>
    </row>
    <row r="984" spans="2:8" x14ac:dyDescent="0.3">
      <c r="B984" s="75"/>
      <c r="C984" s="75"/>
      <c r="D984" s="75"/>
      <c r="E984" s="75"/>
      <c r="F984" s="75"/>
      <c r="G984" s="75"/>
      <c r="H984" s="75"/>
    </row>
    <row r="985" spans="2:8" x14ac:dyDescent="0.3">
      <c r="B985" s="75"/>
      <c r="C985" s="75"/>
      <c r="D985" s="75"/>
      <c r="E985" s="75"/>
      <c r="F985" s="75"/>
      <c r="G985" s="75"/>
      <c r="H985" s="75"/>
    </row>
    <row r="986" spans="2:8" x14ac:dyDescent="0.3">
      <c r="B986" s="75"/>
      <c r="C986" s="75"/>
      <c r="D986" s="75"/>
      <c r="E986" s="75"/>
      <c r="F986" s="75"/>
      <c r="G986" s="75"/>
      <c r="H986" s="75"/>
    </row>
    <row r="987" spans="2:8" x14ac:dyDescent="0.3">
      <c r="B987" s="75"/>
      <c r="C987" s="75"/>
      <c r="D987" s="75"/>
      <c r="E987" s="75"/>
      <c r="F987" s="75"/>
      <c r="G987" s="75"/>
      <c r="H987" s="75"/>
    </row>
    <row r="988" spans="2:8" x14ac:dyDescent="0.3">
      <c r="B988" s="75"/>
      <c r="C988" s="75"/>
      <c r="D988" s="75"/>
      <c r="E988" s="75"/>
      <c r="F988" s="75"/>
      <c r="G988" s="75"/>
      <c r="H988" s="75"/>
    </row>
    <row r="989" spans="2:8" x14ac:dyDescent="0.3">
      <c r="B989" s="75"/>
      <c r="C989" s="75"/>
      <c r="D989" s="75"/>
      <c r="E989" s="75"/>
      <c r="F989" s="75"/>
      <c r="G989" s="75"/>
      <c r="H989" s="75"/>
    </row>
    <row r="990" spans="2:8" x14ac:dyDescent="0.3">
      <c r="B990" s="75"/>
      <c r="C990" s="75"/>
      <c r="D990" s="75"/>
      <c r="E990" s="75"/>
      <c r="F990" s="75"/>
      <c r="G990" s="75"/>
      <c r="H990" s="75"/>
    </row>
    <row r="991" spans="2:8" x14ac:dyDescent="0.3">
      <c r="B991" s="75"/>
      <c r="C991" s="75"/>
      <c r="D991" s="75"/>
      <c r="E991" s="75"/>
      <c r="F991" s="75"/>
      <c r="G991" s="75"/>
      <c r="H991" s="75"/>
    </row>
    <row r="992" spans="2:8" x14ac:dyDescent="0.3">
      <c r="B992" s="75"/>
      <c r="C992" s="75"/>
      <c r="D992" s="75"/>
      <c r="E992" s="75"/>
      <c r="F992" s="75"/>
      <c r="G992" s="75"/>
      <c r="H992" s="75"/>
    </row>
    <row r="993" spans="2:8" x14ac:dyDescent="0.3">
      <c r="B993" s="75"/>
      <c r="C993" s="75"/>
      <c r="D993" s="75"/>
      <c r="E993" s="75"/>
      <c r="F993" s="75"/>
      <c r="G993" s="75"/>
      <c r="H993" s="75"/>
    </row>
    <row r="994" spans="2:8" x14ac:dyDescent="0.3">
      <c r="B994" s="75"/>
      <c r="C994" s="75"/>
      <c r="D994" s="75"/>
      <c r="E994" s="75"/>
      <c r="F994" s="75"/>
      <c r="G994" s="75"/>
      <c r="H994" s="75"/>
    </row>
    <row r="995" spans="2:8" x14ac:dyDescent="0.3">
      <c r="B995" s="75"/>
      <c r="C995" s="75"/>
      <c r="D995" s="75"/>
      <c r="E995" s="75"/>
      <c r="F995" s="75"/>
      <c r="G995" s="75"/>
      <c r="H995" s="75"/>
    </row>
    <row r="996" spans="2:8" x14ac:dyDescent="0.3">
      <c r="B996" s="75"/>
      <c r="C996" s="75"/>
      <c r="D996" s="75"/>
      <c r="E996" s="75"/>
      <c r="F996" s="75"/>
      <c r="G996" s="75"/>
      <c r="H996" s="75"/>
    </row>
    <row r="997" spans="2:8" x14ac:dyDescent="0.3">
      <c r="B997" s="75"/>
      <c r="C997" s="75"/>
      <c r="D997" s="75"/>
      <c r="E997" s="75"/>
      <c r="F997" s="75"/>
      <c r="G997" s="75"/>
      <c r="H997" s="75"/>
    </row>
    <row r="998" spans="2:8" x14ac:dyDescent="0.3">
      <c r="B998" s="75"/>
      <c r="C998" s="75"/>
      <c r="D998" s="75"/>
      <c r="E998" s="75"/>
      <c r="F998" s="75"/>
      <c r="G998" s="75"/>
      <c r="H998" s="75"/>
    </row>
    <row r="999" spans="2:8" x14ac:dyDescent="0.3">
      <c r="B999" s="75"/>
      <c r="C999" s="75"/>
      <c r="D999" s="75"/>
      <c r="E999" s="75"/>
      <c r="F999" s="75"/>
      <c r="G999" s="75"/>
      <c r="H999" s="75"/>
    </row>
    <row r="1000" spans="2:8" x14ac:dyDescent="0.3">
      <c r="B1000" s="75"/>
      <c r="C1000" s="75"/>
      <c r="D1000" s="75"/>
      <c r="E1000" s="75"/>
      <c r="F1000" s="75"/>
      <c r="G1000" s="75"/>
      <c r="H1000" s="75"/>
    </row>
    <row r="1001" spans="2:8" x14ac:dyDescent="0.3">
      <c r="B1001" s="75"/>
      <c r="C1001" s="75"/>
      <c r="D1001" s="75"/>
      <c r="E1001" s="75"/>
      <c r="F1001" s="75"/>
      <c r="G1001" s="75"/>
      <c r="H1001" s="75"/>
    </row>
    <row r="1002" spans="2:8" x14ac:dyDescent="0.3">
      <c r="B1002" s="75"/>
      <c r="C1002" s="75"/>
      <c r="D1002" s="75"/>
      <c r="E1002" s="75"/>
      <c r="F1002" s="75"/>
      <c r="G1002" s="75"/>
      <c r="H1002" s="75"/>
    </row>
    <row r="1003" spans="2:8" x14ac:dyDescent="0.3">
      <c r="B1003" s="75"/>
      <c r="C1003" s="75"/>
      <c r="D1003" s="75"/>
      <c r="E1003" s="75"/>
      <c r="F1003" s="75"/>
      <c r="G1003" s="75"/>
      <c r="H1003" s="75"/>
    </row>
    <row r="1004" spans="2:8" x14ac:dyDescent="0.3">
      <c r="B1004" s="75"/>
      <c r="C1004" s="75"/>
      <c r="D1004" s="75"/>
      <c r="E1004" s="75"/>
      <c r="F1004" s="75"/>
      <c r="G1004" s="75"/>
      <c r="H1004" s="75"/>
    </row>
    <row r="1005" spans="2:8" x14ac:dyDescent="0.3">
      <c r="B1005" s="75"/>
      <c r="C1005" s="75"/>
      <c r="D1005" s="75"/>
      <c r="E1005" s="75"/>
      <c r="F1005" s="75"/>
      <c r="G1005" s="75"/>
      <c r="H1005" s="75"/>
    </row>
    <row r="1006" spans="2:8" x14ac:dyDescent="0.3">
      <c r="B1006" s="75"/>
      <c r="C1006" s="75"/>
      <c r="D1006" s="75"/>
      <c r="E1006" s="75"/>
      <c r="F1006" s="75"/>
      <c r="G1006" s="75"/>
      <c r="H1006" s="75"/>
    </row>
    <row r="1007" spans="2:8" x14ac:dyDescent="0.3">
      <c r="B1007" s="75"/>
      <c r="C1007" s="75"/>
      <c r="D1007" s="75"/>
      <c r="E1007" s="75"/>
      <c r="F1007" s="75"/>
      <c r="G1007" s="75"/>
      <c r="H1007" s="75"/>
    </row>
    <row r="1008" spans="2:8" x14ac:dyDescent="0.3">
      <c r="B1008" s="75"/>
      <c r="C1008" s="75"/>
      <c r="D1008" s="75"/>
      <c r="E1008" s="75"/>
      <c r="F1008" s="75"/>
      <c r="G1008" s="75"/>
      <c r="H1008" s="75"/>
    </row>
    <row r="1009" spans="2:8" x14ac:dyDescent="0.3">
      <c r="B1009" s="75"/>
      <c r="C1009" s="75"/>
      <c r="D1009" s="75"/>
      <c r="E1009" s="75"/>
      <c r="F1009" s="75"/>
      <c r="G1009" s="75"/>
      <c r="H1009" s="75"/>
    </row>
    <row r="1010" spans="2:8" x14ac:dyDescent="0.3">
      <c r="B1010" s="75"/>
      <c r="C1010" s="75"/>
      <c r="D1010" s="75"/>
      <c r="E1010" s="75"/>
      <c r="F1010" s="75"/>
      <c r="G1010" s="75"/>
      <c r="H1010" s="75"/>
    </row>
    <row r="1011" spans="2:8" x14ac:dyDescent="0.3">
      <c r="B1011" s="75"/>
      <c r="C1011" s="75"/>
      <c r="D1011" s="75"/>
      <c r="E1011" s="75"/>
      <c r="F1011" s="75"/>
      <c r="G1011" s="75"/>
      <c r="H1011" s="75"/>
    </row>
    <row r="1012" spans="2:8" x14ac:dyDescent="0.3">
      <c r="B1012" s="75"/>
      <c r="C1012" s="75"/>
      <c r="D1012" s="75"/>
      <c r="E1012" s="75"/>
      <c r="F1012" s="75"/>
      <c r="G1012" s="75"/>
      <c r="H1012" s="75"/>
    </row>
    <row r="1013" spans="2:8" x14ac:dyDescent="0.3">
      <c r="B1013" s="75"/>
      <c r="C1013" s="75"/>
      <c r="D1013" s="75"/>
      <c r="E1013" s="75"/>
      <c r="F1013" s="75"/>
      <c r="G1013" s="75"/>
      <c r="H1013" s="75"/>
    </row>
    <row r="1014" spans="2:8" x14ac:dyDescent="0.3">
      <c r="B1014" s="75"/>
      <c r="C1014" s="75"/>
      <c r="D1014" s="75"/>
      <c r="E1014" s="75"/>
      <c r="F1014" s="75"/>
      <c r="G1014" s="75"/>
      <c r="H1014" s="75"/>
    </row>
    <row r="1015" spans="2:8" x14ac:dyDescent="0.3">
      <c r="B1015" s="75"/>
      <c r="C1015" s="75"/>
      <c r="D1015" s="75"/>
      <c r="E1015" s="75"/>
      <c r="F1015" s="75"/>
      <c r="G1015" s="75"/>
      <c r="H1015" s="75"/>
    </row>
    <row r="1016" spans="2:8" x14ac:dyDescent="0.3">
      <c r="B1016" s="75"/>
      <c r="C1016" s="75"/>
      <c r="D1016" s="75"/>
      <c r="E1016" s="75"/>
      <c r="F1016" s="75"/>
      <c r="G1016" s="75"/>
      <c r="H1016" s="75"/>
    </row>
    <row r="1017" spans="2:8" x14ac:dyDescent="0.3">
      <c r="B1017" s="75"/>
      <c r="C1017" s="75"/>
      <c r="D1017" s="75"/>
      <c r="E1017" s="75"/>
      <c r="F1017" s="75"/>
      <c r="G1017" s="75"/>
      <c r="H1017" s="75"/>
    </row>
    <row r="1018" spans="2:8" x14ac:dyDescent="0.3">
      <c r="B1018" s="75"/>
      <c r="C1018" s="75"/>
      <c r="D1018" s="75"/>
      <c r="E1018" s="75"/>
      <c r="F1018" s="75"/>
      <c r="G1018" s="75"/>
      <c r="H1018" s="75"/>
    </row>
    <row r="1019" spans="2:8" x14ac:dyDescent="0.3">
      <c r="B1019" s="75"/>
      <c r="C1019" s="75"/>
      <c r="D1019" s="75"/>
      <c r="E1019" s="75"/>
      <c r="F1019" s="75"/>
      <c r="G1019" s="75"/>
      <c r="H1019" s="75"/>
    </row>
    <row r="1020" spans="2:8" x14ac:dyDescent="0.3">
      <c r="B1020" s="75"/>
      <c r="C1020" s="75"/>
      <c r="D1020" s="75"/>
      <c r="E1020" s="75"/>
      <c r="F1020" s="75"/>
      <c r="G1020" s="75"/>
      <c r="H1020" s="75"/>
    </row>
    <row r="1021" spans="2:8" x14ac:dyDescent="0.3">
      <c r="B1021" s="75"/>
      <c r="C1021" s="75"/>
      <c r="D1021" s="75"/>
      <c r="E1021" s="75"/>
      <c r="F1021" s="75"/>
      <c r="G1021" s="75"/>
      <c r="H1021" s="75"/>
    </row>
    <row r="1022" spans="2:8" x14ac:dyDescent="0.3">
      <c r="B1022" s="75"/>
      <c r="C1022" s="75"/>
      <c r="D1022" s="75"/>
      <c r="E1022" s="75"/>
      <c r="F1022" s="75"/>
      <c r="G1022" s="75"/>
      <c r="H1022" s="75"/>
    </row>
    <row r="1023" spans="2:8" x14ac:dyDescent="0.3">
      <c r="B1023" s="75"/>
      <c r="C1023" s="75"/>
      <c r="D1023" s="75"/>
      <c r="E1023" s="75"/>
      <c r="F1023" s="75"/>
      <c r="G1023" s="75"/>
      <c r="H1023" s="75"/>
    </row>
    <row r="1024" spans="2:8" x14ac:dyDescent="0.3">
      <c r="B1024" s="75"/>
      <c r="C1024" s="75"/>
      <c r="D1024" s="75"/>
      <c r="E1024" s="75"/>
      <c r="F1024" s="75"/>
      <c r="G1024" s="75"/>
      <c r="H1024" s="75"/>
    </row>
    <row r="1025" spans="2:8" x14ac:dyDescent="0.3">
      <c r="B1025" s="75"/>
      <c r="C1025" s="75"/>
      <c r="D1025" s="75"/>
      <c r="E1025" s="75"/>
      <c r="F1025" s="75"/>
      <c r="G1025" s="75"/>
      <c r="H1025" s="75"/>
    </row>
    <row r="1026" spans="2:8" x14ac:dyDescent="0.3">
      <c r="B1026" s="75"/>
      <c r="C1026" s="75"/>
      <c r="D1026" s="75"/>
      <c r="E1026" s="75"/>
      <c r="F1026" s="75"/>
      <c r="G1026" s="75"/>
      <c r="H1026" s="75"/>
    </row>
    <row r="1027" spans="2:8" x14ac:dyDescent="0.3">
      <c r="B1027" s="75"/>
      <c r="C1027" s="75"/>
      <c r="D1027" s="75"/>
      <c r="E1027" s="75"/>
      <c r="F1027" s="75"/>
      <c r="G1027" s="75"/>
      <c r="H1027" s="75"/>
    </row>
    <row r="1028" spans="2:8" x14ac:dyDescent="0.3">
      <c r="B1028" s="75"/>
      <c r="C1028" s="75"/>
      <c r="D1028" s="75"/>
      <c r="E1028" s="75"/>
      <c r="F1028" s="75"/>
      <c r="G1028" s="75"/>
      <c r="H1028" s="75"/>
    </row>
    <row r="1029" spans="2:8" x14ac:dyDescent="0.3">
      <c r="B1029" s="75"/>
      <c r="C1029" s="75"/>
      <c r="D1029" s="75"/>
      <c r="E1029" s="75"/>
      <c r="F1029" s="75"/>
      <c r="G1029" s="75"/>
      <c r="H1029" s="75"/>
    </row>
    <row r="1030" spans="2:8" x14ac:dyDescent="0.3">
      <c r="B1030" s="75"/>
      <c r="C1030" s="75"/>
      <c r="D1030" s="75"/>
      <c r="E1030" s="75"/>
      <c r="F1030" s="75"/>
      <c r="G1030" s="75"/>
      <c r="H1030" s="75"/>
    </row>
    <row r="1031" spans="2:8" x14ac:dyDescent="0.3">
      <c r="B1031" s="75"/>
      <c r="C1031" s="75"/>
      <c r="D1031" s="75"/>
      <c r="E1031" s="75"/>
      <c r="F1031" s="75"/>
      <c r="G1031" s="75"/>
      <c r="H1031" s="75"/>
    </row>
    <row r="1032" spans="2:8" x14ac:dyDescent="0.3">
      <c r="B1032" s="75"/>
      <c r="C1032" s="75"/>
      <c r="D1032" s="75"/>
      <c r="E1032" s="75"/>
      <c r="F1032" s="75"/>
      <c r="G1032" s="75"/>
      <c r="H1032" s="75"/>
    </row>
    <row r="1033" spans="2:8" x14ac:dyDescent="0.3">
      <c r="B1033" s="75"/>
      <c r="C1033" s="75"/>
      <c r="D1033" s="75"/>
      <c r="E1033" s="75"/>
      <c r="F1033" s="75"/>
      <c r="G1033" s="75"/>
      <c r="H1033" s="75"/>
    </row>
    <row r="1034" spans="2:8" x14ac:dyDescent="0.3">
      <c r="B1034" s="75"/>
      <c r="C1034" s="75"/>
      <c r="D1034" s="75"/>
      <c r="E1034" s="75"/>
      <c r="F1034" s="75"/>
      <c r="G1034" s="75"/>
      <c r="H1034" s="75"/>
    </row>
    <row r="1035" spans="2:8" x14ac:dyDescent="0.3">
      <c r="B1035" s="75"/>
      <c r="C1035" s="75"/>
      <c r="D1035" s="75"/>
      <c r="E1035" s="75"/>
      <c r="F1035" s="75"/>
      <c r="G1035" s="75"/>
      <c r="H1035" s="75"/>
    </row>
    <row r="1036" spans="2:8" x14ac:dyDescent="0.3">
      <c r="B1036" s="75"/>
      <c r="C1036" s="75"/>
      <c r="D1036" s="75"/>
      <c r="E1036" s="75"/>
      <c r="F1036" s="75"/>
      <c r="G1036" s="75"/>
      <c r="H1036" s="75"/>
    </row>
    <row r="1037" spans="2:8" x14ac:dyDescent="0.3">
      <c r="B1037" s="75"/>
      <c r="C1037" s="75"/>
      <c r="D1037" s="75"/>
      <c r="E1037" s="75"/>
      <c r="F1037" s="75"/>
      <c r="G1037" s="75"/>
      <c r="H1037" s="75"/>
    </row>
    <row r="1038" spans="2:8" x14ac:dyDescent="0.3">
      <c r="B1038" s="75"/>
      <c r="C1038" s="75"/>
      <c r="D1038" s="75"/>
      <c r="E1038" s="75"/>
      <c r="F1038" s="75"/>
      <c r="G1038" s="75"/>
      <c r="H1038" s="75"/>
    </row>
    <row r="1039" spans="2:8" x14ac:dyDescent="0.3">
      <c r="B1039" s="75"/>
      <c r="C1039" s="75"/>
      <c r="D1039" s="75"/>
      <c r="E1039" s="75"/>
      <c r="F1039" s="75"/>
      <c r="G1039" s="75"/>
      <c r="H1039" s="75"/>
    </row>
    <row r="1040" spans="2:8" x14ac:dyDescent="0.3">
      <c r="B1040" s="75"/>
      <c r="C1040" s="75"/>
      <c r="D1040" s="75"/>
      <c r="E1040" s="75"/>
      <c r="F1040" s="75"/>
      <c r="G1040" s="75"/>
      <c r="H1040" s="75"/>
    </row>
    <row r="1041" spans="2:8" x14ac:dyDescent="0.3">
      <c r="B1041" s="75"/>
      <c r="C1041" s="75"/>
      <c r="D1041" s="75"/>
      <c r="E1041" s="75"/>
      <c r="F1041" s="75"/>
      <c r="G1041" s="75"/>
      <c r="H1041" s="75"/>
    </row>
    <row r="1042" spans="2:8" x14ac:dyDescent="0.3">
      <c r="B1042" s="75"/>
      <c r="C1042" s="75"/>
      <c r="D1042" s="75"/>
      <c r="E1042" s="75"/>
      <c r="F1042" s="75"/>
      <c r="G1042" s="75"/>
      <c r="H1042" s="75"/>
    </row>
    <row r="1043" spans="2:8" x14ac:dyDescent="0.3">
      <c r="B1043" s="75"/>
      <c r="C1043" s="75"/>
      <c r="D1043" s="75"/>
      <c r="E1043" s="75"/>
      <c r="F1043" s="75"/>
      <c r="G1043" s="75"/>
      <c r="H1043" s="75"/>
    </row>
    <row r="1044" spans="2:8" x14ac:dyDescent="0.3">
      <c r="B1044" s="75"/>
      <c r="C1044" s="75"/>
      <c r="D1044" s="75"/>
      <c r="E1044" s="75"/>
      <c r="F1044" s="75"/>
      <c r="G1044" s="75"/>
      <c r="H1044" s="75"/>
    </row>
    <row r="1045" spans="2:8" x14ac:dyDescent="0.3">
      <c r="B1045" s="75"/>
      <c r="C1045" s="75"/>
      <c r="D1045" s="75"/>
      <c r="E1045" s="75"/>
      <c r="F1045" s="75"/>
      <c r="G1045" s="75"/>
      <c r="H1045" s="75"/>
    </row>
    <row r="1046" spans="2:8" x14ac:dyDescent="0.3">
      <c r="B1046" s="75"/>
      <c r="C1046" s="75"/>
      <c r="D1046" s="75"/>
      <c r="E1046" s="75"/>
      <c r="F1046" s="75"/>
      <c r="G1046" s="75"/>
      <c r="H1046" s="75"/>
    </row>
    <row r="1047" spans="2:8" x14ac:dyDescent="0.3">
      <c r="B1047" s="75"/>
      <c r="C1047" s="75"/>
      <c r="D1047" s="75"/>
      <c r="E1047" s="75"/>
      <c r="F1047" s="75"/>
      <c r="G1047" s="75"/>
      <c r="H1047" s="75"/>
    </row>
    <row r="1048" spans="2:8" x14ac:dyDescent="0.3">
      <c r="B1048" s="75"/>
      <c r="C1048" s="75"/>
      <c r="D1048" s="75"/>
      <c r="E1048" s="75"/>
      <c r="F1048" s="75"/>
      <c r="G1048" s="75"/>
      <c r="H1048" s="75"/>
    </row>
    <row r="1049" spans="2:8" x14ac:dyDescent="0.3">
      <c r="B1049" s="75"/>
      <c r="C1049" s="75"/>
      <c r="D1049" s="75"/>
      <c r="E1049" s="75"/>
      <c r="F1049" s="75"/>
      <c r="G1049" s="75"/>
      <c r="H1049" s="75"/>
    </row>
    <row r="1050" spans="2:8" x14ac:dyDescent="0.3">
      <c r="B1050" s="75"/>
      <c r="C1050" s="75"/>
      <c r="D1050" s="75"/>
      <c r="E1050" s="75"/>
      <c r="F1050" s="75"/>
      <c r="G1050" s="75"/>
      <c r="H1050" s="75"/>
    </row>
    <row r="1051" spans="2:8" x14ac:dyDescent="0.3">
      <c r="B1051" s="75"/>
      <c r="C1051" s="75"/>
      <c r="D1051" s="75"/>
      <c r="E1051" s="75"/>
      <c r="F1051" s="75"/>
      <c r="G1051" s="75"/>
      <c r="H1051" s="75"/>
    </row>
    <row r="1052" spans="2:8" x14ac:dyDescent="0.3">
      <c r="B1052" s="75"/>
      <c r="C1052" s="75"/>
      <c r="D1052" s="75"/>
      <c r="E1052" s="75"/>
      <c r="F1052" s="75"/>
      <c r="G1052" s="75"/>
      <c r="H1052" s="75"/>
    </row>
    <row r="1053" spans="2:8" x14ac:dyDescent="0.3">
      <c r="B1053" s="75"/>
      <c r="C1053" s="75"/>
      <c r="D1053" s="75"/>
      <c r="E1053" s="75"/>
      <c r="F1053" s="75"/>
      <c r="G1053" s="75"/>
      <c r="H1053" s="75"/>
    </row>
    <row r="1054" spans="2:8" x14ac:dyDescent="0.3">
      <c r="B1054" s="75"/>
      <c r="C1054" s="75"/>
      <c r="D1054" s="75"/>
      <c r="E1054" s="75"/>
      <c r="F1054" s="75"/>
      <c r="G1054" s="75"/>
      <c r="H1054" s="75"/>
    </row>
    <row r="1055" spans="2:8" x14ac:dyDescent="0.3">
      <c r="B1055" s="75"/>
      <c r="C1055" s="75"/>
      <c r="D1055" s="75"/>
      <c r="E1055" s="75"/>
      <c r="F1055" s="75"/>
      <c r="G1055" s="75"/>
      <c r="H1055" s="75"/>
    </row>
    <row r="1056" spans="2:8" x14ac:dyDescent="0.3">
      <c r="B1056" s="75"/>
      <c r="C1056" s="75"/>
      <c r="D1056" s="75"/>
      <c r="E1056" s="75"/>
      <c r="F1056" s="75"/>
      <c r="G1056" s="75"/>
      <c r="H1056" s="75"/>
    </row>
    <row r="1057" spans="2:8" x14ac:dyDescent="0.3">
      <c r="B1057" s="75"/>
      <c r="C1057" s="75"/>
      <c r="D1057" s="75"/>
      <c r="E1057" s="75"/>
      <c r="F1057" s="75"/>
      <c r="G1057" s="75"/>
      <c r="H1057" s="75"/>
    </row>
    <row r="1058" spans="2:8" x14ac:dyDescent="0.3">
      <c r="B1058" s="75"/>
      <c r="C1058" s="75"/>
      <c r="D1058" s="75"/>
      <c r="E1058" s="75"/>
      <c r="F1058" s="75"/>
      <c r="G1058" s="75"/>
      <c r="H1058" s="75"/>
    </row>
    <row r="1059" spans="2:8" x14ac:dyDescent="0.3">
      <c r="B1059" s="75"/>
      <c r="C1059" s="75"/>
      <c r="D1059" s="75"/>
      <c r="E1059" s="75"/>
      <c r="F1059" s="75"/>
      <c r="G1059" s="75"/>
      <c r="H1059" s="75"/>
    </row>
    <row r="1060" spans="2:8" x14ac:dyDescent="0.3">
      <c r="B1060" s="75"/>
      <c r="C1060" s="75"/>
      <c r="D1060" s="75"/>
      <c r="E1060" s="75"/>
      <c r="F1060" s="75"/>
      <c r="G1060" s="75"/>
      <c r="H1060" s="75"/>
    </row>
    <row r="1061" spans="2:8" x14ac:dyDescent="0.3">
      <c r="B1061" s="75"/>
      <c r="C1061" s="75"/>
      <c r="D1061" s="75"/>
      <c r="E1061" s="75"/>
      <c r="F1061" s="75"/>
      <c r="G1061" s="75"/>
      <c r="H1061" s="75"/>
    </row>
    <row r="1062" spans="2:8" x14ac:dyDescent="0.3">
      <c r="B1062" s="75"/>
      <c r="C1062" s="75"/>
      <c r="D1062" s="75"/>
      <c r="E1062" s="75"/>
      <c r="F1062" s="75"/>
      <c r="G1062" s="75"/>
      <c r="H1062" s="75"/>
    </row>
    <row r="1063" spans="2:8" x14ac:dyDescent="0.3">
      <c r="B1063" s="75"/>
      <c r="C1063" s="75"/>
      <c r="D1063" s="75"/>
      <c r="E1063" s="75"/>
      <c r="F1063" s="75"/>
      <c r="G1063" s="75"/>
      <c r="H1063" s="75"/>
    </row>
    <row r="1064" spans="2:8" x14ac:dyDescent="0.3">
      <c r="B1064" s="75"/>
      <c r="C1064" s="75"/>
      <c r="D1064" s="75"/>
      <c r="E1064" s="75"/>
      <c r="F1064" s="75"/>
      <c r="G1064" s="75"/>
      <c r="H1064" s="75"/>
    </row>
    <row r="1065" spans="2:8" x14ac:dyDescent="0.3">
      <c r="B1065" s="75"/>
      <c r="C1065" s="75"/>
      <c r="D1065" s="75"/>
      <c r="E1065" s="75"/>
      <c r="F1065" s="75"/>
      <c r="G1065" s="75"/>
      <c r="H1065" s="75"/>
    </row>
    <row r="1066" spans="2:8" x14ac:dyDescent="0.3">
      <c r="B1066" s="75"/>
      <c r="C1066" s="75"/>
      <c r="D1066" s="75"/>
      <c r="E1066" s="75"/>
      <c r="F1066" s="75"/>
      <c r="G1066" s="75"/>
      <c r="H1066" s="75"/>
    </row>
    <row r="1067" spans="2:8" x14ac:dyDescent="0.3">
      <c r="B1067" s="75"/>
      <c r="C1067" s="75"/>
      <c r="D1067" s="75"/>
      <c r="E1067" s="75"/>
      <c r="F1067" s="75"/>
      <c r="G1067" s="75"/>
      <c r="H1067" s="75"/>
    </row>
    <row r="1068" spans="2:8" x14ac:dyDescent="0.3">
      <c r="B1068" s="75"/>
      <c r="C1068" s="75"/>
      <c r="D1068" s="75"/>
      <c r="E1068" s="75"/>
      <c r="F1068" s="75"/>
      <c r="G1068" s="75"/>
      <c r="H1068" s="75"/>
    </row>
    <row r="1069" spans="2:8" x14ac:dyDescent="0.3">
      <c r="B1069" s="75"/>
      <c r="C1069" s="75"/>
      <c r="D1069" s="75"/>
      <c r="E1069" s="75"/>
      <c r="F1069" s="75"/>
      <c r="G1069" s="75"/>
      <c r="H1069" s="75"/>
    </row>
    <row r="1070" spans="2:8" x14ac:dyDescent="0.3">
      <c r="B1070" s="75"/>
      <c r="C1070" s="75"/>
      <c r="D1070" s="75"/>
      <c r="E1070" s="75"/>
      <c r="F1070" s="75"/>
      <c r="G1070" s="75"/>
      <c r="H1070" s="75"/>
    </row>
    <row r="1071" spans="2:8" x14ac:dyDescent="0.3">
      <c r="B1071" s="75"/>
      <c r="C1071" s="75"/>
      <c r="D1071" s="75"/>
      <c r="E1071" s="75"/>
      <c r="F1071" s="75"/>
      <c r="G1071" s="75"/>
      <c r="H1071" s="75"/>
    </row>
    <row r="1072" spans="2:8" x14ac:dyDescent="0.3">
      <c r="B1072" s="75"/>
      <c r="C1072" s="75"/>
      <c r="D1072" s="75"/>
      <c r="E1072" s="75"/>
      <c r="F1072" s="75"/>
      <c r="G1072" s="75"/>
      <c r="H1072" s="75"/>
    </row>
    <row r="1073" spans="2:8" x14ac:dyDescent="0.3">
      <c r="B1073" s="75"/>
      <c r="C1073" s="75"/>
      <c r="D1073" s="75"/>
      <c r="E1073" s="75"/>
      <c r="F1073" s="75"/>
      <c r="G1073" s="75"/>
      <c r="H1073" s="75"/>
    </row>
    <row r="1074" spans="2:8" x14ac:dyDescent="0.3">
      <c r="B1074" s="75"/>
      <c r="C1074" s="75"/>
      <c r="D1074" s="75"/>
      <c r="E1074" s="75"/>
      <c r="F1074" s="75"/>
      <c r="G1074" s="75"/>
      <c r="H1074" s="75"/>
    </row>
    <row r="1075" spans="2:8" x14ac:dyDescent="0.3">
      <c r="B1075" s="75"/>
      <c r="C1075" s="75"/>
      <c r="D1075" s="75"/>
      <c r="E1075" s="75"/>
      <c r="F1075" s="75"/>
      <c r="G1075" s="75"/>
      <c r="H1075" s="75"/>
    </row>
    <row r="1076" spans="2:8" x14ac:dyDescent="0.3">
      <c r="B1076" s="75"/>
      <c r="C1076" s="75"/>
      <c r="D1076" s="75"/>
      <c r="E1076" s="75"/>
      <c r="F1076" s="75"/>
      <c r="G1076" s="75"/>
      <c r="H1076" s="75"/>
    </row>
    <row r="1077" spans="2:8" x14ac:dyDescent="0.3">
      <c r="B1077" s="75"/>
      <c r="C1077" s="75"/>
      <c r="D1077" s="75"/>
      <c r="E1077" s="75"/>
      <c r="F1077" s="75"/>
      <c r="G1077" s="75"/>
      <c r="H1077" s="75"/>
    </row>
    <row r="1078" spans="2:8" x14ac:dyDescent="0.3">
      <c r="B1078" s="75"/>
      <c r="C1078" s="75"/>
      <c r="D1078" s="75"/>
      <c r="E1078" s="75"/>
      <c r="F1078" s="75"/>
      <c r="G1078" s="75"/>
      <c r="H1078" s="75"/>
    </row>
    <row r="1079" spans="2:8" x14ac:dyDescent="0.3">
      <c r="B1079" s="75"/>
      <c r="C1079" s="75"/>
      <c r="D1079" s="75"/>
      <c r="E1079" s="75"/>
      <c r="F1079" s="75"/>
      <c r="G1079" s="75"/>
      <c r="H1079" s="75"/>
    </row>
    <row r="1080" spans="2:8" x14ac:dyDescent="0.3">
      <c r="B1080" s="75"/>
      <c r="C1080" s="75"/>
      <c r="D1080" s="75"/>
      <c r="E1080" s="75"/>
      <c r="F1080" s="75"/>
      <c r="G1080" s="75"/>
      <c r="H1080" s="75"/>
    </row>
    <row r="1081" spans="2:8" x14ac:dyDescent="0.3">
      <c r="B1081" s="75"/>
      <c r="C1081" s="75"/>
      <c r="D1081" s="75"/>
      <c r="E1081" s="75"/>
      <c r="F1081" s="75"/>
      <c r="G1081" s="75"/>
      <c r="H1081" s="75"/>
    </row>
    <row r="1082" spans="2:8" x14ac:dyDescent="0.3">
      <c r="B1082" s="75"/>
      <c r="C1082" s="75"/>
      <c r="D1082" s="75"/>
      <c r="E1082" s="75"/>
      <c r="F1082" s="75"/>
      <c r="G1082" s="75"/>
      <c r="H1082" s="75"/>
    </row>
    <row r="1083" spans="2:8" x14ac:dyDescent="0.3">
      <c r="B1083" s="75"/>
      <c r="C1083" s="75"/>
      <c r="D1083" s="75"/>
      <c r="E1083" s="75"/>
      <c r="F1083" s="75"/>
      <c r="G1083" s="75"/>
      <c r="H1083" s="75"/>
    </row>
    <row r="1084" spans="2:8" x14ac:dyDescent="0.3">
      <c r="B1084" s="75"/>
      <c r="C1084" s="75"/>
      <c r="D1084" s="75"/>
      <c r="E1084" s="75"/>
      <c r="F1084" s="75"/>
      <c r="G1084" s="75"/>
      <c r="H1084" s="75"/>
    </row>
    <row r="1085" spans="2:8" x14ac:dyDescent="0.3">
      <c r="B1085" s="75"/>
      <c r="C1085" s="75"/>
      <c r="D1085" s="75"/>
      <c r="E1085" s="75"/>
      <c r="F1085" s="75"/>
      <c r="G1085" s="75"/>
      <c r="H1085" s="75"/>
    </row>
    <row r="1086" spans="2:8" x14ac:dyDescent="0.3">
      <c r="B1086" s="75"/>
      <c r="C1086" s="75"/>
      <c r="D1086" s="75"/>
      <c r="E1086" s="75"/>
      <c r="F1086" s="75"/>
      <c r="G1086" s="75"/>
      <c r="H1086" s="75"/>
    </row>
    <row r="1087" spans="2:8" x14ac:dyDescent="0.3">
      <c r="B1087" s="75"/>
      <c r="C1087" s="75"/>
      <c r="D1087" s="75"/>
      <c r="E1087" s="75"/>
      <c r="F1087" s="75"/>
      <c r="G1087" s="75"/>
      <c r="H1087" s="75"/>
    </row>
    <row r="1088" spans="2:8" x14ac:dyDescent="0.3">
      <c r="B1088" s="75"/>
      <c r="C1088" s="75"/>
      <c r="D1088" s="75"/>
      <c r="E1088" s="75"/>
      <c r="F1088" s="75"/>
      <c r="G1088" s="75"/>
      <c r="H1088" s="75"/>
    </row>
    <row r="1089" spans="2:8" x14ac:dyDescent="0.3">
      <c r="B1089" s="75"/>
      <c r="C1089" s="75"/>
      <c r="D1089" s="75"/>
      <c r="E1089" s="75"/>
      <c r="F1089" s="75"/>
      <c r="G1089" s="75"/>
      <c r="H1089" s="75"/>
    </row>
    <row r="1090" spans="2:8" x14ac:dyDescent="0.3">
      <c r="B1090" s="75"/>
      <c r="C1090" s="75"/>
      <c r="D1090" s="75"/>
      <c r="E1090" s="75"/>
      <c r="F1090" s="75"/>
      <c r="G1090" s="75"/>
      <c r="H1090" s="75"/>
    </row>
    <row r="1091" spans="2:8" x14ac:dyDescent="0.3">
      <c r="B1091" s="75"/>
      <c r="C1091" s="75"/>
      <c r="D1091" s="75"/>
      <c r="E1091" s="75"/>
      <c r="F1091" s="75"/>
      <c r="G1091" s="75"/>
      <c r="H1091" s="75"/>
    </row>
    <row r="1092" spans="2:8" x14ac:dyDescent="0.3">
      <c r="B1092" s="75"/>
      <c r="C1092" s="75"/>
      <c r="D1092" s="75"/>
      <c r="E1092" s="75"/>
      <c r="F1092" s="75"/>
      <c r="G1092" s="75"/>
      <c r="H1092" s="75"/>
    </row>
    <row r="1093" spans="2:8" x14ac:dyDescent="0.3">
      <c r="B1093" s="75"/>
      <c r="C1093" s="75"/>
      <c r="D1093" s="75"/>
      <c r="E1093" s="75"/>
      <c r="F1093" s="75"/>
      <c r="G1093" s="75"/>
      <c r="H1093" s="75"/>
    </row>
    <row r="1094" spans="2:8" x14ac:dyDescent="0.3">
      <c r="B1094" s="75"/>
      <c r="C1094" s="75"/>
      <c r="D1094" s="75"/>
      <c r="E1094" s="75"/>
      <c r="F1094" s="75"/>
      <c r="G1094" s="75"/>
      <c r="H1094" s="75"/>
    </row>
    <row r="1095" spans="2:8" x14ac:dyDescent="0.3">
      <c r="B1095" s="75"/>
      <c r="C1095" s="75"/>
      <c r="D1095" s="75"/>
      <c r="E1095" s="75"/>
      <c r="F1095" s="75"/>
      <c r="G1095" s="75"/>
      <c r="H1095" s="75"/>
    </row>
    <row r="1096" spans="2:8" x14ac:dyDescent="0.3">
      <c r="B1096" s="75"/>
      <c r="C1096" s="75"/>
      <c r="D1096" s="75"/>
      <c r="E1096" s="75"/>
      <c r="F1096" s="75"/>
      <c r="G1096" s="75"/>
      <c r="H1096" s="75"/>
    </row>
    <row r="1097" spans="2:8" x14ac:dyDescent="0.3">
      <c r="B1097" s="75"/>
      <c r="C1097" s="75"/>
      <c r="D1097" s="75"/>
      <c r="E1097" s="75"/>
      <c r="F1097" s="75"/>
      <c r="G1097" s="75"/>
      <c r="H1097" s="75"/>
    </row>
    <row r="1098" spans="2:8" x14ac:dyDescent="0.3">
      <c r="B1098" s="75"/>
      <c r="C1098" s="75"/>
      <c r="D1098" s="75"/>
      <c r="E1098" s="75"/>
      <c r="F1098" s="75"/>
      <c r="G1098" s="75"/>
      <c r="H1098" s="75"/>
    </row>
    <row r="1099" spans="2:8" x14ac:dyDescent="0.3">
      <c r="B1099" s="75"/>
      <c r="C1099" s="75"/>
      <c r="D1099" s="75"/>
      <c r="E1099" s="75"/>
      <c r="F1099" s="75"/>
      <c r="G1099" s="75"/>
      <c r="H1099" s="75"/>
    </row>
    <row r="1100" spans="2:8" x14ac:dyDescent="0.3">
      <c r="B1100" s="75"/>
      <c r="C1100" s="75"/>
      <c r="D1100" s="75"/>
      <c r="E1100" s="75"/>
      <c r="F1100" s="75"/>
      <c r="G1100" s="75"/>
      <c r="H1100" s="75"/>
    </row>
    <row r="1101" spans="2:8" x14ac:dyDescent="0.3">
      <c r="B1101" s="75"/>
      <c r="C1101" s="75"/>
      <c r="D1101" s="75"/>
      <c r="E1101" s="75"/>
      <c r="F1101" s="75"/>
      <c r="G1101" s="75"/>
      <c r="H1101" s="75"/>
    </row>
    <row r="1102" spans="2:8" x14ac:dyDescent="0.3">
      <c r="B1102" s="75"/>
      <c r="C1102" s="75"/>
      <c r="D1102" s="75"/>
      <c r="E1102" s="75"/>
      <c r="F1102" s="75"/>
      <c r="G1102" s="75"/>
      <c r="H1102" s="75"/>
    </row>
    <row r="1103" spans="2:8" x14ac:dyDescent="0.3">
      <c r="B1103" s="75"/>
      <c r="C1103" s="75"/>
      <c r="D1103" s="75"/>
      <c r="E1103" s="75"/>
      <c r="F1103" s="75"/>
      <c r="G1103" s="75"/>
      <c r="H1103" s="75"/>
    </row>
    <row r="1104" spans="2:8" x14ac:dyDescent="0.3">
      <c r="B1104" s="75"/>
      <c r="C1104" s="75"/>
      <c r="D1104" s="75"/>
      <c r="E1104" s="75"/>
      <c r="F1104" s="75"/>
      <c r="G1104" s="75"/>
      <c r="H1104" s="75"/>
    </row>
    <row r="1105" spans="2:8" x14ac:dyDescent="0.3">
      <c r="B1105" s="75"/>
      <c r="C1105" s="75"/>
      <c r="D1105" s="75"/>
      <c r="E1105" s="75"/>
      <c r="F1105" s="75"/>
      <c r="G1105" s="75"/>
      <c r="H1105" s="75"/>
    </row>
    <row r="1106" spans="2:8" x14ac:dyDescent="0.3">
      <c r="B1106" s="75"/>
      <c r="C1106" s="75"/>
      <c r="D1106" s="75"/>
      <c r="E1106" s="75"/>
      <c r="F1106" s="75"/>
      <c r="G1106" s="75"/>
      <c r="H1106" s="75"/>
    </row>
    <row r="1107" spans="2:8" x14ac:dyDescent="0.3">
      <c r="B1107" s="75"/>
      <c r="C1107" s="75"/>
      <c r="D1107" s="75"/>
      <c r="E1107" s="75"/>
      <c r="F1107" s="75"/>
      <c r="G1107" s="75"/>
      <c r="H1107" s="75"/>
    </row>
    <row r="1108" spans="2:8" x14ac:dyDescent="0.3">
      <c r="B1108" s="75"/>
      <c r="C1108" s="75"/>
      <c r="D1108" s="75"/>
      <c r="E1108" s="75"/>
      <c r="F1108" s="75"/>
      <c r="G1108" s="75"/>
      <c r="H1108" s="75"/>
    </row>
    <row r="1109" spans="2:8" x14ac:dyDescent="0.3">
      <c r="B1109" s="75"/>
      <c r="C1109" s="75"/>
      <c r="D1109" s="75"/>
      <c r="E1109" s="75"/>
      <c r="F1109" s="75"/>
      <c r="G1109" s="75"/>
      <c r="H1109" s="75"/>
    </row>
    <row r="1110" spans="2:8" x14ac:dyDescent="0.3">
      <c r="B1110" s="75"/>
      <c r="C1110" s="75"/>
      <c r="D1110" s="75"/>
      <c r="E1110" s="75"/>
      <c r="F1110" s="75"/>
      <c r="G1110" s="75"/>
      <c r="H1110" s="75"/>
    </row>
    <row r="1111" spans="2:8" x14ac:dyDescent="0.3">
      <c r="B1111" s="75"/>
      <c r="C1111" s="75"/>
      <c r="D1111" s="75"/>
      <c r="E1111" s="75"/>
      <c r="F1111" s="75"/>
      <c r="G1111" s="75"/>
      <c r="H1111" s="75"/>
    </row>
    <row r="1112" spans="2:8" x14ac:dyDescent="0.3">
      <c r="B1112" s="75"/>
      <c r="C1112" s="75"/>
      <c r="D1112" s="75"/>
      <c r="E1112" s="75"/>
      <c r="F1112" s="75"/>
      <c r="G1112" s="75"/>
      <c r="H1112" s="75"/>
    </row>
    <row r="1113" spans="2:8" x14ac:dyDescent="0.3">
      <c r="B1113" s="75"/>
      <c r="C1113" s="75"/>
      <c r="D1113" s="75"/>
      <c r="E1113" s="75"/>
      <c r="F1113" s="75"/>
      <c r="G1113" s="75"/>
      <c r="H1113" s="75"/>
    </row>
  </sheetData>
  <sortState xmlns:xlrd2="http://schemas.microsoft.com/office/spreadsheetml/2017/richdata2" ref="B2:X742">
    <sortCondition ref="M2:M742"/>
  </sortState>
  <conditionalFormatting sqref="B583">
    <cfRule type="duplicateValues" dxfId="190" priority="5"/>
  </conditionalFormatting>
  <conditionalFormatting sqref="B584">
    <cfRule type="duplicateValues" dxfId="189" priority="4"/>
  </conditionalFormatting>
  <conditionalFormatting sqref="B585">
    <cfRule type="duplicateValues" dxfId="188" priority="3"/>
  </conditionalFormatting>
  <conditionalFormatting sqref="B587:B743 B2:B585">
    <cfRule type="duplicateValues" dxfId="187" priority="203"/>
  </conditionalFormatting>
  <conditionalFormatting sqref="B587:B744 B2:B585">
    <cfRule type="duplicateValues" dxfId="186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U684"/>
  <sheetViews>
    <sheetView workbookViewId="0">
      <pane xSplit="6" ySplit="5" topLeftCell="G84" activePane="bottomRight" state="frozen"/>
      <selection pane="topRight" activeCell="G1" sqref="G1"/>
      <selection pane="bottomLeft" activeCell="A6" sqref="A6"/>
      <selection pane="bottomRight" activeCell="H95" sqref="H95"/>
    </sheetView>
  </sheetViews>
  <sheetFormatPr defaultColWidth="9.109375" defaultRowHeight="10.199999999999999" x14ac:dyDescent="0.2"/>
  <cols>
    <col min="1" max="1" width="4.88671875" style="41" customWidth="1"/>
    <col min="2" max="2" width="12.88671875" style="41" customWidth="1"/>
    <col min="3" max="3" width="15.33203125" style="41" customWidth="1"/>
    <col min="4" max="4" width="17.88671875" style="41" customWidth="1"/>
    <col min="5" max="5" width="9.109375" style="41" customWidth="1"/>
    <col min="6" max="6" width="6.6640625" style="72" customWidth="1"/>
    <col min="7" max="7" width="10.33203125" style="157" customWidth="1"/>
    <col min="8" max="8" width="36.44140625" style="73" customWidth="1"/>
    <col min="9" max="9" width="12.88671875" style="74" bestFit="1" customWidth="1"/>
    <col min="10" max="10" width="10.44140625" style="73" customWidth="1"/>
    <col min="11" max="11" width="5.6640625" style="45" bestFit="1" customWidth="1"/>
    <col min="12" max="12" width="11.109375" style="45" bestFit="1" customWidth="1"/>
    <col min="13" max="13" width="9.6640625" style="41" customWidth="1"/>
    <col min="14" max="14" width="16.44140625" style="41" customWidth="1"/>
    <col min="15" max="15" width="11.6640625" style="41" customWidth="1"/>
    <col min="16" max="16" width="15.88671875" style="73" customWidth="1"/>
    <col min="17" max="17" width="9.5546875" style="41" bestFit="1" customWidth="1"/>
    <col min="18" max="18" width="10.5546875" style="41" bestFit="1" customWidth="1"/>
    <col min="19" max="19" width="9.109375" style="46"/>
    <col min="20" max="16384" width="9.109375" style="41"/>
  </cols>
  <sheetData>
    <row r="1" spans="1:19" ht="13.8" x14ac:dyDescent="0.2">
      <c r="A1" s="40" t="s">
        <v>2022</v>
      </c>
      <c r="F1" s="42"/>
      <c r="G1" s="43" t="s">
        <v>2023</v>
      </c>
      <c r="H1" s="44"/>
      <c r="I1" s="45"/>
      <c r="J1" s="44"/>
      <c r="K1" s="44"/>
      <c r="L1" s="44"/>
      <c r="P1" s="44"/>
    </row>
    <row r="2" spans="1:19" ht="13.8" x14ac:dyDescent="0.2">
      <c r="A2" s="47" t="s">
        <v>2024</v>
      </c>
      <c r="D2" s="48"/>
      <c r="F2" s="49"/>
      <c r="G2" s="43"/>
      <c r="H2" s="44"/>
      <c r="I2" s="45"/>
      <c r="J2" s="44"/>
      <c r="K2" s="44"/>
      <c r="L2" s="44"/>
      <c r="P2" s="44"/>
    </row>
    <row r="3" spans="1:19" ht="14.4" x14ac:dyDescent="0.2">
      <c r="A3" s="50" t="s">
        <v>2877</v>
      </c>
      <c r="F3" s="42"/>
      <c r="G3" s="43"/>
      <c r="H3" s="44"/>
      <c r="I3" s="45"/>
      <c r="J3" s="44"/>
      <c r="K3" s="44"/>
      <c r="L3" s="44"/>
      <c r="P3" s="44"/>
    </row>
    <row r="4" spans="1:19" s="57" customFormat="1" ht="27" customHeight="1" x14ac:dyDescent="0.2">
      <c r="A4" s="51" t="s">
        <v>1894</v>
      </c>
      <c r="B4" s="51" t="s">
        <v>142</v>
      </c>
      <c r="C4" s="51" t="s">
        <v>2025</v>
      </c>
      <c r="D4" s="51" t="s">
        <v>2026</v>
      </c>
      <c r="E4" s="52" t="s">
        <v>2027</v>
      </c>
      <c r="F4" s="53" t="s">
        <v>2028</v>
      </c>
      <c r="G4" s="54" t="s">
        <v>2029</v>
      </c>
      <c r="H4" s="52" t="s">
        <v>2030</v>
      </c>
      <c r="I4" s="55" t="s">
        <v>2031</v>
      </c>
      <c r="J4" s="56" t="s">
        <v>2880</v>
      </c>
      <c r="K4" s="52" t="s">
        <v>2879</v>
      </c>
      <c r="L4" s="52" t="s">
        <v>5693</v>
      </c>
      <c r="M4" s="52" t="s">
        <v>2033</v>
      </c>
      <c r="N4" s="52" t="s">
        <v>1883</v>
      </c>
      <c r="O4" s="52" t="s">
        <v>2241</v>
      </c>
      <c r="P4" s="52" t="s">
        <v>2032</v>
      </c>
      <c r="S4" s="58"/>
    </row>
    <row r="5" spans="1:19" s="57" customFormat="1" x14ac:dyDescent="0.2">
      <c r="A5" s="90"/>
      <c r="B5" s="90"/>
      <c r="C5" s="90"/>
      <c r="D5" s="90"/>
      <c r="E5" s="91"/>
      <c r="F5" s="92"/>
      <c r="G5" s="93"/>
      <c r="H5" s="94"/>
      <c r="I5" s="95"/>
      <c r="J5" s="96"/>
      <c r="K5" s="94"/>
      <c r="L5" s="94"/>
      <c r="M5" s="94"/>
      <c r="N5" s="94"/>
      <c r="O5" s="94"/>
      <c r="P5" s="94"/>
      <c r="S5" s="58"/>
    </row>
    <row r="6" spans="1:19" ht="11.25" customHeight="1" x14ac:dyDescent="0.2">
      <c r="A6" s="106">
        <v>1</v>
      </c>
      <c r="B6" s="107" t="s">
        <v>2034</v>
      </c>
      <c r="C6" s="107" t="s">
        <v>2035</v>
      </c>
      <c r="D6" s="108" t="s">
        <v>2036</v>
      </c>
      <c r="E6" s="109" t="s">
        <v>2074</v>
      </c>
      <c r="F6" s="110"/>
      <c r="G6" s="84" t="s">
        <v>212</v>
      </c>
      <c r="H6" s="111" t="str">
        <f>IF($G6&lt;&gt;"",VLOOKUP($G6,'MASTER TOKO BALI'!$B$2:$W$744,2,FALSE),"")</f>
        <v>SILIGITA - BADUNG</v>
      </c>
      <c r="I6" s="237">
        <f>IF($G6&lt;&gt;"",VLOOKUP($G6,'MASTER TOKO BALI'!$B$2:$W$744,4,FALSE),"")</f>
        <v>346801712</v>
      </c>
      <c r="J6" s="112">
        <v>46266</v>
      </c>
      <c r="K6" s="111" t="str">
        <f>IF($G6&lt;&gt;"",VLOOKUP($G6,'MASTER TOKO BALI'!$B$2:$W$744,12,FALSE),"")</f>
        <v>Q3</v>
      </c>
      <c r="L6" s="111">
        <f>IF($G6&lt;&gt;"",VLOOKUP($G6,'MASTER TOKO BALI'!$B$2:$W$744,5,FALSE),"")</f>
        <v>2500000</v>
      </c>
      <c r="M6" s="106"/>
      <c r="N6" s="111" t="str">
        <f>IF($G6&lt;&gt;"",VLOOKUP($G6,'MASTER TOKO BALI'!$B$2:$W$744,21,FALSE),"")</f>
        <v>NON ZONA HITAM</v>
      </c>
      <c r="O6" s="106"/>
      <c r="P6" s="164" t="str">
        <f>IF($G6&lt;&gt;"",VLOOKUP($G6,'MASTER TOKO BALI'!$B$2:$W$740,7,FALSE),"")</f>
        <v>ARH</v>
      </c>
    </row>
    <row r="7" spans="1:19" ht="11.25" customHeight="1" x14ac:dyDescent="0.2">
      <c r="A7" s="106">
        <f t="shared" ref="A7:A29" si="0">A6+1</f>
        <v>2</v>
      </c>
      <c r="B7" s="107" t="s">
        <v>2038</v>
      </c>
      <c r="C7" s="107" t="s">
        <v>2035</v>
      </c>
      <c r="D7" s="113" t="s">
        <v>2039</v>
      </c>
      <c r="E7" s="109" t="s">
        <v>2074</v>
      </c>
      <c r="F7" s="110"/>
      <c r="G7" s="84" t="s">
        <v>171</v>
      </c>
      <c r="H7" s="111" t="str">
        <f>IF($G7&lt;&gt;"",VLOOKUP($G7,'MASTER TOKO BALI'!$B$2:$W$744,2,FALSE),"")</f>
        <v>PURI GADING - BADUNG</v>
      </c>
      <c r="I7" s="237">
        <f>IF($G7&lt;&gt;"",VLOOKUP($G7,'MASTER TOKO BALI'!$B$2:$W$744,4,FALSE),"")</f>
        <v>327518718</v>
      </c>
      <c r="J7" s="112">
        <v>46266</v>
      </c>
      <c r="K7" s="111" t="str">
        <f>IF($G7&lt;&gt;"",VLOOKUP($G7,'MASTER TOKO BALI'!$B$2:$W$744,12,FALSE),"")</f>
        <v>Q3</v>
      </c>
      <c r="L7" s="111">
        <f>IF($G7&lt;&gt;"",VLOOKUP($G7,'MASTER TOKO BALI'!$B$2:$W$744,5,FALSE),"")</f>
        <v>3000000</v>
      </c>
      <c r="M7" s="106"/>
      <c r="N7" s="111" t="str">
        <f>IF($G7&lt;&gt;"",VLOOKUP($G7,'MASTER TOKO BALI'!$B$2:$W$744,21,FALSE),"")</f>
        <v>NON ZONA HITAM</v>
      </c>
      <c r="O7" s="106"/>
      <c r="P7" s="164" t="str">
        <f>IF($G7&lt;&gt;"",VLOOKUP($G7,'MASTER TOKO BALI'!$B$2:$W$740,7,FALSE),"")</f>
        <v>DDY</v>
      </c>
    </row>
    <row r="8" spans="1:19" ht="11.25" customHeight="1" x14ac:dyDescent="0.2">
      <c r="A8" s="106">
        <f t="shared" si="0"/>
        <v>3</v>
      </c>
      <c r="B8" s="107" t="s">
        <v>2040</v>
      </c>
      <c r="C8" s="107" t="s">
        <v>2035</v>
      </c>
      <c r="D8" s="108" t="s">
        <v>2041</v>
      </c>
      <c r="E8" s="109" t="s">
        <v>2074</v>
      </c>
      <c r="F8" s="110"/>
      <c r="G8" s="84" t="s">
        <v>133</v>
      </c>
      <c r="H8" s="111" t="str">
        <f>IF($G8&lt;&gt;"",VLOOKUP($G8,'MASTER TOKO BALI'!$B$2:$W$744,2,FALSE),"")</f>
        <v>KUTA - BADUNG</v>
      </c>
      <c r="I8" s="237">
        <f>IF($G8&lt;&gt;"",VLOOKUP($G8,'MASTER TOKO BALI'!$B$2:$W$744,4,FALSE),"")</f>
        <v>295576035</v>
      </c>
      <c r="J8" s="112">
        <v>46266</v>
      </c>
      <c r="K8" s="111" t="str">
        <f>IF($G8&lt;&gt;"",VLOOKUP($G8,'MASTER TOKO BALI'!$B$2:$W$744,12,FALSE),"")</f>
        <v>Q3</v>
      </c>
      <c r="L8" s="111">
        <f>IF($G8&lt;&gt;"",VLOOKUP($G8,'MASTER TOKO BALI'!$B$2:$W$744,5,FALSE),"")</f>
        <v>2000000</v>
      </c>
      <c r="M8" s="106"/>
      <c r="N8" s="111" t="str">
        <f>IF($G8&lt;&gt;"",VLOOKUP($G8,'MASTER TOKO BALI'!$B$2:$W$744,21,FALSE),"")</f>
        <v>NON ZONA HITAM</v>
      </c>
      <c r="O8" s="106"/>
      <c r="P8" s="164" t="str">
        <f>IF($G8&lt;&gt;"",VLOOKUP($G8,'MASTER TOKO BALI'!$B$2:$W$740,7,FALSE),"")</f>
        <v>DMA</v>
      </c>
    </row>
    <row r="9" spans="1:19" ht="11.25" customHeight="1" x14ac:dyDescent="0.2">
      <c r="A9" s="106">
        <f t="shared" si="0"/>
        <v>4</v>
      </c>
      <c r="B9" s="107" t="s">
        <v>2038</v>
      </c>
      <c r="C9" s="107" t="s">
        <v>2035</v>
      </c>
      <c r="D9" s="113" t="s">
        <v>2039</v>
      </c>
      <c r="E9" s="109" t="s">
        <v>2074</v>
      </c>
      <c r="F9" s="59"/>
      <c r="G9" s="84" t="s">
        <v>127</v>
      </c>
      <c r="H9" s="111" t="str">
        <f>IF($G9&lt;&gt;"",VLOOKUP($G9,'MASTER TOKO BALI'!$B$2:$W$744,2,FALSE),"")</f>
        <v>YCG.NAKULA 93 - BADUNG</v>
      </c>
      <c r="I9" s="237">
        <f>IF($G9&lt;&gt;"",VLOOKUP($G9,'MASTER TOKO BALI'!$B$2:$W$744,4,FALSE),"")</f>
        <v>448923703</v>
      </c>
      <c r="J9" s="112">
        <v>46266</v>
      </c>
      <c r="K9" s="111" t="str">
        <f>IF($G9&lt;&gt;"",VLOOKUP($G9,'MASTER TOKO BALI'!$B$2:$W$744,12,FALSE),"")</f>
        <v>Q3</v>
      </c>
      <c r="L9" s="111">
        <f>IF($G9&lt;&gt;"",VLOOKUP($G9,'MASTER TOKO BALI'!$B$2:$W$744,5,FALSE),"")</f>
        <v>2000000</v>
      </c>
      <c r="M9" s="106"/>
      <c r="N9" s="111" t="str">
        <f>IF($G9&lt;&gt;"",VLOOKUP($G9,'MASTER TOKO BALI'!$B$2:$W$744,21,FALSE),"")</f>
        <v>NON ZONA HITAM</v>
      </c>
      <c r="O9" s="106"/>
      <c r="P9" s="164" t="str">
        <f>IF($G9&lt;&gt;"",VLOOKUP($G9,'MASTER TOKO BALI'!$B$2:$W$740,7,FALSE),"")</f>
        <v>NHY</v>
      </c>
    </row>
    <row r="10" spans="1:19" ht="11.25" customHeight="1" x14ac:dyDescent="0.3">
      <c r="A10" s="106">
        <f t="shared" si="0"/>
        <v>5</v>
      </c>
      <c r="B10" s="107" t="s">
        <v>2042</v>
      </c>
      <c r="C10" s="107" t="s">
        <v>2043</v>
      </c>
      <c r="D10" s="108" t="s">
        <v>2044</v>
      </c>
      <c r="E10" s="109" t="s">
        <v>2074</v>
      </c>
      <c r="F10" s="110"/>
      <c r="G10" s="162" t="s">
        <v>39</v>
      </c>
      <c r="H10" s="111" t="str">
        <f>IF($G10&lt;&gt;"",VLOOKUP($G10,'MASTER TOKO BALI'!$B$2:$W$744,2,FALSE),"")</f>
        <v>YEH GANGGA SUDIMARA_TABANAN</v>
      </c>
      <c r="I10" s="237">
        <f>IF($G10&lt;&gt;"",VLOOKUP($G10,'MASTER TOKO BALI'!$B$2:$W$744,4,FALSE),"")</f>
        <v>384207357</v>
      </c>
      <c r="J10" s="112">
        <v>46266</v>
      </c>
      <c r="K10" s="111" t="str">
        <f>IF($G10&lt;&gt;"",VLOOKUP($G10,'MASTER TOKO BALI'!$B$2:$W$744,12,FALSE),"")</f>
        <v>Q3</v>
      </c>
      <c r="L10" s="111">
        <f>IF($G10&lt;&gt;"",VLOOKUP($G10,'MASTER TOKO BALI'!$B$2:$W$744,5,FALSE),"")</f>
        <v>2000000</v>
      </c>
      <c r="M10" s="106"/>
      <c r="N10" s="111" t="str">
        <f>IF($G10&lt;&gt;"",VLOOKUP($G10,'MASTER TOKO BALI'!$B$2:$W$744,21,FALSE),"")</f>
        <v>NON ZONA HITAM</v>
      </c>
      <c r="O10" s="106"/>
      <c r="P10" s="164" t="str">
        <f>IF($G10&lt;&gt;"",VLOOKUP($G10,'MASTER TOKO BALI'!$B$2:$W$740,7,FALSE),"")</f>
        <v>INP</v>
      </c>
    </row>
    <row r="11" spans="1:19" ht="11.25" customHeight="1" x14ac:dyDescent="0.2">
      <c r="A11" s="106">
        <f t="shared" si="0"/>
        <v>6</v>
      </c>
      <c r="B11" s="107" t="s">
        <v>2038</v>
      </c>
      <c r="C11" s="107" t="s">
        <v>2043</v>
      </c>
      <c r="D11" s="113" t="s">
        <v>2045</v>
      </c>
      <c r="E11" s="109" t="s">
        <v>2074</v>
      </c>
      <c r="F11" s="110"/>
      <c r="G11" s="84" t="s">
        <v>114</v>
      </c>
      <c r="H11" s="111" t="str">
        <f>IF($G11&lt;&gt;"",VLOOKUP($G11,'MASTER TOKO BALI'!$B$2:$W$744,2,FALSE),"")</f>
        <v>PANDAK BANDUNG - TABANAN</v>
      </c>
      <c r="I11" s="237">
        <f>IF($G11&lt;&gt;"",VLOOKUP($G11,'MASTER TOKO BALI'!$B$2:$W$744,4,FALSE),"")</f>
        <v>332707225</v>
      </c>
      <c r="J11" s="112">
        <v>46266</v>
      </c>
      <c r="K11" s="111" t="str">
        <f>IF($G11&lt;&gt;"",VLOOKUP($G11,'MASTER TOKO BALI'!$B$2:$W$744,12,FALSE),"")</f>
        <v>Q3</v>
      </c>
      <c r="L11" s="111">
        <f>IF($G11&lt;&gt;"",VLOOKUP($G11,'MASTER TOKO BALI'!$B$2:$W$744,5,FALSE),"")</f>
        <v>2500000</v>
      </c>
      <c r="M11" s="106"/>
      <c r="N11" s="111" t="str">
        <f>IF($G11&lt;&gt;"",VLOOKUP($G11,'MASTER TOKO BALI'!$B$2:$W$744,21,FALSE),"")</f>
        <v>NON ZONA HITAM</v>
      </c>
      <c r="O11" s="106"/>
      <c r="P11" s="164" t="str">
        <f>IF($G11&lt;&gt;"",VLOOKUP($G11,'MASTER TOKO BALI'!$B$2:$W$740,7,FALSE),"")</f>
        <v>ERI</v>
      </c>
    </row>
    <row r="12" spans="1:19" ht="11.25" customHeight="1" x14ac:dyDescent="0.2">
      <c r="A12" s="106">
        <f t="shared" si="0"/>
        <v>7</v>
      </c>
      <c r="B12" s="107" t="s">
        <v>2046</v>
      </c>
      <c r="C12" s="107" t="s">
        <v>2043</v>
      </c>
      <c r="D12" s="108" t="s">
        <v>2047</v>
      </c>
      <c r="E12" s="109" t="s">
        <v>2074</v>
      </c>
      <c r="F12" s="110"/>
      <c r="G12" s="84" t="s">
        <v>130</v>
      </c>
      <c r="H12" s="111" t="str">
        <f>IF($G12&lt;&gt;"",VLOOKUP($G12,'MASTER TOKO BALI'!$B$2:$W$744,2,FALSE),"")</f>
        <v>SURABRATA - TABANAN</v>
      </c>
      <c r="I12" s="237">
        <f>IF($G12&lt;&gt;"",VLOOKUP($G12,'MASTER TOKO BALI'!$B$2:$W$744,4,FALSE),"")</f>
        <v>460612111</v>
      </c>
      <c r="J12" s="112">
        <v>46266</v>
      </c>
      <c r="K12" s="111" t="str">
        <f>IF($G12&lt;&gt;"",VLOOKUP($G12,'MASTER TOKO BALI'!$B$2:$W$744,12,FALSE),"")</f>
        <v>Q3</v>
      </c>
      <c r="L12" s="111">
        <f>IF($G12&lt;&gt;"",VLOOKUP($G12,'MASTER TOKO BALI'!$B$2:$W$744,5,FALSE),"")</f>
        <v>3000000</v>
      </c>
      <c r="M12" s="106"/>
      <c r="N12" s="111" t="str">
        <f>IF($G12&lt;&gt;"",VLOOKUP($G12,'MASTER TOKO BALI'!$B$2:$W$744,21,FALSE),"")</f>
        <v>NON ZONA HITAM</v>
      </c>
      <c r="O12" s="106"/>
      <c r="P12" s="164" t="str">
        <f>IF($G12&lt;&gt;"",VLOOKUP($G12,'MASTER TOKO BALI'!$B$2:$W$740,7,FALSE),"")</f>
        <v>GNA</v>
      </c>
    </row>
    <row r="13" spans="1:19" ht="11.25" customHeight="1" x14ac:dyDescent="0.2">
      <c r="A13" s="106">
        <f t="shared" si="0"/>
        <v>8</v>
      </c>
      <c r="B13" s="107" t="s">
        <v>2038</v>
      </c>
      <c r="C13" s="107" t="s">
        <v>2043</v>
      </c>
      <c r="D13" s="113" t="s">
        <v>2045</v>
      </c>
      <c r="E13" s="109" t="s">
        <v>2074</v>
      </c>
      <c r="F13" s="110"/>
      <c r="G13" s="84" t="s">
        <v>1101</v>
      </c>
      <c r="H13" s="111" t="str">
        <f>IF($G13&lt;&gt;"",VLOOKUP($G13,'MASTER TOKO BALI'!$B$2:$W$744,2,FALSE),"")</f>
        <v>ANTOSARI - TABANAN</v>
      </c>
      <c r="I13" s="237">
        <f>IF($G13&lt;&gt;"",VLOOKUP($G13,'MASTER TOKO BALI'!$B$2:$W$744,4,FALSE),"")</f>
        <v>370556278</v>
      </c>
      <c r="J13" s="112">
        <v>46266</v>
      </c>
      <c r="K13" s="111" t="str">
        <f>IF($G13&lt;&gt;"",VLOOKUP($G13,'MASTER TOKO BALI'!$B$2:$W$744,12,FALSE),"")</f>
        <v>M</v>
      </c>
      <c r="L13" s="111">
        <f>IF($G13&lt;&gt;"",VLOOKUP($G13,'MASTER TOKO BALI'!$B$2:$W$744,5,FALSE),"")</f>
        <v>2000000</v>
      </c>
      <c r="M13" s="106"/>
      <c r="N13" s="111" t="str">
        <f>IF($G13&lt;&gt;"",VLOOKUP($G13,'MASTER TOKO BALI'!$B$2:$W$744,21,FALSE),"")</f>
        <v>NON ZONA HITAM</v>
      </c>
      <c r="O13" s="106"/>
      <c r="P13" s="164" t="str">
        <f>IF($G13&lt;&gt;"",VLOOKUP($G13,'MASTER TOKO BALI'!$B$2:$W$740,7,FALSE),"")</f>
        <v>GNA</v>
      </c>
    </row>
    <row r="14" spans="1:19" ht="11.25" customHeight="1" x14ac:dyDescent="0.2">
      <c r="A14" s="106">
        <f t="shared" si="0"/>
        <v>9</v>
      </c>
      <c r="B14" s="107" t="s">
        <v>2048</v>
      </c>
      <c r="C14" s="107" t="s">
        <v>2049</v>
      </c>
      <c r="D14" s="108" t="s">
        <v>2050</v>
      </c>
      <c r="E14" s="109" t="s">
        <v>2074</v>
      </c>
      <c r="F14" s="110"/>
      <c r="G14" s="84" t="s">
        <v>1400</v>
      </c>
      <c r="H14" s="111" t="str">
        <f>IF($G14&lt;&gt;"",VLOOKUP($G14,'MASTER TOKO BALI'!$B$2:$W$744,2,FALSE),"")</f>
        <v>PALGUNA NO 101X-GYR</v>
      </c>
      <c r="I14" s="237">
        <f>IF($G14&lt;&gt;"",VLOOKUP($G14,'MASTER TOKO BALI'!$B$2:$W$744,4,FALSE),"")</f>
        <v>356731825</v>
      </c>
      <c r="J14" s="112">
        <v>46266</v>
      </c>
      <c r="K14" s="111" t="str">
        <f>IF($G14&lt;&gt;"",VLOOKUP($G14,'MASTER TOKO BALI'!$B$2:$W$744,12,FALSE),"")</f>
        <v>M</v>
      </c>
      <c r="L14" s="111">
        <f>IF($G14&lt;&gt;"",VLOOKUP($G14,'MASTER TOKO BALI'!$B$2:$W$744,5,FALSE),"")</f>
        <v>2500000</v>
      </c>
      <c r="M14" s="106"/>
      <c r="N14" s="111" t="str">
        <f>IF($G14&lt;&gt;"",VLOOKUP($G14,'MASTER TOKO BALI'!$B$2:$W$744,21,FALSE),"")</f>
        <v>NON ZONA HITAM</v>
      </c>
      <c r="O14" s="106"/>
      <c r="P14" s="164" t="str">
        <f>IF($G14&lt;&gt;"",VLOOKUP($G14,'MASTER TOKO BALI'!$B$2:$W$740,7,FALSE),"")</f>
        <v>IPM</v>
      </c>
    </row>
    <row r="15" spans="1:19" ht="11.25" customHeight="1" x14ac:dyDescent="0.2">
      <c r="A15" s="106">
        <f t="shared" si="0"/>
        <v>10</v>
      </c>
      <c r="B15" s="107" t="s">
        <v>2038</v>
      </c>
      <c r="C15" s="107" t="s">
        <v>2049</v>
      </c>
      <c r="D15" s="115" t="s">
        <v>2051</v>
      </c>
      <c r="E15" s="109" t="s">
        <v>2074</v>
      </c>
      <c r="F15" s="110"/>
      <c r="G15" s="84" t="s">
        <v>1398</v>
      </c>
      <c r="H15" s="111" t="str">
        <f>IF($G15&lt;&gt;"",VLOOKUP($G15,'MASTER TOKO BALI'!$B$2:$W$744,2,FALSE),"")</f>
        <v>BATU BULAN 2 - GIANYAR</v>
      </c>
      <c r="I15" s="237">
        <f>IF($G15&lt;&gt;"",VLOOKUP($G15,'MASTER TOKO BALI'!$B$2:$W$744,4,FALSE),"")</f>
        <v>373193234</v>
      </c>
      <c r="J15" s="112">
        <v>46266</v>
      </c>
      <c r="K15" s="111" t="str">
        <f>IF($G15&lt;&gt;"",VLOOKUP($G15,'MASTER TOKO BALI'!$B$2:$W$744,12,FALSE),"")</f>
        <v>M</v>
      </c>
      <c r="L15" s="111">
        <f>IF($G15&lt;&gt;"",VLOOKUP($G15,'MASTER TOKO BALI'!$B$2:$W$744,5,FALSE),"")</f>
        <v>2500000</v>
      </c>
      <c r="M15" s="106"/>
      <c r="N15" s="111" t="str">
        <f>IF($G15&lt;&gt;"",VLOOKUP($G15,'MASTER TOKO BALI'!$B$2:$W$744,21,FALSE),"")</f>
        <v>NON ZONA HITAM</v>
      </c>
      <c r="O15" s="106"/>
      <c r="P15" s="164" t="str">
        <f>IF($G15&lt;&gt;"",VLOOKUP($G15,'MASTER TOKO BALI'!$B$2:$W$740,7,FALSE),"")</f>
        <v>IPM</v>
      </c>
    </row>
    <row r="16" spans="1:19" ht="13.8" x14ac:dyDescent="0.2">
      <c r="A16" s="106">
        <f t="shared" si="0"/>
        <v>11</v>
      </c>
      <c r="B16" s="107" t="s">
        <v>2052</v>
      </c>
      <c r="C16" s="107" t="s">
        <v>2049</v>
      </c>
      <c r="D16" s="108" t="s">
        <v>2053</v>
      </c>
      <c r="E16" s="109" t="s">
        <v>2074</v>
      </c>
      <c r="F16" s="110"/>
      <c r="G16" s="84" t="s">
        <v>224</v>
      </c>
      <c r="H16" s="111" t="str">
        <f>IF($G16&lt;&gt;"",VLOOKUP($G16,'MASTER TOKO BALI'!$B$2:$W$744,2,FALSE),"")</f>
        <v>CANGI - GIANYAR</v>
      </c>
      <c r="I16" s="237">
        <f>IF($G16&lt;&gt;"",VLOOKUP($G16,'MASTER TOKO BALI'!$B$2:$W$744,4,FALSE),"")</f>
        <v>363354534</v>
      </c>
      <c r="J16" s="112">
        <v>46266</v>
      </c>
      <c r="K16" s="111" t="str">
        <f>IF($G16&lt;&gt;"",VLOOKUP($G16,'MASTER TOKO BALI'!$B$2:$W$744,12,FALSE),"")</f>
        <v>Q3</v>
      </c>
      <c r="L16" s="111">
        <f>IF($G16&lt;&gt;"",VLOOKUP($G16,'MASTER TOKO BALI'!$B$2:$W$744,5,FALSE),"")</f>
        <v>2000000</v>
      </c>
      <c r="M16" s="106"/>
      <c r="N16" s="111" t="str">
        <f>IF($G16&lt;&gt;"",VLOOKUP($G16,'MASTER TOKO BALI'!$B$2:$W$744,21,FALSE),"")</f>
        <v>NON ZONA HITAM</v>
      </c>
      <c r="O16" s="106"/>
      <c r="P16" s="164" t="str">
        <f>IF($G16&lt;&gt;"",VLOOKUP($G16,'MASTER TOKO BALI'!$B$2:$W$740,7,FALSE),"")</f>
        <v>MRS</v>
      </c>
    </row>
    <row r="17" spans="1:16" ht="13.8" x14ac:dyDescent="0.2">
      <c r="A17" s="106">
        <f t="shared" si="0"/>
        <v>12</v>
      </c>
      <c r="B17" s="107" t="s">
        <v>2038</v>
      </c>
      <c r="C17" s="107" t="s">
        <v>2049</v>
      </c>
      <c r="D17" s="113" t="s">
        <v>2051</v>
      </c>
      <c r="E17" s="109" t="s">
        <v>2074</v>
      </c>
      <c r="F17" s="110"/>
      <c r="G17" s="84" t="s">
        <v>221</v>
      </c>
      <c r="H17" s="111" t="str">
        <f>IF($G17&lt;&gt;"",VLOOKUP($G17,'MASTER TOKO BALI'!$B$2:$W$744,2,FALSE),"")</f>
        <v>SMKI NO.46 GIANYAR</v>
      </c>
      <c r="I17" s="237">
        <f>IF($G17&lt;&gt;"",VLOOKUP($G17,'MASTER TOKO BALI'!$B$2:$W$744,4,FALSE),"")</f>
        <v>421809650</v>
      </c>
      <c r="J17" s="112">
        <v>46266</v>
      </c>
      <c r="K17" s="111" t="str">
        <f>IF($G17&lt;&gt;"",VLOOKUP($G17,'MASTER TOKO BALI'!$B$2:$W$744,12,FALSE),"")</f>
        <v>Q3</v>
      </c>
      <c r="L17" s="111">
        <f>IF($G17&lt;&gt;"",VLOOKUP($G17,'MASTER TOKO BALI'!$B$2:$W$744,5,FALSE),"")</f>
        <v>2000000</v>
      </c>
      <c r="M17" s="106"/>
      <c r="N17" s="111" t="str">
        <f>IF($G17&lt;&gt;"",VLOOKUP($G17,'MASTER TOKO BALI'!$B$2:$W$744,21,FALSE),"")</f>
        <v>NON ZONA HITAM</v>
      </c>
      <c r="O17" s="106"/>
      <c r="P17" s="164" t="str">
        <f>IF($G17&lt;&gt;"",VLOOKUP($G17,'MASTER TOKO BALI'!$B$2:$W$740,7,FALSE),"")</f>
        <v>IPM</v>
      </c>
    </row>
    <row r="18" spans="1:16" ht="11.25" customHeight="1" x14ac:dyDescent="0.2">
      <c r="A18" s="106">
        <f t="shared" si="0"/>
        <v>13</v>
      </c>
      <c r="B18" s="107" t="s">
        <v>2054</v>
      </c>
      <c r="C18" s="116" t="s">
        <v>2055</v>
      </c>
      <c r="D18" s="108" t="s">
        <v>2056</v>
      </c>
      <c r="E18" s="109" t="s">
        <v>2074</v>
      </c>
      <c r="F18" s="110"/>
      <c r="G18" s="84" t="s">
        <v>166</v>
      </c>
      <c r="H18" s="111" t="str">
        <f>IF($G18&lt;&gt;"",VLOOKUP($G18,'MASTER TOKO BALI'!$B$2:$W$744,2,FALSE),"")</f>
        <v>YCG.TUNJUNG KAPAL DUA - BDG</v>
      </c>
      <c r="I18" s="237">
        <f>IF($G18&lt;&gt;"",VLOOKUP($G18,'MASTER TOKO BALI'!$B$2:$W$744,4,FALSE),"")</f>
        <v>490303666</v>
      </c>
      <c r="J18" s="112">
        <v>46266</v>
      </c>
      <c r="K18" s="111" t="str">
        <f>IF($G18&lt;&gt;"",VLOOKUP($G18,'MASTER TOKO BALI'!$B$2:$W$744,12,FALSE),"")</f>
        <v>Q3</v>
      </c>
      <c r="L18" s="111">
        <f>IF($G18&lt;&gt;"",VLOOKUP($G18,'MASTER TOKO BALI'!$B$2:$W$744,5,FALSE),"")</f>
        <v>2500000</v>
      </c>
      <c r="M18" s="106"/>
      <c r="N18" s="111" t="str">
        <f>IF($G18&lt;&gt;"",VLOOKUP($G18,'MASTER TOKO BALI'!$B$2:$W$744,21,FALSE),"")</f>
        <v>NON ZONA HITAM</v>
      </c>
      <c r="O18" s="106"/>
      <c r="P18" s="164" t="str">
        <f>IF($G18&lt;&gt;"",VLOOKUP($G18,'MASTER TOKO BALI'!$B$2:$W$740,7,FALSE),"")</f>
        <v>JSR</v>
      </c>
    </row>
    <row r="19" spans="1:16" ht="11.25" customHeight="1" x14ac:dyDescent="0.2">
      <c r="A19" s="106">
        <f t="shared" si="0"/>
        <v>14</v>
      </c>
      <c r="B19" s="107" t="s">
        <v>2038</v>
      </c>
      <c r="C19" s="116" t="s">
        <v>2055</v>
      </c>
      <c r="D19" s="113" t="s">
        <v>2057</v>
      </c>
      <c r="E19" s="109" t="s">
        <v>2074</v>
      </c>
      <c r="F19" s="110"/>
      <c r="G19" s="84" t="s">
        <v>142</v>
      </c>
      <c r="H19" s="111" t="str">
        <f>IF($G19&lt;&gt;"",VLOOKUP($G19,'MASTER TOKO BALI'!$B$2:$W$744,2,FALSE),"")</f>
        <v>BANJAR KANCIL - BADUNG</v>
      </c>
      <c r="I19" s="237">
        <f>IF($G19&lt;&gt;"",VLOOKUP($G19,'MASTER TOKO BALI'!$B$2:$W$744,4,FALSE),"")</f>
        <v>436078547</v>
      </c>
      <c r="J19" s="112">
        <v>46266</v>
      </c>
      <c r="K19" s="111" t="str">
        <f>IF($G19&lt;&gt;"",VLOOKUP($G19,'MASTER TOKO BALI'!$B$2:$W$744,12,FALSE),"")</f>
        <v>Q3</v>
      </c>
      <c r="L19" s="111">
        <f>IF($G19&lt;&gt;"",VLOOKUP($G19,'MASTER TOKO BALI'!$B$2:$W$744,5,FALSE),"")</f>
        <v>3000000</v>
      </c>
      <c r="M19" s="106"/>
      <c r="N19" s="111" t="str">
        <f>IF($G19&lt;&gt;"",VLOOKUP($G19,'MASTER TOKO BALI'!$B$2:$W$744,21,FALSE),"")</f>
        <v>NON ZONA HITAM</v>
      </c>
      <c r="O19" s="106"/>
      <c r="P19" s="164" t="str">
        <f>IF($G19&lt;&gt;"",VLOOKUP($G19,'MASTER TOKO BALI'!$B$2:$W$740,7,FALSE),"")</f>
        <v>BAS</v>
      </c>
    </row>
    <row r="20" spans="1:16" ht="11.25" customHeight="1" x14ac:dyDescent="0.2">
      <c r="A20" s="106">
        <f t="shared" si="0"/>
        <v>15</v>
      </c>
      <c r="B20" s="107" t="s">
        <v>2058</v>
      </c>
      <c r="C20" s="116" t="s">
        <v>2055</v>
      </c>
      <c r="D20" s="108" t="s">
        <v>2059</v>
      </c>
      <c r="E20" s="109" t="s">
        <v>2074</v>
      </c>
      <c r="F20" s="110"/>
      <c r="G20" s="84" t="s">
        <v>197</v>
      </c>
      <c r="H20" s="111" t="str">
        <f>IF($G20&lt;&gt;"",VLOOKUP($G20,'MASTER TOKO BALI'!$B$2:$W$744,2,FALSE),"")</f>
        <v>CARANGSARI - BADUNG</v>
      </c>
      <c r="I20" s="237">
        <f>IF($G20&lt;&gt;"",VLOOKUP($G20,'MASTER TOKO BALI'!$B$2:$W$744,4,FALSE),"")</f>
        <v>398563444</v>
      </c>
      <c r="J20" s="112">
        <v>46266</v>
      </c>
      <c r="K20" s="111" t="str">
        <f>IF($G20&lt;&gt;"",VLOOKUP($G20,'MASTER TOKO BALI'!$B$2:$W$744,12,FALSE),"")</f>
        <v>Q3</v>
      </c>
      <c r="L20" s="111">
        <f>IF($G20&lt;&gt;"",VLOOKUP($G20,'MASTER TOKO BALI'!$B$2:$W$744,5,FALSE),"")</f>
        <v>2000000</v>
      </c>
      <c r="M20" s="106"/>
      <c r="N20" s="111" t="str">
        <f>IF($G20&lt;&gt;"",VLOOKUP($G20,'MASTER TOKO BALI'!$B$2:$W$744,21,FALSE),"")</f>
        <v>NON ZONA HITAM</v>
      </c>
      <c r="O20" s="106"/>
      <c r="P20" s="164" t="str">
        <f>IF($G20&lt;&gt;"",VLOOKUP($G20,'MASTER TOKO BALI'!$B$2:$W$740,7,FALSE),"")</f>
        <v>IWS</v>
      </c>
    </row>
    <row r="21" spans="1:16" ht="11.25" customHeight="1" x14ac:dyDescent="0.2">
      <c r="A21" s="106">
        <f t="shared" si="0"/>
        <v>16</v>
      </c>
      <c r="B21" s="107" t="s">
        <v>2038</v>
      </c>
      <c r="C21" s="116" t="s">
        <v>2055</v>
      </c>
      <c r="D21" s="113" t="s">
        <v>2057</v>
      </c>
      <c r="E21" s="109" t="s">
        <v>2074</v>
      </c>
      <c r="F21" s="110"/>
      <c r="G21" s="84" t="s">
        <v>185</v>
      </c>
      <c r="H21" s="111" t="str">
        <f>IF($G21&lt;&gt;"",VLOOKUP($G21,'MASTER TOKO BALI'!$B$2:$W$744,2,FALSE),"")</f>
        <v>JANGER - BADUNG</v>
      </c>
      <c r="I21" s="237">
        <f>IF($G21&lt;&gt;"",VLOOKUP($G21,'MASTER TOKO BALI'!$B$2:$W$744,4,FALSE),"")</f>
        <v>426548553</v>
      </c>
      <c r="J21" s="112">
        <v>46266</v>
      </c>
      <c r="K21" s="111" t="str">
        <f>IF($G21&lt;&gt;"",VLOOKUP($G21,'MASTER TOKO BALI'!$B$2:$W$744,12,FALSE),"")</f>
        <v>Q3</v>
      </c>
      <c r="L21" s="111">
        <f>IF($G21&lt;&gt;"",VLOOKUP($G21,'MASTER TOKO BALI'!$B$2:$W$744,5,FALSE),"")</f>
        <v>2000000</v>
      </c>
      <c r="M21" s="106"/>
      <c r="N21" s="111" t="str">
        <f>IF($G21&lt;&gt;"",VLOOKUP($G21,'MASTER TOKO BALI'!$B$2:$W$744,21,FALSE),"")</f>
        <v>NON ZONA HITAM</v>
      </c>
      <c r="O21" s="106"/>
      <c r="P21" s="164" t="str">
        <f>IF($G21&lt;&gt;"",VLOOKUP($G21,'MASTER TOKO BALI'!$B$2:$W$740,7,FALSE),"")</f>
        <v>IWS</v>
      </c>
    </row>
    <row r="22" spans="1:16" ht="11.25" customHeight="1" x14ac:dyDescent="0.2">
      <c r="A22" s="106">
        <f t="shared" si="0"/>
        <v>17</v>
      </c>
      <c r="B22" s="107" t="s">
        <v>2060</v>
      </c>
      <c r="C22" s="116" t="s">
        <v>2061</v>
      </c>
      <c r="D22" s="108" t="s">
        <v>2062</v>
      </c>
      <c r="E22" s="109" t="s">
        <v>2074</v>
      </c>
      <c r="F22" s="110"/>
      <c r="G22" s="84" t="s">
        <v>1377</v>
      </c>
      <c r="H22" s="111" t="str">
        <f>IF($G22&lt;&gt;"",VLOOKUP($G22,'MASTER TOKO BALI'!$B$2:$W$744,2,FALSE),"")</f>
        <v>PC.PC.AHMAD YANI - DENPASAR</v>
      </c>
      <c r="I22" s="237">
        <f>IF($G22&lt;&gt;"",VLOOKUP($G22,'MASTER TOKO BALI'!$B$2:$W$744,4,FALSE),"")</f>
        <v>596117599</v>
      </c>
      <c r="J22" s="112">
        <v>46266</v>
      </c>
      <c r="K22" s="111" t="str">
        <f>IF($G22&lt;&gt;"",VLOOKUP($G22,'MASTER TOKO BALI'!$B$2:$W$744,12,FALSE),"")</f>
        <v>M</v>
      </c>
      <c r="L22" s="111">
        <f>IF($G22&lt;&gt;"",VLOOKUP($G22,'MASTER TOKO BALI'!$B$2:$W$744,5,FALSE),"")</f>
        <v>3500000</v>
      </c>
      <c r="M22" s="106"/>
      <c r="N22" s="111" t="str">
        <f>IF($G22&lt;&gt;"",VLOOKUP($G22,'MASTER TOKO BALI'!$B$2:$W$744,21,FALSE),"")</f>
        <v>NON ZONA HITAM</v>
      </c>
      <c r="O22" s="106"/>
      <c r="P22" s="164" t="str">
        <f>IF($G22&lt;&gt;"",VLOOKUP($G22,'MASTER TOKO BALI'!$B$2:$W$740,7,FALSE),"")</f>
        <v>MAS</v>
      </c>
    </row>
    <row r="23" spans="1:16" ht="11.25" customHeight="1" x14ac:dyDescent="0.2">
      <c r="A23" s="106">
        <f t="shared" si="0"/>
        <v>18</v>
      </c>
      <c r="B23" s="107" t="s">
        <v>2038</v>
      </c>
      <c r="C23" s="116" t="s">
        <v>2061</v>
      </c>
      <c r="D23" s="113" t="s">
        <v>2063</v>
      </c>
      <c r="E23" s="109" t="s">
        <v>2074</v>
      </c>
      <c r="F23" s="110"/>
      <c r="G23" s="84" t="s">
        <v>96</v>
      </c>
      <c r="H23" s="111" t="str">
        <f>IF($G23&lt;&gt;"",VLOOKUP($G23,'MASTER TOKO BALI'!$B$2:$W$744,2,FALSE),"")</f>
        <v>SIULAN-DPS</v>
      </c>
      <c r="I23" s="237">
        <f>IF($G23&lt;&gt;"",VLOOKUP($G23,'MASTER TOKO BALI'!$B$2:$W$744,4,FALSE),"")</f>
        <v>427510010</v>
      </c>
      <c r="J23" s="112">
        <v>46266</v>
      </c>
      <c r="K23" s="111" t="str">
        <f>IF($G23&lt;&gt;"",VLOOKUP($G23,'MASTER TOKO BALI'!$B$2:$W$744,12,FALSE),"")</f>
        <v>Q3</v>
      </c>
      <c r="L23" s="111">
        <f>IF($G23&lt;&gt;"",VLOOKUP($G23,'MASTER TOKO BALI'!$B$2:$W$744,5,FALSE),"")</f>
        <v>2000000</v>
      </c>
      <c r="M23" s="106"/>
      <c r="N23" s="111" t="str">
        <f>IF($G23&lt;&gt;"",VLOOKUP($G23,'MASTER TOKO BALI'!$B$2:$W$744,21,FALSE),"")</f>
        <v>NON ZONA HITAM</v>
      </c>
      <c r="O23" s="106"/>
      <c r="P23" s="164" t="str">
        <f>IF($G23&lt;&gt;"",VLOOKUP($G23,'MASTER TOKO BALI'!$B$2:$W$740,7,FALSE),"")</f>
        <v>AMP</v>
      </c>
    </row>
    <row r="24" spans="1:16" ht="11.25" customHeight="1" x14ac:dyDescent="0.2">
      <c r="A24" s="106">
        <f t="shared" si="0"/>
        <v>19</v>
      </c>
      <c r="B24" s="107" t="s">
        <v>2064</v>
      </c>
      <c r="C24" s="116" t="s">
        <v>2061</v>
      </c>
      <c r="D24" s="108" t="s">
        <v>2065</v>
      </c>
      <c r="E24" s="109" t="s">
        <v>2074</v>
      </c>
      <c r="F24" s="110"/>
      <c r="G24" s="84" t="s">
        <v>1372</v>
      </c>
      <c r="H24" s="111" t="str">
        <f>IF($G24&lt;&gt;"",VLOOKUP($G24,'MASTER TOKO BALI'!$B$2:$W$744,2,FALSE),"")</f>
        <v>PC.PC.DIPONEGORO_DPS</v>
      </c>
      <c r="I24" s="237">
        <f>IF($G24&lt;&gt;"",VLOOKUP($G24,'MASTER TOKO BALI'!$B$2:$W$744,4,FALSE),"")</f>
        <v>511623137</v>
      </c>
      <c r="J24" s="112">
        <v>46266</v>
      </c>
      <c r="K24" s="111" t="str">
        <f>IF($G24&lt;&gt;"",VLOOKUP($G24,'MASTER TOKO BALI'!$B$2:$W$744,12,FALSE),"")</f>
        <v>M</v>
      </c>
      <c r="L24" s="111">
        <f>IF($G24&lt;&gt;"",VLOOKUP($G24,'MASTER TOKO BALI'!$B$2:$W$744,5,FALSE),"")</f>
        <v>4000000</v>
      </c>
      <c r="M24" s="106"/>
      <c r="N24" s="111" t="str">
        <f>IF($G24&lt;&gt;"",VLOOKUP($G24,'MASTER TOKO BALI'!$B$2:$W$744,21,FALSE),"")</f>
        <v>NON ZONA HITAM</v>
      </c>
      <c r="O24" s="106"/>
      <c r="P24" s="164" t="str">
        <f>IF($G24&lt;&gt;"",VLOOKUP($G24,'MASTER TOKO BALI'!$B$2:$W$740,7,FALSE),"")</f>
        <v>MRI</v>
      </c>
    </row>
    <row r="25" spans="1:16" ht="11.25" customHeight="1" x14ac:dyDescent="0.2">
      <c r="A25" s="106">
        <f t="shared" si="0"/>
        <v>20</v>
      </c>
      <c r="B25" s="107" t="s">
        <v>2066</v>
      </c>
      <c r="C25" s="116" t="s">
        <v>2061</v>
      </c>
      <c r="D25" s="113" t="s">
        <v>2063</v>
      </c>
      <c r="E25" s="109" t="s">
        <v>2074</v>
      </c>
      <c r="F25" s="110"/>
      <c r="G25" s="163"/>
      <c r="H25" s="111" t="str">
        <f>IF($G25&lt;&gt;"",VLOOKUP($G25,'MASTER TOKO BALI'!$B$2:$W$744,2,FALSE),"")</f>
        <v/>
      </c>
      <c r="I25" s="237" t="str">
        <f>IF($G25&lt;&gt;"",VLOOKUP($G25,'MASTER TOKO BALI'!$B$2:$W$744,4,FALSE),"")</f>
        <v/>
      </c>
      <c r="J25" s="112">
        <v>46266</v>
      </c>
      <c r="K25" s="111" t="str">
        <f>IF($G25&lt;&gt;"",VLOOKUP($G25,'MASTER TOKO BALI'!$B$2:$W$744,12,FALSE),"")</f>
        <v/>
      </c>
      <c r="L25" s="111" t="str">
        <f>IF($G25&lt;&gt;"",VLOOKUP($G25,'MASTER TOKO BALI'!$B$2:$W$744,5,FALSE),"")</f>
        <v/>
      </c>
      <c r="M25" s="106"/>
      <c r="N25" s="111" t="str">
        <f>IF($G25&lt;&gt;"",VLOOKUP($G25,'MASTER TOKO BALI'!$B$2:$W$744,21,FALSE),"")</f>
        <v/>
      </c>
      <c r="O25" s="106"/>
      <c r="P25" s="164" t="str">
        <f>IF($G25&lt;&gt;"",VLOOKUP($G25,'MASTER TOKO BALI'!$B$2:$W$740,7,FALSE),"")</f>
        <v/>
      </c>
    </row>
    <row r="26" spans="1:16" ht="11.25" customHeight="1" x14ac:dyDescent="0.2">
      <c r="A26" s="106">
        <f t="shared" si="0"/>
        <v>21</v>
      </c>
      <c r="B26" s="107" t="s">
        <v>2067</v>
      </c>
      <c r="C26" s="107" t="s">
        <v>2068</v>
      </c>
      <c r="D26" s="108" t="s">
        <v>2069</v>
      </c>
      <c r="E26" s="109" t="s">
        <v>2074</v>
      </c>
      <c r="F26" s="110"/>
      <c r="G26" s="84" t="s">
        <v>80</v>
      </c>
      <c r="H26" s="111" t="str">
        <f>IF($G26&lt;&gt;"",VLOOKUP($G26,'MASTER TOKO BALI'!$B$2:$W$744,2,FALSE),"")</f>
        <v>RAYA TUKAD BALIAN - DENPASAR</v>
      </c>
      <c r="I26" s="237">
        <f>IF($G26&lt;&gt;"",VLOOKUP($G26,'MASTER TOKO BALI'!$B$2:$W$744,4,FALSE),"")</f>
        <v>364538918</v>
      </c>
      <c r="J26" s="112">
        <v>46266</v>
      </c>
      <c r="K26" s="111" t="str">
        <f>IF($G26&lt;&gt;"",VLOOKUP($G26,'MASTER TOKO BALI'!$B$2:$W$744,12,FALSE),"")</f>
        <v>Q3</v>
      </c>
      <c r="L26" s="111">
        <f>IF($G26&lt;&gt;"",VLOOKUP($G26,'MASTER TOKO BALI'!$B$2:$W$744,5,FALSE),"")</f>
        <v>2000000</v>
      </c>
      <c r="M26" s="106"/>
      <c r="N26" s="111" t="str">
        <f>IF($G26&lt;&gt;"",VLOOKUP($G26,'MASTER TOKO BALI'!$B$2:$W$744,21,FALSE),"")</f>
        <v>NON ZONA HITAM</v>
      </c>
      <c r="O26" s="106"/>
      <c r="P26" s="164" t="str">
        <f>IF($G26&lt;&gt;"",VLOOKUP($G26,'MASTER TOKO BALI'!$B$2:$W$740,7,FALSE),"")</f>
        <v>ANT</v>
      </c>
    </row>
    <row r="27" spans="1:16" ht="11.25" customHeight="1" x14ac:dyDescent="0.2">
      <c r="A27" s="106">
        <f t="shared" si="0"/>
        <v>22</v>
      </c>
      <c r="B27" s="107" t="s">
        <v>2066</v>
      </c>
      <c r="C27" s="107" t="s">
        <v>2068</v>
      </c>
      <c r="D27" s="117" t="s">
        <v>2070</v>
      </c>
      <c r="E27" s="109" t="s">
        <v>2074</v>
      </c>
      <c r="F27" s="110"/>
      <c r="G27" s="84" t="s">
        <v>67</v>
      </c>
      <c r="H27" s="111" t="str">
        <f>IF($G27&lt;&gt;"",VLOOKUP($G27,'MASTER TOKO BALI'!$B$2:$W$744,2,FALSE),"")</f>
        <v>BATUR SARI_ DPS</v>
      </c>
      <c r="I27" s="237">
        <f>IF($G27&lt;&gt;"",VLOOKUP($G27,'MASTER TOKO BALI'!$B$2:$W$744,4,FALSE),"")</f>
        <v>383814995</v>
      </c>
      <c r="J27" s="112">
        <v>46266</v>
      </c>
      <c r="K27" s="111" t="str">
        <f>IF($G27&lt;&gt;"",VLOOKUP($G27,'MASTER TOKO BALI'!$B$2:$W$744,12,FALSE),"")</f>
        <v>Q3</v>
      </c>
      <c r="L27" s="111">
        <f>IF($G27&lt;&gt;"",VLOOKUP($G27,'MASTER TOKO BALI'!$B$2:$W$744,5,FALSE),"")</f>
        <v>2000000</v>
      </c>
      <c r="M27" s="106"/>
      <c r="N27" s="111" t="str">
        <f>IF($G27&lt;&gt;"",VLOOKUP($G27,'MASTER TOKO BALI'!$B$2:$W$744,21,FALSE),"")</f>
        <v>NON ZONA HITAM</v>
      </c>
      <c r="O27" s="106"/>
      <c r="P27" s="164" t="str">
        <f>IF($G27&lt;&gt;"",VLOOKUP($G27,'MASTER TOKO BALI'!$B$2:$W$740,7,FALSE),"")</f>
        <v>IGN</v>
      </c>
    </row>
    <row r="28" spans="1:16" ht="11.25" customHeight="1" x14ac:dyDescent="0.2">
      <c r="A28" s="106">
        <f t="shared" si="0"/>
        <v>23</v>
      </c>
      <c r="B28" s="107" t="s">
        <v>2071</v>
      </c>
      <c r="C28" s="107" t="s">
        <v>2068</v>
      </c>
      <c r="D28" s="116" t="s">
        <v>2003</v>
      </c>
      <c r="E28" s="109" t="s">
        <v>2074</v>
      </c>
      <c r="F28" s="110"/>
      <c r="G28" s="84" t="s">
        <v>174</v>
      </c>
      <c r="H28" s="111" t="str">
        <f>IF($G28&lt;&gt;"",VLOOKUP($G28,'MASTER TOKO BALI'!$B$2:$W$744,2,FALSE),"")</f>
        <v>YCG.RAYA DESA - SINGARAJA</v>
      </c>
      <c r="I28" s="237">
        <f>IF($G28&lt;&gt;"",VLOOKUP($G28,'MASTER TOKO BALI'!$B$2:$W$744,4,FALSE),"")</f>
        <v>499159652</v>
      </c>
      <c r="J28" s="112">
        <v>46266</v>
      </c>
      <c r="K28" s="111" t="str">
        <f>IF($G28&lt;&gt;"",VLOOKUP($G28,'MASTER TOKO BALI'!$B$2:$W$744,12,FALSE),"")</f>
        <v>Q3</v>
      </c>
      <c r="L28" s="111">
        <f>IF($G28&lt;&gt;"",VLOOKUP($G28,'MASTER TOKO BALI'!$B$2:$W$744,5,FALSE),"")</f>
        <v>2000000</v>
      </c>
      <c r="M28" s="106"/>
      <c r="N28" s="111" t="str">
        <f>IF($G28&lt;&gt;"",VLOOKUP($G28,'MASTER TOKO BALI'!$B$2:$W$744,21,FALSE),"")</f>
        <v>NON ZONA HITAM</v>
      </c>
      <c r="O28" s="106"/>
      <c r="P28" s="164" t="str">
        <f>IF($G28&lt;&gt;"",VLOOKUP($G28,'MASTER TOKO BALI'!$B$2:$W$740,7,FALSE),"")</f>
        <v>MAH</v>
      </c>
    </row>
    <row r="29" spans="1:16" ht="11.25" customHeight="1" x14ac:dyDescent="0.2">
      <c r="A29" s="106">
        <f t="shared" si="0"/>
        <v>24</v>
      </c>
      <c r="B29" s="107" t="s">
        <v>2066</v>
      </c>
      <c r="C29" s="107" t="s">
        <v>2068</v>
      </c>
      <c r="D29" s="117" t="s">
        <v>2070</v>
      </c>
      <c r="E29" s="109" t="s">
        <v>2074</v>
      </c>
      <c r="F29" s="110"/>
      <c r="G29" s="84" t="s">
        <v>145</v>
      </c>
      <c r="H29" s="111" t="str">
        <f>IF($G29&lt;&gt;"",VLOOKUP($G29,'MASTER TOKO BALI'!$B$2:$W$744,2,FALSE),"")</f>
        <v>RAYA SANGSIT - SINGARAJA</v>
      </c>
      <c r="I29" s="237">
        <f>IF($G29&lt;&gt;"",VLOOKUP($G29,'MASTER TOKO BALI'!$B$2:$W$744,4,FALSE),"")</f>
        <v>443856478</v>
      </c>
      <c r="J29" s="112">
        <v>46266</v>
      </c>
      <c r="K29" s="111" t="str">
        <f>IF($G29&lt;&gt;"",VLOOKUP($G29,'MASTER TOKO BALI'!$B$2:$W$744,12,FALSE),"")</f>
        <v>Q3</v>
      </c>
      <c r="L29" s="111">
        <f>IF($G29&lt;&gt;"",VLOOKUP($G29,'MASTER TOKO BALI'!$B$2:$W$744,5,FALSE),"")</f>
        <v>2000000</v>
      </c>
      <c r="M29" s="106"/>
      <c r="N29" s="111" t="str">
        <f>IF($G29&lt;&gt;"",VLOOKUP($G29,'MASTER TOKO BALI'!$B$2:$W$744,21,FALSE),"")</f>
        <v>NON ZONA HITAM</v>
      </c>
      <c r="O29" s="106"/>
      <c r="P29" s="164" t="str">
        <f>IF($G29&lt;&gt;"",VLOOKUP($G29,'MASTER TOKO BALI'!$B$2:$W$740,7,FALSE),"")</f>
        <v>MAH</v>
      </c>
    </row>
    <row r="30" spans="1:16" ht="11.25" customHeight="1" x14ac:dyDescent="0.2">
      <c r="A30" s="106"/>
      <c r="B30" s="107"/>
      <c r="C30" s="107"/>
      <c r="D30" s="116"/>
      <c r="E30" s="114"/>
      <c r="F30" s="110"/>
      <c r="G30" s="145"/>
      <c r="H30" s="111"/>
      <c r="I30" s="237" t="str">
        <f>IF($G30&lt;&gt;"",VLOOKUP($G30,'MASTER TOKO BALI'!$B$2:$W$744,4,FALSE),"")</f>
        <v/>
      </c>
      <c r="J30" s="119"/>
      <c r="K30" s="111" t="str">
        <f>IF($G30&lt;&gt;"",VLOOKUP($G30,'MASTER TOKO BALI'!$B$2:$W$744,12,FALSE),"")</f>
        <v/>
      </c>
      <c r="L30" s="111" t="str">
        <f>IF($G30&lt;&gt;"",VLOOKUP($G30,'MASTER TOKO BALI'!$B$2:$W$744,5,FALSE),"")</f>
        <v/>
      </c>
      <c r="M30" s="106"/>
      <c r="N30" s="111" t="str">
        <f>IF($G30&lt;&gt;"",VLOOKUP($G30,'MASTER TOKO BALI'!$B$2:$W$744,21,FALSE),"")</f>
        <v/>
      </c>
      <c r="O30" s="106"/>
      <c r="P30" s="164" t="str">
        <f>IF($G30&lt;&gt;"",VLOOKUP($G30,'MASTER TOKO BALI'!$B$2:$W$740,7,FALSE),"")</f>
        <v/>
      </c>
    </row>
    <row r="31" spans="1:16" ht="11.25" hidden="1" customHeight="1" x14ac:dyDescent="0.2">
      <c r="A31" s="106">
        <f>A29+1</f>
        <v>25</v>
      </c>
      <c r="B31" s="107" t="s">
        <v>2034</v>
      </c>
      <c r="C31" s="107" t="s">
        <v>2035</v>
      </c>
      <c r="D31" s="108" t="s">
        <v>2036</v>
      </c>
      <c r="E31" s="120" t="s">
        <v>2072</v>
      </c>
      <c r="F31" s="121"/>
      <c r="G31" s="145"/>
      <c r="H31" s="111"/>
      <c r="I31" s="237" t="str">
        <f>IF($G31&lt;&gt;"",VLOOKUP($G31,'MASTER TOKO BALI'!$B$2:$W$744,4,FALSE),"")</f>
        <v/>
      </c>
      <c r="J31" s="112"/>
      <c r="K31" s="111" t="str">
        <f>IF($G31&lt;&gt;"",VLOOKUP($G31,'MASTER TOKO BALI'!$B$2:$W$744,12,FALSE),"")</f>
        <v/>
      </c>
      <c r="L31" s="111" t="str">
        <f>IF($G31&lt;&gt;"",VLOOKUP($G31,'MASTER TOKO BALI'!$B$2:$W$744,5,FALSE),"")</f>
        <v/>
      </c>
      <c r="M31" s="106"/>
      <c r="N31" s="111" t="str">
        <f>IF($G31&lt;&gt;"",VLOOKUP($G31,'MASTER TOKO BALI'!$B$2:$W$744,21,FALSE),"")</f>
        <v/>
      </c>
      <c r="O31" s="106"/>
      <c r="P31" s="164" t="str">
        <f>IF($G31&lt;&gt;"",VLOOKUP($G31,'MASTER TOKO BALI'!$B$2:$W$740,7,FALSE),"")</f>
        <v/>
      </c>
    </row>
    <row r="32" spans="1:16" ht="11.25" hidden="1" customHeight="1" x14ac:dyDescent="0.2">
      <c r="A32" s="106">
        <f t="shared" ref="A32:A54" si="1">A31+1</f>
        <v>26</v>
      </c>
      <c r="B32" s="107" t="s">
        <v>2038</v>
      </c>
      <c r="C32" s="107" t="s">
        <v>2035</v>
      </c>
      <c r="D32" s="113" t="s">
        <v>2039</v>
      </c>
      <c r="E32" s="120" t="s">
        <v>2072</v>
      </c>
      <c r="F32" s="122"/>
      <c r="G32" s="145"/>
      <c r="H32" s="111"/>
      <c r="I32" s="237" t="str">
        <f>IF($G32&lt;&gt;"",VLOOKUP($G32,'MASTER TOKO BALI'!$B$2:$W$744,4,FALSE),"")</f>
        <v/>
      </c>
      <c r="J32" s="112"/>
      <c r="K32" s="111" t="str">
        <f>IF($G32&lt;&gt;"",VLOOKUP($G32,'MASTER TOKO BALI'!$B$2:$W$744,12,FALSE),"")</f>
        <v/>
      </c>
      <c r="L32" s="111" t="str">
        <f>IF($G32&lt;&gt;"",VLOOKUP($G32,'MASTER TOKO BALI'!$B$2:$W$744,5,FALSE),"")</f>
        <v/>
      </c>
      <c r="M32" s="106"/>
      <c r="N32" s="111" t="str">
        <f>IF($G32&lt;&gt;"",VLOOKUP($G32,'MASTER TOKO BALI'!$B$2:$W$744,21,FALSE),"")</f>
        <v/>
      </c>
      <c r="O32" s="106"/>
      <c r="P32" s="164" t="str">
        <f>IF($G32&lt;&gt;"",VLOOKUP($G32,'MASTER TOKO BALI'!$B$2:$W$740,7,FALSE),"")</f>
        <v/>
      </c>
    </row>
    <row r="33" spans="1:16" ht="11.25" hidden="1" customHeight="1" x14ac:dyDescent="0.2">
      <c r="A33" s="106">
        <f t="shared" si="1"/>
        <v>27</v>
      </c>
      <c r="B33" s="107" t="s">
        <v>2040</v>
      </c>
      <c r="C33" s="107" t="s">
        <v>2035</v>
      </c>
      <c r="D33" s="108" t="s">
        <v>2041</v>
      </c>
      <c r="E33" s="120" t="s">
        <v>2072</v>
      </c>
      <c r="F33" s="110"/>
      <c r="G33" s="145"/>
      <c r="H33" s="111"/>
      <c r="I33" s="237" t="str">
        <f>IF($G33&lt;&gt;"",VLOOKUP($G33,'MASTER TOKO BALI'!$B$2:$W$744,4,FALSE),"")</f>
        <v/>
      </c>
      <c r="J33" s="112"/>
      <c r="K33" s="111" t="str">
        <f>IF($G33&lt;&gt;"",VLOOKUP($G33,'MASTER TOKO BALI'!$B$2:$W$744,12,FALSE),"")</f>
        <v/>
      </c>
      <c r="L33" s="111" t="str">
        <f>IF($G33&lt;&gt;"",VLOOKUP($G33,'MASTER TOKO BALI'!$B$2:$W$744,5,FALSE),"")</f>
        <v/>
      </c>
      <c r="M33" s="106"/>
      <c r="N33" s="111" t="str">
        <f>IF($G33&lt;&gt;"",VLOOKUP($G33,'MASTER TOKO BALI'!$B$2:$W$744,21,FALSE),"")</f>
        <v/>
      </c>
      <c r="O33" s="106"/>
      <c r="P33" s="164" t="str">
        <f>IF($G33&lt;&gt;"",VLOOKUP($G33,'MASTER TOKO BALI'!$B$2:$W$740,7,FALSE),"")</f>
        <v/>
      </c>
    </row>
    <row r="34" spans="1:16" ht="11.25" hidden="1" customHeight="1" x14ac:dyDescent="0.2">
      <c r="A34" s="106">
        <f t="shared" si="1"/>
        <v>28</v>
      </c>
      <c r="B34" s="107" t="s">
        <v>2038</v>
      </c>
      <c r="C34" s="107" t="s">
        <v>2035</v>
      </c>
      <c r="D34" s="113" t="s">
        <v>2039</v>
      </c>
      <c r="E34" s="120" t="s">
        <v>2072</v>
      </c>
      <c r="F34" s="122"/>
      <c r="G34" s="145"/>
      <c r="H34" s="111"/>
      <c r="I34" s="237" t="str">
        <f>IF($G34&lt;&gt;"",VLOOKUP($G34,'MASTER TOKO BALI'!$B$2:$W$744,4,FALSE),"")</f>
        <v/>
      </c>
      <c r="J34" s="112"/>
      <c r="K34" s="111" t="str">
        <f>IF($G34&lt;&gt;"",VLOOKUP($G34,'MASTER TOKO BALI'!$B$2:$W$744,12,FALSE),"")</f>
        <v/>
      </c>
      <c r="L34" s="111" t="str">
        <f>IF($G34&lt;&gt;"",VLOOKUP($G34,'MASTER TOKO BALI'!$B$2:$W$744,5,FALSE),"")</f>
        <v/>
      </c>
      <c r="M34" s="106"/>
      <c r="N34" s="111" t="str">
        <f>IF($G34&lt;&gt;"",VLOOKUP($G34,'MASTER TOKO BALI'!$B$2:$W$744,21,FALSE),"")</f>
        <v/>
      </c>
      <c r="O34" s="106"/>
      <c r="P34" s="164" t="str">
        <f>IF($G34&lt;&gt;"",VLOOKUP($G34,'MASTER TOKO BALI'!$B$2:$W$740,7,FALSE),"")</f>
        <v/>
      </c>
    </row>
    <row r="35" spans="1:16" ht="11.25" hidden="1" customHeight="1" x14ac:dyDescent="0.2">
      <c r="A35" s="106">
        <f t="shared" si="1"/>
        <v>29</v>
      </c>
      <c r="B35" s="107" t="s">
        <v>2042</v>
      </c>
      <c r="C35" s="107" t="s">
        <v>2043</v>
      </c>
      <c r="D35" s="108" t="s">
        <v>2044</v>
      </c>
      <c r="E35" s="120" t="s">
        <v>2072</v>
      </c>
      <c r="F35" s="110"/>
      <c r="G35" s="146"/>
      <c r="H35" s="111"/>
      <c r="I35" s="237" t="str">
        <f>IF($G35&lt;&gt;"",VLOOKUP($G35,'MASTER TOKO BALI'!$B$2:$W$744,4,FALSE),"")</f>
        <v/>
      </c>
      <c r="J35" s="112"/>
      <c r="K35" s="111" t="str">
        <f>IF($G35&lt;&gt;"",VLOOKUP($G35,'MASTER TOKO BALI'!$B$2:$W$744,12,FALSE),"")</f>
        <v/>
      </c>
      <c r="L35" s="111" t="str">
        <f>IF($G35&lt;&gt;"",VLOOKUP($G35,'MASTER TOKO BALI'!$B$2:$W$744,5,FALSE),"")</f>
        <v/>
      </c>
      <c r="M35" s="106"/>
      <c r="N35" s="111" t="str">
        <f>IF($G35&lt;&gt;"",VLOOKUP($G35,'MASTER TOKO BALI'!$B$2:$W$744,21,FALSE),"")</f>
        <v/>
      </c>
      <c r="O35" s="106"/>
      <c r="P35" s="164" t="str">
        <f>IF($G35&lt;&gt;"",VLOOKUP($G35,'MASTER TOKO BALI'!$B$2:$W$740,7,FALSE),"")</f>
        <v/>
      </c>
    </row>
    <row r="36" spans="1:16" ht="11.25" hidden="1" customHeight="1" x14ac:dyDescent="0.2">
      <c r="A36" s="106">
        <f t="shared" si="1"/>
        <v>30</v>
      </c>
      <c r="B36" s="107" t="s">
        <v>2038</v>
      </c>
      <c r="C36" s="107" t="s">
        <v>2043</v>
      </c>
      <c r="D36" s="113" t="s">
        <v>2045</v>
      </c>
      <c r="E36" s="120" t="s">
        <v>2072</v>
      </c>
      <c r="F36" s="123"/>
      <c r="G36" s="146"/>
      <c r="H36" s="111"/>
      <c r="I36" s="237" t="str">
        <f>IF($G36&lt;&gt;"",VLOOKUP($G36,'MASTER TOKO BALI'!$B$2:$W$744,4,FALSE),"")</f>
        <v/>
      </c>
      <c r="J36" s="112"/>
      <c r="K36" s="111" t="str">
        <f>IF($G36&lt;&gt;"",VLOOKUP($G36,'MASTER TOKO BALI'!$B$2:$W$744,12,FALSE),"")</f>
        <v/>
      </c>
      <c r="L36" s="111" t="str">
        <f>IF($G36&lt;&gt;"",VLOOKUP($G36,'MASTER TOKO BALI'!$B$2:$W$744,5,FALSE),"")</f>
        <v/>
      </c>
      <c r="M36" s="106"/>
      <c r="N36" s="111" t="str">
        <f>IF($G36&lt;&gt;"",VLOOKUP($G36,'MASTER TOKO BALI'!$B$2:$W$744,21,FALSE),"")</f>
        <v/>
      </c>
      <c r="O36" s="106"/>
      <c r="P36" s="164" t="str">
        <f>IF($G36&lt;&gt;"",VLOOKUP($G36,'MASTER TOKO BALI'!$B$2:$W$740,7,FALSE),"")</f>
        <v/>
      </c>
    </row>
    <row r="37" spans="1:16" ht="11.25" hidden="1" customHeight="1" x14ac:dyDescent="0.2">
      <c r="A37" s="106">
        <f t="shared" si="1"/>
        <v>31</v>
      </c>
      <c r="B37" s="107" t="s">
        <v>2046</v>
      </c>
      <c r="C37" s="107" t="s">
        <v>2043</v>
      </c>
      <c r="D37" s="108" t="s">
        <v>2047</v>
      </c>
      <c r="E37" s="120" t="s">
        <v>2072</v>
      </c>
      <c r="F37" s="110"/>
      <c r="G37" s="145"/>
      <c r="H37" s="111"/>
      <c r="I37" s="237" t="str">
        <f>IF($G37&lt;&gt;"",VLOOKUP($G37,'MASTER TOKO BALI'!$B$2:$W$744,4,FALSE),"")</f>
        <v/>
      </c>
      <c r="J37" s="112"/>
      <c r="K37" s="111" t="str">
        <f>IF($G37&lt;&gt;"",VLOOKUP($G37,'MASTER TOKO BALI'!$B$2:$W$744,12,FALSE),"")</f>
        <v/>
      </c>
      <c r="L37" s="111" t="str">
        <f>IF($G37&lt;&gt;"",VLOOKUP($G37,'MASTER TOKO BALI'!$B$2:$W$744,5,FALSE),"")</f>
        <v/>
      </c>
      <c r="M37" s="106"/>
      <c r="N37" s="111" t="str">
        <f>IF($G37&lt;&gt;"",VLOOKUP($G37,'MASTER TOKO BALI'!$B$2:$W$744,21,FALSE),"")</f>
        <v/>
      </c>
      <c r="O37" s="106"/>
      <c r="P37" s="164" t="str">
        <f>IF($G37&lt;&gt;"",VLOOKUP($G37,'MASTER TOKO BALI'!$B$2:$W$740,7,FALSE),"")</f>
        <v/>
      </c>
    </row>
    <row r="38" spans="1:16" ht="11.25" hidden="1" customHeight="1" x14ac:dyDescent="0.2">
      <c r="A38" s="106">
        <f t="shared" si="1"/>
        <v>32</v>
      </c>
      <c r="B38" s="107" t="s">
        <v>2038</v>
      </c>
      <c r="C38" s="107" t="s">
        <v>2043</v>
      </c>
      <c r="D38" s="113" t="s">
        <v>2045</v>
      </c>
      <c r="E38" s="120" t="s">
        <v>2072</v>
      </c>
      <c r="F38" s="123"/>
      <c r="G38" s="145"/>
      <c r="H38" s="111"/>
      <c r="I38" s="237" t="str">
        <f>IF($G38&lt;&gt;"",VLOOKUP($G38,'MASTER TOKO BALI'!$B$2:$W$744,4,FALSE),"")</f>
        <v/>
      </c>
      <c r="J38" s="112"/>
      <c r="K38" s="111" t="str">
        <f>IF($G38&lt;&gt;"",VLOOKUP($G38,'MASTER TOKO BALI'!$B$2:$W$744,12,FALSE),"")</f>
        <v/>
      </c>
      <c r="L38" s="111" t="str">
        <f>IF($G38&lt;&gt;"",VLOOKUP($G38,'MASTER TOKO BALI'!$B$2:$W$744,5,FALSE),"")</f>
        <v/>
      </c>
      <c r="M38" s="106"/>
      <c r="N38" s="111" t="str">
        <f>IF($G38&lt;&gt;"",VLOOKUP($G38,'MASTER TOKO BALI'!$B$2:$W$744,21,FALSE),"")</f>
        <v/>
      </c>
      <c r="O38" s="106"/>
      <c r="P38" s="164" t="str">
        <f>IF($G38&lt;&gt;"",VLOOKUP($G38,'MASTER TOKO BALI'!$B$2:$W$740,7,FALSE),"")</f>
        <v/>
      </c>
    </row>
    <row r="39" spans="1:16" ht="11.25" hidden="1" customHeight="1" x14ac:dyDescent="0.2">
      <c r="A39" s="106">
        <f t="shared" si="1"/>
        <v>33</v>
      </c>
      <c r="B39" s="107" t="s">
        <v>2048</v>
      </c>
      <c r="C39" s="107" t="s">
        <v>2049</v>
      </c>
      <c r="D39" s="108" t="s">
        <v>2050</v>
      </c>
      <c r="E39" s="120" t="s">
        <v>2072</v>
      </c>
      <c r="F39" s="110"/>
      <c r="G39" s="145"/>
      <c r="H39" s="111"/>
      <c r="I39" s="237" t="str">
        <f>IF($G39&lt;&gt;"",VLOOKUP($G39,'MASTER TOKO BALI'!$B$2:$W$744,4,FALSE),"")</f>
        <v/>
      </c>
      <c r="J39" s="112"/>
      <c r="K39" s="111" t="str">
        <f>IF($G39&lt;&gt;"",VLOOKUP($G39,'MASTER TOKO BALI'!$B$2:$W$744,12,FALSE),"")</f>
        <v/>
      </c>
      <c r="L39" s="111" t="str">
        <f>IF($G39&lt;&gt;"",VLOOKUP($G39,'MASTER TOKO BALI'!$B$2:$W$744,5,FALSE),"")</f>
        <v/>
      </c>
      <c r="M39" s="106"/>
      <c r="N39" s="111" t="str">
        <f>IF($G39&lt;&gt;"",VLOOKUP($G39,'MASTER TOKO BALI'!$B$2:$W$744,21,FALSE),"")</f>
        <v/>
      </c>
      <c r="O39" s="106"/>
      <c r="P39" s="164" t="str">
        <f>IF($G39&lt;&gt;"",VLOOKUP($G39,'MASTER TOKO BALI'!$B$2:$W$740,7,FALSE),"")</f>
        <v/>
      </c>
    </row>
    <row r="40" spans="1:16" ht="11.25" hidden="1" customHeight="1" x14ac:dyDescent="0.2">
      <c r="A40" s="106">
        <f t="shared" si="1"/>
        <v>34</v>
      </c>
      <c r="B40" s="107" t="s">
        <v>2038</v>
      </c>
      <c r="C40" s="107" t="s">
        <v>2049</v>
      </c>
      <c r="D40" s="115" t="s">
        <v>2051</v>
      </c>
      <c r="E40" s="120" t="s">
        <v>2072</v>
      </c>
      <c r="F40" s="123"/>
      <c r="G40" s="146"/>
      <c r="H40" s="111"/>
      <c r="I40" s="237" t="str">
        <f>IF($G40&lt;&gt;"",VLOOKUP($G40,'MASTER TOKO BALI'!$B$2:$W$744,4,FALSE),"")</f>
        <v/>
      </c>
      <c r="J40" s="112"/>
      <c r="K40" s="111" t="str">
        <f>IF($G40&lt;&gt;"",VLOOKUP($G40,'MASTER TOKO BALI'!$B$2:$W$744,12,FALSE),"")</f>
        <v/>
      </c>
      <c r="L40" s="111" t="str">
        <f>IF($G40&lt;&gt;"",VLOOKUP($G40,'MASTER TOKO BALI'!$B$2:$W$744,5,FALSE),"")</f>
        <v/>
      </c>
      <c r="M40" s="106"/>
      <c r="N40" s="111" t="str">
        <f>IF($G40&lt;&gt;"",VLOOKUP($G40,'MASTER TOKO BALI'!$B$2:$W$744,21,FALSE),"")</f>
        <v/>
      </c>
      <c r="O40" s="106"/>
      <c r="P40" s="164" t="str">
        <f>IF($G40&lt;&gt;"",VLOOKUP($G40,'MASTER TOKO BALI'!$B$2:$W$740,7,FALSE),"")</f>
        <v/>
      </c>
    </row>
    <row r="41" spans="1:16" ht="11.25" hidden="1" customHeight="1" x14ac:dyDescent="0.2">
      <c r="A41" s="106">
        <f t="shared" si="1"/>
        <v>35</v>
      </c>
      <c r="B41" s="107" t="s">
        <v>2052</v>
      </c>
      <c r="C41" s="107" t="s">
        <v>2049</v>
      </c>
      <c r="D41" s="108" t="s">
        <v>2053</v>
      </c>
      <c r="E41" s="120" t="s">
        <v>2072</v>
      </c>
      <c r="F41" s="122"/>
      <c r="G41" s="145"/>
      <c r="H41" s="111"/>
      <c r="I41" s="237" t="str">
        <f>IF($G41&lt;&gt;"",VLOOKUP($G41,'MASTER TOKO BALI'!$B$2:$W$744,4,FALSE),"")</f>
        <v/>
      </c>
      <c r="J41" s="112"/>
      <c r="K41" s="111" t="str">
        <f>IF($G41&lt;&gt;"",VLOOKUP($G41,'MASTER TOKO BALI'!$B$2:$W$744,12,FALSE),"")</f>
        <v/>
      </c>
      <c r="L41" s="111" t="str">
        <f>IF($G41&lt;&gt;"",VLOOKUP($G41,'MASTER TOKO BALI'!$B$2:$W$744,5,FALSE),"")</f>
        <v/>
      </c>
      <c r="M41" s="106"/>
      <c r="N41" s="111" t="str">
        <f>IF($G41&lt;&gt;"",VLOOKUP($G41,'MASTER TOKO BALI'!$B$2:$W$744,21,FALSE),"")</f>
        <v/>
      </c>
      <c r="O41" s="106"/>
      <c r="P41" s="164" t="str">
        <f>IF($G41&lt;&gt;"",VLOOKUP($G41,'MASTER TOKO BALI'!$B$2:$W$740,7,FALSE),"")</f>
        <v/>
      </c>
    </row>
    <row r="42" spans="1:16" ht="11.25" hidden="1" customHeight="1" x14ac:dyDescent="0.2">
      <c r="A42" s="106">
        <f t="shared" si="1"/>
        <v>36</v>
      </c>
      <c r="B42" s="107" t="s">
        <v>2038</v>
      </c>
      <c r="C42" s="107" t="s">
        <v>2049</v>
      </c>
      <c r="D42" s="113" t="s">
        <v>2051</v>
      </c>
      <c r="E42" s="120" t="s">
        <v>2072</v>
      </c>
      <c r="F42" s="122"/>
      <c r="G42" s="145"/>
      <c r="H42" s="111"/>
      <c r="I42" s="237" t="str">
        <f>IF($G42&lt;&gt;"",VLOOKUP($G42,'MASTER TOKO BALI'!$B$2:$W$744,4,FALSE),"")</f>
        <v/>
      </c>
      <c r="J42" s="112"/>
      <c r="K42" s="111" t="str">
        <f>IF($G42&lt;&gt;"",VLOOKUP($G42,'MASTER TOKO BALI'!$B$2:$W$744,12,FALSE),"")</f>
        <v/>
      </c>
      <c r="L42" s="111" t="str">
        <f>IF($G42&lt;&gt;"",VLOOKUP($G42,'MASTER TOKO BALI'!$B$2:$W$744,5,FALSE),"")</f>
        <v/>
      </c>
      <c r="M42" s="106"/>
      <c r="N42" s="111" t="str">
        <f>IF($G42&lt;&gt;"",VLOOKUP($G42,'MASTER TOKO BALI'!$B$2:$W$744,21,FALSE),"")</f>
        <v/>
      </c>
      <c r="O42" s="106"/>
      <c r="P42" s="164" t="str">
        <f>IF($G42&lt;&gt;"",VLOOKUP($G42,'MASTER TOKO BALI'!$B$2:$W$740,7,FALSE),"")</f>
        <v/>
      </c>
    </row>
    <row r="43" spans="1:16" ht="11.25" hidden="1" customHeight="1" x14ac:dyDescent="0.2">
      <c r="A43" s="106">
        <f t="shared" si="1"/>
        <v>37</v>
      </c>
      <c r="B43" s="107" t="s">
        <v>2054</v>
      </c>
      <c r="C43" s="116" t="s">
        <v>2055</v>
      </c>
      <c r="D43" s="108" t="s">
        <v>2056</v>
      </c>
      <c r="E43" s="120" t="s">
        <v>2072</v>
      </c>
      <c r="F43" s="122"/>
      <c r="G43" s="145"/>
      <c r="H43" s="111"/>
      <c r="I43" s="237" t="str">
        <f>IF($G43&lt;&gt;"",VLOOKUP($G43,'MASTER TOKO BALI'!$B$2:$W$744,4,FALSE),"")</f>
        <v/>
      </c>
      <c r="J43" s="112"/>
      <c r="K43" s="111" t="str">
        <f>IF($G43&lt;&gt;"",VLOOKUP($G43,'MASTER TOKO BALI'!$B$2:$W$744,12,FALSE),"")</f>
        <v/>
      </c>
      <c r="L43" s="111" t="str">
        <f>IF($G43&lt;&gt;"",VLOOKUP($G43,'MASTER TOKO BALI'!$B$2:$W$744,5,FALSE),"")</f>
        <v/>
      </c>
      <c r="M43" s="106"/>
      <c r="N43" s="111" t="str">
        <f>IF($G43&lt;&gt;"",VLOOKUP($G43,'MASTER TOKO BALI'!$B$2:$W$744,21,FALSE),"")</f>
        <v/>
      </c>
      <c r="O43" s="106"/>
      <c r="P43" s="164" t="str">
        <f>IF($G43&lt;&gt;"",VLOOKUP($G43,'MASTER TOKO BALI'!$B$2:$W$740,7,FALSE),"")</f>
        <v/>
      </c>
    </row>
    <row r="44" spans="1:16" ht="11.25" hidden="1" customHeight="1" x14ac:dyDescent="0.2">
      <c r="A44" s="106">
        <f t="shared" si="1"/>
        <v>38</v>
      </c>
      <c r="B44" s="107" t="s">
        <v>2038</v>
      </c>
      <c r="C44" s="116" t="s">
        <v>2055</v>
      </c>
      <c r="D44" s="113" t="s">
        <v>2057</v>
      </c>
      <c r="E44" s="120" t="s">
        <v>2072</v>
      </c>
      <c r="F44" s="123"/>
      <c r="G44" s="145"/>
      <c r="H44" s="111"/>
      <c r="I44" s="237" t="str">
        <f>IF($G44&lt;&gt;"",VLOOKUP($G44,'MASTER TOKO BALI'!$B$2:$W$744,4,FALSE),"")</f>
        <v/>
      </c>
      <c r="J44" s="112"/>
      <c r="K44" s="111" t="str">
        <f>IF($G44&lt;&gt;"",VLOOKUP($G44,'MASTER TOKO BALI'!$B$2:$W$744,12,FALSE),"")</f>
        <v/>
      </c>
      <c r="L44" s="111" t="str">
        <f>IF($G44&lt;&gt;"",VLOOKUP($G44,'MASTER TOKO BALI'!$B$2:$W$744,5,FALSE),"")</f>
        <v/>
      </c>
      <c r="M44" s="106"/>
      <c r="N44" s="111" t="str">
        <f>IF($G44&lt;&gt;"",VLOOKUP($G44,'MASTER TOKO BALI'!$B$2:$W$744,21,FALSE),"")</f>
        <v/>
      </c>
      <c r="O44" s="106"/>
      <c r="P44" s="164" t="str">
        <f>IF($G44&lt;&gt;"",VLOOKUP($G44,'MASTER TOKO BALI'!$B$2:$W$740,7,FALSE),"")</f>
        <v/>
      </c>
    </row>
    <row r="45" spans="1:16" ht="11.25" hidden="1" customHeight="1" x14ac:dyDescent="0.2">
      <c r="A45" s="106">
        <f t="shared" si="1"/>
        <v>39</v>
      </c>
      <c r="B45" s="107" t="s">
        <v>2058</v>
      </c>
      <c r="C45" s="116" t="s">
        <v>2055</v>
      </c>
      <c r="D45" s="108" t="s">
        <v>2059</v>
      </c>
      <c r="E45" s="120" t="s">
        <v>2072</v>
      </c>
      <c r="F45" s="122"/>
      <c r="G45" s="145"/>
      <c r="H45" s="111"/>
      <c r="I45" s="237" t="str">
        <f>IF($G45&lt;&gt;"",VLOOKUP($G45,'MASTER TOKO BALI'!$B$2:$W$744,4,FALSE),"")</f>
        <v/>
      </c>
      <c r="J45" s="112"/>
      <c r="K45" s="111" t="str">
        <f>IF($G45&lt;&gt;"",VLOOKUP($G45,'MASTER TOKO BALI'!$B$2:$W$744,12,FALSE),"")</f>
        <v/>
      </c>
      <c r="L45" s="111" t="str">
        <f>IF($G45&lt;&gt;"",VLOOKUP($G45,'MASTER TOKO BALI'!$B$2:$W$744,5,FALSE),"")</f>
        <v/>
      </c>
      <c r="M45" s="106"/>
      <c r="N45" s="111" t="str">
        <f>IF($G45&lt;&gt;"",VLOOKUP($G45,'MASTER TOKO BALI'!$B$2:$W$744,21,FALSE),"")</f>
        <v/>
      </c>
      <c r="O45" s="106"/>
      <c r="P45" s="164" t="str">
        <f>IF($G45&lt;&gt;"",VLOOKUP($G45,'MASTER TOKO BALI'!$B$2:$W$740,7,FALSE),"")</f>
        <v/>
      </c>
    </row>
    <row r="46" spans="1:16" ht="11.25" hidden="1" customHeight="1" x14ac:dyDescent="0.2">
      <c r="A46" s="106">
        <f t="shared" si="1"/>
        <v>40</v>
      </c>
      <c r="B46" s="107" t="s">
        <v>2038</v>
      </c>
      <c r="C46" s="116" t="s">
        <v>2055</v>
      </c>
      <c r="D46" s="113" t="s">
        <v>2057</v>
      </c>
      <c r="E46" s="120" t="s">
        <v>2072</v>
      </c>
      <c r="F46" s="123"/>
      <c r="G46" s="145"/>
      <c r="H46" s="111"/>
      <c r="I46" s="237" t="str">
        <f>IF($G46&lt;&gt;"",VLOOKUP($G46,'MASTER TOKO BALI'!$B$2:$W$744,4,FALSE),"")</f>
        <v/>
      </c>
      <c r="J46" s="112"/>
      <c r="K46" s="111" t="str">
        <f>IF($G46&lt;&gt;"",VLOOKUP($G46,'MASTER TOKO BALI'!$B$2:$W$744,12,FALSE),"")</f>
        <v/>
      </c>
      <c r="L46" s="111" t="str">
        <f>IF($G46&lt;&gt;"",VLOOKUP($G46,'MASTER TOKO BALI'!$B$2:$W$744,5,FALSE),"")</f>
        <v/>
      </c>
      <c r="M46" s="106"/>
      <c r="N46" s="111" t="str">
        <f>IF($G46&lt;&gt;"",VLOOKUP($G46,'MASTER TOKO BALI'!$B$2:$W$744,21,FALSE),"")</f>
        <v/>
      </c>
      <c r="O46" s="106"/>
      <c r="P46" s="164" t="str">
        <f>IF($G46&lt;&gt;"",VLOOKUP($G46,'MASTER TOKO BALI'!$B$2:$W$740,7,FALSE),"")</f>
        <v/>
      </c>
    </row>
    <row r="47" spans="1:16" hidden="1" x14ac:dyDescent="0.2">
      <c r="A47" s="106">
        <f t="shared" si="1"/>
        <v>41</v>
      </c>
      <c r="B47" s="107" t="s">
        <v>2060</v>
      </c>
      <c r="C47" s="116" t="s">
        <v>2061</v>
      </c>
      <c r="D47" s="108" t="s">
        <v>2062</v>
      </c>
      <c r="E47" s="120" t="s">
        <v>2072</v>
      </c>
      <c r="F47" s="124"/>
      <c r="G47" s="145"/>
      <c r="H47" s="111"/>
      <c r="I47" s="237" t="str">
        <f>IF($G47&lt;&gt;"",VLOOKUP($G47,'MASTER TOKO BALI'!$B$2:$W$744,4,FALSE),"")</f>
        <v/>
      </c>
      <c r="J47" s="112"/>
      <c r="K47" s="111" t="str">
        <f>IF($G47&lt;&gt;"",VLOOKUP($G47,'MASTER TOKO BALI'!$B$2:$W$744,12,FALSE),"")</f>
        <v/>
      </c>
      <c r="L47" s="111" t="str">
        <f>IF($G47&lt;&gt;"",VLOOKUP($G47,'MASTER TOKO BALI'!$B$2:$W$744,5,FALSE),"")</f>
        <v/>
      </c>
      <c r="M47" s="106"/>
      <c r="N47" s="111" t="str">
        <f>IF($G47&lt;&gt;"",VLOOKUP($G47,'MASTER TOKO BALI'!$B$2:$W$744,21,FALSE),"")</f>
        <v/>
      </c>
      <c r="O47" s="106"/>
      <c r="P47" s="164" t="str">
        <f>IF($G47&lt;&gt;"",VLOOKUP($G47,'MASTER TOKO BALI'!$B$2:$W$740,7,FALSE),"")</f>
        <v/>
      </c>
    </row>
    <row r="48" spans="1:16" hidden="1" x14ac:dyDescent="0.2">
      <c r="A48" s="106">
        <f t="shared" si="1"/>
        <v>42</v>
      </c>
      <c r="B48" s="107" t="s">
        <v>2038</v>
      </c>
      <c r="C48" s="116" t="s">
        <v>2061</v>
      </c>
      <c r="D48" s="113" t="s">
        <v>2063</v>
      </c>
      <c r="E48" s="120" t="s">
        <v>2072</v>
      </c>
      <c r="F48" s="110"/>
      <c r="G48" s="145"/>
      <c r="H48" s="111"/>
      <c r="I48" s="237" t="str">
        <f>IF($G48&lt;&gt;"",VLOOKUP($G48,'MASTER TOKO BALI'!$B$2:$W$744,4,FALSE),"")</f>
        <v/>
      </c>
      <c r="J48" s="112"/>
      <c r="K48" s="111" t="str">
        <f>IF($G48&lt;&gt;"",VLOOKUP($G48,'MASTER TOKO BALI'!$B$2:$W$744,12,FALSE),"")</f>
        <v/>
      </c>
      <c r="L48" s="111" t="str">
        <f>IF($G48&lt;&gt;"",VLOOKUP($G48,'MASTER TOKO BALI'!$B$2:$W$744,5,FALSE),"")</f>
        <v/>
      </c>
      <c r="M48" s="106"/>
      <c r="N48" s="111" t="str">
        <f>IF($G48&lt;&gt;"",VLOOKUP($G48,'MASTER TOKO BALI'!$B$2:$W$744,21,FALSE),"")</f>
        <v/>
      </c>
      <c r="O48" s="106"/>
      <c r="P48" s="164" t="str">
        <f>IF($G48&lt;&gt;"",VLOOKUP($G48,'MASTER TOKO BALI'!$B$2:$W$740,7,FALSE),"")</f>
        <v/>
      </c>
    </row>
    <row r="49" spans="1:16" hidden="1" x14ac:dyDescent="0.2">
      <c r="A49" s="106">
        <f t="shared" si="1"/>
        <v>43</v>
      </c>
      <c r="B49" s="107" t="s">
        <v>2064</v>
      </c>
      <c r="C49" s="116" t="s">
        <v>2061</v>
      </c>
      <c r="D49" s="108" t="s">
        <v>2065</v>
      </c>
      <c r="E49" s="120" t="s">
        <v>2072</v>
      </c>
      <c r="F49" s="124"/>
      <c r="G49" s="145"/>
      <c r="H49" s="111"/>
      <c r="I49" s="237" t="str">
        <f>IF($G49&lt;&gt;"",VLOOKUP($G49,'MASTER TOKO BALI'!$B$2:$W$744,4,FALSE),"")</f>
        <v/>
      </c>
      <c r="J49" s="112"/>
      <c r="K49" s="111" t="str">
        <f>IF($G49&lt;&gt;"",VLOOKUP($G49,'MASTER TOKO BALI'!$B$2:$W$744,12,FALSE),"")</f>
        <v/>
      </c>
      <c r="L49" s="111" t="str">
        <f>IF($G49&lt;&gt;"",VLOOKUP($G49,'MASTER TOKO BALI'!$B$2:$W$744,5,FALSE),"")</f>
        <v/>
      </c>
      <c r="M49" s="106"/>
      <c r="N49" s="111" t="str">
        <f>IF($G49&lt;&gt;"",VLOOKUP($G49,'MASTER TOKO BALI'!$B$2:$W$744,21,FALSE),"")</f>
        <v/>
      </c>
      <c r="O49" s="106"/>
      <c r="P49" s="164" t="str">
        <f>IF($G49&lt;&gt;"",VLOOKUP($G49,'MASTER TOKO BALI'!$B$2:$W$740,7,FALSE),"")</f>
        <v/>
      </c>
    </row>
    <row r="50" spans="1:16" hidden="1" x14ac:dyDescent="0.2">
      <c r="A50" s="106">
        <f t="shared" si="1"/>
        <v>44</v>
      </c>
      <c r="B50" s="107" t="s">
        <v>2066</v>
      </c>
      <c r="C50" s="116" t="s">
        <v>2061</v>
      </c>
      <c r="D50" s="113" t="s">
        <v>2063</v>
      </c>
      <c r="E50" s="120" t="s">
        <v>2072</v>
      </c>
      <c r="F50" s="125"/>
      <c r="G50" s="145"/>
      <c r="H50" s="111"/>
      <c r="I50" s="237" t="str">
        <f>IF($G50&lt;&gt;"",VLOOKUP($G50,'MASTER TOKO BALI'!$B$2:$W$744,4,FALSE),"")</f>
        <v/>
      </c>
      <c r="J50" s="112"/>
      <c r="K50" s="111" t="str">
        <f>IF($G50&lt;&gt;"",VLOOKUP($G50,'MASTER TOKO BALI'!$B$2:$W$744,12,FALSE),"")</f>
        <v/>
      </c>
      <c r="L50" s="111" t="str">
        <f>IF($G50&lt;&gt;"",VLOOKUP($G50,'MASTER TOKO BALI'!$B$2:$W$744,5,FALSE),"")</f>
        <v/>
      </c>
      <c r="M50" s="106"/>
      <c r="N50" s="111" t="str">
        <f>IF($G50&lt;&gt;"",VLOOKUP($G50,'MASTER TOKO BALI'!$B$2:$W$744,21,FALSE),"")</f>
        <v/>
      </c>
      <c r="O50" s="106"/>
      <c r="P50" s="164" t="str">
        <f>IF($G50&lt;&gt;"",VLOOKUP($G50,'MASTER TOKO BALI'!$B$2:$W$740,7,FALSE),"")</f>
        <v/>
      </c>
    </row>
    <row r="51" spans="1:16" hidden="1" x14ac:dyDescent="0.2">
      <c r="A51" s="106">
        <f t="shared" si="1"/>
        <v>45</v>
      </c>
      <c r="B51" s="107" t="s">
        <v>2067</v>
      </c>
      <c r="C51" s="107" t="s">
        <v>2068</v>
      </c>
      <c r="D51" s="108" t="s">
        <v>2069</v>
      </c>
      <c r="E51" s="120" t="s">
        <v>2072</v>
      </c>
      <c r="F51" s="124"/>
      <c r="G51" s="145"/>
      <c r="H51" s="111"/>
      <c r="I51" s="237" t="str">
        <f>IF($G51&lt;&gt;"",VLOOKUP($G51,'MASTER TOKO BALI'!$B$2:$W$744,4,FALSE),"")</f>
        <v/>
      </c>
      <c r="J51" s="112"/>
      <c r="K51" s="111" t="str">
        <f>IF($G51&lt;&gt;"",VLOOKUP($G51,'MASTER TOKO BALI'!$B$2:$W$744,12,FALSE),"")</f>
        <v/>
      </c>
      <c r="L51" s="111" t="str">
        <f>IF($G51&lt;&gt;"",VLOOKUP($G51,'MASTER TOKO BALI'!$B$2:$W$744,5,FALSE),"")</f>
        <v/>
      </c>
      <c r="M51" s="106"/>
      <c r="N51" s="111" t="str">
        <f>IF($G51&lt;&gt;"",VLOOKUP($G51,'MASTER TOKO BALI'!$B$2:$W$744,21,FALSE),"")</f>
        <v/>
      </c>
      <c r="O51" s="106"/>
      <c r="P51" s="164" t="str">
        <f>IF($G51&lt;&gt;"",VLOOKUP($G51,'MASTER TOKO BALI'!$B$2:$W$740,7,FALSE),"")</f>
        <v/>
      </c>
    </row>
    <row r="52" spans="1:16" hidden="1" x14ac:dyDescent="0.2">
      <c r="A52" s="106">
        <f t="shared" si="1"/>
        <v>46</v>
      </c>
      <c r="B52" s="107" t="s">
        <v>2066</v>
      </c>
      <c r="C52" s="107" t="s">
        <v>2068</v>
      </c>
      <c r="D52" s="117" t="s">
        <v>2070</v>
      </c>
      <c r="E52" s="120" t="s">
        <v>2072</v>
      </c>
      <c r="F52" s="121"/>
      <c r="G52" s="145"/>
      <c r="H52" s="111"/>
      <c r="I52" s="237" t="str">
        <f>IF($G52&lt;&gt;"",VLOOKUP($G52,'MASTER TOKO BALI'!$B$2:$W$744,4,FALSE),"")</f>
        <v/>
      </c>
      <c r="J52" s="112"/>
      <c r="K52" s="111" t="str">
        <f>IF($G52&lt;&gt;"",VLOOKUP($G52,'MASTER TOKO BALI'!$B$2:$W$744,12,FALSE),"")</f>
        <v/>
      </c>
      <c r="L52" s="111" t="str">
        <f>IF($G52&lt;&gt;"",VLOOKUP($G52,'MASTER TOKO BALI'!$B$2:$W$744,5,FALSE),"")</f>
        <v/>
      </c>
      <c r="M52" s="106"/>
      <c r="N52" s="111" t="str">
        <f>IF($G52&lt;&gt;"",VLOOKUP($G52,'MASTER TOKO BALI'!$B$2:$W$744,21,FALSE),"")</f>
        <v/>
      </c>
      <c r="O52" s="106"/>
      <c r="P52" s="164" t="str">
        <f>IF($G52&lt;&gt;"",VLOOKUP($G52,'MASTER TOKO BALI'!$B$2:$W$740,7,FALSE),"")</f>
        <v/>
      </c>
    </row>
    <row r="53" spans="1:16" hidden="1" x14ac:dyDescent="0.2">
      <c r="A53" s="106">
        <f t="shared" si="1"/>
        <v>47</v>
      </c>
      <c r="B53" s="107" t="s">
        <v>2071</v>
      </c>
      <c r="C53" s="107" t="s">
        <v>2068</v>
      </c>
      <c r="D53" s="116" t="s">
        <v>2003</v>
      </c>
      <c r="E53" s="120" t="s">
        <v>2072</v>
      </c>
      <c r="F53" s="121"/>
      <c r="G53" s="145"/>
      <c r="H53" s="111"/>
      <c r="I53" s="237" t="str">
        <f>IF($G53&lt;&gt;"",VLOOKUP($G53,'MASTER TOKO BALI'!$B$2:$W$744,4,FALSE),"")</f>
        <v/>
      </c>
      <c r="J53" s="112"/>
      <c r="K53" s="111" t="str">
        <f>IF($G53&lt;&gt;"",VLOOKUP($G53,'MASTER TOKO BALI'!$B$2:$W$744,12,FALSE),"")</f>
        <v/>
      </c>
      <c r="L53" s="111" t="str">
        <f>IF($G53&lt;&gt;"",VLOOKUP($G53,'MASTER TOKO BALI'!$B$2:$W$744,5,FALSE),"")</f>
        <v/>
      </c>
      <c r="M53" s="106"/>
      <c r="N53" s="111" t="str">
        <f>IF($G53&lt;&gt;"",VLOOKUP($G53,'MASTER TOKO BALI'!$B$2:$W$744,21,FALSE),"")</f>
        <v/>
      </c>
      <c r="O53" s="106"/>
      <c r="P53" s="164" t="str">
        <f>IF($G53&lt;&gt;"",VLOOKUP($G53,'MASTER TOKO BALI'!$B$2:$W$740,7,FALSE),"")</f>
        <v/>
      </c>
    </row>
    <row r="54" spans="1:16" ht="11.25" hidden="1" customHeight="1" x14ac:dyDescent="0.2">
      <c r="A54" s="106">
        <f t="shared" si="1"/>
        <v>48</v>
      </c>
      <c r="B54" s="107" t="s">
        <v>2066</v>
      </c>
      <c r="C54" s="107" t="s">
        <v>2068</v>
      </c>
      <c r="D54" s="117" t="s">
        <v>2070</v>
      </c>
      <c r="E54" s="120" t="s">
        <v>2072</v>
      </c>
      <c r="F54" s="110"/>
      <c r="G54" s="145"/>
      <c r="H54" s="111"/>
      <c r="I54" s="237" t="str">
        <f>IF($G54&lt;&gt;"",VLOOKUP($G54,'MASTER TOKO BALI'!$B$2:$W$744,4,FALSE),"")</f>
        <v/>
      </c>
      <c r="J54" s="112"/>
      <c r="K54" s="111" t="str">
        <f>IF($G54&lt;&gt;"",VLOOKUP($G54,'MASTER TOKO BALI'!$B$2:$W$744,12,FALSE),"")</f>
        <v/>
      </c>
      <c r="L54" s="111" t="str">
        <f>IF($G54&lt;&gt;"",VLOOKUP($G54,'MASTER TOKO BALI'!$B$2:$W$744,5,FALSE),"")</f>
        <v/>
      </c>
      <c r="M54" s="106"/>
      <c r="N54" s="111" t="str">
        <f>IF($G54&lt;&gt;"",VLOOKUP($G54,'MASTER TOKO BALI'!$B$2:$W$744,21,FALSE),"")</f>
        <v/>
      </c>
      <c r="O54" s="106"/>
      <c r="P54" s="164" t="str">
        <f>IF($G54&lt;&gt;"",VLOOKUP($G54,'MASTER TOKO BALI'!$B$2:$W$740,7,FALSE),"")</f>
        <v/>
      </c>
    </row>
    <row r="55" spans="1:16" ht="11.25" customHeight="1" x14ac:dyDescent="0.2">
      <c r="A55" s="106"/>
      <c r="B55" s="107"/>
      <c r="C55" s="107"/>
      <c r="D55" s="111"/>
      <c r="E55" s="114"/>
      <c r="F55" s="110"/>
      <c r="G55" s="147"/>
      <c r="H55" s="111"/>
      <c r="I55" s="237" t="str">
        <f>IF($G55&lt;&gt;"",VLOOKUP($G55,'MASTER TOKO BALI'!$B$2:$W$744,4,FALSE),"")</f>
        <v/>
      </c>
      <c r="J55" s="112"/>
      <c r="K55" s="111" t="str">
        <f>IF($G55&lt;&gt;"",VLOOKUP($G55,'MASTER TOKO BALI'!$B$2:$W$744,12,FALSE),"")</f>
        <v/>
      </c>
      <c r="L55" s="111" t="str">
        <f>IF($G55&lt;&gt;"",VLOOKUP($G55,'MASTER TOKO BALI'!$B$2:$W$744,5,FALSE),"")</f>
        <v/>
      </c>
      <c r="M55" s="106"/>
      <c r="N55" s="111" t="str">
        <f>IF($G55&lt;&gt;"",VLOOKUP($G55,'MASTER TOKO BALI'!$B$2:$W$744,21,FALSE),"")</f>
        <v/>
      </c>
      <c r="O55" s="106"/>
      <c r="P55" s="164" t="str">
        <f>IF($G55&lt;&gt;"",VLOOKUP($G55,'MASTER TOKO BALI'!$B$2:$W$740,7,FALSE),"")</f>
        <v/>
      </c>
    </row>
    <row r="56" spans="1:16" ht="11.25" customHeight="1" x14ac:dyDescent="0.2">
      <c r="A56" s="106">
        <f>A54+1</f>
        <v>49</v>
      </c>
      <c r="B56" s="107" t="s">
        <v>2034</v>
      </c>
      <c r="C56" s="107" t="s">
        <v>2035</v>
      </c>
      <c r="D56" s="108" t="s">
        <v>2036</v>
      </c>
      <c r="E56" s="109" t="s">
        <v>2075</v>
      </c>
      <c r="F56" s="126"/>
      <c r="G56" s="106" t="s">
        <v>541</v>
      </c>
      <c r="H56" s="111" t="str">
        <f>IF($G56&lt;&gt;"",VLOOKUP($G56,'MASTER TOKO BALI'!$B$2:$W$744,2,FALSE),"")</f>
        <v>PC.PC.BALI CLIFF - BADUNG</v>
      </c>
      <c r="I56" s="237">
        <f>IF($G56&lt;&gt;"",VLOOKUP($G56,'MASTER TOKO BALI'!$B$2:$W$744,4,FALSE),"")</f>
        <v>650851157</v>
      </c>
      <c r="J56" s="112">
        <v>46267</v>
      </c>
      <c r="K56" s="111" t="str">
        <f>IF($G56&lt;&gt;"",VLOOKUP($G56,'MASTER TOKO BALI'!$B$2:$W$744,12,FALSE),"")</f>
        <v>M</v>
      </c>
      <c r="L56" s="111">
        <f>IF($G56&lt;&gt;"",VLOOKUP($G56,'MASTER TOKO BALI'!$B$2:$W$744,5,FALSE),"")</f>
        <v>5000000</v>
      </c>
      <c r="M56" s="106"/>
      <c r="N56" s="111" t="str">
        <f>IF($G56&lt;&gt;"",VLOOKUP($G56,'MASTER TOKO BALI'!$B$2:$W$744,21,FALSE),"")</f>
        <v>NON ZONA HITAM</v>
      </c>
      <c r="O56" s="106"/>
      <c r="P56" s="164" t="str">
        <f>IF($G56&lt;&gt;"",VLOOKUP($G56,'MASTER TOKO BALI'!$B$2:$W$740,7,FALSE),"")</f>
        <v>ANC</v>
      </c>
    </row>
    <row r="57" spans="1:16" ht="11.25" customHeight="1" x14ac:dyDescent="0.2">
      <c r="A57" s="106">
        <f t="shared" ref="A57:A79" si="2">A56+1</f>
        <v>50</v>
      </c>
      <c r="B57" s="107" t="s">
        <v>2038</v>
      </c>
      <c r="C57" s="107" t="s">
        <v>2035</v>
      </c>
      <c r="D57" s="113" t="s">
        <v>2039</v>
      </c>
      <c r="E57" s="109" t="s">
        <v>2075</v>
      </c>
      <c r="F57" s="110"/>
      <c r="G57" s="106"/>
      <c r="H57" s="111" t="str">
        <f>IF($G57&lt;&gt;"",VLOOKUP($G57,'MASTER TOKO BALI'!$B$2:$W$744,2,FALSE),"")</f>
        <v/>
      </c>
      <c r="I57" s="237" t="str">
        <f>IF($G57&lt;&gt;"",VLOOKUP($G57,'MASTER TOKO BALI'!$B$2:$W$744,4,FALSE),"")</f>
        <v/>
      </c>
      <c r="J57" s="112">
        <v>46267</v>
      </c>
      <c r="K57" s="111" t="str">
        <f>IF($G57&lt;&gt;"",VLOOKUP($G57,'MASTER TOKO BALI'!$B$2:$W$744,12,FALSE),"")</f>
        <v/>
      </c>
      <c r="L57" s="111" t="str">
        <f>IF($G57&lt;&gt;"",VLOOKUP($G57,'MASTER TOKO BALI'!$B$2:$W$744,5,FALSE),"")</f>
        <v/>
      </c>
      <c r="M57" s="106"/>
      <c r="N57" s="111" t="str">
        <f>IF($G57&lt;&gt;"",VLOOKUP($G57,'MASTER TOKO BALI'!$B$2:$W$744,21,FALSE),"")</f>
        <v/>
      </c>
      <c r="O57" s="106"/>
      <c r="P57" s="164" t="str">
        <f>IF($G57&lt;&gt;"",VLOOKUP($G57,'MASTER TOKO BALI'!$B$2:$W$740,7,FALSE),"")</f>
        <v/>
      </c>
    </row>
    <row r="58" spans="1:16" ht="11.25" customHeight="1" x14ac:dyDescent="0.2">
      <c r="A58" s="106">
        <f t="shared" si="2"/>
        <v>51</v>
      </c>
      <c r="B58" s="107" t="s">
        <v>2040</v>
      </c>
      <c r="C58" s="107" t="s">
        <v>2035</v>
      </c>
      <c r="D58" s="108" t="s">
        <v>2041</v>
      </c>
      <c r="E58" s="109" t="s">
        <v>2075</v>
      </c>
      <c r="F58" s="110"/>
      <c r="G58" s="106" t="s">
        <v>717</v>
      </c>
      <c r="H58" s="111" t="str">
        <f>IF($G58&lt;&gt;"",VLOOKUP($G58,'MASTER TOKO BALI'!$B$2:$W$744,2,FALSE),"")</f>
        <v>PC.PC.RAYA KAMPUS UNUD - BADUNG</v>
      </c>
      <c r="I58" s="237">
        <f>IF($G58&lt;&gt;"",VLOOKUP($G58,'MASTER TOKO BALI'!$B$2:$W$744,4,FALSE),"")</f>
        <v>675629520</v>
      </c>
      <c r="J58" s="112">
        <v>46267</v>
      </c>
      <c r="K58" s="111" t="str">
        <f>IF($G58&lt;&gt;"",VLOOKUP($G58,'MASTER TOKO BALI'!$B$2:$W$744,12,FALSE),"")</f>
        <v>M</v>
      </c>
      <c r="L58" s="111">
        <f>IF($G58&lt;&gt;"",VLOOKUP($G58,'MASTER TOKO BALI'!$B$2:$W$744,5,FALSE),"")</f>
        <v>5000000</v>
      </c>
      <c r="M58" s="106"/>
      <c r="N58" s="111" t="str">
        <f>IF($G58&lt;&gt;"",VLOOKUP($G58,'MASTER TOKO BALI'!$B$2:$W$744,21,FALSE),"")</f>
        <v>NON ZONA HITAM</v>
      </c>
      <c r="O58" s="106"/>
      <c r="P58" s="164" t="str">
        <f>IF($G58&lt;&gt;"",VLOOKUP($G58,'MASTER TOKO BALI'!$B$2:$W$740,7,FALSE),"")</f>
        <v>RDT</v>
      </c>
    </row>
    <row r="59" spans="1:16" ht="11.25" customHeight="1" x14ac:dyDescent="0.2">
      <c r="A59" s="106">
        <f t="shared" si="2"/>
        <v>52</v>
      </c>
      <c r="B59" s="107" t="s">
        <v>2038</v>
      </c>
      <c r="C59" s="107" t="s">
        <v>2035</v>
      </c>
      <c r="D59" s="113" t="s">
        <v>2039</v>
      </c>
      <c r="E59" s="109" t="s">
        <v>2075</v>
      </c>
      <c r="F59" s="110"/>
      <c r="G59" s="106"/>
      <c r="H59" s="111" t="str">
        <f>IF($G59&lt;&gt;"",VLOOKUP($G59,'MASTER TOKO BALI'!$B$2:$W$744,2,FALSE),"")</f>
        <v/>
      </c>
      <c r="I59" s="237" t="str">
        <f>IF($G59&lt;&gt;"",VLOOKUP($G59,'MASTER TOKO BALI'!$B$2:$W$744,4,FALSE),"")</f>
        <v/>
      </c>
      <c r="J59" s="112">
        <v>46267</v>
      </c>
      <c r="K59" s="111" t="str">
        <f>IF($G59&lt;&gt;"",VLOOKUP($G59,'MASTER TOKO BALI'!$B$2:$W$744,12,FALSE),"")</f>
        <v/>
      </c>
      <c r="L59" s="111" t="str">
        <f>IF($G59&lt;&gt;"",VLOOKUP($G59,'MASTER TOKO BALI'!$B$2:$W$744,5,FALSE),"")</f>
        <v/>
      </c>
      <c r="M59" s="106"/>
      <c r="N59" s="111" t="str">
        <f>IF($G59&lt;&gt;"",VLOOKUP($G59,'MASTER TOKO BALI'!$B$2:$W$744,21,FALSE),"")</f>
        <v/>
      </c>
      <c r="O59" s="106"/>
      <c r="P59" s="164" t="str">
        <f>IF($G59&lt;&gt;"",VLOOKUP($G59,'MASTER TOKO BALI'!$B$2:$W$740,7,FALSE),"")</f>
        <v/>
      </c>
    </row>
    <row r="60" spans="1:16" ht="11.25" customHeight="1" x14ac:dyDescent="0.2">
      <c r="A60" s="106">
        <f t="shared" si="2"/>
        <v>53</v>
      </c>
      <c r="B60" s="107" t="s">
        <v>2042</v>
      </c>
      <c r="C60" s="107" t="s">
        <v>2043</v>
      </c>
      <c r="D60" s="108" t="s">
        <v>2044</v>
      </c>
      <c r="E60" s="109" t="s">
        <v>2075</v>
      </c>
      <c r="F60" s="110"/>
      <c r="G60" s="106" t="s">
        <v>599</v>
      </c>
      <c r="H60" s="111" t="str">
        <f>IF($G60&lt;&gt;"",VLOOKUP($G60,'MASTER TOKO BALI'!$B$2:$W$744,2,FALSE),"")</f>
        <v>PC.PC.TAMAN TANDA - TABANAN</v>
      </c>
      <c r="I60" s="237">
        <f>IF($G60&lt;&gt;"",VLOOKUP($G60,'MASTER TOKO BALI'!$B$2:$W$744,4,FALSE),"")</f>
        <v>629176829</v>
      </c>
      <c r="J60" s="112">
        <v>46267</v>
      </c>
      <c r="K60" s="111" t="str">
        <f>IF($G60&lt;&gt;"",VLOOKUP($G60,'MASTER TOKO BALI'!$B$2:$W$744,12,FALSE),"")</f>
        <v>M</v>
      </c>
      <c r="L60" s="111">
        <f>IF($G60&lt;&gt;"",VLOOKUP($G60,'MASTER TOKO BALI'!$B$2:$W$744,5,FALSE),"")</f>
        <v>4000000</v>
      </c>
      <c r="M60" s="106"/>
      <c r="N60" s="111" t="str">
        <f>IF($G60&lt;&gt;"",VLOOKUP($G60,'MASTER TOKO BALI'!$B$2:$W$744,21,FALSE),"")</f>
        <v>NON ZONA HITAM</v>
      </c>
      <c r="O60" s="106"/>
      <c r="P60" s="164" t="str">
        <f>IF($G60&lt;&gt;"",VLOOKUP($G60,'MASTER TOKO BALI'!$B$2:$W$740,7,FALSE),"")</f>
        <v>KAR</v>
      </c>
    </row>
    <row r="61" spans="1:16" ht="11.25" customHeight="1" x14ac:dyDescent="0.2">
      <c r="A61" s="106">
        <f t="shared" si="2"/>
        <v>54</v>
      </c>
      <c r="B61" s="107" t="s">
        <v>2038</v>
      </c>
      <c r="C61" s="107" t="s">
        <v>2043</v>
      </c>
      <c r="D61" s="113" t="s">
        <v>2045</v>
      </c>
      <c r="E61" s="109" t="s">
        <v>2075</v>
      </c>
      <c r="F61" s="110"/>
      <c r="G61" s="106" t="s">
        <v>1199</v>
      </c>
      <c r="H61" s="111" t="str">
        <f>IF($G61&lt;&gt;"",VLOOKUP($G61,'MASTER TOKO BALI'!$B$2:$W$744,2,FALSE),"")</f>
        <v>RAYA BATURITI - TABANAN</v>
      </c>
      <c r="I61" s="237">
        <f>IF($G61&lt;&gt;"",VLOOKUP($G61,'MASTER TOKO BALI'!$B$2:$W$744,4,FALSE),"")</f>
        <v>439478960</v>
      </c>
      <c r="J61" s="112">
        <v>46267</v>
      </c>
      <c r="K61" s="111" t="str">
        <f>IF($G61&lt;&gt;"",VLOOKUP($G61,'MASTER TOKO BALI'!$B$2:$W$744,12,FALSE),"")</f>
        <v>M</v>
      </c>
      <c r="L61" s="111">
        <f>IF($G61&lt;&gt;"",VLOOKUP($G61,'MASTER TOKO BALI'!$B$2:$W$744,5,FALSE),"")</f>
        <v>2000000</v>
      </c>
      <c r="M61" s="106"/>
      <c r="N61" s="111" t="str">
        <f>IF($G61&lt;&gt;"",VLOOKUP($G61,'MASTER TOKO BALI'!$B$2:$W$744,21,FALSE),"")</f>
        <v>NON ZONA HITAM</v>
      </c>
      <c r="O61" s="106"/>
      <c r="P61" s="164" t="str">
        <f>IF($G61&lt;&gt;"",VLOOKUP($G61,'MASTER TOKO BALI'!$B$2:$W$740,7,FALSE),"")</f>
        <v>KAR</v>
      </c>
    </row>
    <row r="62" spans="1:16" ht="11.25" customHeight="1" x14ac:dyDescent="0.2">
      <c r="A62" s="106">
        <f t="shared" si="2"/>
        <v>55</v>
      </c>
      <c r="B62" s="107" t="s">
        <v>2046</v>
      </c>
      <c r="C62" s="107" t="s">
        <v>2043</v>
      </c>
      <c r="D62" s="108" t="s">
        <v>2047</v>
      </c>
      <c r="E62" s="109" t="s">
        <v>2075</v>
      </c>
      <c r="F62" s="110"/>
      <c r="G62" s="106" t="s">
        <v>1808</v>
      </c>
      <c r="H62" s="111" t="str">
        <f>IF($G62&lt;&gt;"",VLOOKUP($G62,'MASTER TOKO BALI'!$B$2:$W$744,2,FALSE),"")</f>
        <v>PEREAN TENGAH - TABANAN</v>
      </c>
      <c r="I62" s="237">
        <f>IF($G62&lt;&gt;"",VLOOKUP($G62,'MASTER TOKO BALI'!$B$2:$W$744,4,FALSE),"")</f>
        <v>454390211</v>
      </c>
      <c r="J62" s="112">
        <v>46267</v>
      </c>
      <c r="K62" s="111" t="str">
        <f>IF($G62&lt;&gt;"",VLOOKUP($G62,'MASTER TOKO BALI'!$B$2:$W$744,12,FALSE),"")</f>
        <v>M</v>
      </c>
      <c r="L62" s="111">
        <f>IF($G62&lt;&gt;"",VLOOKUP($G62,'MASTER TOKO BALI'!$B$2:$W$744,5,FALSE),"")</f>
        <v>2500000</v>
      </c>
      <c r="M62" s="106"/>
      <c r="N62" s="111" t="str">
        <f>IF($G62&lt;&gt;"",VLOOKUP($G62,'MASTER TOKO BALI'!$B$2:$W$744,21,FALSE),"")</f>
        <v>NON ZONA HITAM</v>
      </c>
      <c r="O62" s="106"/>
      <c r="P62" s="164" t="str">
        <f>IF($G62&lt;&gt;"",VLOOKUP($G62,'MASTER TOKO BALI'!$B$2:$W$740,7,FALSE),"")</f>
        <v>KAR</v>
      </c>
    </row>
    <row r="63" spans="1:16" ht="11.25" customHeight="1" x14ac:dyDescent="0.3">
      <c r="A63" s="106">
        <f t="shared" si="2"/>
        <v>56</v>
      </c>
      <c r="B63" s="107" t="s">
        <v>2038</v>
      </c>
      <c r="C63" s="107" t="s">
        <v>2043</v>
      </c>
      <c r="D63" s="113" t="s">
        <v>2045</v>
      </c>
      <c r="E63" s="109" t="s">
        <v>2075</v>
      </c>
      <c r="F63" s="110"/>
      <c r="G63" s="76" t="s">
        <v>1199</v>
      </c>
      <c r="H63" s="111" t="str">
        <f>IF($G63&lt;&gt;"",VLOOKUP($G63,'MASTER TOKO BALI'!$B$2:$W$744,2,FALSE),"")</f>
        <v>RAYA BATURITI - TABANAN</v>
      </c>
      <c r="I63" s="237">
        <f>IF($G63&lt;&gt;"",VLOOKUP($G63,'MASTER TOKO BALI'!$B$2:$W$744,4,FALSE),"")</f>
        <v>439478960</v>
      </c>
      <c r="J63" s="112">
        <v>46267</v>
      </c>
      <c r="K63" s="111" t="str">
        <f>IF($G63&lt;&gt;"",VLOOKUP($G63,'MASTER TOKO BALI'!$B$2:$W$744,12,FALSE),"")</f>
        <v>M</v>
      </c>
      <c r="L63" s="111">
        <f>IF($G63&lt;&gt;"",VLOOKUP($G63,'MASTER TOKO BALI'!$B$2:$W$744,5,FALSE),"")</f>
        <v>2000000</v>
      </c>
      <c r="M63" s="106"/>
      <c r="N63" s="111" t="str">
        <f>IF($G63&lt;&gt;"",VLOOKUP($G63,'MASTER TOKO BALI'!$B$2:$W$744,21,FALSE),"")</f>
        <v>NON ZONA HITAM</v>
      </c>
      <c r="O63" s="106"/>
      <c r="P63" s="164" t="str">
        <f>IF($G63&lt;&gt;"",VLOOKUP($G63,'MASTER TOKO BALI'!$B$2:$W$740,7,FALSE),"")</f>
        <v>KAR</v>
      </c>
    </row>
    <row r="64" spans="1:16" x14ac:dyDescent="0.2">
      <c r="A64" s="106">
        <f t="shared" si="2"/>
        <v>57</v>
      </c>
      <c r="B64" s="107" t="s">
        <v>2048</v>
      </c>
      <c r="C64" s="107" t="s">
        <v>2049</v>
      </c>
      <c r="D64" s="108" t="s">
        <v>2050</v>
      </c>
      <c r="E64" s="109" t="s">
        <v>2075</v>
      </c>
      <c r="F64" s="110"/>
      <c r="G64" s="106" t="s">
        <v>163</v>
      </c>
      <c r="H64" s="111" t="str">
        <f>IF($G64&lt;&gt;"",VLOOKUP($G64,'MASTER TOKO BALI'!$B$2:$W$744,2,FALSE),"")</f>
        <v>BRIGJEN NGURAH RAI_BANGLI</v>
      </c>
      <c r="I64" s="237">
        <f>IF($G64&lt;&gt;"",VLOOKUP($G64,'MASTER TOKO BALI'!$B$2:$W$744,4,FALSE),"")</f>
        <v>449503564</v>
      </c>
      <c r="J64" s="112">
        <v>46267</v>
      </c>
      <c r="K64" s="111" t="str">
        <f>IF($G64&lt;&gt;"",VLOOKUP($G64,'MASTER TOKO BALI'!$B$2:$W$744,12,FALSE),"")</f>
        <v>Q3</v>
      </c>
      <c r="L64" s="111">
        <f>IF($G64&lt;&gt;"",VLOOKUP($G64,'MASTER TOKO BALI'!$B$2:$W$744,5,FALSE),"")</f>
        <v>2000000</v>
      </c>
      <c r="M64" s="106"/>
      <c r="N64" s="111" t="str">
        <f>IF($G64&lt;&gt;"",VLOOKUP($G64,'MASTER TOKO BALI'!$B$2:$W$744,21,FALSE),"")</f>
        <v>NON ZONA HITAM</v>
      </c>
      <c r="O64" s="106"/>
      <c r="P64" s="164" t="str">
        <f>IF($G64&lt;&gt;"",VLOOKUP($G64,'MASTER TOKO BALI'!$B$2:$W$740,7,FALSE),"")</f>
        <v>IKN</v>
      </c>
    </row>
    <row r="65" spans="1:19" x14ac:dyDescent="0.2">
      <c r="A65" s="106">
        <f t="shared" si="2"/>
        <v>58</v>
      </c>
      <c r="B65" s="107" t="s">
        <v>2038</v>
      </c>
      <c r="C65" s="107" t="s">
        <v>2049</v>
      </c>
      <c r="D65" s="115" t="s">
        <v>2051</v>
      </c>
      <c r="E65" s="109" t="s">
        <v>2075</v>
      </c>
      <c r="F65" s="110"/>
      <c r="G65" s="106" t="s">
        <v>161</v>
      </c>
      <c r="H65" s="111" t="str">
        <f>IF($G65&lt;&gt;"",VLOOKUP($G65,'MASTER TOKO BALI'!$B$2:$W$744,2,FALSE),"")</f>
        <v>YCG.KUSUMAYUDHA BARAT - BANGLI</v>
      </c>
      <c r="I65" s="237">
        <f>IF($G65&lt;&gt;"",VLOOKUP($G65,'MASTER TOKO BALI'!$B$2:$W$744,4,FALSE),"")</f>
        <v>490268252</v>
      </c>
      <c r="J65" s="112">
        <v>46267</v>
      </c>
      <c r="K65" s="111" t="str">
        <f>IF($G65&lt;&gt;"",VLOOKUP($G65,'MASTER TOKO BALI'!$B$2:$W$744,12,FALSE),"")</f>
        <v>Q3</v>
      </c>
      <c r="L65" s="111">
        <f>IF($G65&lt;&gt;"",VLOOKUP($G65,'MASTER TOKO BALI'!$B$2:$W$744,5,FALSE),"")</f>
        <v>2500000</v>
      </c>
      <c r="M65" s="106"/>
      <c r="N65" s="111" t="str">
        <f>IF($G65&lt;&gt;"",VLOOKUP($G65,'MASTER TOKO BALI'!$B$2:$W$744,21,FALSE),"")</f>
        <v>NON ZONA HITAM</v>
      </c>
      <c r="O65" s="106"/>
      <c r="P65" s="164" t="str">
        <f>IF($G65&lt;&gt;"",VLOOKUP($G65,'MASTER TOKO BALI'!$B$2:$W$740,7,FALSE),"")</f>
        <v>IKN</v>
      </c>
    </row>
    <row r="66" spans="1:19" x14ac:dyDescent="0.2">
      <c r="A66" s="106">
        <f t="shared" si="2"/>
        <v>59</v>
      </c>
      <c r="B66" s="107" t="s">
        <v>2052</v>
      </c>
      <c r="C66" s="107" t="s">
        <v>2049</v>
      </c>
      <c r="D66" s="108" t="s">
        <v>2053</v>
      </c>
      <c r="E66" s="109" t="s">
        <v>2075</v>
      </c>
      <c r="F66" s="110"/>
      <c r="G66" s="106" t="s">
        <v>209</v>
      </c>
      <c r="H66" s="111" t="str">
        <f>IF($G66&lt;&gt;"",VLOOKUP($G66,'MASTER TOKO BALI'!$B$2:$W$744,2,FALSE),"")</f>
        <v>YCG.MAHENDRADATA - GIANYAR</v>
      </c>
      <c r="I66" s="237">
        <f>IF($G66&lt;&gt;"",VLOOKUP($G66,'MASTER TOKO BALI'!$B$2:$W$744,4,FALSE),"")</f>
        <v>429541707</v>
      </c>
      <c r="J66" s="112">
        <v>46267</v>
      </c>
      <c r="K66" s="111" t="str">
        <f>IF($G66&lt;&gt;"",VLOOKUP($G66,'MASTER TOKO BALI'!$B$2:$W$744,12,FALSE),"")</f>
        <v>Q3</v>
      </c>
      <c r="L66" s="111">
        <f>IF($G66&lt;&gt;"",VLOOKUP($G66,'MASTER TOKO BALI'!$B$2:$W$744,5,FALSE),"")</f>
        <v>3000000</v>
      </c>
      <c r="M66" s="106"/>
      <c r="N66" s="111" t="str">
        <f>IF($G66&lt;&gt;"",VLOOKUP($G66,'MASTER TOKO BALI'!$B$2:$W$744,21,FALSE),"")</f>
        <v>NON ZONA HITAM</v>
      </c>
      <c r="O66" s="106"/>
      <c r="P66" s="164" t="str">
        <f>IF($G66&lt;&gt;"",VLOOKUP($G66,'MASTER TOKO BALI'!$B$2:$W$740,7,FALSE),"")</f>
        <v>IKS</v>
      </c>
    </row>
    <row r="67" spans="1:19" x14ac:dyDescent="0.2">
      <c r="A67" s="106">
        <f t="shared" si="2"/>
        <v>60</v>
      </c>
      <c r="B67" s="107" t="s">
        <v>2038</v>
      </c>
      <c r="C67" s="107" t="s">
        <v>2049</v>
      </c>
      <c r="D67" s="113" t="s">
        <v>2051</v>
      </c>
      <c r="E67" s="109" t="s">
        <v>2075</v>
      </c>
      <c r="F67" s="110"/>
      <c r="G67" s="106" t="s">
        <v>152</v>
      </c>
      <c r="H67" s="111" t="str">
        <f>IF($G67&lt;&gt;"",VLOOKUP($G67,'MASTER TOKO BALI'!$B$2:$W$744,2,FALSE),"")</f>
        <v>YCG.PASUNG GERIGIS_GYR</v>
      </c>
      <c r="I67" s="237">
        <f>IF($G67&lt;&gt;"",VLOOKUP($G67,'MASTER TOKO BALI'!$B$2:$W$744,4,FALSE),"")</f>
        <v>432320166</v>
      </c>
      <c r="J67" s="112">
        <v>46267</v>
      </c>
      <c r="K67" s="111" t="str">
        <f>IF($G67&lt;&gt;"",VLOOKUP($G67,'MASTER TOKO BALI'!$B$2:$W$744,12,FALSE),"")</f>
        <v>Q3</v>
      </c>
      <c r="L67" s="111">
        <f>IF($G67&lt;&gt;"",VLOOKUP($G67,'MASTER TOKO BALI'!$B$2:$W$744,5,FALSE),"")</f>
        <v>2000000</v>
      </c>
      <c r="M67" s="106"/>
      <c r="N67" s="111" t="str">
        <f>IF($G67&lt;&gt;"",VLOOKUP($G67,'MASTER TOKO BALI'!$B$2:$W$744,21,FALSE),"")</f>
        <v>NON ZONA HITAM</v>
      </c>
      <c r="O67" s="106"/>
      <c r="P67" s="164" t="str">
        <f>IF($G67&lt;&gt;"",VLOOKUP($G67,'MASTER TOKO BALI'!$B$2:$W$740,7,FALSE),"")</f>
        <v>IKS</v>
      </c>
    </row>
    <row r="68" spans="1:19" x14ac:dyDescent="0.2">
      <c r="A68" s="106">
        <f t="shared" si="2"/>
        <v>61</v>
      </c>
      <c r="B68" s="107" t="s">
        <v>2054</v>
      </c>
      <c r="C68" s="116" t="s">
        <v>2055</v>
      </c>
      <c r="D68" s="108" t="s">
        <v>2056</v>
      </c>
      <c r="E68" s="109" t="s">
        <v>2075</v>
      </c>
      <c r="F68" s="110"/>
      <c r="G68" s="106" t="s">
        <v>200</v>
      </c>
      <c r="H68" s="111" t="str">
        <f>IF($G68&lt;&gt;"",VLOOKUP($G68,'MASTER TOKO BALI'!$B$2:$W$744,2,FALSE),"")</f>
        <v>CANGGU 2 - BADUNG</v>
      </c>
      <c r="I68" s="237">
        <f>IF($G68&lt;&gt;"",VLOOKUP($G68,'MASTER TOKO BALI'!$B$2:$W$744,4,FALSE),"")</f>
        <v>410841321</v>
      </c>
      <c r="J68" s="112">
        <v>46267</v>
      </c>
      <c r="K68" s="111" t="str">
        <f>IF($G68&lt;&gt;"",VLOOKUP($G68,'MASTER TOKO BALI'!$B$2:$W$744,12,FALSE),"")</f>
        <v>Q3</v>
      </c>
      <c r="L68" s="111">
        <f>IF($G68&lt;&gt;"",VLOOKUP($G68,'MASTER TOKO BALI'!$B$2:$W$744,5,FALSE),"")</f>
        <v>2000000</v>
      </c>
      <c r="M68" s="106"/>
      <c r="N68" s="111" t="str">
        <f>IF($G68&lt;&gt;"",VLOOKUP($G68,'MASTER TOKO BALI'!$B$2:$W$744,21,FALSE),"")</f>
        <v>NON ZONA HITAM</v>
      </c>
      <c r="O68" s="106"/>
      <c r="P68" s="164" t="str">
        <f>IF($G68&lt;&gt;"",VLOOKUP($G68,'MASTER TOKO BALI'!$B$2:$W$740,7,FALSE),"")</f>
        <v>IGS</v>
      </c>
    </row>
    <row r="69" spans="1:19" x14ac:dyDescent="0.2">
      <c r="A69" s="106">
        <f t="shared" si="2"/>
        <v>62</v>
      </c>
      <c r="B69" s="107" t="s">
        <v>2038</v>
      </c>
      <c r="C69" s="116" t="s">
        <v>2055</v>
      </c>
      <c r="D69" s="113" t="s">
        <v>2057</v>
      </c>
      <c r="E69" s="109" t="s">
        <v>2075</v>
      </c>
      <c r="F69" s="110"/>
      <c r="G69" s="106" t="s">
        <v>26</v>
      </c>
      <c r="H69" s="111" t="str">
        <f>IF($G69&lt;&gt;"",VLOOKUP($G69,'MASTER TOKO BALI'!$B$2:$W$744,2,FALSE),"")</f>
        <v>PANTAI BERAWA - BADUNG</v>
      </c>
      <c r="I69" s="237">
        <f>IF($G69&lt;&gt;"",VLOOKUP($G69,'MASTER TOKO BALI'!$B$2:$W$744,4,FALSE),"")</f>
        <v>395060887</v>
      </c>
      <c r="J69" s="112">
        <v>46267</v>
      </c>
      <c r="K69" s="111" t="str">
        <f>IF($G69&lt;&gt;"",VLOOKUP($G69,'MASTER TOKO BALI'!$B$2:$W$744,12,FALSE),"")</f>
        <v>Q3</v>
      </c>
      <c r="L69" s="111">
        <f>IF($G69&lt;&gt;"",VLOOKUP($G69,'MASTER TOKO BALI'!$B$2:$W$744,5,FALSE),"")</f>
        <v>2000000</v>
      </c>
      <c r="M69" s="106"/>
      <c r="N69" s="111" t="str">
        <f>IF($G69&lt;&gt;"",VLOOKUP($G69,'MASTER TOKO BALI'!$B$2:$W$744,21,FALSE),"")</f>
        <v>NON ZONA HITAM</v>
      </c>
      <c r="O69" s="106"/>
      <c r="P69" s="164" t="str">
        <f>IF($G69&lt;&gt;"",VLOOKUP($G69,'MASTER TOKO BALI'!$B$2:$W$740,7,FALSE),"")</f>
        <v>IGS</v>
      </c>
    </row>
    <row r="70" spans="1:19" x14ac:dyDescent="0.2">
      <c r="A70" s="106">
        <f t="shared" si="2"/>
        <v>63</v>
      </c>
      <c r="B70" s="107" t="s">
        <v>2058</v>
      </c>
      <c r="C70" s="116" t="s">
        <v>2055</v>
      </c>
      <c r="D70" s="108" t="s">
        <v>2059</v>
      </c>
      <c r="E70" s="109" t="s">
        <v>2075</v>
      </c>
      <c r="F70" s="110"/>
      <c r="G70" s="106" t="s">
        <v>123</v>
      </c>
      <c r="H70" s="111" t="str">
        <f>IF($G70&lt;&gt;"",VLOOKUP($G70,'MASTER TOKO BALI'!$B$2:$W$744,2,FALSE),"")</f>
        <v>ANGGUNGAN - BADUNG</v>
      </c>
      <c r="I70" s="237">
        <f>IF($G70&lt;&gt;"",VLOOKUP($G70,'MASTER TOKO BALI'!$B$2:$W$744,4,FALSE),"")</f>
        <v>491226801</v>
      </c>
      <c r="J70" s="112">
        <v>46267</v>
      </c>
      <c r="K70" s="111" t="str">
        <f>IF($G70&lt;&gt;"",VLOOKUP($G70,'MASTER TOKO BALI'!$B$2:$W$744,12,FALSE),"")</f>
        <v>Q3</v>
      </c>
      <c r="L70" s="111">
        <f>IF($G70&lt;&gt;"",VLOOKUP($G70,'MASTER TOKO BALI'!$B$2:$W$744,5,FALSE),"")</f>
        <v>2000000</v>
      </c>
      <c r="M70" s="106"/>
      <c r="N70" s="111" t="str">
        <f>IF($G70&lt;&gt;"",VLOOKUP($G70,'MASTER TOKO BALI'!$B$2:$W$744,21,FALSE),"")</f>
        <v>NON ZONA HITAM</v>
      </c>
      <c r="O70" s="106"/>
      <c r="P70" s="164" t="str">
        <f>IF($G70&lt;&gt;"",VLOOKUP($G70,'MASTER TOKO BALI'!$B$2:$W$740,7,FALSE),"")</f>
        <v>IWS</v>
      </c>
    </row>
    <row r="71" spans="1:19" x14ac:dyDescent="0.2">
      <c r="A71" s="106">
        <f t="shared" si="2"/>
        <v>64</v>
      </c>
      <c r="B71" s="107" t="s">
        <v>2038</v>
      </c>
      <c r="C71" s="116" t="s">
        <v>2055</v>
      </c>
      <c r="D71" s="113" t="s">
        <v>2057</v>
      </c>
      <c r="E71" s="109" t="s">
        <v>2075</v>
      </c>
      <c r="F71" s="127"/>
      <c r="G71" s="106" t="s">
        <v>70</v>
      </c>
      <c r="H71" s="111" t="str">
        <f>IF($G71&lt;&gt;"",VLOOKUP($G71,'MASTER TOKO BALI'!$B$2:$W$744,2,FALSE),"")</f>
        <v>SANDING- GIANYAR</v>
      </c>
      <c r="I71" s="237">
        <f>IF($G71&lt;&gt;"",VLOOKUP($G71,'MASTER TOKO BALI'!$B$2:$W$744,4,FALSE),"")</f>
        <v>383509061</v>
      </c>
      <c r="J71" s="112">
        <v>46267</v>
      </c>
      <c r="K71" s="111" t="str">
        <f>IF($G71&lt;&gt;"",VLOOKUP($G71,'MASTER TOKO BALI'!$B$2:$W$744,12,FALSE),"")</f>
        <v>Q3</v>
      </c>
      <c r="L71" s="111">
        <f>IF($G71&lt;&gt;"",VLOOKUP($G71,'MASTER TOKO BALI'!$B$2:$W$744,5,FALSE),"")</f>
        <v>2000000</v>
      </c>
      <c r="M71" s="106"/>
      <c r="N71" s="111" t="str">
        <f>IF($G71&lt;&gt;"",VLOOKUP($G71,'MASTER TOKO BALI'!$B$2:$W$744,21,FALSE),"")</f>
        <v>NON ZONA HITAM</v>
      </c>
      <c r="O71" s="106"/>
      <c r="P71" s="164" t="str">
        <f>IF($G71&lt;&gt;"",VLOOKUP($G71,'MASTER TOKO BALI'!$B$2:$W$740,7,FALSE),"")</f>
        <v>IKS</v>
      </c>
    </row>
    <row r="72" spans="1:19" x14ac:dyDescent="0.2">
      <c r="A72" s="106">
        <f t="shared" si="2"/>
        <v>65</v>
      </c>
      <c r="B72" s="107" t="s">
        <v>2060</v>
      </c>
      <c r="C72" s="116" t="s">
        <v>2061</v>
      </c>
      <c r="D72" s="108" t="s">
        <v>2062</v>
      </c>
      <c r="E72" s="109" t="s">
        <v>2075</v>
      </c>
      <c r="F72" s="110"/>
      <c r="G72" s="106" t="s">
        <v>555</v>
      </c>
      <c r="H72" s="111" t="str">
        <f>IF($G72&lt;&gt;"",VLOOKUP($G72,'MASTER TOKO BALI'!$B$2:$W$744,2,FALSE),"")</f>
        <v>PC.PC.KALIMUTU_DPS</v>
      </c>
      <c r="I72" s="237">
        <f>IF($G72&lt;&gt;"",VLOOKUP($G72,'MASTER TOKO BALI'!$B$2:$W$744,4,FALSE),"")</f>
        <v>601938654</v>
      </c>
      <c r="J72" s="112">
        <v>46267</v>
      </c>
      <c r="K72" s="111" t="str">
        <f>IF($G72&lt;&gt;"",VLOOKUP($G72,'MASTER TOKO BALI'!$B$2:$W$744,12,FALSE),"")</f>
        <v>M</v>
      </c>
      <c r="L72" s="111">
        <f>IF($G72&lt;&gt;"",VLOOKUP($G72,'MASTER TOKO BALI'!$B$2:$W$744,5,FALSE),"")</f>
        <v>3000000</v>
      </c>
      <c r="M72" s="106"/>
      <c r="N72" s="111" t="str">
        <f>IF($G72&lt;&gt;"",VLOOKUP($G72,'MASTER TOKO BALI'!$B$2:$W$744,21,FALSE),"")</f>
        <v>NON ZONA HITAM</v>
      </c>
      <c r="O72" s="106"/>
      <c r="P72" s="164" t="str">
        <f>IF($G72&lt;&gt;"",VLOOKUP($G72,'MASTER TOKO BALI'!$B$2:$W$740,7,FALSE),"")</f>
        <v>KSM</v>
      </c>
    </row>
    <row r="73" spans="1:19" x14ac:dyDescent="0.2">
      <c r="A73" s="106">
        <f t="shared" si="2"/>
        <v>66</v>
      </c>
      <c r="B73" s="107" t="s">
        <v>2038</v>
      </c>
      <c r="C73" s="116" t="s">
        <v>2061</v>
      </c>
      <c r="D73" s="113" t="s">
        <v>2063</v>
      </c>
      <c r="E73" s="109" t="s">
        <v>2075</v>
      </c>
      <c r="F73" s="127"/>
      <c r="G73" s="106" t="s">
        <v>704</v>
      </c>
      <c r="H73" s="111" t="str">
        <f>IF($G73&lt;&gt;"",VLOOKUP($G73,'MASTER TOKO BALI'!$B$2:$W$744,2,FALSE),"")</f>
        <v>YCG.IMAM BONJOL NO.83_DPS</v>
      </c>
      <c r="I73" s="237">
        <f>IF($G73&lt;&gt;"",VLOOKUP($G73,'MASTER TOKO BALI'!$B$2:$W$744,4,FALSE),"")</f>
        <v>431845277</v>
      </c>
      <c r="J73" s="112">
        <v>46267</v>
      </c>
      <c r="K73" s="111" t="str">
        <f>IF($G73&lt;&gt;"",VLOOKUP($G73,'MASTER TOKO BALI'!$B$2:$W$744,12,FALSE),"")</f>
        <v>M</v>
      </c>
      <c r="L73" s="111">
        <f>IF($G73&lt;&gt;"",VLOOKUP($G73,'MASTER TOKO BALI'!$B$2:$W$744,5,FALSE),"")</f>
        <v>2000000</v>
      </c>
      <c r="M73" s="106"/>
      <c r="N73" s="111" t="str">
        <f>IF($G73&lt;&gt;"",VLOOKUP($G73,'MASTER TOKO BALI'!$B$2:$W$744,21,FALSE),"")</f>
        <v>NON ZONA HITAM</v>
      </c>
      <c r="O73" s="106"/>
      <c r="P73" s="164" t="str">
        <f>IF($G73&lt;&gt;"",VLOOKUP($G73,'MASTER TOKO BALI'!$B$2:$W$740,7,FALSE),"")</f>
        <v>DOM</v>
      </c>
    </row>
    <row r="74" spans="1:19" x14ac:dyDescent="0.2">
      <c r="A74" s="106">
        <f t="shared" si="2"/>
        <v>67</v>
      </c>
      <c r="B74" s="107" t="s">
        <v>2064</v>
      </c>
      <c r="C74" s="116" t="s">
        <v>2061</v>
      </c>
      <c r="D74" s="108" t="s">
        <v>2065</v>
      </c>
      <c r="E74" s="109" t="s">
        <v>2075</v>
      </c>
      <c r="F74" s="110"/>
      <c r="G74" s="106" t="s">
        <v>1472</v>
      </c>
      <c r="H74" s="111" t="str">
        <f>IF($G74&lt;&gt;"",VLOOKUP($G74,'MASTER TOKO BALI'!$B$2:$W$744,2,FALSE),"")</f>
        <v>IMAM BONJOL - DENPASAR</v>
      </c>
      <c r="I74" s="237">
        <f>IF($G74&lt;&gt;"",VLOOKUP($G74,'MASTER TOKO BALI'!$B$2:$W$744,4,FALSE),"")</f>
        <v>479482772</v>
      </c>
      <c r="J74" s="112">
        <v>46267</v>
      </c>
      <c r="K74" s="111" t="str">
        <f>IF($G74&lt;&gt;"",VLOOKUP($G74,'MASTER TOKO BALI'!$B$2:$W$744,12,FALSE),"")</f>
        <v>M</v>
      </c>
      <c r="L74" s="111">
        <f>IF($G74&lt;&gt;"",VLOOKUP($G74,'MASTER TOKO BALI'!$B$2:$W$744,5,FALSE),"")</f>
        <v>2500000</v>
      </c>
      <c r="M74" s="106"/>
      <c r="N74" s="111" t="str">
        <f>IF($G74&lt;&gt;"",VLOOKUP($G74,'MASTER TOKO BALI'!$B$2:$W$744,21,FALSE),"")</f>
        <v>ZONA HITAM</v>
      </c>
      <c r="O74" s="106"/>
      <c r="P74" s="164" t="str">
        <f>IF($G74&lt;&gt;"",VLOOKUP($G74,'MASTER TOKO BALI'!$B$2:$W$740,7,FALSE),"")</f>
        <v>DOM</v>
      </c>
    </row>
    <row r="75" spans="1:19" x14ac:dyDescent="0.2">
      <c r="A75" s="106">
        <f t="shared" si="2"/>
        <v>68</v>
      </c>
      <c r="B75" s="107" t="s">
        <v>2066</v>
      </c>
      <c r="C75" s="116" t="s">
        <v>2061</v>
      </c>
      <c r="D75" s="113" t="s">
        <v>2063</v>
      </c>
      <c r="E75" s="109" t="s">
        <v>2075</v>
      </c>
      <c r="F75" s="127"/>
      <c r="G75" s="106"/>
      <c r="H75" s="111" t="str">
        <f>IF($G75&lt;&gt;"",VLOOKUP($G75,'MASTER TOKO BALI'!$B$2:$W$744,2,FALSE),"")</f>
        <v/>
      </c>
      <c r="I75" s="237" t="str">
        <f>IF($G75&lt;&gt;"",VLOOKUP($G75,'MASTER TOKO BALI'!$B$2:$W$744,4,FALSE),"")</f>
        <v/>
      </c>
      <c r="J75" s="112">
        <v>46267</v>
      </c>
      <c r="K75" s="111" t="str">
        <f>IF($G75&lt;&gt;"",VLOOKUP($G75,'MASTER TOKO BALI'!$B$2:$W$744,12,FALSE),"")</f>
        <v/>
      </c>
      <c r="L75" s="111" t="str">
        <f>IF($G75&lt;&gt;"",VLOOKUP($G75,'MASTER TOKO BALI'!$B$2:$W$744,5,FALSE),"")</f>
        <v/>
      </c>
      <c r="M75" s="106"/>
      <c r="N75" s="111" t="str">
        <f>IF($G75&lt;&gt;"",VLOOKUP($G75,'MASTER TOKO BALI'!$B$2:$W$744,21,FALSE),"")</f>
        <v/>
      </c>
      <c r="O75" s="106"/>
      <c r="P75" s="164" t="str">
        <f>IF($G75&lt;&gt;"",VLOOKUP($G75,'MASTER TOKO BALI'!$B$2:$W$740,7,FALSE),"")</f>
        <v/>
      </c>
    </row>
    <row r="76" spans="1:19" x14ac:dyDescent="0.2">
      <c r="A76" s="106">
        <f t="shared" si="2"/>
        <v>69</v>
      </c>
      <c r="B76" s="107" t="s">
        <v>2067</v>
      </c>
      <c r="C76" s="107" t="s">
        <v>2068</v>
      </c>
      <c r="D76" s="108" t="s">
        <v>2069</v>
      </c>
      <c r="E76" s="109" t="s">
        <v>2075</v>
      </c>
      <c r="F76" s="122"/>
      <c r="G76" s="146" t="s">
        <v>1770</v>
      </c>
      <c r="H76" s="111" t="str">
        <f>IF($G76&lt;&gt;"",VLOOKUP($G76,'MASTER TOKO BALI'!$B$2:$W$744,2,FALSE),"")</f>
        <v>PATIMURA - DENPASAR</v>
      </c>
      <c r="I76" s="237">
        <f>IF($G76&lt;&gt;"",VLOOKUP($G76,'MASTER TOKO BALI'!$B$2:$W$744,4,FALSE),"")</f>
        <v>399171648</v>
      </c>
      <c r="J76" s="112">
        <v>46267</v>
      </c>
      <c r="K76" s="111" t="str">
        <f>IF($G76&lt;&gt;"",VLOOKUP($G76,'MASTER TOKO BALI'!$B$2:$W$744,12,FALSE),"")</f>
        <v>M</v>
      </c>
      <c r="L76" s="111">
        <f>IF($G76&lt;&gt;"",VLOOKUP($G76,'MASTER TOKO BALI'!$B$2:$W$744,5,FALSE),"")</f>
        <v>2000000</v>
      </c>
      <c r="M76" s="106"/>
      <c r="N76" s="111" t="str">
        <f>IF($G76&lt;&gt;"",VLOOKUP($G76,'MASTER TOKO BALI'!$B$2:$W$744,21,FALSE),"")</f>
        <v>NON ZONA HITAM</v>
      </c>
      <c r="O76" s="106"/>
      <c r="P76" s="164" t="str">
        <f>IF($G76&lt;&gt;"",VLOOKUP($G76,'MASTER TOKO BALI'!$B$2:$W$740,7,FALSE),"")</f>
        <v>ADR</v>
      </c>
    </row>
    <row r="77" spans="1:19" s="48" customFormat="1" x14ac:dyDescent="0.2">
      <c r="A77" s="106">
        <f t="shared" si="2"/>
        <v>70</v>
      </c>
      <c r="B77" s="107" t="s">
        <v>2066</v>
      </c>
      <c r="C77" s="107" t="s">
        <v>2068</v>
      </c>
      <c r="D77" s="117" t="s">
        <v>2070</v>
      </c>
      <c r="E77" s="109" t="s">
        <v>2075</v>
      </c>
      <c r="F77" s="123"/>
      <c r="G77" s="146" t="s">
        <v>1768</v>
      </c>
      <c r="H77" s="111" t="str">
        <f>IF($G77&lt;&gt;"",VLOOKUP($G77,'MASTER TOKO BALI'!$B$2:$W$744,2,FALSE),"")</f>
        <v>PULAU TARAKAN - DENPASAR</v>
      </c>
      <c r="I77" s="237">
        <f>IF($G77&lt;&gt;"",VLOOKUP($G77,'MASTER TOKO BALI'!$B$2:$W$744,4,FALSE),"")</f>
        <v>375174949</v>
      </c>
      <c r="J77" s="112">
        <v>46267</v>
      </c>
      <c r="K77" s="111" t="str">
        <f>IF($G77&lt;&gt;"",VLOOKUP($G77,'MASTER TOKO BALI'!$B$2:$W$744,12,FALSE),"")</f>
        <v>M</v>
      </c>
      <c r="L77" s="111">
        <f>IF($G77&lt;&gt;"",VLOOKUP($G77,'MASTER TOKO BALI'!$B$2:$W$744,5,FALSE),"")</f>
        <v>2000000</v>
      </c>
      <c r="M77" s="118"/>
      <c r="N77" s="111" t="str">
        <f>IF($G77&lt;&gt;"",VLOOKUP($G77,'MASTER TOKO BALI'!$B$2:$W$744,21,FALSE),"")</f>
        <v>ZONA HITAM</v>
      </c>
      <c r="O77" s="108"/>
      <c r="P77" s="164" t="str">
        <f>IF($G77&lt;&gt;"",VLOOKUP($G77,'MASTER TOKO BALI'!$B$2:$W$740,7,FALSE),"")</f>
        <v>DOM</v>
      </c>
      <c r="S77" s="46"/>
    </row>
    <row r="78" spans="1:19" s="48" customFormat="1" x14ac:dyDescent="0.2">
      <c r="A78" s="106">
        <f t="shared" si="2"/>
        <v>71</v>
      </c>
      <c r="B78" s="107" t="s">
        <v>2071</v>
      </c>
      <c r="C78" s="107" t="s">
        <v>2068</v>
      </c>
      <c r="D78" s="116" t="s">
        <v>2003</v>
      </c>
      <c r="E78" s="109" t="s">
        <v>2075</v>
      </c>
      <c r="F78" s="110"/>
      <c r="G78" s="145" t="s">
        <v>245</v>
      </c>
      <c r="H78" s="111" t="str">
        <f>IF($G78&lt;&gt;"",VLOOKUP($G78,'MASTER TOKO BALI'!$B$2:$W$744,2,FALSE),"")</f>
        <v>YCG.KALIBUKBUK - SINGARAJA</v>
      </c>
      <c r="I78" s="237">
        <f>IF($G78&lt;&gt;"",VLOOKUP($G78,'MASTER TOKO BALI'!$B$2:$W$744,4,FALSE),"")</f>
        <v>560202175</v>
      </c>
      <c r="J78" s="112">
        <v>46267</v>
      </c>
      <c r="K78" s="111" t="str">
        <f>IF($G78&lt;&gt;"",VLOOKUP($G78,'MASTER TOKO BALI'!$B$2:$W$744,12,FALSE),"")</f>
        <v>Q3</v>
      </c>
      <c r="L78" s="111">
        <f>IF($G78&lt;&gt;"",VLOOKUP($G78,'MASTER TOKO BALI'!$B$2:$W$744,5,FALSE),"")</f>
        <v>3000000</v>
      </c>
      <c r="M78" s="108"/>
      <c r="N78" s="111" t="str">
        <f>IF($G78&lt;&gt;"",VLOOKUP($G78,'MASTER TOKO BALI'!$B$2:$W$744,21,FALSE),"")</f>
        <v>NON ZONA HITAM</v>
      </c>
      <c r="O78" s="108"/>
      <c r="P78" s="164" t="str">
        <f>IF($G78&lt;&gt;"",VLOOKUP($G78,'MASTER TOKO BALI'!$B$2:$W$740,7,FALSE),"")</f>
        <v>IKD</v>
      </c>
      <c r="S78" s="46"/>
    </row>
    <row r="79" spans="1:19" x14ac:dyDescent="0.2">
      <c r="A79" s="106">
        <f t="shared" si="2"/>
        <v>72</v>
      </c>
      <c r="B79" s="107" t="s">
        <v>2066</v>
      </c>
      <c r="C79" s="107" t="s">
        <v>2068</v>
      </c>
      <c r="D79" s="117" t="s">
        <v>2070</v>
      </c>
      <c r="E79" s="109" t="s">
        <v>2075</v>
      </c>
      <c r="F79" s="110"/>
      <c r="G79" s="145"/>
      <c r="H79" s="111" t="str">
        <f>IF($G79&lt;&gt;"",VLOOKUP($G79,'MASTER TOKO BALI'!$B$2:$W$744,2,FALSE),"")</f>
        <v/>
      </c>
      <c r="I79" s="237" t="str">
        <f>IF($G79&lt;&gt;"",VLOOKUP($G79,'MASTER TOKO BALI'!$B$2:$W$744,4,FALSE),"")</f>
        <v/>
      </c>
      <c r="J79" s="112">
        <v>46267</v>
      </c>
      <c r="K79" s="111" t="str">
        <f>IF($G79&lt;&gt;"",VLOOKUP($G79,'MASTER TOKO BALI'!$B$2:$W$744,12,FALSE),"")</f>
        <v/>
      </c>
      <c r="L79" s="111" t="str">
        <f>IF($G79&lt;&gt;"",VLOOKUP($G79,'MASTER TOKO BALI'!$B$2:$W$744,5,FALSE),"")</f>
        <v/>
      </c>
      <c r="M79" s="106"/>
      <c r="N79" s="111" t="str">
        <f>IF($G79&lt;&gt;"",VLOOKUP($G79,'MASTER TOKO BALI'!$B$2:$W$744,21,FALSE),"")</f>
        <v/>
      </c>
      <c r="O79" s="106"/>
      <c r="P79" s="164" t="str">
        <f>IF($G79&lt;&gt;"",VLOOKUP($G79,'MASTER TOKO BALI'!$B$2:$W$740,7,FALSE),"")</f>
        <v/>
      </c>
    </row>
    <row r="80" spans="1:19" x14ac:dyDescent="0.2">
      <c r="A80" s="106"/>
      <c r="B80" s="107"/>
      <c r="C80" s="107"/>
      <c r="D80" s="111"/>
      <c r="E80" s="114"/>
      <c r="F80" s="110"/>
      <c r="G80" s="145"/>
      <c r="H80" s="111" t="str">
        <f>IF($G80&lt;&gt;"",VLOOKUP($G80,'MASTER TOKO BALI'!$B$2:$W$744,2,FALSE),"")</f>
        <v/>
      </c>
      <c r="I80" s="237" t="str">
        <f>IF($G80&lt;&gt;"",VLOOKUP($G80,'MASTER TOKO BALI'!$B$2:$W$744,4,FALSE),"")</f>
        <v/>
      </c>
      <c r="J80" s="119"/>
      <c r="K80" s="111" t="str">
        <f>IF($G80&lt;&gt;"",VLOOKUP($G80,'MASTER TOKO BALI'!$B$2:$W$744,12,FALSE),"")</f>
        <v/>
      </c>
      <c r="L80" s="111" t="str">
        <f>IF($G80&lt;&gt;"",VLOOKUP($G80,'MASTER TOKO BALI'!$B$2:$W$744,5,FALSE),"")</f>
        <v/>
      </c>
      <c r="M80" s="106"/>
      <c r="N80" s="111" t="str">
        <f>IF($G80&lt;&gt;"",VLOOKUP($G80,'MASTER TOKO BALI'!$B$2:$W$744,21,FALSE),"")</f>
        <v/>
      </c>
      <c r="O80" s="106"/>
      <c r="P80" s="164" t="str">
        <f>IF($G80&lt;&gt;"",VLOOKUP($G80,'MASTER TOKO BALI'!$B$2:$W$740,7,FALSE),"")</f>
        <v/>
      </c>
    </row>
    <row r="81" spans="1:16" ht="11.25" customHeight="1" x14ac:dyDescent="0.2">
      <c r="A81" s="106">
        <f>A79+1</f>
        <v>73</v>
      </c>
      <c r="B81" s="107" t="s">
        <v>2034</v>
      </c>
      <c r="C81" s="107" t="s">
        <v>2035</v>
      </c>
      <c r="D81" s="108" t="s">
        <v>2036</v>
      </c>
      <c r="E81" s="109" t="s">
        <v>2076</v>
      </c>
      <c r="F81" s="126"/>
      <c r="G81" s="84"/>
      <c r="H81" s="111"/>
      <c r="I81" s="237" t="str">
        <f>IF($G81&lt;&gt;"",VLOOKUP($G81,'MASTER TOKO BALI'!$B$2:$W$744,4,FALSE),"")</f>
        <v/>
      </c>
      <c r="J81" s="112">
        <v>46268</v>
      </c>
      <c r="K81" s="111" t="str">
        <f>IF($G81&lt;&gt;"",VLOOKUP($G81,'MASTER TOKO BALI'!$B$2:$W$744,12,FALSE),"")</f>
        <v/>
      </c>
      <c r="L81" s="111" t="str">
        <f>IF($G81&lt;&gt;"",VLOOKUP($G81,'MASTER TOKO BALI'!$B$2:$W$744,5,FALSE),"")</f>
        <v/>
      </c>
      <c r="M81" s="106"/>
      <c r="N81" s="111" t="str">
        <f>IF($G81&lt;&gt;"",VLOOKUP($G81,'MASTER TOKO BALI'!$B$2:$W$744,21,FALSE),"")</f>
        <v/>
      </c>
      <c r="O81" s="106"/>
      <c r="P81" s="164" t="str">
        <f>IF($G81&lt;&gt;"",VLOOKUP($G81,'MASTER TOKO BALI'!$B$2:$W$740,7,FALSE),"")</f>
        <v/>
      </c>
    </row>
    <row r="82" spans="1:16" ht="11.25" customHeight="1" x14ac:dyDescent="0.2">
      <c r="A82" s="106">
        <f t="shared" ref="A82:A104" si="3">A81+1</f>
        <v>74</v>
      </c>
      <c r="B82" s="107" t="s">
        <v>2038</v>
      </c>
      <c r="C82" s="107" t="s">
        <v>2035</v>
      </c>
      <c r="D82" s="113" t="s">
        <v>2039</v>
      </c>
      <c r="E82" s="109" t="s">
        <v>2076</v>
      </c>
      <c r="F82" s="110"/>
      <c r="G82" s="84"/>
      <c r="H82" s="111"/>
      <c r="I82" s="237" t="str">
        <f>IF($G82&lt;&gt;"",VLOOKUP($G82,'MASTER TOKO BALI'!$B$2:$W$744,4,FALSE),"")</f>
        <v/>
      </c>
      <c r="J82" s="112">
        <v>46268</v>
      </c>
      <c r="K82" s="111" t="str">
        <f>IF($G82&lt;&gt;"",VLOOKUP($G82,'MASTER TOKO BALI'!$B$2:$W$744,12,FALSE),"")</f>
        <v/>
      </c>
      <c r="L82" s="111" t="str">
        <f>IF($G82&lt;&gt;"",VLOOKUP($G82,'MASTER TOKO BALI'!$B$2:$W$744,5,FALSE),"")</f>
        <v/>
      </c>
      <c r="M82" s="106"/>
      <c r="N82" s="111" t="str">
        <f>IF($G82&lt;&gt;"",VLOOKUP($G82,'MASTER TOKO BALI'!$B$2:$W$744,21,FALSE),"")</f>
        <v/>
      </c>
      <c r="O82" s="106"/>
      <c r="P82" s="164" t="str">
        <f>IF($G82&lt;&gt;"",VLOOKUP($G82,'MASTER TOKO BALI'!$B$2:$W$740,7,FALSE),"")</f>
        <v/>
      </c>
    </row>
    <row r="83" spans="1:16" ht="11.25" customHeight="1" x14ac:dyDescent="0.2">
      <c r="A83" s="106">
        <f t="shared" si="3"/>
        <v>75</v>
      </c>
      <c r="B83" s="107" t="s">
        <v>2040</v>
      </c>
      <c r="C83" s="107" t="s">
        <v>2035</v>
      </c>
      <c r="D83" s="108" t="s">
        <v>2041</v>
      </c>
      <c r="E83" s="109" t="s">
        <v>2076</v>
      </c>
      <c r="F83" s="126"/>
      <c r="G83" s="84" t="s">
        <v>527</v>
      </c>
      <c r="H83" s="111" t="str">
        <f>IF($G83&lt;&gt;"",VLOOKUP($G83,'MASTER TOKO BALI'!$B$2:$W$744,2,FALSE),"")</f>
        <v>TAMAN GIRI NO .77 BDG</v>
      </c>
      <c r="I83" s="237">
        <f>IF($G83&lt;&gt;"",VLOOKUP($G83,'MASTER TOKO BALI'!$B$2:$W$744,4,FALSE),"")</f>
        <v>462389795</v>
      </c>
      <c r="J83" s="112">
        <v>46268</v>
      </c>
      <c r="K83" s="111" t="str">
        <f>IF($G83&lt;&gt;"",VLOOKUP($G83,'MASTER TOKO BALI'!$B$2:$W$744,12,FALSE),"")</f>
        <v>M</v>
      </c>
      <c r="L83" s="111">
        <f>IF($G83&lt;&gt;"",VLOOKUP($G83,'MASTER TOKO BALI'!$B$2:$W$744,5,FALSE),"")</f>
        <v>2500000</v>
      </c>
      <c r="M83" s="106"/>
      <c r="N83" s="111" t="str">
        <f>IF($G83&lt;&gt;"",VLOOKUP($G83,'MASTER TOKO BALI'!$B$2:$W$744,21,FALSE),"")</f>
        <v>NON ZONA HITAM</v>
      </c>
      <c r="O83" s="106"/>
      <c r="P83" s="164" t="str">
        <f>IF($G83&lt;&gt;"",VLOOKUP($G83,'MASTER TOKO BALI'!$B$2:$W$740,7,FALSE),"")</f>
        <v>REN</v>
      </c>
    </row>
    <row r="84" spans="1:16" ht="11.25" customHeight="1" x14ac:dyDescent="0.3">
      <c r="A84" s="106">
        <f t="shared" si="3"/>
        <v>76</v>
      </c>
      <c r="B84" s="107" t="s">
        <v>2038</v>
      </c>
      <c r="C84" s="107" t="s">
        <v>2035</v>
      </c>
      <c r="D84" s="113" t="s">
        <v>2039</v>
      </c>
      <c r="E84" s="109" t="s">
        <v>2076</v>
      </c>
      <c r="F84" s="110"/>
      <c r="G84" s="84" t="s">
        <v>214</v>
      </c>
      <c r="H84" s="111" t="str">
        <f>IF($G84&lt;&gt;"",VLOOKUP($G84,'MASTER TOKO BALI'!$B$2:$W$744,2,FALSE),"")</f>
        <v>PRATAMA 38 - BADUNG</v>
      </c>
      <c r="I84" s="237">
        <f>IF($G84&lt;&gt;"",VLOOKUP($G84,'MASTER TOKO BALI'!$B$2:$W$744,4,FALSE),"")</f>
        <v>406956920</v>
      </c>
      <c r="J84" s="112">
        <v>46268</v>
      </c>
      <c r="K84" s="111" t="str">
        <f>IF($G84&lt;&gt;"",VLOOKUP($G84,'MASTER TOKO BALI'!$B$2:$W$744,12,FALSE),"")</f>
        <v>Q3</v>
      </c>
      <c r="L84" s="111">
        <f>IF($G84&lt;&gt;"",VLOOKUP($G84,'MASTER TOKO BALI'!$B$2:$W$744,5,FALSE),"")</f>
        <v>2000000</v>
      </c>
      <c r="M84" s="65"/>
      <c r="N84" s="111" t="str">
        <f>IF($G84&lt;&gt;"",VLOOKUP($G84,'MASTER TOKO BALI'!$B$2:$W$744,21,FALSE),"")</f>
        <v>NON ZONA HITAM</v>
      </c>
      <c r="O84" s="106"/>
      <c r="P84" s="164" t="str">
        <f>IF($G84&lt;&gt;"",VLOOKUP($G84,'MASTER TOKO BALI'!$B$2:$W$740,7,FALSE),"")</f>
        <v>REN</v>
      </c>
    </row>
    <row r="85" spans="1:16" ht="11.25" customHeight="1" x14ac:dyDescent="0.3">
      <c r="A85" s="106">
        <f t="shared" si="3"/>
        <v>77</v>
      </c>
      <c r="B85" s="107" t="s">
        <v>2042</v>
      </c>
      <c r="C85" s="107" t="s">
        <v>2043</v>
      </c>
      <c r="D85" s="108" t="s">
        <v>2044</v>
      </c>
      <c r="E85" s="109" t="s">
        <v>2076</v>
      </c>
      <c r="F85" s="126"/>
      <c r="G85" s="76" t="s">
        <v>1458</v>
      </c>
      <c r="H85" s="111" t="str">
        <f>IF($G85&lt;&gt;"",VLOOKUP($G85,'MASTER TOKO BALI'!$B$2:$W$744,2,FALSE),"")</f>
        <v>TANGKUBAN PERAHU NO 111D -DPS</v>
      </c>
      <c r="I85" s="237">
        <f>IF($G85&lt;&gt;"",VLOOKUP($G85,'MASTER TOKO BALI'!$B$2:$W$744,4,FALSE),"")</f>
        <v>582084052</v>
      </c>
      <c r="J85" s="112">
        <v>46268</v>
      </c>
      <c r="K85" s="111" t="str">
        <f>IF($G85&lt;&gt;"",VLOOKUP($G85,'MASTER TOKO BALI'!$B$2:$W$744,12,FALSE),"")</f>
        <v>M</v>
      </c>
      <c r="L85" s="111">
        <f>IF($G85&lt;&gt;"",VLOOKUP($G85,'MASTER TOKO BALI'!$B$2:$W$744,5,FALSE),"")</f>
        <v>3000000</v>
      </c>
      <c r="M85" s="65"/>
      <c r="N85" s="111" t="str">
        <f>IF($G85&lt;&gt;"",VLOOKUP($G85,'MASTER TOKO BALI'!$B$2:$W$744,21,FALSE),"")</f>
        <v>ZONA HITAM</v>
      </c>
      <c r="O85" s="106"/>
      <c r="P85" s="164" t="str">
        <f>IF($G85&lt;&gt;"",VLOOKUP($G85,'MASTER TOKO BALI'!$B$2:$W$740,7,FALSE),"")</f>
        <v>WWD</v>
      </c>
    </row>
    <row r="86" spans="1:16" ht="11.25" customHeight="1" x14ac:dyDescent="0.3">
      <c r="A86" s="106">
        <f t="shared" si="3"/>
        <v>78</v>
      </c>
      <c r="B86" s="107" t="s">
        <v>2038</v>
      </c>
      <c r="C86" s="107" t="s">
        <v>2043</v>
      </c>
      <c r="D86" s="113" t="s">
        <v>2045</v>
      </c>
      <c r="E86" s="109" t="s">
        <v>2076</v>
      </c>
      <c r="F86" s="110"/>
      <c r="G86" s="76"/>
      <c r="H86" s="111" t="str">
        <f>IF($G86&lt;&gt;"",VLOOKUP($G86,'MASTER TOKO BALI'!$B$2:$W$744,2,FALSE),"")</f>
        <v/>
      </c>
      <c r="I86" s="237" t="str">
        <f>IF($G86&lt;&gt;"",VLOOKUP($G86,'MASTER TOKO BALI'!$B$2:$W$744,4,FALSE),"")</f>
        <v/>
      </c>
      <c r="J86" s="112">
        <v>46268</v>
      </c>
      <c r="K86" s="111" t="str">
        <f>IF($G86&lt;&gt;"",VLOOKUP($G86,'MASTER TOKO BALI'!$B$2:$W$744,12,FALSE),"")</f>
        <v/>
      </c>
      <c r="L86" s="111" t="str">
        <f>IF($G86&lt;&gt;"",VLOOKUP($G86,'MASTER TOKO BALI'!$B$2:$W$744,5,FALSE),"")</f>
        <v/>
      </c>
      <c r="M86" s="65"/>
      <c r="N86" s="111" t="str">
        <f>IF($G86&lt;&gt;"",VLOOKUP($G86,'MASTER TOKO BALI'!$B$2:$W$744,21,FALSE),"")</f>
        <v/>
      </c>
      <c r="O86" s="106"/>
      <c r="P86" s="164" t="str">
        <f>IF($G86&lt;&gt;"",VLOOKUP($G86,'MASTER TOKO BALI'!$B$2:$W$740,7,FALSE),"")</f>
        <v/>
      </c>
    </row>
    <row r="87" spans="1:16" ht="11.25" customHeight="1" x14ac:dyDescent="0.3">
      <c r="A87" s="106">
        <f t="shared" si="3"/>
        <v>79</v>
      </c>
      <c r="B87" s="107" t="s">
        <v>2046</v>
      </c>
      <c r="C87" s="107" t="s">
        <v>2043</v>
      </c>
      <c r="D87" s="108" t="s">
        <v>2047</v>
      </c>
      <c r="E87" s="109" t="s">
        <v>2076</v>
      </c>
      <c r="F87" s="126"/>
      <c r="G87" s="84" t="s">
        <v>720</v>
      </c>
      <c r="H87" s="111" t="str">
        <f>IF($G87&lt;&gt;"",VLOOKUP($G87,'MASTER TOKO BALI'!$B$2:$W$744,2,FALSE),"")</f>
        <v>KEBO IWA - DENPASAR</v>
      </c>
      <c r="I87" s="237">
        <f>IF($G87&lt;&gt;"",VLOOKUP($G87,'MASTER TOKO BALI'!$B$2:$W$744,4,FALSE),"")</f>
        <v>507586793</v>
      </c>
      <c r="J87" s="112">
        <v>46268</v>
      </c>
      <c r="K87" s="111" t="str">
        <f>IF($G87&lt;&gt;"",VLOOKUP($G87,'MASTER TOKO BALI'!$B$2:$W$744,12,FALSE),"")</f>
        <v>M</v>
      </c>
      <c r="L87" s="111">
        <f>IF($G87&lt;&gt;"",VLOOKUP($G87,'MASTER TOKO BALI'!$B$2:$W$744,5,FALSE),"")</f>
        <v>3500000</v>
      </c>
      <c r="M87" s="65"/>
      <c r="N87" s="111" t="str">
        <f>IF($G87&lt;&gt;"",VLOOKUP($G87,'MASTER TOKO BALI'!$B$2:$W$744,21,FALSE),"")</f>
        <v>NON ZONA HITAM</v>
      </c>
      <c r="O87" s="106"/>
      <c r="P87" s="164" t="str">
        <f>IF($G87&lt;&gt;"",VLOOKUP($G87,'MASTER TOKO BALI'!$B$2:$W$740,7,FALSE),"")</f>
        <v>BAS</v>
      </c>
    </row>
    <row r="88" spans="1:16" ht="14.4" x14ac:dyDescent="0.3">
      <c r="A88" s="106">
        <f t="shared" si="3"/>
        <v>80</v>
      </c>
      <c r="B88" s="107" t="s">
        <v>2038</v>
      </c>
      <c r="C88" s="107" t="s">
        <v>2043</v>
      </c>
      <c r="D88" s="113" t="s">
        <v>2045</v>
      </c>
      <c r="E88" s="109" t="s">
        <v>2076</v>
      </c>
      <c r="F88" s="122"/>
      <c r="G88" s="84"/>
      <c r="H88" s="111" t="str">
        <f>IF($G88&lt;&gt;"",VLOOKUP($G88,'MASTER TOKO BALI'!$B$2:$W$744,2,FALSE),"")</f>
        <v/>
      </c>
      <c r="I88" s="237" t="str">
        <f>IF($G88&lt;&gt;"",VLOOKUP($G88,'MASTER TOKO BALI'!$B$2:$W$744,4,FALSE),"")</f>
        <v/>
      </c>
      <c r="J88" s="112">
        <v>46268</v>
      </c>
      <c r="K88" s="111" t="str">
        <f>IF($G88&lt;&gt;"",VLOOKUP($G88,'MASTER TOKO BALI'!$B$2:$W$744,12,FALSE),"")</f>
        <v/>
      </c>
      <c r="L88" s="111" t="str">
        <f>IF($G88&lt;&gt;"",VLOOKUP($G88,'MASTER TOKO BALI'!$B$2:$W$744,5,FALSE),"")</f>
        <v/>
      </c>
      <c r="M88" s="65"/>
      <c r="N88" s="111" t="str">
        <f>IF($G88&lt;&gt;"",VLOOKUP($G88,'MASTER TOKO BALI'!$B$2:$W$744,21,FALSE),"")</f>
        <v/>
      </c>
      <c r="O88" s="106"/>
      <c r="P88" s="164" t="str">
        <f>IF($G88&lt;&gt;"",VLOOKUP($G88,'MASTER TOKO BALI'!$B$2:$W$740,7,FALSE),"")</f>
        <v/>
      </c>
    </row>
    <row r="89" spans="1:16" ht="14.4" x14ac:dyDescent="0.3">
      <c r="A89" s="106">
        <f t="shared" si="3"/>
        <v>81</v>
      </c>
      <c r="B89" s="107" t="s">
        <v>2048</v>
      </c>
      <c r="C89" s="107" t="s">
        <v>2049</v>
      </c>
      <c r="D89" s="108" t="s">
        <v>2050</v>
      </c>
      <c r="E89" s="109" t="s">
        <v>2076</v>
      </c>
      <c r="F89" s="110"/>
      <c r="G89" s="84" t="s">
        <v>583</v>
      </c>
      <c r="H89" s="111" t="str">
        <f>IF($G89&lt;&gt;"",VLOOKUP($G89,'MASTER TOKO BALI'!$B$2:$W$744,2,FALSE),"")</f>
        <v>PC.PC.HIKING G.BATUR</v>
      </c>
      <c r="I89" s="237">
        <f>IF($G89&lt;&gt;"",VLOOKUP($G89,'MASTER TOKO BALI'!$B$2:$W$744,4,FALSE),"")</f>
        <v>641945341</v>
      </c>
      <c r="J89" s="112">
        <v>46268</v>
      </c>
      <c r="K89" s="111" t="str">
        <f>IF($G89&lt;&gt;"",VLOOKUP($G89,'MASTER TOKO BALI'!$B$2:$W$744,12,FALSE),"")</f>
        <v>M</v>
      </c>
      <c r="L89" s="111">
        <f>IF($G89&lt;&gt;"",VLOOKUP($G89,'MASTER TOKO BALI'!$B$2:$W$744,5,FALSE),"")</f>
        <v>3500000</v>
      </c>
      <c r="M89" s="65"/>
      <c r="N89" s="111" t="str">
        <f>IF($G89&lt;&gt;"",VLOOKUP($G89,'MASTER TOKO BALI'!$B$2:$W$744,21,FALSE),"")</f>
        <v>NON ZONA HITAM</v>
      </c>
      <c r="O89" s="106"/>
      <c r="P89" s="164" t="str">
        <f>IF($G89&lt;&gt;"",VLOOKUP($G89,'MASTER TOKO BALI'!$B$2:$W$740,7,FALSE),"")</f>
        <v>MRZ</v>
      </c>
    </row>
    <row r="90" spans="1:16" ht="14.4" x14ac:dyDescent="0.3">
      <c r="A90" s="106">
        <f t="shared" si="3"/>
        <v>82</v>
      </c>
      <c r="B90" s="107" t="s">
        <v>2038</v>
      </c>
      <c r="C90" s="107" t="s">
        <v>2049</v>
      </c>
      <c r="D90" s="115" t="s">
        <v>2051</v>
      </c>
      <c r="E90" s="109" t="s">
        <v>2076</v>
      </c>
      <c r="F90" s="122"/>
      <c r="G90" s="165"/>
      <c r="H90" s="111" t="str">
        <f>IF($G90&lt;&gt;"",VLOOKUP($G90,'MASTER TOKO BALI'!$B$2:$W$744,2,FALSE),"")</f>
        <v/>
      </c>
      <c r="I90" s="237" t="str">
        <f>IF($G90&lt;&gt;"",VLOOKUP($G90,'MASTER TOKO BALI'!$B$2:$W$744,4,FALSE),"")</f>
        <v/>
      </c>
      <c r="J90" s="112">
        <v>46268</v>
      </c>
      <c r="K90" s="111" t="str">
        <f>IF($G90&lt;&gt;"",VLOOKUP($G90,'MASTER TOKO BALI'!$B$2:$W$744,12,FALSE),"")</f>
        <v/>
      </c>
      <c r="L90" s="111" t="str">
        <f>IF($G90&lt;&gt;"",VLOOKUP($G90,'MASTER TOKO BALI'!$B$2:$W$744,5,FALSE),"")</f>
        <v/>
      </c>
      <c r="M90" s="65"/>
      <c r="N90" s="111" t="str">
        <f>IF($G90&lt;&gt;"",VLOOKUP($G90,'MASTER TOKO BALI'!$B$2:$W$744,21,FALSE),"")</f>
        <v/>
      </c>
      <c r="O90" s="106"/>
      <c r="P90" s="164" t="str">
        <f>IF($G90&lt;&gt;"",VLOOKUP($G90,'MASTER TOKO BALI'!$B$2:$W$740,7,FALSE),"")</f>
        <v/>
      </c>
    </row>
    <row r="91" spans="1:16" ht="14.4" x14ac:dyDescent="0.3">
      <c r="A91" s="106">
        <f t="shared" si="3"/>
        <v>83</v>
      </c>
      <c r="B91" s="107" t="s">
        <v>2052</v>
      </c>
      <c r="C91" s="107" t="s">
        <v>2049</v>
      </c>
      <c r="D91" s="108" t="s">
        <v>2053</v>
      </c>
      <c r="E91" s="109" t="s">
        <v>2076</v>
      </c>
      <c r="F91" s="122"/>
      <c r="G91" s="84" t="s">
        <v>602</v>
      </c>
      <c r="H91" s="111" t="str">
        <f>IF($G91&lt;&gt;"",VLOOKUP($G91,'MASTER TOKO BALI'!$B$2:$W$744,2,FALSE),"")</f>
        <v>PC.PC.FLAMBOYAN - KLUNGKUNG</v>
      </c>
      <c r="I91" s="237">
        <f>IF($G91&lt;&gt;"",VLOOKUP($G91,'MASTER TOKO BALI'!$B$2:$W$744,4,FALSE),"")</f>
        <v>623457415</v>
      </c>
      <c r="J91" s="112">
        <v>46268</v>
      </c>
      <c r="K91" s="111" t="str">
        <f>IF($G91&lt;&gt;"",VLOOKUP($G91,'MASTER TOKO BALI'!$B$2:$W$744,12,FALSE),"")</f>
        <v>M</v>
      </c>
      <c r="L91" s="111">
        <f>IF($G91&lt;&gt;"",VLOOKUP($G91,'MASTER TOKO BALI'!$B$2:$W$744,5,FALSE),"")</f>
        <v>3500000</v>
      </c>
      <c r="M91" s="65"/>
      <c r="N91" s="111" t="str">
        <f>IF($G91&lt;&gt;"",VLOOKUP($G91,'MASTER TOKO BALI'!$B$2:$W$744,21,FALSE),"")</f>
        <v>NON ZONA HITAM</v>
      </c>
      <c r="O91" s="128"/>
      <c r="P91" s="164" t="str">
        <f>IF($G91&lt;&gt;"",VLOOKUP($G91,'MASTER TOKO BALI'!$B$2:$W$740,7,FALSE),"")</f>
        <v>TSD</v>
      </c>
    </row>
    <row r="92" spans="1:16" ht="14.4" x14ac:dyDescent="0.3">
      <c r="A92" s="106">
        <f t="shared" si="3"/>
        <v>84</v>
      </c>
      <c r="B92" s="107" t="s">
        <v>2038</v>
      </c>
      <c r="C92" s="107" t="s">
        <v>2049</v>
      </c>
      <c r="D92" s="113" t="s">
        <v>2051</v>
      </c>
      <c r="E92" s="109" t="s">
        <v>2076</v>
      </c>
      <c r="F92" s="122"/>
      <c r="G92" s="165"/>
      <c r="H92" s="111" t="str">
        <f>IF($G92&lt;&gt;"",VLOOKUP($G92,'MASTER TOKO BALI'!$B$2:$W$744,2,FALSE),"")</f>
        <v/>
      </c>
      <c r="I92" s="237" t="str">
        <f>IF($G92&lt;&gt;"",VLOOKUP($G92,'MASTER TOKO BALI'!$B$2:$W$744,4,FALSE),"")</f>
        <v/>
      </c>
      <c r="J92" s="112">
        <v>46268</v>
      </c>
      <c r="K92" s="111" t="str">
        <f>IF($G92&lt;&gt;"",VLOOKUP($G92,'MASTER TOKO BALI'!$B$2:$W$744,12,FALSE),"")</f>
        <v/>
      </c>
      <c r="L92" s="111" t="str">
        <f>IF($G92&lt;&gt;"",VLOOKUP($G92,'MASTER TOKO BALI'!$B$2:$W$744,5,FALSE),"")</f>
        <v/>
      </c>
      <c r="M92" s="65"/>
      <c r="N92" s="111" t="str">
        <f>IF($G92&lt;&gt;"",VLOOKUP($G92,'MASTER TOKO BALI'!$B$2:$W$744,21,FALSE),"")</f>
        <v/>
      </c>
      <c r="O92" s="128"/>
      <c r="P92" s="164" t="str">
        <f>IF($G92&lt;&gt;"",VLOOKUP($G92,'MASTER TOKO BALI'!$B$2:$W$740,7,FALSE),"")</f>
        <v/>
      </c>
    </row>
    <row r="93" spans="1:16" ht="14.4" x14ac:dyDescent="0.3">
      <c r="A93" s="106">
        <f t="shared" si="3"/>
        <v>85</v>
      </c>
      <c r="B93" s="107" t="s">
        <v>2054</v>
      </c>
      <c r="C93" s="116" t="s">
        <v>2055</v>
      </c>
      <c r="D93" s="108" t="s">
        <v>2056</v>
      </c>
      <c r="E93" s="109" t="s">
        <v>2076</v>
      </c>
      <c r="F93" s="122"/>
      <c r="G93" s="84" t="s">
        <v>1284</v>
      </c>
      <c r="H93" s="111" t="str">
        <f>IF($G93&lt;&gt;"",VLOOKUP($G93,'MASTER TOKO BALI'!$B$2:$W$744,2,FALSE),"")</f>
        <v>PC.PC BONGKASA - BADUNG</v>
      </c>
      <c r="I93" s="237">
        <f>IF($G93&lt;&gt;"",VLOOKUP($G93,'MASTER TOKO BALI'!$B$2:$W$744,4,FALSE),"")</f>
        <v>613434387</v>
      </c>
      <c r="J93" s="112">
        <v>46268</v>
      </c>
      <c r="K93" s="111" t="str">
        <f>IF($G93&lt;&gt;"",VLOOKUP($G93,'MASTER TOKO BALI'!$B$2:$W$744,12,FALSE),"")</f>
        <v>M</v>
      </c>
      <c r="L93" s="111">
        <f>IF($G93&lt;&gt;"",VLOOKUP($G93,'MASTER TOKO BALI'!$B$2:$W$744,5,FALSE),"")</f>
        <v>3000000</v>
      </c>
      <c r="M93" s="65"/>
      <c r="N93" s="111" t="str">
        <f>IF($G93&lt;&gt;"",VLOOKUP($G93,'MASTER TOKO BALI'!$B$2:$W$744,21,FALSE),"")</f>
        <v>NON ZONA HITAM</v>
      </c>
      <c r="O93" s="106"/>
      <c r="P93" s="164" t="str">
        <f>IF($G93&lt;&gt;"",VLOOKUP($G93,'MASTER TOKO BALI'!$B$2:$W$740,7,FALSE),"")</f>
        <v>GMJ</v>
      </c>
    </row>
    <row r="94" spans="1:16" ht="14.4" x14ac:dyDescent="0.3">
      <c r="A94" s="106">
        <f t="shared" si="3"/>
        <v>86</v>
      </c>
      <c r="B94" s="107" t="s">
        <v>2038</v>
      </c>
      <c r="C94" s="116" t="s">
        <v>2055</v>
      </c>
      <c r="D94" s="113" t="s">
        <v>2057</v>
      </c>
      <c r="E94" s="109" t="s">
        <v>2076</v>
      </c>
      <c r="F94" s="126"/>
      <c r="G94" s="165"/>
      <c r="H94" s="111" t="str">
        <f>IF($G94&lt;&gt;"",VLOOKUP($G94,'MASTER TOKO BALI'!$B$2:$W$744,2,FALSE),"")</f>
        <v/>
      </c>
      <c r="I94" s="237" t="str">
        <f>IF($G94&lt;&gt;"",VLOOKUP($G94,'MASTER TOKO BALI'!$B$2:$W$744,4,FALSE),"")</f>
        <v/>
      </c>
      <c r="J94" s="112">
        <v>46268</v>
      </c>
      <c r="K94" s="111" t="str">
        <f>IF($G94&lt;&gt;"",VLOOKUP($G94,'MASTER TOKO BALI'!$B$2:$W$744,12,FALSE),"")</f>
        <v/>
      </c>
      <c r="L94" s="111" t="str">
        <f>IF($G94&lt;&gt;"",VLOOKUP($G94,'MASTER TOKO BALI'!$B$2:$W$744,5,FALSE),"")</f>
        <v/>
      </c>
      <c r="M94" s="65"/>
      <c r="N94" s="111" t="str">
        <f>IF($G94&lt;&gt;"",VLOOKUP($G94,'MASTER TOKO BALI'!$B$2:$W$744,21,FALSE),"")</f>
        <v/>
      </c>
      <c r="O94" s="106"/>
      <c r="P94" s="164" t="str">
        <f>IF($G94&lt;&gt;"",VLOOKUP($G94,'MASTER TOKO BALI'!$B$2:$W$740,7,FALSE),"")</f>
        <v/>
      </c>
    </row>
    <row r="95" spans="1:16" ht="14.4" x14ac:dyDescent="0.3">
      <c r="A95" s="106">
        <f t="shared" si="3"/>
        <v>87</v>
      </c>
      <c r="B95" s="107" t="s">
        <v>2058</v>
      </c>
      <c r="C95" s="116" t="s">
        <v>2055</v>
      </c>
      <c r="D95" s="108" t="s">
        <v>2059</v>
      </c>
      <c r="E95" s="109" t="s">
        <v>2076</v>
      </c>
      <c r="F95" s="126"/>
      <c r="G95" s="84" t="s">
        <v>1216</v>
      </c>
      <c r="H95" s="111" t="str">
        <f>IF($G95&lt;&gt;"",VLOOKUP($G95,'MASTER TOKO BALI'!$B$2:$W$744,2,FALSE),"")</f>
        <v>PC.PC.RAYA PUNCAK MANGGU - BDG</v>
      </c>
      <c r="I95" s="237">
        <f>IF($G95&lt;&gt;"",VLOOKUP($G95,'MASTER TOKO BALI'!$B$2:$W$744,4,FALSE),"")</f>
        <v>652843769</v>
      </c>
      <c r="J95" s="112">
        <v>46268</v>
      </c>
      <c r="K95" s="111" t="str">
        <f>IF($G95&lt;&gt;"",VLOOKUP($G95,'MASTER TOKO BALI'!$B$2:$W$744,12,FALSE),"")</f>
        <v>M</v>
      </c>
      <c r="L95" s="111">
        <f>IF($G95&lt;&gt;"",VLOOKUP($G95,'MASTER TOKO BALI'!$B$2:$W$744,5,FALSE),"")</f>
        <v>3000000</v>
      </c>
      <c r="M95" s="65"/>
      <c r="N95" s="111" t="str">
        <f>IF($G95&lt;&gt;"",VLOOKUP($G95,'MASTER TOKO BALI'!$B$2:$W$744,21,FALSE),"")</f>
        <v>NON ZONA HITAM</v>
      </c>
      <c r="O95" s="106"/>
      <c r="P95" s="164" t="str">
        <f>IF($G95&lt;&gt;"",VLOOKUP($G95,'MASTER TOKO BALI'!$B$2:$W$740,7,FALSE),"")</f>
        <v>IWS</v>
      </c>
    </row>
    <row r="96" spans="1:16" ht="14.4" x14ac:dyDescent="0.3">
      <c r="A96" s="106">
        <f t="shared" si="3"/>
        <v>88</v>
      </c>
      <c r="B96" s="107" t="s">
        <v>2038</v>
      </c>
      <c r="C96" s="116" t="s">
        <v>2055</v>
      </c>
      <c r="D96" s="113" t="s">
        <v>2057</v>
      </c>
      <c r="E96" s="109" t="s">
        <v>2076</v>
      </c>
      <c r="F96" s="122"/>
      <c r="G96" s="165"/>
      <c r="H96" s="111" t="str">
        <f>IF($G96&lt;&gt;"",VLOOKUP($G96,'MASTER TOKO BALI'!$B$2:$W$744,2,FALSE),"")</f>
        <v/>
      </c>
      <c r="I96" s="237" t="str">
        <f>IF($G96&lt;&gt;"",VLOOKUP($G96,'MASTER TOKO BALI'!$B$2:$W$744,4,FALSE),"")</f>
        <v/>
      </c>
      <c r="J96" s="112">
        <v>46268</v>
      </c>
      <c r="K96" s="111" t="str">
        <f>IF($G96&lt;&gt;"",VLOOKUP($G96,'MASTER TOKO BALI'!$B$2:$W$744,12,FALSE),"")</f>
        <v/>
      </c>
      <c r="L96" s="111" t="str">
        <f>IF($G96&lt;&gt;"",VLOOKUP($G96,'MASTER TOKO BALI'!$B$2:$W$744,5,FALSE),"")</f>
        <v/>
      </c>
      <c r="M96" s="65"/>
      <c r="N96" s="111" t="str">
        <f>IF($G96&lt;&gt;"",VLOOKUP($G96,'MASTER TOKO BALI'!$B$2:$W$744,21,FALSE),"")</f>
        <v/>
      </c>
      <c r="O96" s="106"/>
      <c r="P96" s="164" t="str">
        <f>IF($G96&lt;&gt;"",VLOOKUP($G96,'MASTER TOKO BALI'!$B$2:$W$740,7,FALSE),"")</f>
        <v/>
      </c>
    </row>
    <row r="97" spans="1:17" ht="14.4" x14ac:dyDescent="0.3">
      <c r="A97" s="106">
        <f t="shared" si="3"/>
        <v>89</v>
      </c>
      <c r="B97" s="107" t="s">
        <v>2060</v>
      </c>
      <c r="C97" s="116" t="s">
        <v>2061</v>
      </c>
      <c r="D97" s="108" t="s">
        <v>2062</v>
      </c>
      <c r="E97" s="109" t="s">
        <v>2076</v>
      </c>
      <c r="F97" s="122"/>
      <c r="G97" s="84" t="s">
        <v>2091</v>
      </c>
      <c r="H97" s="111" t="str">
        <f>IF($G97&lt;&gt;"",VLOOKUP($G97,'MASTER TOKO BALI'!$B$2:$W$744,2,FALSE),"")</f>
        <v>PC.PC.GUNUNG ATHENA_DPS</v>
      </c>
      <c r="I97" s="237">
        <f>IF($G97&lt;&gt;"",VLOOKUP($G97,'MASTER TOKO BALI'!$B$2:$W$744,4,FALSE),"")</f>
        <v>599698954</v>
      </c>
      <c r="J97" s="112">
        <v>46268</v>
      </c>
      <c r="K97" s="111" t="str">
        <f>IF($G97&lt;&gt;"",VLOOKUP($G97,'MASTER TOKO BALI'!$B$2:$W$744,12,FALSE),"")</f>
        <v>M</v>
      </c>
      <c r="L97" s="111">
        <f>IF($G97&lt;&gt;"",VLOOKUP($G97,'MASTER TOKO BALI'!$B$2:$W$744,5,FALSE),"")</f>
        <v>4000000</v>
      </c>
      <c r="M97" s="65"/>
      <c r="N97" s="111" t="str">
        <f>IF($G97&lt;&gt;"",VLOOKUP($G97,'MASTER TOKO BALI'!$B$2:$W$744,21,FALSE),"")</f>
        <v>NON ZONA HITAM</v>
      </c>
      <c r="O97" s="106"/>
      <c r="P97" s="164" t="str">
        <f>IF($G97&lt;&gt;"",VLOOKUP($G97,'MASTER TOKO BALI'!$B$2:$W$740,7,FALSE),"")</f>
        <v>KSM</v>
      </c>
    </row>
    <row r="98" spans="1:17" ht="14.4" x14ac:dyDescent="0.3">
      <c r="A98" s="106">
        <f t="shared" si="3"/>
        <v>90</v>
      </c>
      <c r="B98" s="107" t="s">
        <v>2038</v>
      </c>
      <c r="C98" s="116" t="s">
        <v>2061</v>
      </c>
      <c r="D98" s="113" t="s">
        <v>2063</v>
      </c>
      <c r="E98" s="109" t="s">
        <v>2076</v>
      </c>
      <c r="F98" s="126"/>
      <c r="G98" s="84" t="s">
        <v>1170</v>
      </c>
      <c r="H98" s="111" t="str">
        <f>IF($G98&lt;&gt;"",VLOOKUP($G98,'MASTER TOKO BALI'!$B$2:$W$744,2,FALSE),"")</f>
        <v>TANGKUBAN PERAHU - DENPASAR</v>
      </c>
      <c r="I98" s="237">
        <f>IF($G98&lt;&gt;"",VLOOKUP($G98,'MASTER TOKO BALI'!$B$2:$W$744,4,FALSE),"")</f>
        <v>438800769</v>
      </c>
      <c r="J98" s="112">
        <v>46268</v>
      </c>
      <c r="K98" s="111" t="str">
        <f>IF($G98&lt;&gt;"",VLOOKUP($G98,'MASTER TOKO BALI'!$B$2:$W$744,12,FALSE),"")</f>
        <v>M</v>
      </c>
      <c r="L98" s="111">
        <f>IF($G98&lt;&gt;"",VLOOKUP($G98,'MASTER TOKO BALI'!$B$2:$W$744,5,FALSE),"")</f>
        <v>2000000</v>
      </c>
      <c r="M98" s="65"/>
      <c r="N98" s="111" t="str">
        <f>IF($G98&lt;&gt;"",VLOOKUP($G98,'MASTER TOKO BALI'!$B$2:$W$744,21,FALSE),"")</f>
        <v>NON ZONA HITAM</v>
      </c>
      <c r="O98" s="106"/>
      <c r="P98" s="164" t="str">
        <f>IF($G98&lt;&gt;"",VLOOKUP($G98,'MASTER TOKO BALI'!$B$2:$W$740,7,FALSE),"")</f>
        <v>BAS</v>
      </c>
    </row>
    <row r="99" spans="1:17" ht="14.4" x14ac:dyDescent="0.3">
      <c r="A99" s="106">
        <f t="shared" si="3"/>
        <v>91</v>
      </c>
      <c r="B99" s="107" t="s">
        <v>2064</v>
      </c>
      <c r="C99" s="116" t="s">
        <v>2061</v>
      </c>
      <c r="D99" s="108" t="s">
        <v>2065</v>
      </c>
      <c r="E99" s="109" t="s">
        <v>2076</v>
      </c>
      <c r="F99" s="122"/>
      <c r="G99" s="84" t="s">
        <v>1154</v>
      </c>
      <c r="H99" s="111" t="str">
        <f>IF($G99&lt;&gt;"",VLOOKUP($G99,'MASTER TOKO BALI'!$B$2:$W$744,2,FALSE),"")</f>
        <v>PC.PC.BUANA RAYA NO 07-DPS</v>
      </c>
      <c r="I99" s="237">
        <f>IF($G99&lt;&gt;"",VLOOKUP($G99,'MASTER TOKO BALI'!$B$2:$W$744,4,FALSE),"")</f>
        <v>452517709</v>
      </c>
      <c r="J99" s="112">
        <v>46268</v>
      </c>
      <c r="K99" s="111" t="str">
        <f>IF($G99&lt;&gt;"",VLOOKUP($G99,'MASTER TOKO BALI'!$B$2:$W$744,12,FALSE),"")</f>
        <v>M</v>
      </c>
      <c r="L99" s="111">
        <f>IF($G99&lt;&gt;"",VLOOKUP($G99,'MASTER TOKO BALI'!$B$2:$W$744,5,FALSE),"")</f>
        <v>2500000</v>
      </c>
      <c r="M99" s="65"/>
      <c r="N99" s="111" t="str">
        <f>IF($G99&lt;&gt;"",VLOOKUP($G99,'MASTER TOKO BALI'!$B$2:$W$744,21,FALSE),"")</f>
        <v>NON ZONA HITAM</v>
      </c>
      <c r="O99" s="106"/>
      <c r="P99" s="164" t="str">
        <f>IF($G99&lt;&gt;"",VLOOKUP($G99,'MASTER TOKO BALI'!$B$2:$W$740,7,FALSE),"")</f>
        <v>WWD</v>
      </c>
    </row>
    <row r="100" spans="1:17" ht="14.4" x14ac:dyDescent="0.3">
      <c r="A100" s="106">
        <f t="shared" si="3"/>
        <v>92</v>
      </c>
      <c r="B100" s="107" t="s">
        <v>2066</v>
      </c>
      <c r="C100" s="116" t="s">
        <v>2061</v>
      </c>
      <c r="D100" s="113" t="s">
        <v>2063</v>
      </c>
      <c r="E100" s="109" t="s">
        <v>2076</v>
      </c>
      <c r="F100" s="126"/>
      <c r="G100" s="165"/>
      <c r="H100" s="111" t="str">
        <f>IF($G100&lt;&gt;"",VLOOKUP($G100,'MASTER TOKO BALI'!$B$2:$W$744,2,FALSE),"")</f>
        <v/>
      </c>
      <c r="I100" s="237" t="str">
        <f>IF($G100&lt;&gt;"",VLOOKUP($G100,'MASTER TOKO BALI'!$B$2:$W$744,4,FALSE),"")</f>
        <v/>
      </c>
      <c r="J100" s="112">
        <v>46268</v>
      </c>
      <c r="K100" s="111" t="str">
        <f>IF($G100&lt;&gt;"",VLOOKUP($G100,'MASTER TOKO BALI'!$B$2:$W$744,12,FALSE),"")</f>
        <v/>
      </c>
      <c r="L100" s="111" t="str">
        <f>IF($G100&lt;&gt;"",VLOOKUP($G100,'MASTER TOKO BALI'!$B$2:$W$744,5,FALSE),"")</f>
        <v/>
      </c>
      <c r="M100" s="65"/>
      <c r="N100" s="111" t="str">
        <f>IF($G100&lt;&gt;"",VLOOKUP($G100,'MASTER TOKO BALI'!$B$2:$W$744,21,FALSE),"")</f>
        <v/>
      </c>
      <c r="O100" s="106"/>
      <c r="P100" s="164" t="str">
        <f>IF($G100&lt;&gt;"",VLOOKUP($G100,'MASTER TOKO BALI'!$B$2:$W$740,7,FALSE),"")</f>
        <v/>
      </c>
    </row>
    <row r="101" spans="1:17" ht="14.4" x14ac:dyDescent="0.3">
      <c r="A101" s="106">
        <f t="shared" si="3"/>
        <v>93</v>
      </c>
      <c r="B101" s="107" t="s">
        <v>2067</v>
      </c>
      <c r="C101" s="107" t="s">
        <v>2068</v>
      </c>
      <c r="D101" s="108" t="s">
        <v>2069</v>
      </c>
      <c r="E101" s="109" t="s">
        <v>2076</v>
      </c>
      <c r="F101" s="126"/>
      <c r="G101" s="84" t="s">
        <v>853</v>
      </c>
      <c r="H101" s="111" t="str">
        <f>IF($G101&lt;&gt;"",VLOOKUP($G101,'MASTER TOKO BALI'!$B$2:$W$744,2,FALSE),"")</f>
        <v>PC.PC.NANGKA SELATAN NO 76 - DENPASAR</v>
      </c>
      <c r="I101" s="237">
        <f>IF($G101&lt;&gt;"",VLOOKUP($G101,'MASTER TOKO BALI'!$B$2:$W$744,4,FALSE),"")</f>
        <v>500461834</v>
      </c>
      <c r="J101" s="112">
        <v>46268</v>
      </c>
      <c r="K101" s="111" t="str">
        <f>IF($G101&lt;&gt;"",VLOOKUP($G101,'MASTER TOKO BALI'!$B$2:$W$744,12,FALSE),"")</f>
        <v>M</v>
      </c>
      <c r="L101" s="111">
        <f>IF($G101&lt;&gt;"",VLOOKUP($G101,'MASTER TOKO BALI'!$B$2:$W$744,5,FALSE),"")</f>
        <v>2000000</v>
      </c>
      <c r="M101" s="65"/>
      <c r="N101" s="111" t="str">
        <f>IF($G101&lt;&gt;"",VLOOKUP($G101,'MASTER TOKO BALI'!$B$2:$W$744,21,FALSE),"")</f>
        <v>NON ZONA HITAM</v>
      </c>
      <c r="O101" s="106"/>
      <c r="P101" s="164" t="str">
        <f>IF($G101&lt;&gt;"",VLOOKUP($G101,'MASTER TOKO BALI'!$B$2:$W$740,7,FALSE),"")</f>
        <v>MAS</v>
      </c>
    </row>
    <row r="102" spans="1:17" ht="14.4" x14ac:dyDescent="0.3">
      <c r="A102" s="106">
        <f t="shared" si="3"/>
        <v>94</v>
      </c>
      <c r="B102" s="107" t="s">
        <v>2066</v>
      </c>
      <c r="C102" s="107" t="s">
        <v>2068</v>
      </c>
      <c r="D102" s="117" t="s">
        <v>2070</v>
      </c>
      <c r="E102" s="109" t="s">
        <v>2076</v>
      </c>
      <c r="F102" s="122"/>
      <c r="G102" s="84"/>
      <c r="H102" s="111" t="str">
        <f>IF($G102&lt;&gt;"",VLOOKUP($G102,'MASTER TOKO BALI'!$B$2:$W$744,2,FALSE),"")</f>
        <v/>
      </c>
      <c r="I102" s="237" t="str">
        <f>IF($G102&lt;&gt;"",VLOOKUP($G102,'MASTER TOKO BALI'!$B$2:$W$744,4,FALSE),"")</f>
        <v/>
      </c>
      <c r="J102" s="112">
        <v>46268</v>
      </c>
      <c r="K102" s="111" t="str">
        <f>IF($G102&lt;&gt;"",VLOOKUP($G102,'MASTER TOKO BALI'!$B$2:$W$744,12,FALSE),"")</f>
        <v/>
      </c>
      <c r="L102" s="111" t="str">
        <f>IF($G102&lt;&gt;"",VLOOKUP($G102,'MASTER TOKO BALI'!$B$2:$W$744,5,FALSE),"")</f>
        <v/>
      </c>
      <c r="M102" s="65"/>
      <c r="N102" s="111" t="str">
        <f>IF($G102&lt;&gt;"",VLOOKUP($G102,'MASTER TOKO BALI'!$B$2:$W$744,21,FALSE),"")</f>
        <v/>
      </c>
      <c r="O102" s="106"/>
      <c r="P102" s="164" t="str">
        <f>IF($G102&lt;&gt;"",VLOOKUP($G102,'MASTER TOKO BALI'!$B$2:$W$740,7,FALSE),"")</f>
        <v/>
      </c>
    </row>
    <row r="103" spans="1:17" ht="13.8" x14ac:dyDescent="0.3">
      <c r="A103" s="106">
        <f t="shared" si="3"/>
        <v>95</v>
      </c>
      <c r="B103" s="107" t="s">
        <v>2071</v>
      </c>
      <c r="C103" s="107" t="s">
        <v>2068</v>
      </c>
      <c r="D103" s="116" t="s">
        <v>2003</v>
      </c>
      <c r="E103" s="109" t="s">
        <v>2076</v>
      </c>
      <c r="F103" s="110"/>
      <c r="G103" s="76" t="s">
        <v>1224</v>
      </c>
      <c r="H103" s="111" t="str">
        <f>IF($G103&lt;&gt;"",VLOOKUP($G103,'MASTER TOKO BALI'!$B$2:$W$744,2,FALSE),"")</f>
        <v>BANYUATIS - SINGARAJA</v>
      </c>
      <c r="I103" s="237">
        <f>IF($G103&lt;&gt;"",VLOOKUP($G103,'MASTER TOKO BALI'!$B$2:$W$744,4,FALSE),"")</f>
        <v>555818608</v>
      </c>
      <c r="J103" s="112">
        <v>46268</v>
      </c>
      <c r="K103" s="111" t="str">
        <f>IF($G103&lt;&gt;"",VLOOKUP($G103,'MASTER TOKO BALI'!$B$2:$W$744,12,FALSE),"")</f>
        <v>M</v>
      </c>
      <c r="L103" s="111">
        <f>IF($G103&lt;&gt;"",VLOOKUP($G103,'MASTER TOKO BALI'!$B$2:$W$744,5,FALSE),"")</f>
        <v>2000000</v>
      </c>
      <c r="M103" s="106"/>
      <c r="N103" s="111" t="str">
        <f>IF($G103&lt;&gt;"",VLOOKUP($G103,'MASTER TOKO BALI'!$B$2:$W$744,21,FALSE),"")</f>
        <v>NON ZONA HITAM</v>
      </c>
      <c r="O103" s="106"/>
      <c r="P103" s="164" t="str">
        <f>IF($G103&lt;&gt;"",VLOOKUP($G103,'MASTER TOKO BALI'!$B$2:$W$740,7,FALSE),"")</f>
        <v>IBN</v>
      </c>
    </row>
    <row r="104" spans="1:17" ht="13.8" x14ac:dyDescent="0.2">
      <c r="A104" s="106">
        <f t="shared" si="3"/>
        <v>96</v>
      </c>
      <c r="B104" s="107" t="s">
        <v>2066</v>
      </c>
      <c r="C104" s="107" t="s">
        <v>2068</v>
      </c>
      <c r="D104" s="117" t="s">
        <v>2070</v>
      </c>
      <c r="E104" s="109" t="s">
        <v>2076</v>
      </c>
      <c r="F104" s="122"/>
      <c r="G104" s="84"/>
      <c r="H104" s="111"/>
      <c r="I104" s="237" t="str">
        <f>IF($G104&lt;&gt;"",VLOOKUP($G104,'MASTER TOKO BALI'!$B$2:$W$744,4,FALSE),"")</f>
        <v/>
      </c>
      <c r="J104" s="112">
        <v>46268</v>
      </c>
      <c r="K104" s="111" t="str">
        <f>IF($G104&lt;&gt;"",VLOOKUP($G104,'MASTER TOKO BALI'!$B$2:$W$744,12,FALSE),"")</f>
        <v/>
      </c>
      <c r="L104" s="111" t="str">
        <f>IF($G104&lt;&gt;"",VLOOKUP($G104,'MASTER TOKO BALI'!$B$2:$W$744,5,FALSE),"")</f>
        <v/>
      </c>
      <c r="M104" s="106"/>
      <c r="N104" s="111" t="str">
        <f>IF($G104&lt;&gt;"",VLOOKUP($G104,'MASTER TOKO BALI'!$B$2:$W$744,21,FALSE),"")</f>
        <v/>
      </c>
      <c r="O104" s="106"/>
      <c r="P104" s="164" t="str">
        <f>IF($G104&lt;&gt;"",VLOOKUP($G104,'MASTER TOKO BALI'!$B$2:$W$740,7,FALSE),"")</f>
        <v/>
      </c>
    </row>
    <row r="105" spans="1:17" x14ac:dyDescent="0.2">
      <c r="A105" s="106"/>
      <c r="B105" s="107"/>
      <c r="C105" s="107"/>
      <c r="D105" s="111"/>
      <c r="E105" s="114"/>
      <c r="F105" s="122"/>
      <c r="G105" s="146"/>
      <c r="H105" s="111" t="str">
        <f>IF($G105&lt;&gt;"",VLOOKUP($G105,'MASTER TOKO BALI'!$B$2:$W$744,2,FALSE),"")</f>
        <v/>
      </c>
      <c r="I105" s="237" t="str">
        <f>IF($G105&lt;&gt;"",VLOOKUP($G105,'MASTER TOKO BALI'!$B$2:$W$744,4,FALSE),"")</f>
        <v/>
      </c>
      <c r="J105" s="112"/>
      <c r="K105" s="111" t="str">
        <f>IF($G105&lt;&gt;"",VLOOKUP($G105,'MASTER TOKO BALI'!$B$2:$W$744,12,FALSE),"")</f>
        <v/>
      </c>
      <c r="L105" s="111" t="str">
        <f>IF($G105&lt;&gt;"",VLOOKUP($G105,'MASTER TOKO BALI'!$B$2:$W$744,5,FALSE),"")</f>
        <v/>
      </c>
      <c r="M105" s="106"/>
      <c r="N105" s="111" t="str">
        <f>IF($G105&lt;&gt;"",VLOOKUP($G105,'MASTER TOKO BALI'!$B$2:$W$744,21,FALSE),"")</f>
        <v/>
      </c>
      <c r="O105" s="106"/>
      <c r="P105" s="164" t="str">
        <f>IF($G105&lt;&gt;"",VLOOKUP($G105,'MASTER TOKO BALI'!$B$2:$W$740,7,FALSE),"")</f>
        <v/>
      </c>
    </row>
    <row r="106" spans="1:17" ht="14.4" x14ac:dyDescent="0.3">
      <c r="A106" s="106">
        <f>A104+1</f>
        <v>97</v>
      </c>
      <c r="B106" s="107" t="s">
        <v>2034</v>
      </c>
      <c r="C106" s="107" t="s">
        <v>2035</v>
      </c>
      <c r="D106" s="108" t="s">
        <v>2036</v>
      </c>
      <c r="E106" s="109" t="s">
        <v>2077</v>
      </c>
      <c r="F106" s="126"/>
      <c r="G106" s="84" t="s">
        <v>1381</v>
      </c>
      <c r="H106" s="111" t="str">
        <f>IF($G106&lt;&gt;"",VLOOKUP($G106,'MASTER TOKO BALI'!$B$2:$W$744,2,FALSE),"")</f>
        <v>PC.PC.PECATU - BADUNG</v>
      </c>
      <c r="I106" s="237">
        <f>IF($G106&lt;&gt;"",VLOOKUP($G106,'MASTER TOKO BALI'!$B$2:$W$744,4,FALSE),"")</f>
        <v>762285846</v>
      </c>
      <c r="J106" s="112">
        <v>46269</v>
      </c>
      <c r="K106" s="111" t="str">
        <f>IF($G106&lt;&gt;"",VLOOKUP($G106,'MASTER TOKO BALI'!$B$2:$W$744,12,FALSE),"")</f>
        <v>M</v>
      </c>
      <c r="L106" s="111">
        <f>IF($G106&lt;&gt;"",VLOOKUP($G106,'MASTER TOKO BALI'!$B$2:$W$744,5,FALSE),"")</f>
        <v>6000000</v>
      </c>
      <c r="M106" s="106"/>
      <c r="N106" s="111" t="str">
        <f>IF($G106&lt;&gt;"",VLOOKUP($G106,'MASTER TOKO BALI'!$B$2:$W$744,21,FALSE),"")</f>
        <v>NON ZONA HITAM</v>
      </c>
      <c r="O106" s="106"/>
      <c r="P106" s="164" t="str">
        <f>IF($G106&lt;&gt;"",VLOOKUP($G106,'MASTER TOKO BALI'!$B$2:$W$740,7,FALSE),"")</f>
        <v>ARH</v>
      </c>
      <c r="Q106" s="61"/>
    </row>
    <row r="107" spans="1:17" ht="14.4" x14ac:dyDescent="0.3">
      <c r="A107" s="106">
        <f t="shared" ref="A107:A129" si="4">A106+1</f>
        <v>98</v>
      </c>
      <c r="B107" s="107" t="s">
        <v>2038</v>
      </c>
      <c r="C107" s="107" t="s">
        <v>2035</v>
      </c>
      <c r="D107" s="113" t="s">
        <v>2039</v>
      </c>
      <c r="E107" s="109" t="s">
        <v>2077</v>
      </c>
      <c r="F107" s="110"/>
      <c r="G107" s="166"/>
      <c r="H107" s="111" t="str">
        <f>IF($G107&lt;&gt;"",VLOOKUP($G107,'MASTER TOKO BALI'!$B$2:$W$744,2,FALSE),"")</f>
        <v/>
      </c>
      <c r="I107" s="237" t="str">
        <f>IF($G107&lt;&gt;"",VLOOKUP($G107,'MASTER TOKO BALI'!$B$2:$W$744,4,FALSE),"")</f>
        <v/>
      </c>
      <c r="J107" s="112">
        <v>46269</v>
      </c>
      <c r="K107" s="111" t="str">
        <f>IF($G107&lt;&gt;"",VLOOKUP($G107,'MASTER TOKO BALI'!$B$2:$W$744,12,FALSE),"")</f>
        <v/>
      </c>
      <c r="L107" s="111" t="str">
        <f>IF($G107&lt;&gt;"",VLOOKUP($G107,'MASTER TOKO BALI'!$B$2:$W$744,5,FALSE),"")</f>
        <v/>
      </c>
      <c r="M107" s="106"/>
      <c r="N107" s="111" t="str">
        <f>IF($G107&lt;&gt;"",VLOOKUP($G107,'MASTER TOKO BALI'!$B$2:$W$744,21,FALSE),"")</f>
        <v/>
      </c>
      <c r="O107" s="106"/>
      <c r="P107" s="164" t="str">
        <f>IF($G107&lt;&gt;"",VLOOKUP($G107,'MASTER TOKO BALI'!$B$2:$W$740,7,FALSE),"")</f>
        <v/>
      </c>
      <c r="Q107" s="61"/>
    </row>
    <row r="108" spans="1:17" ht="14.4" x14ac:dyDescent="0.3">
      <c r="A108" s="106">
        <f t="shared" si="4"/>
        <v>99</v>
      </c>
      <c r="B108" s="107" t="s">
        <v>2040</v>
      </c>
      <c r="C108" s="107" t="s">
        <v>2035</v>
      </c>
      <c r="D108" s="108" t="s">
        <v>2041</v>
      </c>
      <c r="E108" s="109" t="s">
        <v>2077</v>
      </c>
      <c r="F108" s="126"/>
      <c r="G108" s="84" t="s">
        <v>1379</v>
      </c>
      <c r="H108" s="111" t="str">
        <f>IF($G108&lt;&gt;"",VLOOKUP($G108,'MASTER TOKO BALI'!$B$2:$W$744,2,FALSE),"")</f>
        <v>PC.PC.DARMAWANGSA 2 - BADUNG</v>
      </c>
      <c r="I108" s="237">
        <f>IF($G108&lt;&gt;"",VLOOKUP($G108,'MASTER TOKO BALI'!$B$2:$W$744,4,FALSE),"")</f>
        <v>538368140</v>
      </c>
      <c r="J108" s="112">
        <v>46269</v>
      </c>
      <c r="K108" s="111" t="str">
        <f>IF($G108&lt;&gt;"",VLOOKUP($G108,'MASTER TOKO BALI'!$B$2:$W$744,12,FALSE),"")</f>
        <v>M</v>
      </c>
      <c r="L108" s="111">
        <f>IF($G108&lt;&gt;"",VLOOKUP($G108,'MASTER TOKO BALI'!$B$2:$W$744,5,FALSE),"")</f>
        <v>3000000</v>
      </c>
      <c r="M108" s="106"/>
      <c r="N108" s="111" t="str">
        <f>IF($G108&lt;&gt;"",VLOOKUP($G108,'MASTER TOKO BALI'!$B$2:$W$744,21,FALSE),"")</f>
        <v>NON ZONA HITAM</v>
      </c>
      <c r="O108" s="106"/>
      <c r="P108" s="164" t="str">
        <f>IF($G108&lt;&gt;"",VLOOKUP($G108,'MASTER TOKO BALI'!$B$2:$W$740,7,FALSE),"")</f>
        <v>ANC</v>
      </c>
      <c r="Q108" s="61"/>
    </row>
    <row r="109" spans="1:17" ht="14.4" x14ac:dyDescent="0.3">
      <c r="A109" s="106">
        <f t="shared" si="4"/>
        <v>100</v>
      </c>
      <c r="B109" s="107" t="s">
        <v>2038</v>
      </c>
      <c r="C109" s="107" t="s">
        <v>2035</v>
      </c>
      <c r="D109" s="113" t="s">
        <v>2039</v>
      </c>
      <c r="E109" s="109" t="s">
        <v>2077</v>
      </c>
      <c r="F109" s="126"/>
      <c r="G109" s="163"/>
      <c r="H109" s="111" t="str">
        <f>IF($G109&lt;&gt;"",VLOOKUP($G109,'MASTER TOKO BALI'!$B$2:$W$744,2,FALSE),"")</f>
        <v/>
      </c>
      <c r="I109" s="237" t="str">
        <f>IF($G109&lt;&gt;"",VLOOKUP($G109,'MASTER TOKO BALI'!$B$2:$W$744,4,FALSE),"")</f>
        <v/>
      </c>
      <c r="J109" s="112">
        <v>46269</v>
      </c>
      <c r="K109" s="111" t="str">
        <f>IF($G109&lt;&gt;"",VLOOKUP($G109,'MASTER TOKO BALI'!$B$2:$W$744,12,FALSE),"")</f>
        <v/>
      </c>
      <c r="L109" s="111" t="str">
        <f>IF($G109&lt;&gt;"",VLOOKUP($G109,'MASTER TOKO BALI'!$B$2:$W$744,5,FALSE),"")</f>
        <v/>
      </c>
      <c r="M109" s="106"/>
      <c r="N109" s="111" t="str">
        <f>IF($G109&lt;&gt;"",VLOOKUP($G109,'MASTER TOKO BALI'!$B$2:$W$744,21,FALSE),"")</f>
        <v/>
      </c>
      <c r="O109" s="106"/>
      <c r="P109" s="164" t="str">
        <f>IF($G109&lt;&gt;"",VLOOKUP($G109,'MASTER TOKO BALI'!$B$2:$W$740,7,FALSE),"")</f>
        <v/>
      </c>
      <c r="Q109" s="61"/>
    </row>
    <row r="110" spans="1:17" ht="14.4" x14ac:dyDescent="0.3">
      <c r="A110" s="106">
        <f t="shared" si="4"/>
        <v>101</v>
      </c>
      <c r="B110" s="107" t="s">
        <v>2042</v>
      </c>
      <c r="C110" s="107" t="s">
        <v>2043</v>
      </c>
      <c r="D110" s="108" t="s">
        <v>2044</v>
      </c>
      <c r="E110" s="109" t="s">
        <v>2077</v>
      </c>
      <c r="F110" s="126"/>
      <c r="G110" s="84" t="s">
        <v>1307</v>
      </c>
      <c r="H110" s="111" t="str">
        <f>IF($G110&lt;&gt;"",VLOOKUP($G110,'MASTER TOKO BALI'!$B$2:$W$744,2,FALSE),"")</f>
        <v>PC.PC.RAYA IR SOEKARNO _TBN</v>
      </c>
      <c r="I110" s="237">
        <f>IF($G110&lt;&gt;"",VLOOKUP($G110,'MASTER TOKO BALI'!$B$2:$W$744,4,FALSE),"")</f>
        <v>518072960</v>
      </c>
      <c r="J110" s="112">
        <v>46269</v>
      </c>
      <c r="K110" s="111" t="str">
        <f>IF($G110&lt;&gt;"",VLOOKUP($G110,'MASTER TOKO BALI'!$B$2:$W$744,12,FALSE),"")</f>
        <v>M</v>
      </c>
      <c r="L110" s="111">
        <f>IF($G110&lt;&gt;"",VLOOKUP($G110,'MASTER TOKO BALI'!$B$2:$W$744,5,FALSE),"")</f>
        <v>3000000</v>
      </c>
      <c r="M110" s="106"/>
      <c r="N110" s="111" t="str">
        <f>IF($G110&lt;&gt;"",VLOOKUP($G110,'MASTER TOKO BALI'!$B$2:$W$744,21,FALSE),"")</f>
        <v>NON ZONA HITAM</v>
      </c>
      <c r="O110" s="106"/>
      <c r="P110" s="164" t="str">
        <f>IF($G110&lt;&gt;"",VLOOKUP($G110,'MASTER TOKO BALI'!$B$2:$W$740,7,FALSE),"")</f>
        <v>STN</v>
      </c>
      <c r="Q110" s="61"/>
    </row>
    <row r="111" spans="1:17" ht="14.4" x14ac:dyDescent="0.3">
      <c r="A111" s="106">
        <f t="shared" si="4"/>
        <v>102</v>
      </c>
      <c r="B111" s="107" t="s">
        <v>2038</v>
      </c>
      <c r="C111" s="107" t="s">
        <v>2043</v>
      </c>
      <c r="D111" s="113" t="s">
        <v>2045</v>
      </c>
      <c r="E111" s="109" t="s">
        <v>2077</v>
      </c>
      <c r="F111" s="122"/>
      <c r="G111" s="84" t="s">
        <v>206</v>
      </c>
      <c r="H111" s="111" t="str">
        <f>IF($G111&lt;&gt;"",VLOOKUP($G111,'MASTER TOKO BALI'!$B$2:$W$744,2,FALSE),"")</f>
        <v>YCG.ANYELIR - TABANAN</v>
      </c>
      <c r="I111" s="237">
        <f>IF($G111&lt;&gt;"",VLOOKUP($G111,'MASTER TOKO BALI'!$B$2:$W$744,4,FALSE),"")</f>
        <v>423592202</v>
      </c>
      <c r="J111" s="112">
        <v>46269</v>
      </c>
      <c r="K111" s="111" t="str">
        <f>IF($G111&lt;&gt;"",VLOOKUP($G111,'MASTER TOKO BALI'!$B$2:$W$744,12,FALSE),"")</f>
        <v>Q3</v>
      </c>
      <c r="L111" s="111">
        <f>IF($G111&lt;&gt;"",VLOOKUP($G111,'MASTER TOKO BALI'!$B$2:$W$744,5,FALSE),"")</f>
        <v>2500000</v>
      </c>
      <c r="M111" s="106"/>
      <c r="N111" s="111" t="str">
        <f>IF($G111&lt;&gt;"",VLOOKUP($G111,'MASTER TOKO BALI'!$B$2:$W$744,21,FALSE),"")</f>
        <v>NON ZONA HITAM</v>
      </c>
      <c r="O111" s="106"/>
      <c r="P111" s="164" t="str">
        <f>IF($G111&lt;&gt;"",VLOOKUP($G111,'MASTER TOKO BALI'!$B$2:$W$740,7,FALSE),"")</f>
        <v>STN</v>
      </c>
      <c r="Q111" s="61"/>
    </row>
    <row r="112" spans="1:17" ht="14.4" x14ac:dyDescent="0.3">
      <c r="A112" s="106">
        <f t="shared" si="4"/>
        <v>103</v>
      </c>
      <c r="B112" s="107" t="s">
        <v>2046</v>
      </c>
      <c r="C112" s="107" t="s">
        <v>2043</v>
      </c>
      <c r="D112" s="108" t="s">
        <v>2047</v>
      </c>
      <c r="E112" s="109" t="s">
        <v>2077</v>
      </c>
      <c r="F112" s="110"/>
      <c r="G112" s="84" t="s">
        <v>188</v>
      </c>
      <c r="H112" s="111" t="str">
        <f>IF($G112&lt;&gt;"",VLOOKUP($G112,'MASTER TOKO BALI'!$B$2:$W$744,2,FALSE),"")</f>
        <v>YCG.ANGGREK - TABANAN</v>
      </c>
      <c r="I112" s="237">
        <f>IF($G112&lt;&gt;"",VLOOKUP($G112,'MASTER TOKO BALI'!$B$2:$W$744,4,FALSE),"")</f>
        <v>503333395</v>
      </c>
      <c r="J112" s="112">
        <v>46269</v>
      </c>
      <c r="K112" s="111" t="str">
        <f>IF($G112&lt;&gt;"",VLOOKUP($G112,'MASTER TOKO BALI'!$B$2:$W$744,12,FALSE),"")</f>
        <v>Q3</v>
      </c>
      <c r="L112" s="111">
        <f>IF($G112&lt;&gt;"",VLOOKUP($G112,'MASTER TOKO BALI'!$B$2:$W$744,5,FALSE),"")</f>
        <v>2500000</v>
      </c>
      <c r="M112" s="106"/>
      <c r="N112" s="111" t="str">
        <f>IF($G112&lt;&gt;"",VLOOKUP($G112,'MASTER TOKO BALI'!$B$2:$W$744,21,FALSE),"")</f>
        <v>NON ZONA HITAM</v>
      </c>
      <c r="O112" s="106"/>
      <c r="P112" s="164" t="str">
        <f>IF($G112&lt;&gt;"",VLOOKUP($G112,'MASTER TOKO BALI'!$B$2:$W$740,7,FALSE),"")</f>
        <v>INP</v>
      </c>
      <c r="Q112" s="61"/>
    </row>
    <row r="113" spans="1:17" ht="14.4" x14ac:dyDescent="0.3">
      <c r="A113" s="106">
        <f t="shared" si="4"/>
        <v>104</v>
      </c>
      <c r="B113" s="107" t="s">
        <v>2038</v>
      </c>
      <c r="C113" s="107" t="s">
        <v>2043</v>
      </c>
      <c r="D113" s="113" t="s">
        <v>2045</v>
      </c>
      <c r="E113" s="109" t="s">
        <v>2077</v>
      </c>
      <c r="F113" s="110"/>
      <c r="G113" s="163"/>
      <c r="H113" s="111" t="str">
        <f>IF($G113&lt;&gt;"",VLOOKUP($G113,'MASTER TOKO BALI'!$B$2:$W$744,2,FALSE),"")</f>
        <v/>
      </c>
      <c r="I113" s="237" t="str">
        <f>IF($G113&lt;&gt;"",VLOOKUP($G113,'MASTER TOKO BALI'!$B$2:$W$744,4,FALSE),"")</f>
        <v/>
      </c>
      <c r="J113" s="112">
        <v>46269</v>
      </c>
      <c r="K113" s="111" t="str">
        <f>IF($G113&lt;&gt;"",VLOOKUP($G113,'MASTER TOKO BALI'!$B$2:$W$744,12,FALSE),"")</f>
        <v/>
      </c>
      <c r="L113" s="111" t="str">
        <f>IF($G113&lt;&gt;"",VLOOKUP($G113,'MASTER TOKO BALI'!$B$2:$W$744,5,FALSE),"")</f>
        <v/>
      </c>
      <c r="M113" s="106"/>
      <c r="N113" s="111" t="str">
        <f>IF($G113&lt;&gt;"",VLOOKUP($G113,'MASTER TOKO BALI'!$B$2:$W$744,21,FALSE),"")</f>
        <v/>
      </c>
      <c r="O113" s="106"/>
      <c r="P113" s="164" t="str">
        <f>IF($G113&lt;&gt;"",VLOOKUP($G113,'MASTER TOKO BALI'!$B$2:$W$740,7,FALSE),"")</f>
        <v/>
      </c>
      <c r="Q113" s="61"/>
    </row>
    <row r="114" spans="1:17" ht="14.4" x14ac:dyDescent="0.3">
      <c r="A114" s="106">
        <f t="shared" si="4"/>
        <v>105</v>
      </c>
      <c r="B114" s="107" t="s">
        <v>2048</v>
      </c>
      <c r="C114" s="107" t="s">
        <v>2049</v>
      </c>
      <c r="D114" s="108" t="s">
        <v>2050</v>
      </c>
      <c r="E114" s="109" t="s">
        <v>2077</v>
      </c>
      <c r="F114" s="110"/>
      <c r="G114" s="84" t="s">
        <v>47</v>
      </c>
      <c r="H114" s="111" t="str">
        <f>IF($G114&lt;&gt;"",VLOOKUP($G114,'MASTER TOKO BALI'!$B$2:$W$744,2,FALSE),"")</f>
        <v>YCG.BR. KEDIRI SILAKARANG GYR</v>
      </c>
      <c r="I114" s="237">
        <f>IF($G114&lt;&gt;"",VLOOKUP($G114,'MASTER TOKO BALI'!$B$2:$W$744,4,FALSE),"")</f>
        <v>420767623</v>
      </c>
      <c r="J114" s="112">
        <v>46269</v>
      </c>
      <c r="K114" s="111" t="str">
        <f>IF($G114&lt;&gt;"",VLOOKUP($G114,'MASTER TOKO BALI'!$B$2:$W$744,12,FALSE),"")</f>
        <v>Q3</v>
      </c>
      <c r="L114" s="111">
        <f>IF($G114&lt;&gt;"",VLOOKUP($G114,'MASTER TOKO BALI'!$B$2:$W$744,5,FALSE),"")</f>
        <v>3000000</v>
      </c>
      <c r="M114" s="106"/>
      <c r="N114" s="111" t="str">
        <f>IF($G114&lt;&gt;"",VLOOKUP($G114,'MASTER TOKO BALI'!$B$2:$W$744,21,FALSE),"")</f>
        <v>NON ZONA HITAM</v>
      </c>
      <c r="O114" s="106"/>
      <c r="P114" s="164" t="str">
        <f>IF($G114&lt;&gt;"",VLOOKUP($G114,'MASTER TOKO BALI'!$B$2:$W$740,7,FALSE),"")</f>
        <v>GMJ</v>
      </c>
      <c r="Q114" s="61"/>
    </row>
    <row r="115" spans="1:17" ht="14.4" x14ac:dyDescent="0.3">
      <c r="A115" s="106">
        <f t="shared" si="4"/>
        <v>106</v>
      </c>
      <c r="B115" s="107" t="s">
        <v>2038</v>
      </c>
      <c r="C115" s="107" t="s">
        <v>2049</v>
      </c>
      <c r="D115" s="115" t="s">
        <v>2051</v>
      </c>
      <c r="E115" s="109" t="s">
        <v>2077</v>
      </c>
      <c r="F115" s="110"/>
      <c r="G115" s="84" t="s">
        <v>1728</v>
      </c>
      <c r="H115" s="111" t="str">
        <f>IF($G115&lt;&gt;"",VLOOKUP($G115,'MASTER TOKO BALI'!$B$2:$W$744,2,FALSE),"")</f>
        <v>RAYA SINGAPADU_GYR</v>
      </c>
      <c r="I115" s="237">
        <f>IF($G115&lt;&gt;"",VLOOKUP($G115,'MASTER TOKO BALI'!$B$2:$W$744,4,FALSE),"")</f>
        <v>403865605</v>
      </c>
      <c r="J115" s="112">
        <v>46269</v>
      </c>
      <c r="K115" s="111" t="str">
        <f>IF($G115&lt;&gt;"",VLOOKUP($G115,'MASTER TOKO BALI'!$B$2:$W$744,12,FALSE),"")</f>
        <v>M</v>
      </c>
      <c r="L115" s="111">
        <f>IF($G115&lt;&gt;"",VLOOKUP($G115,'MASTER TOKO BALI'!$B$2:$W$744,5,FALSE),"")</f>
        <v>2000000</v>
      </c>
      <c r="M115" s="106"/>
      <c r="N115" s="111" t="str">
        <f>IF($G115&lt;&gt;"",VLOOKUP($G115,'MASTER TOKO BALI'!$B$2:$W$744,21,FALSE),"")</f>
        <v>ZONA HITAM</v>
      </c>
      <c r="O115" s="106"/>
      <c r="P115" s="164" t="str">
        <f>IF($G115&lt;&gt;"",VLOOKUP($G115,'MASTER TOKO BALI'!$B$2:$W$740,7,FALSE),"")</f>
        <v>MRS</v>
      </c>
      <c r="Q115" s="61"/>
    </row>
    <row r="116" spans="1:17" ht="14.4" x14ac:dyDescent="0.3">
      <c r="A116" s="106">
        <f t="shared" si="4"/>
        <v>107</v>
      </c>
      <c r="B116" s="107" t="s">
        <v>2052</v>
      </c>
      <c r="C116" s="107" t="s">
        <v>2049</v>
      </c>
      <c r="D116" s="108" t="s">
        <v>2053</v>
      </c>
      <c r="E116" s="109" t="s">
        <v>2077</v>
      </c>
      <c r="F116" s="110"/>
      <c r="G116" s="84"/>
      <c r="H116" s="111"/>
      <c r="I116" s="237" t="str">
        <f>IF($G116&lt;&gt;"",VLOOKUP($G116,'MASTER TOKO BALI'!$B$2:$W$744,4,FALSE),"")</f>
        <v/>
      </c>
      <c r="J116" s="112">
        <v>46269</v>
      </c>
      <c r="K116" s="111" t="str">
        <f>IF($G116&lt;&gt;"",VLOOKUP($G116,'MASTER TOKO BALI'!$B$2:$W$744,12,FALSE),"")</f>
        <v/>
      </c>
      <c r="L116" s="111" t="str">
        <f>IF($G116&lt;&gt;"",VLOOKUP($G116,'MASTER TOKO BALI'!$B$2:$W$744,5,FALSE),"")</f>
        <v/>
      </c>
      <c r="M116" s="106"/>
      <c r="N116" s="111" t="str">
        <f>IF($G116&lt;&gt;"",VLOOKUP($G116,'MASTER TOKO BALI'!$B$2:$W$744,21,FALSE),"")</f>
        <v/>
      </c>
      <c r="O116" s="106"/>
      <c r="P116" s="164" t="str">
        <f>IF($G116&lt;&gt;"",VLOOKUP($G116,'MASTER TOKO BALI'!$B$2:$W$740,7,FALSE),"")</f>
        <v/>
      </c>
      <c r="Q116" s="61"/>
    </row>
    <row r="117" spans="1:17" ht="14.4" x14ac:dyDescent="0.3">
      <c r="A117" s="106">
        <f t="shared" si="4"/>
        <v>108</v>
      </c>
      <c r="B117" s="107" t="s">
        <v>2038</v>
      </c>
      <c r="C117" s="107" t="s">
        <v>2049</v>
      </c>
      <c r="D117" s="113" t="s">
        <v>2051</v>
      </c>
      <c r="E117" s="109" t="s">
        <v>2077</v>
      </c>
      <c r="F117" s="126"/>
      <c r="G117" s="84"/>
      <c r="H117" s="111"/>
      <c r="I117" s="237" t="str">
        <f>IF($G117&lt;&gt;"",VLOOKUP($G117,'MASTER TOKO BALI'!$B$2:$W$744,4,FALSE),"")</f>
        <v/>
      </c>
      <c r="J117" s="112">
        <v>46269</v>
      </c>
      <c r="K117" s="111" t="str">
        <f>IF($G117&lt;&gt;"",VLOOKUP($G117,'MASTER TOKO BALI'!$B$2:$W$744,12,FALSE),"")</f>
        <v/>
      </c>
      <c r="L117" s="111" t="str">
        <f>IF($G117&lt;&gt;"",VLOOKUP($G117,'MASTER TOKO BALI'!$B$2:$W$744,5,FALSE),"")</f>
        <v/>
      </c>
      <c r="M117" s="106"/>
      <c r="N117" s="111" t="str">
        <f>IF($G117&lt;&gt;"",VLOOKUP($G117,'MASTER TOKO BALI'!$B$2:$W$744,21,FALSE),"")</f>
        <v/>
      </c>
      <c r="O117" s="106"/>
      <c r="P117" s="164" t="str">
        <f>IF($G117&lt;&gt;"",VLOOKUP($G117,'MASTER TOKO BALI'!$B$2:$W$740,7,FALSE),"")</f>
        <v/>
      </c>
      <c r="Q117" s="61"/>
    </row>
    <row r="118" spans="1:17" ht="14.4" x14ac:dyDescent="0.3">
      <c r="A118" s="106">
        <f t="shared" si="4"/>
        <v>109</v>
      </c>
      <c r="B118" s="107" t="s">
        <v>2054</v>
      </c>
      <c r="C118" s="116" t="s">
        <v>2055</v>
      </c>
      <c r="D118" s="108" t="s">
        <v>2056</v>
      </c>
      <c r="E118" s="109" t="s">
        <v>2077</v>
      </c>
      <c r="F118" s="126"/>
      <c r="G118" s="84" t="s">
        <v>139</v>
      </c>
      <c r="H118" s="111" t="str">
        <f>IF($G118&lt;&gt;"",VLOOKUP($G118,'MASTER TOKO BALI'!$B$2:$W$744,2,FALSE),"")</f>
        <v>YCG.MERTANADI - BADUNG</v>
      </c>
      <c r="I118" s="237">
        <f>IF($G118&lt;&gt;"",VLOOKUP($G118,'MASTER TOKO BALI'!$B$2:$W$744,4,FALSE),"")</f>
        <v>432888446</v>
      </c>
      <c r="J118" s="112">
        <v>46269</v>
      </c>
      <c r="K118" s="111" t="str">
        <f>IF($G118&lt;&gt;"",VLOOKUP($G118,'MASTER TOKO BALI'!$B$2:$W$744,12,FALSE),"")</f>
        <v>Q3</v>
      </c>
      <c r="L118" s="111">
        <f>IF($G118&lt;&gt;"",VLOOKUP($G118,'MASTER TOKO BALI'!$B$2:$W$744,5,FALSE),"")</f>
        <v>2500000</v>
      </c>
      <c r="M118" s="106"/>
      <c r="N118" s="111" t="str">
        <f>IF($G118&lt;&gt;"",VLOOKUP($G118,'MASTER TOKO BALI'!$B$2:$W$744,21,FALSE),"")</f>
        <v>NON ZONA HITAM</v>
      </c>
      <c r="O118" s="106"/>
      <c r="P118" s="164" t="str">
        <f>IF($G118&lt;&gt;"",VLOOKUP($G118,'MASTER TOKO BALI'!$B$2:$W$740,7,FALSE),"")</f>
        <v>NHY</v>
      </c>
      <c r="Q118" s="61"/>
    </row>
    <row r="119" spans="1:17" ht="14.4" x14ac:dyDescent="0.3">
      <c r="A119" s="106">
        <f t="shared" si="4"/>
        <v>110</v>
      </c>
      <c r="B119" s="107" t="s">
        <v>2038</v>
      </c>
      <c r="C119" s="116" t="s">
        <v>2055</v>
      </c>
      <c r="D119" s="113" t="s">
        <v>2057</v>
      </c>
      <c r="E119" s="109" t="s">
        <v>2077</v>
      </c>
      <c r="F119" s="123"/>
      <c r="G119" s="84" t="s">
        <v>739</v>
      </c>
      <c r="H119" s="111" t="str">
        <f>IF($G119&lt;&gt;"",VLOOKUP($G119,'MASTER TOKO BALI'!$B$2:$W$744,2,FALSE),"")</f>
        <v>RAYA SEMER - BADUNG</v>
      </c>
      <c r="I119" s="237">
        <f>IF($G119&lt;&gt;"",VLOOKUP($G119,'MASTER TOKO BALI'!$B$2:$W$744,4,FALSE),"")</f>
        <v>341847718</v>
      </c>
      <c r="J119" s="112">
        <v>46269</v>
      </c>
      <c r="K119" s="111" t="str">
        <f>IF($G119&lt;&gt;"",VLOOKUP($G119,'MASTER TOKO BALI'!$B$2:$W$744,12,FALSE),"")</f>
        <v>M</v>
      </c>
      <c r="L119" s="111">
        <f>IF($G119&lt;&gt;"",VLOOKUP($G119,'MASTER TOKO BALI'!$B$2:$W$744,5,FALSE),"")</f>
        <v>2000000</v>
      </c>
      <c r="M119" s="106"/>
      <c r="N119" s="111" t="str">
        <f>IF($G119&lt;&gt;"",VLOOKUP($G119,'MASTER TOKO BALI'!$B$2:$W$744,21,FALSE),"")</f>
        <v>NON ZONA HITAM</v>
      </c>
      <c r="O119" s="106"/>
      <c r="P119" s="164" t="str">
        <f>IF($G119&lt;&gt;"",VLOOKUP($G119,'MASTER TOKO BALI'!$B$2:$W$740,7,FALSE),"")</f>
        <v>KSM</v>
      </c>
      <c r="Q119" s="61"/>
    </row>
    <row r="120" spans="1:17" ht="14.4" x14ac:dyDescent="0.3">
      <c r="A120" s="106">
        <f t="shared" si="4"/>
        <v>111</v>
      </c>
      <c r="B120" s="107" t="s">
        <v>2058</v>
      </c>
      <c r="C120" s="116" t="s">
        <v>2055</v>
      </c>
      <c r="D120" s="108" t="s">
        <v>2059</v>
      </c>
      <c r="E120" s="109" t="s">
        <v>2077</v>
      </c>
      <c r="F120" s="126"/>
      <c r="G120" s="84" t="s">
        <v>1732</v>
      </c>
      <c r="H120" s="111" t="str">
        <f>IF($G120&lt;&gt;"",VLOOKUP($G120,'MASTER TOKO BALI'!$B$2:$W$744,2,FALSE),"")</f>
        <v>GUNUNG SANGHYANG 227 BADUNG</v>
      </c>
      <c r="I120" s="237">
        <f>IF($G120&lt;&gt;"",VLOOKUP($G120,'MASTER TOKO BALI'!$B$2:$W$744,4,FALSE),"")</f>
        <v>438845947</v>
      </c>
      <c r="J120" s="112">
        <v>46269</v>
      </c>
      <c r="K120" s="111" t="str">
        <f>IF($G120&lt;&gt;"",VLOOKUP($G120,'MASTER TOKO BALI'!$B$2:$W$744,12,FALSE),"")</f>
        <v>M</v>
      </c>
      <c r="L120" s="111">
        <f>IF($G120&lt;&gt;"",VLOOKUP($G120,'MASTER TOKO BALI'!$B$2:$W$744,5,FALSE),"")</f>
        <v>2000000</v>
      </c>
      <c r="M120" s="106"/>
      <c r="N120" s="111" t="str">
        <f>IF($G120&lt;&gt;"",VLOOKUP($G120,'MASTER TOKO BALI'!$B$2:$W$744,21,FALSE),"")</f>
        <v>ZONA HITAM</v>
      </c>
      <c r="O120" s="106"/>
      <c r="P120" s="164" t="str">
        <f>IF($G120&lt;&gt;"",VLOOKUP($G120,'MASTER TOKO BALI'!$B$2:$W$740,7,FALSE),"")</f>
        <v>WWD</v>
      </c>
      <c r="Q120" s="61"/>
    </row>
    <row r="121" spans="1:17" ht="13.8" x14ac:dyDescent="0.2">
      <c r="A121" s="106">
        <f t="shared" si="4"/>
        <v>112</v>
      </c>
      <c r="B121" s="107" t="s">
        <v>2038</v>
      </c>
      <c r="C121" s="116" t="s">
        <v>2055</v>
      </c>
      <c r="D121" s="113" t="s">
        <v>2057</v>
      </c>
      <c r="E121" s="109" t="s">
        <v>2077</v>
      </c>
      <c r="F121" s="110"/>
      <c r="G121" s="84" t="s">
        <v>1730</v>
      </c>
      <c r="H121" s="111" t="str">
        <f>IF($G121&lt;&gt;"",VLOOKUP($G121,'MASTER TOKO BALI'!$B$2:$W$744,2,FALSE),"")</f>
        <v>GN. SANGHYANG - BADUNG</v>
      </c>
      <c r="I121" s="237">
        <f>IF($G121&lt;&gt;"",VLOOKUP($G121,'MASTER TOKO BALI'!$B$2:$W$744,4,FALSE),"")</f>
        <v>433630590</v>
      </c>
      <c r="J121" s="112">
        <v>46269</v>
      </c>
      <c r="K121" s="111" t="str">
        <f>IF($G121&lt;&gt;"",VLOOKUP($G121,'MASTER TOKO BALI'!$B$2:$W$744,12,FALSE),"")</f>
        <v>M</v>
      </c>
      <c r="L121" s="111">
        <f>IF($G121&lt;&gt;"",VLOOKUP($G121,'MASTER TOKO BALI'!$B$2:$W$744,5,FALSE),"")</f>
        <v>3500000</v>
      </c>
      <c r="M121" s="106"/>
      <c r="N121" s="111" t="str">
        <f>IF($G121&lt;&gt;"",VLOOKUP($G121,'MASTER TOKO BALI'!$B$2:$W$744,21,FALSE),"")</f>
        <v>NON ZONA HITAM</v>
      </c>
      <c r="O121" s="106"/>
      <c r="P121" s="164" t="str">
        <f>IF($G121&lt;&gt;"",VLOOKUP($G121,'MASTER TOKO BALI'!$B$2:$W$740,7,FALSE),"")</f>
        <v>WWD</v>
      </c>
    </row>
    <row r="122" spans="1:17" ht="13.8" x14ac:dyDescent="0.2">
      <c r="A122" s="106">
        <f t="shared" si="4"/>
        <v>113</v>
      </c>
      <c r="B122" s="107" t="s">
        <v>2060</v>
      </c>
      <c r="C122" s="116" t="s">
        <v>2061</v>
      </c>
      <c r="D122" s="108" t="s">
        <v>2062</v>
      </c>
      <c r="E122" s="109" t="s">
        <v>2077</v>
      </c>
      <c r="F122" s="126"/>
      <c r="G122" s="84" t="s">
        <v>525</v>
      </c>
      <c r="H122" s="111" t="str">
        <f>IF($G122&lt;&gt;"",VLOOKUP($G122,'MASTER TOKO BALI'!$B$2:$W$744,2,FALSE),"")</f>
        <v>MERDEKA - DENPASAR</v>
      </c>
      <c r="I122" s="237">
        <f>IF($G122&lt;&gt;"",VLOOKUP($G122,'MASTER TOKO BALI'!$B$2:$W$744,4,FALSE),"")</f>
        <v>453607279</v>
      </c>
      <c r="J122" s="112">
        <v>46269</v>
      </c>
      <c r="K122" s="111" t="str">
        <f>IF($G122&lt;&gt;"",VLOOKUP($G122,'MASTER TOKO BALI'!$B$2:$W$744,12,FALSE),"")</f>
        <v>M</v>
      </c>
      <c r="L122" s="111">
        <f>IF($G122&lt;&gt;"",VLOOKUP($G122,'MASTER TOKO BALI'!$B$2:$W$744,5,FALSE),"")</f>
        <v>3500000</v>
      </c>
      <c r="M122" s="106"/>
      <c r="N122" s="111" t="str">
        <f>IF($G122&lt;&gt;"",VLOOKUP($G122,'MASTER TOKO BALI'!$B$2:$W$744,21,FALSE),"")</f>
        <v>NON ZONA HITAM</v>
      </c>
      <c r="O122" s="106"/>
      <c r="P122" s="164" t="str">
        <f>IF($G122&lt;&gt;"",VLOOKUP($G122,'MASTER TOKO BALI'!$B$2:$W$740,7,FALSE),"")</f>
        <v>IGN</v>
      </c>
    </row>
    <row r="123" spans="1:17" ht="13.8" x14ac:dyDescent="0.2">
      <c r="A123" s="106">
        <f t="shared" si="4"/>
        <v>114</v>
      </c>
      <c r="B123" s="107" t="s">
        <v>2038</v>
      </c>
      <c r="C123" s="116" t="s">
        <v>2061</v>
      </c>
      <c r="D123" s="113" t="s">
        <v>2063</v>
      </c>
      <c r="E123" s="109" t="s">
        <v>2077</v>
      </c>
      <c r="F123" s="110"/>
      <c r="G123" s="84" t="s">
        <v>191</v>
      </c>
      <c r="H123" s="111" t="str">
        <f>IF($G123&lt;&gt;"",VLOOKUP($G123,'MASTER TOKO BALI'!$B$2:$W$744,2,FALSE),"")</f>
        <v>TANTULAR_DPS</v>
      </c>
      <c r="I123" s="237">
        <f>IF($G123&lt;&gt;"",VLOOKUP($G123,'MASTER TOKO BALI'!$B$2:$W$744,4,FALSE),"")</f>
        <v>353272784</v>
      </c>
      <c r="J123" s="112">
        <v>46269</v>
      </c>
      <c r="K123" s="111" t="str">
        <f>IF($G123&lt;&gt;"",VLOOKUP($G123,'MASTER TOKO BALI'!$B$2:$W$744,12,FALSE),"")</f>
        <v>Q3</v>
      </c>
      <c r="L123" s="111">
        <f>IF($G123&lt;&gt;"",VLOOKUP($G123,'MASTER TOKO BALI'!$B$2:$W$744,5,FALSE),"")</f>
        <v>2000000</v>
      </c>
      <c r="M123" s="106"/>
      <c r="N123" s="111" t="str">
        <f>IF($G123&lt;&gt;"",VLOOKUP($G123,'MASTER TOKO BALI'!$B$2:$W$744,21,FALSE),"")</f>
        <v>NON ZONA HITAM</v>
      </c>
      <c r="O123" s="106"/>
      <c r="P123" s="164" t="str">
        <f>IF($G123&lt;&gt;"",VLOOKUP($G123,'MASTER TOKO BALI'!$B$2:$W$740,7,FALSE),"")</f>
        <v>AMP</v>
      </c>
    </row>
    <row r="124" spans="1:17" ht="13.8" x14ac:dyDescent="0.2">
      <c r="A124" s="106">
        <f t="shared" si="4"/>
        <v>115</v>
      </c>
      <c r="B124" s="107" t="s">
        <v>2064</v>
      </c>
      <c r="C124" s="116" t="s">
        <v>2061</v>
      </c>
      <c r="D124" s="108" t="s">
        <v>2065</v>
      </c>
      <c r="E124" s="109" t="s">
        <v>2077</v>
      </c>
      <c r="F124" s="126"/>
      <c r="G124" s="84" t="s">
        <v>572</v>
      </c>
      <c r="H124" s="111" t="str">
        <f>IF($G124&lt;&gt;"",VLOOKUP($G124,'MASTER TOKO BALI'!$B$2:$W$744,2,FALSE),"")</f>
        <v>PC.PC.MAHENDRADATA NO.9_DPS</v>
      </c>
      <c r="I124" s="237">
        <f>IF($G124&lt;&gt;"",VLOOKUP($G124,'MASTER TOKO BALI'!$B$2:$W$744,4,FALSE),"")</f>
        <v>668870617</v>
      </c>
      <c r="J124" s="112">
        <v>46269</v>
      </c>
      <c r="K124" s="111" t="str">
        <f>IF($G124&lt;&gt;"",VLOOKUP($G124,'MASTER TOKO BALI'!$B$2:$W$744,12,FALSE),"")</f>
        <v>M</v>
      </c>
      <c r="L124" s="111">
        <f>IF($G124&lt;&gt;"",VLOOKUP($G124,'MASTER TOKO BALI'!$B$2:$W$744,5,FALSE),"")</f>
        <v>2000000</v>
      </c>
      <c r="M124" s="106"/>
      <c r="N124" s="111" t="str">
        <f>IF($G124&lt;&gt;"",VLOOKUP($G124,'MASTER TOKO BALI'!$B$2:$W$744,21,FALSE),"")</f>
        <v>NON ZONA HITAM</v>
      </c>
      <c r="O124" s="106"/>
      <c r="P124" s="164" t="str">
        <f>IF($G124&lt;&gt;"",VLOOKUP($G124,'MASTER TOKO BALI'!$B$2:$W$740,7,FALSE),"")</f>
        <v>KSM</v>
      </c>
    </row>
    <row r="125" spans="1:17" x14ac:dyDescent="0.2">
      <c r="A125" s="106">
        <f t="shared" si="4"/>
        <v>116</v>
      </c>
      <c r="B125" s="107" t="s">
        <v>2066</v>
      </c>
      <c r="C125" s="116" t="s">
        <v>2061</v>
      </c>
      <c r="D125" s="113" t="s">
        <v>2063</v>
      </c>
      <c r="E125" s="109" t="s">
        <v>2077</v>
      </c>
      <c r="F125" s="126"/>
      <c r="G125" s="167"/>
      <c r="H125" s="111" t="str">
        <f>IF($G125&lt;&gt;"",VLOOKUP($G125,'MASTER TOKO BALI'!$B$2:$W$744,2,FALSE),"")</f>
        <v/>
      </c>
      <c r="I125" s="237" t="str">
        <f>IF($G125&lt;&gt;"",VLOOKUP($G125,'MASTER TOKO BALI'!$B$2:$W$744,4,FALSE),"")</f>
        <v/>
      </c>
      <c r="J125" s="112">
        <v>46269</v>
      </c>
      <c r="K125" s="111" t="str">
        <f>IF($G125&lt;&gt;"",VLOOKUP($G125,'MASTER TOKO BALI'!$B$2:$W$744,12,FALSE),"")</f>
        <v/>
      </c>
      <c r="L125" s="111" t="str">
        <f>IF($G125&lt;&gt;"",VLOOKUP($G125,'MASTER TOKO BALI'!$B$2:$W$744,5,FALSE),"")</f>
        <v/>
      </c>
      <c r="M125" s="106"/>
      <c r="N125" s="111" t="str">
        <f>IF($G125&lt;&gt;"",VLOOKUP($G125,'MASTER TOKO BALI'!$B$2:$W$744,21,FALSE),"")</f>
        <v/>
      </c>
      <c r="O125" s="106"/>
      <c r="P125" s="164" t="str">
        <f>IF($G125&lt;&gt;"",VLOOKUP($G125,'MASTER TOKO BALI'!$B$2:$W$740,7,FALSE),"")</f>
        <v/>
      </c>
    </row>
    <row r="126" spans="1:17" ht="13.8" x14ac:dyDescent="0.2">
      <c r="A126" s="106">
        <f t="shared" si="4"/>
        <v>117</v>
      </c>
      <c r="B126" s="107" t="s">
        <v>2067</v>
      </c>
      <c r="C126" s="107" t="s">
        <v>2068</v>
      </c>
      <c r="D126" s="108" t="s">
        <v>2069</v>
      </c>
      <c r="E126" s="109" t="s">
        <v>2077</v>
      </c>
      <c r="F126" s="110"/>
      <c r="G126" s="84" t="s">
        <v>1309</v>
      </c>
      <c r="H126" s="111" t="str">
        <f>IF($G126&lt;&gt;"",VLOOKUP($G126,'MASTER TOKO BALI'!$B$2:$W$744,2,FALSE),"")</f>
        <v>PC.PC.PULAU BUNGIN -  DENPASAR</v>
      </c>
      <c r="I126" s="237">
        <f>IF($G126&lt;&gt;"",VLOOKUP($G126,'MASTER TOKO BALI'!$B$2:$W$744,4,FALSE),"")</f>
        <v>472905098</v>
      </c>
      <c r="J126" s="112">
        <v>46269</v>
      </c>
      <c r="K126" s="111" t="str">
        <f>IF($G126&lt;&gt;"",VLOOKUP($G126,'MASTER TOKO BALI'!$B$2:$W$744,12,FALSE),"")</f>
        <v>M</v>
      </c>
      <c r="L126" s="111">
        <f>IF($G126&lt;&gt;"",VLOOKUP($G126,'MASTER TOKO BALI'!$B$2:$W$744,5,FALSE),"")</f>
        <v>4000000</v>
      </c>
      <c r="M126" s="106"/>
      <c r="N126" s="111" t="str">
        <f>IF($G126&lt;&gt;"",VLOOKUP($G126,'MASTER TOKO BALI'!$B$2:$W$744,21,FALSE),"")</f>
        <v>NON ZONA HITAM</v>
      </c>
      <c r="O126" s="106"/>
      <c r="P126" s="164" t="str">
        <f>IF($G126&lt;&gt;"",VLOOKUP($G126,'MASTER TOKO BALI'!$B$2:$W$740,7,FALSE),"")</f>
        <v>DOM</v>
      </c>
    </row>
    <row r="127" spans="1:17" ht="13.8" x14ac:dyDescent="0.2">
      <c r="A127" s="106">
        <f t="shared" si="4"/>
        <v>118</v>
      </c>
      <c r="B127" s="107" t="s">
        <v>2066</v>
      </c>
      <c r="C127" s="107" t="s">
        <v>2068</v>
      </c>
      <c r="D127" s="117" t="s">
        <v>2070</v>
      </c>
      <c r="E127" s="109" t="s">
        <v>2077</v>
      </c>
      <c r="F127" s="110"/>
      <c r="G127" s="84" t="s">
        <v>1016</v>
      </c>
      <c r="H127" s="111" t="str">
        <f>IF($G127&lt;&gt;"",VLOOKUP($G127,'MASTER TOKO BALI'!$B$2:$W$744,2,FALSE),"")</f>
        <v>PULAU MOYO NO 50 - DENPASAR</v>
      </c>
      <c r="I127" s="237">
        <f>IF($G127&lt;&gt;"",VLOOKUP($G127,'MASTER TOKO BALI'!$B$2:$W$744,4,FALSE),"")</f>
        <v>353378740</v>
      </c>
      <c r="J127" s="112">
        <v>46269</v>
      </c>
      <c r="K127" s="111" t="str">
        <f>IF($G127&lt;&gt;"",VLOOKUP($G127,'MASTER TOKO BALI'!$B$2:$W$744,12,FALSE),"")</f>
        <v>M</v>
      </c>
      <c r="L127" s="111">
        <f>IF($G127&lt;&gt;"",VLOOKUP($G127,'MASTER TOKO BALI'!$B$2:$W$744,5,FALSE),"")</f>
        <v>2000000</v>
      </c>
      <c r="M127" s="106"/>
      <c r="N127" s="111" t="str">
        <f>IF($G127&lt;&gt;"",VLOOKUP($G127,'MASTER TOKO BALI'!$B$2:$W$744,21,FALSE),"")</f>
        <v>NON ZONA HITAM</v>
      </c>
      <c r="O127" s="106"/>
      <c r="P127" s="164" t="str">
        <f>IF($G127&lt;&gt;"",VLOOKUP($G127,'MASTER TOKO BALI'!$B$2:$W$740,7,FALSE),"")</f>
        <v>DOM</v>
      </c>
    </row>
    <row r="128" spans="1:17" x14ac:dyDescent="0.2">
      <c r="A128" s="106">
        <f t="shared" si="4"/>
        <v>119</v>
      </c>
      <c r="B128" s="107" t="s">
        <v>2071</v>
      </c>
      <c r="C128" s="107" t="s">
        <v>2068</v>
      </c>
      <c r="D128" s="116" t="s">
        <v>2003</v>
      </c>
      <c r="E128" s="109" t="s">
        <v>2077</v>
      </c>
      <c r="F128" s="122"/>
      <c r="G128" s="167"/>
      <c r="H128" s="111" t="str">
        <f>IF($G128&lt;&gt;"",VLOOKUP($G128,'MASTER TOKO BALI'!$B$2:$W$744,2,FALSE),"")</f>
        <v/>
      </c>
      <c r="I128" s="237" t="str">
        <f>IF($G128&lt;&gt;"",VLOOKUP($G128,'MASTER TOKO BALI'!$B$2:$W$744,4,FALSE),"")</f>
        <v/>
      </c>
      <c r="J128" s="112">
        <v>46269</v>
      </c>
      <c r="K128" s="111" t="str">
        <f>IF($G128&lt;&gt;"",VLOOKUP($G128,'MASTER TOKO BALI'!$B$2:$W$744,12,FALSE),"")</f>
        <v/>
      </c>
      <c r="L128" s="111" t="str">
        <f>IF($G128&lt;&gt;"",VLOOKUP($G128,'MASTER TOKO BALI'!$B$2:$W$744,5,FALSE),"")</f>
        <v/>
      </c>
      <c r="M128" s="106"/>
      <c r="N128" s="111" t="str">
        <f>IF($G128&lt;&gt;"",VLOOKUP($G128,'MASTER TOKO BALI'!$B$2:$W$744,21,FALSE),"")</f>
        <v/>
      </c>
      <c r="O128" s="106"/>
      <c r="P128" s="164" t="str">
        <f>IF($G128&lt;&gt;"",VLOOKUP($G128,'MASTER TOKO BALI'!$B$2:$W$740,7,FALSE),"")</f>
        <v/>
      </c>
    </row>
    <row r="129" spans="1:18" ht="13.8" x14ac:dyDescent="0.3">
      <c r="A129" s="106">
        <f t="shared" si="4"/>
        <v>120</v>
      </c>
      <c r="B129" s="107" t="s">
        <v>2066</v>
      </c>
      <c r="C129" s="107" t="s">
        <v>2068</v>
      </c>
      <c r="D129" s="117" t="s">
        <v>2070</v>
      </c>
      <c r="E129" s="109" t="s">
        <v>2077</v>
      </c>
      <c r="F129" s="122"/>
      <c r="G129" s="162" t="s">
        <v>89</v>
      </c>
      <c r="H129" s="111" t="str">
        <f>IF($G129&lt;&gt;"",VLOOKUP($G129,'MASTER TOKO BALI'!$B$2:$W$744,2,FALSE),"")</f>
        <v>PC.SHORTCUT SINGARAJA_BULELENG</v>
      </c>
      <c r="I129" s="237">
        <f>IF($G129&lt;&gt;"",VLOOKUP($G129,'MASTER TOKO BALI'!$B$2:$W$744,4,FALSE),"")</f>
        <v>548560235</v>
      </c>
      <c r="J129" s="112">
        <v>46269</v>
      </c>
      <c r="K129" s="111" t="str">
        <f>IF($G129&lt;&gt;"",VLOOKUP($G129,'MASTER TOKO BALI'!$B$2:$W$744,12,FALSE),"")</f>
        <v>Q3</v>
      </c>
      <c r="L129" s="111">
        <f>IF($G129&lt;&gt;"",VLOOKUP($G129,'MASTER TOKO BALI'!$B$2:$W$744,5,FALSE),"")</f>
        <v>2000000</v>
      </c>
      <c r="M129" s="106"/>
      <c r="N129" s="111" t="str">
        <f>IF($G129&lt;&gt;"",VLOOKUP($G129,'MASTER TOKO BALI'!$B$2:$W$744,21,FALSE),"")</f>
        <v>NON ZONA HITAM</v>
      </c>
      <c r="O129" s="106"/>
      <c r="P129" s="164" t="str">
        <f>IF($G129&lt;&gt;"",VLOOKUP($G129,'MASTER TOKO BALI'!$B$2:$W$740,7,FALSE),"")</f>
        <v>KAR</v>
      </c>
    </row>
    <row r="130" spans="1:18" x14ac:dyDescent="0.2">
      <c r="A130" s="106"/>
      <c r="B130" s="107"/>
      <c r="C130" s="107"/>
      <c r="D130" s="111"/>
      <c r="E130" s="114"/>
      <c r="F130" s="122"/>
      <c r="G130" s="145"/>
      <c r="H130" s="111" t="str">
        <f>IF($G130&lt;&gt;"",VLOOKUP($G130,'MASTER TOKO BALI'!$B$2:$W$744,2,FALSE),"")</f>
        <v/>
      </c>
      <c r="I130" s="237" t="str">
        <f>IF($G130&lt;&gt;"",VLOOKUP($G130,'MASTER TOKO BALI'!$B$2:$W$744,4,FALSE),"")</f>
        <v/>
      </c>
      <c r="J130" s="119"/>
      <c r="K130" s="111" t="str">
        <f>IF($G130&lt;&gt;"",VLOOKUP($G130,'MASTER TOKO BALI'!$B$2:$W$744,12,FALSE),"")</f>
        <v/>
      </c>
      <c r="L130" s="111" t="str">
        <f>IF($G130&lt;&gt;"",VLOOKUP($G130,'MASTER TOKO BALI'!$B$2:$W$744,5,FALSE),"")</f>
        <v/>
      </c>
      <c r="M130" s="106"/>
      <c r="N130" s="111" t="str">
        <f>IF($G130&lt;&gt;"",VLOOKUP($G130,'MASTER TOKO BALI'!$B$2:$W$744,21,FALSE),"")</f>
        <v/>
      </c>
      <c r="O130" s="106"/>
      <c r="P130" s="164" t="str">
        <f>IF($G130&lt;&gt;"",VLOOKUP($G130,'MASTER TOKO BALI'!$B$2:$W$740,7,FALSE),"")</f>
        <v/>
      </c>
    </row>
    <row r="131" spans="1:18" ht="11.25" customHeight="1" x14ac:dyDescent="0.3">
      <c r="A131" s="106">
        <f>A129+1</f>
        <v>121</v>
      </c>
      <c r="B131" s="107" t="s">
        <v>2034</v>
      </c>
      <c r="C131" s="107" t="s">
        <v>2035</v>
      </c>
      <c r="D131" s="108" t="s">
        <v>2036</v>
      </c>
      <c r="E131" s="114" t="s">
        <v>2037</v>
      </c>
      <c r="F131" s="126"/>
      <c r="G131" s="84" t="s">
        <v>1575</v>
      </c>
      <c r="H131" s="111" t="str">
        <f>IF($G131&lt;&gt;"",VLOOKUP($G131,'MASTER TOKO BALI'!$B$2:$W$744,2,FALSE),"")</f>
        <v>YCG.RAYA KUTA 4 - BADUNG</v>
      </c>
      <c r="I131" s="237">
        <f>IF($G131&lt;&gt;"",VLOOKUP($G131,'MASTER TOKO BALI'!$B$2:$W$744,4,FALSE),"")</f>
        <v>420411678</v>
      </c>
      <c r="J131" s="119">
        <v>46270</v>
      </c>
      <c r="K131" s="111" t="str">
        <f>IF($G131&lt;&gt;"",VLOOKUP($G131,'MASTER TOKO BALI'!$B$2:$W$744,12,FALSE),"")</f>
        <v>M</v>
      </c>
      <c r="L131" s="111">
        <f>IF($G131&lt;&gt;"",VLOOKUP($G131,'MASTER TOKO BALI'!$B$2:$W$744,5,FALSE),"")</f>
        <v>2500000</v>
      </c>
      <c r="M131" s="106"/>
      <c r="N131" s="111" t="str">
        <f>IF($G131&lt;&gt;"",VLOOKUP($G131,'MASTER TOKO BALI'!$B$2:$W$744,21,FALSE),"")</f>
        <v>ZONA HITAM</v>
      </c>
      <c r="O131" s="106"/>
      <c r="P131" s="164" t="str">
        <f>IF($G131&lt;&gt;"",VLOOKUP($G131,'MASTER TOKO BALI'!$B$2:$W$740,7,FALSE),"")</f>
        <v>NHY</v>
      </c>
      <c r="R131" s="61"/>
    </row>
    <row r="132" spans="1:18" ht="11.25" customHeight="1" x14ac:dyDescent="0.3">
      <c r="A132" s="106">
        <f t="shared" ref="A132:A154" si="5">A131+1</f>
        <v>122</v>
      </c>
      <c r="B132" s="107" t="s">
        <v>2038</v>
      </c>
      <c r="C132" s="107" t="s">
        <v>2035</v>
      </c>
      <c r="D132" s="113" t="s">
        <v>2039</v>
      </c>
      <c r="E132" s="114" t="s">
        <v>2037</v>
      </c>
      <c r="F132" s="126"/>
      <c r="G132" s="163"/>
      <c r="H132" s="111" t="str">
        <f>IF($G132&lt;&gt;"",VLOOKUP($G132,'MASTER TOKO BALI'!$B$2:$W$744,2,FALSE),"")</f>
        <v/>
      </c>
      <c r="I132" s="237" t="str">
        <f>IF($G132&lt;&gt;"",VLOOKUP($G132,'MASTER TOKO BALI'!$B$2:$W$744,4,FALSE),"")</f>
        <v/>
      </c>
      <c r="J132" s="119">
        <v>46270</v>
      </c>
      <c r="K132" s="111" t="str">
        <f>IF($G132&lt;&gt;"",VLOOKUP($G132,'MASTER TOKO BALI'!$B$2:$W$744,12,FALSE),"")</f>
        <v/>
      </c>
      <c r="L132" s="111" t="str">
        <f>IF($G132&lt;&gt;"",VLOOKUP($G132,'MASTER TOKO BALI'!$B$2:$W$744,5,FALSE),"")</f>
        <v/>
      </c>
      <c r="M132" s="106"/>
      <c r="N132" s="111" t="str">
        <f>IF($G132&lt;&gt;"",VLOOKUP($G132,'MASTER TOKO BALI'!$B$2:$W$744,21,FALSE),"")</f>
        <v/>
      </c>
      <c r="O132" s="111"/>
      <c r="P132" s="164" t="str">
        <f>IF($G132&lt;&gt;"",VLOOKUP($G132,'MASTER TOKO BALI'!$B$2:$W$740,7,FALSE),"")</f>
        <v/>
      </c>
      <c r="R132" s="61"/>
    </row>
    <row r="133" spans="1:18" ht="11.25" customHeight="1" x14ac:dyDescent="0.3">
      <c r="A133" s="106">
        <f t="shared" si="5"/>
        <v>123</v>
      </c>
      <c r="B133" s="107" t="s">
        <v>2040</v>
      </c>
      <c r="C133" s="107" t="s">
        <v>2035</v>
      </c>
      <c r="D133" s="108" t="s">
        <v>2041</v>
      </c>
      <c r="E133" s="114" t="s">
        <v>2037</v>
      </c>
      <c r="F133" s="126"/>
      <c r="G133" s="84" t="s">
        <v>1521</v>
      </c>
      <c r="H133" s="111" t="str">
        <f>IF($G133&lt;&gt;"",VLOOKUP($G133,'MASTER TOKO BALI'!$B$2:$W$744,2,FALSE),"")</f>
        <v>KEDIRI 3 - BADUNG</v>
      </c>
      <c r="I133" s="237">
        <f>IF($G133&lt;&gt;"",VLOOKUP($G133,'MASTER TOKO BALI'!$B$2:$W$744,4,FALSE),"")</f>
        <v>425876009</v>
      </c>
      <c r="J133" s="119">
        <v>46270</v>
      </c>
      <c r="K133" s="111" t="str">
        <f>IF($G133&lt;&gt;"",VLOOKUP($G133,'MASTER TOKO BALI'!$B$2:$W$744,12,FALSE),"")</f>
        <v>M</v>
      </c>
      <c r="L133" s="111">
        <f>IF($G133&lt;&gt;"",VLOOKUP($G133,'MASTER TOKO BALI'!$B$2:$W$744,5,FALSE),"")</f>
        <v>4000000</v>
      </c>
      <c r="M133" s="106"/>
      <c r="N133" s="111" t="str">
        <f>IF($G133&lt;&gt;"",VLOOKUP($G133,'MASTER TOKO BALI'!$B$2:$W$744,21,FALSE),"")</f>
        <v>ZONA HITAM</v>
      </c>
      <c r="O133" s="106"/>
      <c r="P133" s="164" t="str">
        <f>IF($G133&lt;&gt;"",VLOOKUP($G133,'MASTER TOKO BALI'!$B$2:$W$740,7,FALSE),"")</f>
        <v>DSI</v>
      </c>
      <c r="R133" s="61"/>
    </row>
    <row r="134" spans="1:18" ht="11.25" customHeight="1" x14ac:dyDescent="0.3">
      <c r="A134" s="106">
        <f t="shared" si="5"/>
        <v>124</v>
      </c>
      <c r="B134" s="107" t="s">
        <v>2038</v>
      </c>
      <c r="C134" s="107" t="s">
        <v>2035</v>
      </c>
      <c r="D134" s="113" t="s">
        <v>2039</v>
      </c>
      <c r="E134" s="114" t="s">
        <v>2037</v>
      </c>
      <c r="F134" s="126"/>
      <c r="G134" s="163"/>
      <c r="H134" s="111" t="str">
        <f>IF($G134&lt;&gt;"",VLOOKUP($G134,'MASTER TOKO BALI'!$B$2:$W$744,2,FALSE),"")</f>
        <v/>
      </c>
      <c r="I134" s="237" t="str">
        <f>IF($G134&lt;&gt;"",VLOOKUP($G134,'MASTER TOKO BALI'!$B$2:$W$744,4,FALSE),"")</f>
        <v/>
      </c>
      <c r="J134" s="119">
        <v>46270</v>
      </c>
      <c r="K134" s="111" t="str">
        <f>IF($G134&lt;&gt;"",VLOOKUP($G134,'MASTER TOKO BALI'!$B$2:$W$744,12,FALSE),"")</f>
        <v/>
      </c>
      <c r="L134" s="111" t="str">
        <f>IF($G134&lt;&gt;"",VLOOKUP($G134,'MASTER TOKO BALI'!$B$2:$W$744,5,FALSE),"")</f>
        <v/>
      </c>
      <c r="M134" s="106"/>
      <c r="N134" s="111" t="str">
        <f>IF($G134&lt;&gt;"",VLOOKUP($G134,'MASTER TOKO BALI'!$B$2:$W$744,21,FALSE),"")</f>
        <v/>
      </c>
      <c r="O134" s="106"/>
      <c r="P134" s="164" t="str">
        <f>IF($G134&lt;&gt;"",VLOOKUP($G134,'MASTER TOKO BALI'!$B$2:$W$740,7,FALSE),"")</f>
        <v/>
      </c>
      <c r="R134" s="61"/>
    </row>
    <row r="135" spans="1:18" ht="11.25" customHeight="1" x14ac:dyDescent="0.3">
      <c r="A135" s="106">
        <f t="shared" si="5"/>
        <v>125</v>
      </c>
      <c r="B135" s="107" t="s">
        <v>2042</v>
      </c>
      <c r="C135" s="107" t="s">
        <v>2043</v>
      </c>
      <c r="D135" s="108" t="s">
        <v>2044</v>
      </c>
      <c r="E135" s="114" t="s">
        <v>2037</v>
      </c>
      <c r="F135" s="122"/>
      <c r="G135" s="84" t="s">
        <v>19</v>
      </c>
      <c r="H135" s="111" t="str">
        <f>IF($G135&lt;&gt;"",VLOOKUP($G135,'MASTER TOKO BALI'!$B$2:$W$744,2,FALSE),"")</f>
        <v>YCG.WERDHI BHUANA - BADUNG</v>
      </c>
      <c r="I135" s="237">
        <f>IF($G135&lt;&gt;"",VLOOKUP($G135,'MASTER TOKO BALI'!$B$2:$W$744,4,FALSE),"")</f>
        <v>345420171</v>
      </c>
      <c r="J135" s="119">
        <v>46270</v>
      </c>
      <c r="K135" s="111" t="str">
        <f>IF($G135&lt;&gt;"",VLOOKUP($G135,'MASTER TOKO BALI'!$B$2:$W$744,12,FALSE),"")</f>
        <v>Q3</v>
      </c>
      <c r="L135" s="111">
        <f>IF($G135&lt;&gt;"",VLOOKUP($G135,'MASTER TOKO BALI'!$B$2:$W$744,5,FALSE),"")</f>
        <v>2500000</v>
      </c>
      <c r="M135" s="106"/>
      <c r="N135" s="111" t="str">
        <f>IF($G135&lt;&gt;"",VLOOKUP($G135,'MASTER TOKO BALI'!$B$2:$W$744,21,FALSE),"")</f>
        <v>NON ZONA HITAM</v>
      </c>
      <c r="O135" s="106"/>
      <c r="P135" s="164" t="str">
        <f>IF($G135&lt;&gt;"",VLOOKUP($G135,'MASTER TOKO BALI'!$B$2:$W$740,7,FALSE),"")</f>
        <v>JSR</v>
      </c>
      <c r="R135" s="61"/>
    </row>
    <row r="136" spans="1:18" ht="11.25" customHeight="1" x14ac:dyDescent="0.3">
      <c r="A136" s="106">
        <f t="shared" si="5"/>
        <v>126</v>
      </c>
      <c r="B136" s="107" t="s">
        <v>2038</v>
      </c>
      <c r="C136" s="107" t="s">
        <v>2043</v>
      </c>
      <c r="D136" s="113" t="s">
        <v>2045</v>
      </c>
      <c r="E136" s="114" t="s">
        <v>2037</v>
      </c>
      <c r="F136" s="129"/>
      <c r="G136" s="166"/>
      <c r="H136" s="111" t="str">
        <f>IF($G136&lt;&gt;"",VLOOKUP($G136,'MASTER TOKO BALI'!$B$2:$W$744,2,FALSE),"")</f>
        <v/>
      </c>
      <c r="I136" s="237" t="str">
        <f>IF($G136&lt;&gt;"",VLOOKUP($G136,'MASTER TOKO BALI'!$B$2:$W$744,4,FALSE),"")</f>
        <v/>
      </c>
      <c r="J136" s="119">
        <v>46270</v>
      </c>
      <c r="K136" s="111" t="str">
        <f>IF($G136&lt;&gt;"",VLOOKUP($G136,'MASTER TOKO BALI'!$B$2:$W$744,12,FALSE),"")</f>
        <v/>
      </c>
      <c r="L136" s="111" t="str">
        <f>IF($G136&lt;&gt;"",VLOOKUP($G136,'MASTER TOKO BALI'!$B$2:$W$744,5,FALSE),"")</f>
        <v/>
      </c>
      <c r="M136" s="106"/>
      <c r="N136" s="111" t="str">
        <f>IF($G136&lt;&gt;"",VLOOKUP($G136,'MASTER TOKO BALI'!$B$2:$W$744,21,FALSE),"")</f>
        <v/>
      </c>
      <c r="O136" s="106"/>
      <c r="P136" s="164" t="str">
        <f>IF($G136&lt;&gt;"",VLOOKUP($G136,'MASTER TOKO BALI'!$B$2:$W$740,7,FALSE),"")</f>
        <v/>
      </c>
      <c r="R136" s="61"/>
    </row>
    <row r="137" spans="1:18" ht="11.25" customHeight="1" x14ac:dyDescent="0.3">
      <c r="A137" s="106">
        <f t="shared" si="5"/>
        <v>127</v>
      </c>
      <c r="B137" s="107" t="s">
        <v>2046</v>
      </c>
      <c r="C137" s="107" t="s">
        <v>2043</v>
      </c>
      <c r="D137" s="108" t="s">
        <v>2047</v>
      </c>
      <c r="E137" s="114" t="s">
        <v>2037</v>
      </c>
      <c r="F137" s="126"/>
      <c r="G137" s="84" t="s">
        <v>57</v>
      </c>
      <c r="H137" s="111" t="str">
        <f>IF($G137&lt;&gt;"",VLOOKUP($G137,'MASTER TOKO BALI'!$B$2:$W$744,2,FALSE),"")</f>
        <v>SEMBUNG - BADUNG</v>
      </c>
      <c r="I137" s="237">
        <f>IF($G137&lt;&gt;"",VLOOKUP($G137,'MASTER TOKO BALI'!$B$2:$W$744,4,FALSE),"")</f>
        <v>436899404</v>
      </c>
      <c r="J137" s="119">
        <v>46270</v>
      </c>
      <c r="K137" s="111" t="str">
        <f>IF($G137&lt;&gt;"",VLOOKUP($G137,'MASTER TOKO BALI'!$B$2:$W$744,12,FALSE),"")</f>
        <v>Q3</v>
      </c>
      <c r="L137" s="111">
        <f>IF($G137&lt;&gt;"",VLOOKUP($G137,'MASTER TOKO BALI'!$B$2:$W$744,5,FALSE),"")</f>
        <v>2500000</v>
      </c>
      <c r="M137" s="106"/>
      <c r="N137" s="111" t="str">
        <f>IF($G137&lt;&gt;"",VLOOKUP($G137,'MASTER TOKO BALI'!$B$2:$W$744,21,FALSE),"")</f>
        <v>NON ZONA HITAM</v>
      </c>
      <c r="O137" s="106"/>
      <c r="P137" s="164" t="str">
        <f>IF($G137&lt;&gt;"",VLOOKUP($G137,'MASTER TOKO BALI'!$B$2:$W$740,7,FALSE),"")</f>
        <v>KAR</v>
      </c>
      <c r="R137" s="61"/>
    </row>
    <row r="138" spans="1:18" ht="11.25" customHeight="1" x14ac:dyDescent="0.3">
      <c r="A138" s="106">
        <f t="shared" si="5"/>
        <v>128</v>
      </c>
      <c r="B138" s="107" t="s">
        <v>2038</v>
      </c>
      <c r="C138" s="107" t="s">
        <v>2043</v>
      </c>
      <c r="D138" s="113" t="s">
        <v>2045</v>
      </c>
      <c r="E138" s="114" t="s">
        <v>2037</v>
      </c>
      <c r="F138" s="129"/>
      <c r="G138" s="166"/>
      <c r="H138" s="111" t="str">
        <f>IF($G138&lt;&gt;"",VLOOKUP($G138,'MASTER TOKO BALI'!$B$2:$W$744,2,FALSE),"")</f>
        <v/>
      </c>
      <c r="I138" s="237" t="str">
        <f>IF($G138&lt;&gt;"",VLOOKUP($G138,'MASTER TOKO BALI'!$B$2:$W$744,4,FALSE),"")</f>
        <v/>
      </c>
      <c r="J138" s="119">
        <v>46270</v>
      </c>
      <c r="K138" s="111" t="str">
        <f>IF($G138&lt;&gt;"",VLOOKUP($G138,'MASTER TOKO BALI'!$B$2:$W$744,12,FALSE),"")</f>
        <v/>
      </c>
      <c r="L138" s="111" t="str">
        <f>IF($G138&lt;&gt;"",VLOOKUP($G138,'MASTER TOKO BALI'!$B$2:$W$744,5,FALSE),"")</f>
        <v/>
      </c>
      <c r="M138" s="106"/>
      <c r="N138" s="111" t="str">
        <f>IF($G138&lt;&gt;"",VLOOKUP($G138,'MASTER TOKO BALI'!$B$2:$W$744,21,FALSE),"")</f>
        <v/>
      </c>
      <c r="O138" s="106"/>
      <c r="P138" s="164" t="str">
        <f>IF($G138&lt;&gt;"",VLOOKUP($G138,'MASTER TOKO BALI'!$B$2:$W$740,7,FALSE),"")</f>
        <v/>
      </c>
      <c r="R138" s="61"/>
    </row>
    <row r="139" spans="1:18" ht="11.25" customHeight="1" x14ac:dyDescent="0.3">
      <c r="A139" s="106">
        <f t="shared" si="5"/>
        <v>129</v>
      </c>
      <c r="B139" s="107" t="s">
        <v>2048</v>
      </c>
      <c r="C139" s="107" t="s">
        <v>2049</v>
      </c>
      <c r="D139" s="108" t="s">
        <v>2050</v>
      </c>
      <c r="E139" s="114" t="s">
        <v>2037</v>
      </c>
      <c r="F139" s="110"/>
      <c r="G139" s="84" t="s">
        <v>1697</v>
      </c>
      <c r="H139" s="111" t="str">
        <f>IF($G139&lt;&gt;"",VLOOKUP($G139,'MASTER TOKO BALI'!$B$2:$W$744,2,FALSE),"")</f>
        <v>CAMPUHAN - GIANYAR</v>
      </c>
      <c r="I139" s="237">
        <f>IF($G139&lt;&gt;"",VLOOKUP($G139,'MASTER TOKO BALI'!$B$2:$W$744,4,FALSE),"")</f>
        <v>394413460</v>
      </c>
      <c r="J139" s="119">
        <v>46270</v>
      </c>
      <c r="K139" s="111" t="str">
        <f>IF($G139&lt;&gt;"",VLOOKUP($G139,'MASTER TOKO BALI'!$B$2:$W$744,12,FALSE),"")</f>
        <v>M</v>
      </c>
      <c r="L139" s="111">
        <f>IF($G139&lt;&gt;"",VLOOKUP($G139,'MASTER TOKO BALI'!$B$2:$W$744,5,FALSE),"")</f>
        <v>2500000</v>
      </c>
      <c r="M139" s="106"/>
      <c r="N139" s="111" t="str">
        <f>IF($G139&lt;&gt;"",VLOOKUP($G139,'MASTER TOKO BALI'!$B$2:$W$744,21,FALSE),"")</f>
        <v>ZONA HITAM</v>
      </c>
      <c r="O139" s="106"/>
      <c r="P139" s="164" t="str">
        <f>IF($G139&lt;&gt;"",VLOOKUP($G139,'MASTER TOKO BALI'!$B$2:$W$740,7,FALSE),"")</f>
        <v>IGJ</v>
      </c>
      <c r="R139" s="61"/>
    </row>
    <row r="140" spans="1:18" ht="11.25" customHeight="1" x14ac:dyDescent="0.3">
      <c r="A140" s="106">
        <f t="shared" si="5"/>
        <v>130</v>
      </c>
      <c r="B140" s="107" t="s">
        <v>2038</v>
      </c>
      <c r="C140" s="107" t="s">
        <v>2049</v>
      </c>
      <c r="D140" s="115" t="s">
        <v>2051</v>
      </c>
      <c r="E140" s="114" t="s">
        <v>2037</v>
      </c>
      <c r="F140" s="126"/>
      <c r="G140" s="167"/>
      <c r="H140" s="111" t="str">
        <f>IF($G140&lt;&gt;"",VLOOKUP($G140,'MASTER TOKO BALI'!$B$2:$W$744,2,FALSE),"")</f>
        <v/>
      </c>
      <c r="I140" s="237" t="str">
        <f>IF($G140&lt;&gt;"",VLOOKUP($G140,'MASTER TOKO BALI'!$B$2:$W$744,4,FALSE),"")</f>
        <v/>
      </c>
      <c r="J140" s="119">
        <v>46270</v>
      </c>
      <c r="K140" s="111" t="str">
        <f>IF($G140&lt;&gt;"",VLOOKUP($G140,'MASTER TOKO BALI'!$B$2:$W$744,12,FALSE),"")</f>
        <v/>
      </c>
      <c r="L140" s="111" t="str">
        <f>IF($G140&lt;&gt;"",VLOOKUP($G140,'MASTER TOKO BALI'!$B$2:$W$744,5,FALSE),"")</f>
        <v/>
      </c>
      <c r="M140" s="106"/>
      <c r="N140" s="111" t="str">
        <f>IF($G140&lt;&gt;"",VLOOKUP($G140,'MASTER TOKO BALI'!$B$2:$W$744,21,FALSE),"")</f>
        <v/>
      </c>
      <c r="O140" s="106"/>
      <c r="P140" s="164" t="str">
        <f>IF($G140&lt;&gt;"",VLOOKUP($G140,'MASTER TOKO BALI'!$B$2:$W$740,7,FALSE),"")</f>
        <v/>
      </c>
      <c r="R140" s="61"/>
    </row>
    <row r="141" spans="1:18" ht="11.25" customHeight="1" x14ac:dyDescent="0.3">
      <c r="A141" s="106">
        <f t="shared" si="5"/>
        <v>131</v>
      </c>
      <c r="B141" s="107" t="s">
        <v>2052</v>
      </c>
      <c r="C141" s="107" t="s">
        <v>2049</v>
      </c>
      <c r="D141" s="108" t="s">
        <v>2053</v>
      </c>
      <c r="E141" s="114" t="s">
        <v>2037</v>
      </c>
      <c r="F141" s="122"/>
      <c r="G141" s="84" t="s">
        <v>105</v>
      </c>
      <c r="H141" s="111" t="str">
        <f>IF($G141&lt;&gt;"",VLOOKUP($G141,'MASTER TOKO BALI'!$B$2:$W$744,2,FALSE),"")</f>
        <v>GOA GAJAH - GIANYAR</v>
      </c>
      <c r="I141" s="237">
        <f>IF($G141&lt;&gt;"",VLOOKUP($G141,'MASTER TOKO BALI'!$B$2:$W$744,4,FALSE),"")</f>
        <v>384008296</v>
      </c>
      <c r="J141" s="119">
        <v>46270</v>
      </c>
      <c r="K141" s="111" t="str">
        <f>IF($G141&lt;&gt;"",VLOOKUP($G141,'MASTER TOKO BALI'!$B$2:$W$744,12,FALSE),"")</f>
        <v>Q3</v>
      </c>
      <c r="L141" s="111">
        <f>IF($G141&lt;&gt;"",VLOOKUP($G141,'MASTER TOKO BALI'!$B$2:$W$744,5,FALSE),"")</f>
        <v>3000000</v>
      </c>
      <c r="M141" s="106"/>
      <c r="N141" s="111" t="str">
        <f>IF($G141&lt;&gt;"",VLOOKUP($G141,'MASTER TOKO BALI'!$B$2:$W$744,21,FALSE),"")</f>
        <v>NON ZONA HITAM</v>
      </c>
      <c r="O141" s="106"/>
      <c r="P141" s="164" t="str">
        <f>IF($G141&lt;&gt;"",VLOOKUP($G141,'MASTER TOKO BALI'!$B$2:$W$740,7,FALSE),"")</f>
        <v>IGJ</v>
      </c>
      <c r="R141" s="61"/>
    </row>
    <row r="142" spans="1:18" ht="11.25" customHeight="1" x14ac:dyDescent="0.3">
      <c r="A142" s="106">
        <f t="shared" si="5"/>
        <v>132</v>
      </c>
      <c r="B142" s="107" t="s">
        <v>2038</v>
      </c>
      <c r="C142" s="107" t="s">
        <v>2049</v>
      </c>
      <c r="D142" s="113" t="s">
        <v>2051</v>
      </c>
      <c r="E142" s="114" t="s">
        <v>2037</v>
      </c>
      <c r="F142" s="126"/>
      <c r="G142" s="163"/>
      <c r="H142" s="111" t="str">
        <f>IF($G142&lt;&gt;"",VLOOKUP($G142,'MASTER TOKO BALI'!$B$2:$W$744,2,FALSE),"")</f>
        <v/>
      </c>
      <c r="I142" s="237" t="str">
        <f>IF($G142&lt;&gt;"",VLOOKUP($G142,'MASTER TOKO BALI'!$B$2:$W$744,4,FALSE),"")</f>
        <v/>
      </c>
      <c r="J142" s="119">
        <v>46270</v>
      </c>
      <c r="K142" s="111" t="str">
        <f>IF($G142&lt;&gt;"",VLOOKUP($G142,'MASTER TOKO BALI'!$B$2:$W$744,12,FALSE),"")</f>
        <v/>
      </c>
      <c r="L142" s="111" t="str">
        <f>IF($G142&lt;&gt;"",VLOOKUP($G142,'MASTER TOKO BALI'!$B$2:$W$744,5,FALSE),"")</f>
        <v/>
      </c>
      <c r="M142" s="106"/>
      <c r="N142" s="111" t="str">
        <f>IF($G142&lt;&gt;"",VLOOKUP($G142,'MASTER TOKO BALI'!$B$2:$W$744,21,FALSE),"")</f>
        <v/>
      </c>
      <c r="O142" s="106"/>
      <c r="P142" s="164" t="str">
        <f>IF($G142&lt;&gt;"",VLOOKUP($G142,'MASTER TOKO BALI'!$B$2:$W$740,7,FALSE),"")</f>
        <v/>
      </c>
      <c r="R142" s="61"/>
    </row>
    <row r="143" spans="1:18" ht="11.25" customHeight="1" x14ac:dyDescent="0.3">
      <c r="A143" s="106">
        <f t="shared" si="5"/>
        <v>133</v>
      </c>
      <c r="B143" s="107" t="s">
        <v>2054</v>
      </c>
      <c r="C143" s="116" t="s">
        <v>2055</v>
      </c>
      <c r="D143" s="108" t="s">
        <v>2056</v>
      </c>
      <c r="E143" s="114" t="s">
        <v>2037</v>
      </c>
      <c r="F143" s="110"/>
      <c r="G143" s="84" t="s">
        <v>194</v>
      </c>
      <c r="H143" s="111" t="str">
        <f>IF($G143&lt;&gt;"",VLOOKUP($G143,'MASTER TOKO BALI'!$B$2:$W$744,2,FALSE),"")</f>
        <v>KWANJI - BADUNG</v>
      </c>
      <c r="I143" s="237">
        <f>IF($G143&lt;&gt;"",VLOOKUP($G143,'MASTER TOKO BALI'!$B$2:$W$744,4,FALSE),"")</f>
        <v>411793571</v>
      </c>
      <c r="J143" s="119">
        <v>46270</v>
      </c>
      <c r="K143" s="111" t="str">
        <f>IF($G143&lt;&gt;"",VLOOKUP($G143,'MASTER TOKO BALI'!$B$2:$W$744,12,FALSE),"")</f>
        <v>Q3</v>
      </c>
      <c r="L143" s="111">
        <f>IF($G143&lt;&gt;"",VLOOKUP($G143,'MASTER TOKO BALI'!$B$2:$W$744,5,FALSE),"")</f>
        <v>2000000</v>
      </c>
      <c r="M143" s="106"/>
      <c r="N143" s="111" t="str">
        <f>IF($G143&lt;&gt;"",VLOOKUP($G143,'MASTER TOKO BALI'!$B$2:$W$744,21,FALSE),"")</f>
        <v>NON ZONA HITAM</v>
      </c>
      <c r="O143" s="106"/>
      <c r="P143" s="164" t="str">
        <f>IF($G143&lt;&gt;"",VLOOKUP($G143,'MASTER TOKO BALI'!$B$2:$W$740,7,FALSE),"")</f>
        <v>SAM</v>
      </c>
      <c r="R143" s="61"/>
    </row>
    <row r="144" spans="1:18" ht="11.25" customHeight="1" x14ac:dyDescent="0.3">
      <c r="A144" s="106">
        <f t="shared" si="5"/>
        <v>134</v>
      </c>
      <c r="B144" s="107" t="s">
        <v>2038</v>
      </c>
      <c r="C144" s="116" t="s">
        <v>2055</v>
      </c>
      <c r="D144" s="113" t="s">
        <v>2057</v>
      </c>
      <c r="E144" s="114" t="s">
        <v>2037</v>
      </c>
      <c r="F144" s="126"/>
      <c r="G144" s="163"/>
      <c r="H144" s="111" t="str">
        <f>IF($G144&lt;&gt;"",VLOOKUP($G144,'MASTER TOKO BALI'!$B$2:$W$744,2,FALSE),"")</f>
        <v/>
      </c>
      <c r="I144" s="237" t="str">
        <f>IF($G144&lt;&gt;"",VLOOKUP($G144,'MASTER TOKO BALI'!$B$2:$W$744,4,FALSE),"")</f>
        <v/>
      </c>
      <c r="J144" s="119">
        <v>46270</v>
      </c>
      <c r="K144" s="111" t="str">
        <f>IF($G144&lt;&gt;"",VLOOKUP($G144,'MASTER TOKO BALI'!$B$2:$W$744,12,FALSE),"")</f>
        <v/>
      </c>
      <c r="L144" s="111" t="str">
        <f>IF($G144&lt;&gt;"",VLOOKUP($G144,'MASTER TOKO BALI'!$B$2:$W$744,5,FALSE),"")</f>
        <v/>
      </c>
      <c r="M144" s="106"/>
      <c r="N144" s="111" t="str">
        <f>IF($G144&lt;&gt;"",VLOOKUP($G144,'MASTER TOKO BALI'!$B$2:$W$744,21,FALSE),"")</f>
        <v/>
      </c>
      <c r="O144" s="106"/>
      <c r="P144" s="164" t="str">
        <f>IF($G144&lt;&gt;"",VLOOKUP($G144,'MASTER TOKO BALI'!$B$2:$W$740,7,FALSE),"")</f>
        <v/>
      </c>
      <c r="R144" s="61"/>
    </row>
    <row r="145" spans="1:18" ht="11.25" customHeight="1" x14ac:dyDescent="0.3">
      <c r="A145" s="106">
        <f t="shared" si="5"/>
        <v>135</v>
      </c>
      <c r="B145" s="107" t="s">
        <v>2058</v>
      </c>
      <c r="C145" s="116" t="s">
        <v>2055</v>
      </c>
      <c r="D145" s="108" t="s">
        <v>2059</v>
      </c>
      <c r="E145" s="114" t="s">
        <v>2037</v>
      </c>
      <c r="F145" s="110"/>
      <c r="G145" s="84" t="s">
        <v>1657</v>
      </c>
      <c r="H145" s="111" t="str">
        <f>IF($G145&lt;&gt;"",VLOOKUP($G145,'MASTER TOKO BALI'!$B$2:$W$744,2,FALSE),"")</f>
        <v>CIUNGWANARA - BADUNG</v>
      </c>
      <c r="I145" s="237">
        <f>IF($G145&lt;&gt;"",VLOOKUP($G145,'MASTER TOKO BALI'!$B$2:$W$744,4,FALSE),"")</f>
        <v>437388906</v>
      </c>
      <c r="J145" s="119">
        <v>46270</v>
      </c>
      <c r="K145" s="111" t="str">
        <f>IF($G145&lt;&gt;"",VLOOKUP($G145,'MASTER TOKO BALI'!$B$2:$W$744,12,FALSE),"")</f>
        <v>M</v>
      </c>
      <c r="L145" s="111">
        <f>IF($G145&lt;&gt;"",VLOOKUP($G145,'MASTER TOKO BALI'!$B$2:$W$744,5,FALSE),"")</f>
        <v>2500000</v>
      </c>
      <c r="M145" s="106"/>
      <c r="N145" s="111" t="str">
        <f>IF($G145&lt;&gt;"",VLOOKUP($G145,'MASTER TOKO BALI'!$B$2:$W$744,21,FALSE),"")</f>
        <v>ZONA HITAM</v>
      </c>
      <c r="O145" s="106"/>
      <c r="P145" s="164" t="str">
        <f>IF($G145&lt;&gt;"",VLOOKUP($G145,'MASTER TOKO BALI'!$B$2:$W$740,7,FALSE),"")</f>
        <v>IWS</v>
      </c>
      <c r="R145" s="61"/>
    </row>
    <row r="146" spans="1:18" ht="11.25" customHeight="1" x14ac:dyDescent="0.3">
      <c r="A146" s="106">
        <f t="shared" si="5"/>
        <v>136</v>
      </c>
      <c r="B146" s="107" t="s">
        <v>2038</v>
      </c>
      <c r="C146" s="116" t="s">
        <v>2055</v>
      </c>
      <c r="D146" s="113" t="s">
        <v>2057</v>
      </c>
      <c r="E146" s="114" t="s">
        <v>2037</v>
      </c>
      <c r="F146" s="126"/>
      <c r="G146" s="163"/>
      <c r="H146" s="111" t="str">
        <f>IF($G146&lt;&gt;"",VLOOKUP($G146,'MASTER TOKO BALI'!$B$2:$W$744,2,FALSE),"")</f>
        <v/>
      </c>
      <c r="I146" s="237" t="str">
        <f>IF($G146&lt;&gt;"",VLOOKUP($G146,'MASTER TOKO BALI'!$B$2:$W$744,4,FALSE),"")</f>
        <v/>
      </c>
      <c r="J146" s="119">
        <v>46270</v>
      </c>
      <c r="K146" s="111" t="str">
        <f>IF($G146&lt;&gt;"",VLOOKUP($G146,'MASTER TOKO BALI'!$B$2:$W$744,12,FALSE),"")</f>
        <v/>
      </c>
      <c r="L146" s="111" t="str">
        <f>IF($G146&lt;&gt;"",VLOOKUP($G146,'MASTER TOKO BALI'!$B$2:$W$744,5,FALSE),"")</f>
        <v/>
      </c>
      <c r="M146" s="106"/>
      <c r="N146" s="111" t="str">
        <f>IF($G146&lt;&gt;"",VLOOKUP($G146,'MASTER TOKO BALI'!$B$2:$W$744,21,FALSE),"")</f>
        <v/>
      </c>
      <c r="O146" s="106"/>
      <c r="P146" s="164" t="str">
        <f>IF($G146&lt;&gt;"",VLOOKUP($G146,'MASTER TOKO BALI'!$B$2:$W$740,7,FALSE),"")</f>
        <v/>
      </c>
      <c r="R146" s="61"/>
    </row>
    <row r="147" spans="1:18" ht="11.25" customHeight="1" x14ac:dyDescent="0.3">
      <c r="A147" s="106">
        <f t="shared" si="5"/>
        <v>137</v>
      </c>
      <c r="B147" s="107" t="s">
        <v>2060</v>
      </c>
      <c r="C147" s="116" t="s">
        <v>2061</v>
      </c>
      <c r="D147" s="108" t="s">
        <v>2062</v>
      </c>
      <c r="E147" s="114" t="s">
        <v>2037</v>
      </c>
      <c r="F147" s="110"/>
      <c r="G147" s="84" t="s">
        <v>1205</v>
      </c>
      <c r="H147" s="111" t="str">
        <f>IF($G147&lt;&gt;"",VLOOKUP($G147,'MASTER TOKO BALI'!$B$2:$W$744,2,FALSE),"")</f>
        <v>KERTANEGARA - DENPASAR</v>
      </c>
      <c r="I147" s="237">
        <f>IF($G147&lt;&gt;"",VLOOKUP($G147,'MASTER TOKO BALI'!$B$2:$W$744,4,FALSE),"")</f>
        <v>386962204</v>
      </c>
      <c r="J147" s="119">
        <v>46270</v>
      </c>
      <c r="K147" s="111" t="str">
        <f>IF($G147&lt;&gt;"",VLOOKUP($G147,'MASTER TOKO BALI'!$B$2:$W$744,12,FALSE),"")</f>
        <v>M</v>
      </c>
      <c r="L147" s="111">
        <f>IF($G147&lt;&gt;"",VLOOKUP($G147,'MASTER TOKO BALI'!$B$2:$W$744,5,FALSE),"")</f>
        <v>2500000</v>
      </c>
      <c r="M147" s="106"/>
      <c r="N147" s="111" t="str">
        <f>IF($G147&lt;&gt;"",VLOOKUP($G147,'MASTER TOKO BALI'!$B$2:$W$744,21,FALSE),"")</f>
        <v>NON ZONA HITAM</v>
      </c>
      <c r="O147" s="106"/>
      <c r="P147" s="164" t="str">
        <f>IF($G147&lt;&gt;"",VLOOKUP($G147,'MASTER TOKO BALI'!$B$2:$W$740,7,FALSE),"")</f>
        <v>IHN</v>
      </c>
      <c r="R147" s="61"/>
    </row>
    <row r="148" spans="1:18" ht="11.25" customHeight="1" x14ac:dyDescent="0.3">
      <c r="A148" s="106">
        <f t="shared" si="5"/>
        <v>138</v>
      </c>
      <c r="B148" s="107" t="s">
        <v>2038</v>
      </c>
      <c r="C148" s="116" t="s">
        <v>2061</v>
      </c>
      <c r="D148" s="113" t="s">
        <v>2063</v>
      </c>
      <c r="E148" s="114" t="s">
        <v>2037</v>
      </c>
      <c r="F148" s="110"/>
      <c r="G148" s="163"/>
      <c r="H148" s="111" t="str">
        <f>IF($G148&lt;&gt;"",VLOOKUP($G148,'MASTER TOKO BALI'!$B$2:$W$744,2,FALSE),"")</f>
        <v/>
      </c>
      <c r="I148" s="237" t="str">
        <f>IF($G148&lt;&gt;"",VLOOKUP($G148,'MASTER TOKO BALI'!$B$2:$W$744,4,FALSE),"")</f>
        <v/>
      </c>
      <c r="J148" s="119">
        <v>46270</v>
      </c>
      <c r="K148" s="111" t="str">
        <f>IF($G148&lt;&gt;"",VLOOKUP($G148,'MASTER TOKO BALI'!$B$2:$W$744,12,FALSE),"")</f>
        <v/>
      </c>
      <c r="L148" s="111" t="str">
        <f>IF($G148&lt;&gt;"",VLOOKUP($G148,'MASTER TOKO BALI'!$B$2:$W$744,5,FALSE),"")</f>
        <v/>
      </c>
      <c r="M148" s="106"/>
      <c r="N148" s="111" t="str">
        <f>IF($G148&lt;&gt;"",VLOOKUP($G148,'MASTER TOKO BALI'!$B$2:$W$744,21,FALSE),"")</f>
        <v/>
      </c>
      <c r="O148" s="106"/>
      <c r="P148" s="164" t="str">
        <f>IF($G148&lt;&gt;"",VLOOKUP($G148,'MASTER TOKO BALI'!$B$2:$W$740,7,FALSE),"")</f>
        <v/>
      </c>
      <c r="R148" s="61"/>
    </row>
    <row r="149" spans="1:18" ht="11.25" customHeight="1" x14ac:dyDescent="0.3">
      <c r="A149" s="106">
        <f t="shared" si="5"/>
        <v>139</v>
      </c>
      <c r="B149" s="107" t="s">
        <v>2064</v>
      </c>
      <c r="C149" s="116" t="s">
        <v>2061</v>
      </c>
      <c r="D149" s="108" t="s">
        <v>2065</v>
      </c>
      <c r="E149" s="114" t="s">
        <v>2037</v>
      </c>
      <c r="F149" s="110"/>
      <c r="G149" s="84" t="s">
        <v>1543</v>
      </c>
      <c r="H149" s="111" t="str">
        <f>IF($G149&lt;&gt;"",VLOOKUP($G149,'MASTER TOKO BALI'!$B$2:$W$744,2,FALSE),"")</f>
        <v>TUKAD PETANU - DENPASAR</v>
      </c>
      <c r="I149" s="237">
        <f>IF($G149&lt;&gt;"",VLOOKUP($G149,'MASTER TOKO BALI'!$B$2:$W$744,4,FALSE),"")</f>
        <v>370610064</v>
      </c>
      <c r="J149" s="119">
        <v>46270</v>
      </c>
      <c r="K149" s="111" t="str">
        <f>IF($G149&lt;&gt;"",VLOOKUP($G149,'MASTER TOKO BALI'!$B$2:$W$744,12,FALSE),"")</f>
        <v>M</v>
      </c>
      <c r="L149" s="111">
        <f>IF($G149&lt;&gt;"",VLOOKUP($G149,'MASTER TOKO BALI'!$B$2:$W$744,5,FALSE),"")</f>
        <v>2000000</v>
      </c>
      <c r="M149" s="106"/>
      <c r="N149" s="111" t="str">
        <f>IF($G149&lt;&gt;"",VLOOKUP($G149,'MASTER TOKO BALI'!$B$2:$W$744,21,FALSE),"")</f>
        <v>ZONA HITAM</v>
      </c>
      <c r="O149" s="106"/>
      <c r="P149" s="164" t="str">
        <f>IF($G149&lt;&gt;"",VLOOKUP($G149,'MASTER TOKO BALI'!$B$2:$W$740,7,FALSE),"")</f>
        <v>LKH</v>
      </c>
      <c r="R149" s="61"/>
    </row>
    <row r="150" spans="1:18" ht="11.25" customHeight="1" x14ac:dyDescent="0.2">
      <c r="A150" s="106">
        <f t="shared" si="5"/>
        <v>140</v>
      </c>
      <c r="B150" s="107" t="s">
        <v>2066</v>
      </c>
      <c r="C150" s="116" t="s">
        <v>2061</v>
      </c>
      <c r="D150" s="113" t="s">
        <v>2063</v>
      </c>
      <c r="E150" s="114" t="s">
        <v>2037</v>
      </c>
      <c r="F150" s="130"/>
      <c r="G150" s="167"/>
      <c r="H150" s="111" t="str">
        <f>IF($G150&lt;&gt;"",VLOOKUP($G150,'MASTER TOKO BALI'!$B$2:$W$744,2,FALSE),"")</f>
        <v/>
      </c>
      <c r="I150" s="237" t="str">
        <f>IF($G150&lt;&gt;"",VLOOKUP($G150,'MASTER TOKO BALI'!$B$2:$W$744,4,FALSE),"")</f>
        <v/>
      </c>
      <c r="J150" s="119">
        <v>46270</v>
      </c>
      <c r="K150" s="111" t="str">
        <f>IF($G150&lt;&gt;"",VLOOKUP($G150,'MASTER TOKO BALI'!$B$2:$W$744,12,FALSE),"")</f>
        <v/>
      </c>
      <c r="L150" s="111" t="str">
        <f>IF($G150&lt;&gt;"",VLOOKUP($G150,'MASTER TOKO BALI'!$B$2:$W$744,5,FALSE),"")</f>
        <v/>
      </c>
      <c r="M150" s="106"/>
      <c r="N150" s="111" t="str">
        <f>IF($G150&lt;&gt;"",VLOOKUP($G150,'MASTER TOKO BALI'!$B$2:$W$744,21,FALSE),"")</f>
        <v/>
      </c>
      <c r="O150" s="106"/>
      <c r="P150" s="164" t="str">
        <f>IF($G150&lt;&gt;"",VLOOKUP($G150,'MASTER TOKO BALI'!$B$2:$W$740,7,FALSE),"")</f>
        <v/>
      </c>
    </row>
    <row r="151" spans="1:18" ht="11.25" customHeight="1" x14ac:dyDescent="0.3">
      <c r="A151" s="106">
        <f t="shared" si="5"/>
        <v>141</v>
      </c>
      <c r="B151" s="107" t="s">
        <v>2067</v>
      </c>
      <c r="C151" s="107" t="s">
        <v>2068</v>
      </c>
      <c r="D151" s="108" t="s">
        <v>2069</v>
      </c>
      <c r="E151" s="114" t="s">
        <v>2037</v>
      </c>
      <c r="F151" s="122"/>
      <c r="G151" s="84" t="s">
        <v>1294</v>
      </c>
      <c r="H151" s="111" t="str">
        <f>IF($G151&lt;&gt;"",VLOOKUP($G151,'MASTER TOKO BALI'!$B$2:$W$744,2,FALSE),"")</f>
        <v>SPBU GATOT SUBROTO TIMUR DPS</v>
      </c>
      <c r="I151" s="237">
        <f>IF($G151&lt;&gt;"",VLOOKUP($G151,'MASTER TOKO BALI'!$B$2:$W$744,4,FALSE),"")</f>
        <v>366862051</v>
      </c>
      <c r="J151" s="119">
        <v>46270</v>
      </c>
      <c r="K151" s="111" t="str">
        <f>IF($G151&lt;&gt;"",VLOOKUP($G151,'MASTER TOKO BALI'!$B$2:$W$744,12,FALSE),"")</f>
        <v>M</v>
      </c>
      <c r="L151" s="111">
        <f>IF($G151&lt;&gt;"",VLOOKUP($G151,'MASTER TOKO BALI'!$B$2:$W$744,5,FALSE),"")</f>
        <v>2000000</v>
      </c>
      <c r="M151" s="62"/>
      <c r="N151" s="111" t="str">
        <f>IF($G151&lt;&gt;"",VLOOKUP($G151,'MASTER TOKO BALI'!$B$2:$W$744,21,FALSE),"")</f>
        <v>NON ZONA HITAM</v>
      </c>
      <c r="O151" s="106"/>
      <c r="P151" s="164" t="str">
        <f>IF($G151&lt;&gt;"",VLOOKUP($G151,'MASTER TOKO BALI'!$B$2:$W$740,7,FALSE),"")</f>
        <v>KDI</v>
      </c>
    </row>
    <row r="152" spans="1:18" ht="13.8" x14ac:dyDescent="0.2">
      <c r="A152" s="106">
        <f t="shared" si="5"/>
        <v>142</v>
      </c>
      <c r="B152" s="107" t="s">
        <v>2066</v>
      </c>
      <c r="C152" s="107" t="s">
        <v>2068</v>
      </c>
      <c r="D152" s="117" t="s">
        <v>2070</v>
      </c>
      <c r="E152" s="114" t="s">
        <v>2037</v>
      </c>
      <c r="F152" s="110"/>
      <c r="G152" s="166"/>
      <c r="H152" s="111" t="str">
        <f>IF($G152&lt;&gt;"",VLOOKUP($G152,'MASTER TOKO BALI'!$B$2:$W$744,2,FALSE),"")</f>
        <v/>
      </c>
      <c r="I152" s="237" t="str">
        <f>IF($G152&lt;&gt;"",VLOOKUP($G152,'MASTER TOKO BALI'!$B$2:$W$744,4,FALSE),"")</f>
        <v/>
      </c>
      <c r="J152" s="119">
        <v>46270</v>
      </c>
      <c r="K152" s="111" t="str">
        <f>IF($G152&lt;&gt;"",VLOOKUP($G152,'MASTER TOKO BALI'!$B$2:$W$744,12,FALSE),"")</f>
        <v/>
      </c>
      <c r="L152" s="111" t="str">
        <f>IF($G152&lt;&gt;"",VLOOKUP($G152,'MASTER TOKO BALI'!$B$2:$W$744,5,FALSE),"")</f>
        <v/>
      </c>
      <c r="M152" s="106"/>
      <c r="N152" s="111" t="str">
        <f>IF($G152&lt;&gt;"",VLOOKUP($G152,'MASTER TOKO BALI'!$B$2:$W$744,21,FALSE),"")</f>
        <v/>
      </c>
      <c r="O152" s="106"/>
      <c r="P152" s="164" t="str">
        <f>IF($G152&lt;&gt;"",VLOOKUP($G152,'MASTER TOKO BALI'!$B$2:$W$740,7,FALSE),"")</f>
        <v/>
      </c>
    </row>
    <row r="153" spans="1:18" ht="13.8" x14ac:dyDescent="0.2">
      <c r="A153" s="106">
        <f t="shared" si="5"/>
        <v>143</v>
      </c>
      <c r="B153" s="107" t="s">
        <v>2071</v>
      </c>
      <c r="C153" s="107" t="s">
        <v>2068</v>
      </c>
      <c r="D153" s="116" t="s">
        <v>2003</v>
      </c>
      <c r="E153" s="114" t="s">
        <v>2037</v>
      </c>
      <c r="F153" s="122"/>
      <c r="G153" s="84" t="s">
        <v>236</v>
      </c>
      <c r="H153" s="111" t="str">
        <f>IF($G153&lt;&gt;"",VLOOKUP($G153,'MASTER TOKO BALI'!$B$2:$W$744,2,FALSE),"")</f>
        <v>PAHLAWAN - SINGARAJA</v>
      </c>
      <c r="I153" s="237">
        <f>IF($G153&lt;&gt;"",VLOOKUP($G153,'MASTER TOKO BALI'!$B$2:$W$744,4,FALSE),"")</f>
        <v>399201442</v>
      </c>
      <c r="J153" s="119">
        <v>46270</v>
      </c>
      <c r="K153" s="111" t="str">
        <f>IF($G153&lt;&gt;"",VLOOKUP($G153,'MASTER TOKO BALI'!$B$2:$W$744,12,FALSE),"")</f>
        <v>Q3</v>
      </c>
      <c r="L153" s="111">
        <f>IF($G153&lt;&gt;"",VLOOKUP($G153,'MASTER TOKO BALI'!$B$2:$W$744,5,FALSE),"")</f>
        <v>2500000</v>
      </c>
      <c r="M153" s="106"/>
      <c r="N153" s="111" t="str">
        <f>IF($G153&lt;&gt;"",VLOOKUP($G153,'MASTER TOKO BALI'!$B$2:$W$744,21,FALSE),"")</f>
        <v>NON ZONA HITAM</v>
      </c>
      <c r="O153" s="106"/>
      <c r="P153" s="164" t="str">
        <f>IF($G153&lt;&gt;"",VLOOKUP($G153,'MASTER TOKO BALI'!$B$2:$W$740,7,FALSE),"")</f>
        <v>AMN</v>
      </c>
    </row>
    <row r="154" spans="1:18" ht="11.25" customHeight="1" x14ac:dyDescent="0.2">
      <c r="A154" s="106">
        <f t="shared" si="5"/>
        <v>144</v>
      </c>
      <c r="B154" s="107" t="s">
        <v>2066</v>
      </c>
      <c r="C154" s="107" t="s">
        <v>2068</v>
      </c>
      <c r="D154" s="117" t="s">
        <v>2070</v>
      </c>
      <c r="E154" s="114" t="s">
        <v>2037</v>
      </c>
      <c r="F154" s="122"/>
      <c r="G154" s="146"/>
      <c r="H154" s="111" t="str">
        <f>IF($G154&lt;&gt;"",VLOOKUP($G154,'MASTER TOKO BALI'!$B$2:$W$744,2,FALSE),"")</f>
        <v/>
      </c>
      <c r="I154" s="237" t="str">
        <f>IF($G154&lt;&gt;"",VLOOKUP($G154,'MASTER TOKO BALI'!$B$2:$W$744,4,FALSE),"")</f>
        <v/>
      </c>
      <c r="J154" s="119">
        <v>46270</v>
      </c>
      <c r="K154" s="111" t="str">
        <f>IF($G154&lt;&gt;"",VLOOKUP($G154,'MASTER TOKO BALI'!$B$2:$W$744,12,FALSE),"")</f>
        <v/>
      </c>
      <c r="L154" s="111" t="str">
        <f>IF($G154&lt;&gt;"",VLOOKUP($G154,'MASTER TOKO BALI'!$B$2:$W$744,5,FALSE),"")</f>
        <v/>
      </c>
      <c r="M154" s="106"/>
      <c r="N154" s="111" t="str">
        <f>IF($G154&lt;&gt;"",VLOOKUP($G154,'MASTER TOKO BALI'!$B$2:$W$744,21,FALSE),"")</f>
        <v/>
      </c>
      <c r="O154" s="111"/>
      <c r="P154" s="164" t="str">
        <f>IF($G154&lt;&gt;"",VLOOKUP($G154,'MASTER TOKO BALI'!$B$2:$W$740,7,FALSE),"")</f>
        <v/>
      </c>
    </row>
    <row r="155" spans="1:18" ht="11.25" customHeight="1" x14ac:dyDescent="0.2">
      <c r="A155" s="106"/>
      <c r="B155" s="107"/>
      <c r="C155" s="107"/>
      <c r="D155" s="111"/>
      <c r="E155" s="114"/>
      <c r="F155" s="122"/>
      <c r="G155" s="146"/>
      <c r="H155" s="111" t="str">
        <f>IF($G155&lt;&gt;"",VLOOKUP($G155,'MASTER TOKO BALI'!$B$2:$W$744,2,FALSE),"")</f>
        <v/>
      </c>
      <c r="I155" s="237" t="str">
        <f>IF($G155&lt;&gt;"",VLOOKUP($G155,'MASTER TOKO BALI'!$B$2:$W$744,4,FALSE),"")</f>
        <v/>
      </c>
      <c r="J155" s="119"/>
      <c r="K155" s="111" t="str">
        <f>IF($G155&lt;&gt;"",VLOOKUP($G155,'MASTER TOKO BALI'!$B$2:$W$744,12,FALSE),"")</f>
        <v/>
      </c>
      <c r="L155" s="111" t="str">
        <f>IF($G155&lt;&gt;"",VLOOKUP($G155,'MASTER TOKO BALI'!$B$2:$W$744,5,FALSE),"")</f>
        <v/>
      </c>
      <c r="M155" s="106"/>
      <c r="N155" s="111" t="str">
        <f>IF($G155&lt;&gt;"",VLOOKUP($G155,'MASTER TOKO BALI'!$B$2:$W$744,21,FALSE),"")</f>
        <v/>
      </c>
      <c r="O155" s="106"/>
      <c r="P155" s="164" t="str">
        <f>IF($G155&lt;&gt;"",VLOOKUP($G155,'MASTER TOKO BALI'!$B$2:$W$740,7,FALSE),"")</f>
        <v/>
      </c>
    </row>
    <row r="156" spans="1:18" ht="11.25" customHeight="1" x14ac:dyDescent="0.2">
      <c r="A156" s="106">
        <f>A154+1</f>
        <v>145</v>
      </c>
      <c r="B156" s="107" t="s">
        <v>2034</v>
      </c>
      <c r="C156" s="107" t="s">
        <v>2035</v>
      </c>
      <c r="D156" s="108" t="s">
        <v>2036</v>
      </c>
      <c r="E156" s="109" t="s">
        <v>2073</v>
      </c>
      <c r="F156" s="122"/>
      <c r="G156" s="60"/>
      <c r="H156" s="111" t="str">
        <f>IF($G156&lt;&gt;"",VLOOKUP($G156,'MASTER TOKO BALI'!$B$2:$W$744,2,FALSE),"")</f>
        <v/>
      </c>
      <c r="I156" s="237" t="str">
        <f>IF($G156&lt;&gt;"",VLOOKUP($G156,'MASTER TOKO BALI'!$B$2:$W$744,4,FALSE),"")</f>
        <v/>
      </c>
      <c r="J156" s="112">
        <v>46272</v>
      </c>
      <c r="K156" s="111" t="str">
        <f>IF($G156&lt;&gt;"",VLOOKUP($G156,'MASTER TOKO BALI'!$B$2:$W$744,12,FALSE),"")</f>
        <v/>
      </c>
      <c r="L156" s="111" t="str">
        <f>IF($G156&lt;&gt;"",VLOOKUP($G156,'MASTER TOKO BALI'!$B$2:$W$744,5,FALSE),"")</f>
        <v/>
      </c>
      <c r="M156" s="106"/>
      <c r="N156" s="111" t="str">
        <f>IF($G156&lt;&gt;"",VLOOKUP($G156,'MASTER TOKO BALI'!$B$2:$W$744,21,FALSE),"")</f>
        <v/>
      </c>
      <c r="O156" s="106"/>
      <c r="P156" s="164" t="str">
        <f>IF($G156&lt;&gt;"",VLOOKUP($G156,'MASTER TOKO BALI'!$B$2:$W$740,7,FALSE),"")</f>
        <v/>
      </c>
    </row>
    <row r="157" spans="1:18" ht="11.25" customHeight="1" x14ac:dyDescent="0.2">
      <c r="A157" s="106">
        <f t="shared" ref="A157:A179" si="6">A156+1</f>
        <v>146</v>
      </c>
      <c r="B157" s="107" t="s">
        <v>2038</v>
      </c>
      <c r="C157" s="107" t="s">
        <v>2035</v>
      </c>
      <c r="D157" s="113" t="s">
        <v>2039</v>
      </c>
      <c r="E157" s="109" t="s">
        <v>2073</v>
      </c>
      <c r="F157" s="122"/>
      <c r="G157" s="60"/>
      <c r="H157" s="111" t="str">
        <f>IF($G157&lt;&gt;"",VLOOKUP($G157,'MASTER TOKO BALI'!$B$2:$W$744,2,FALSE),"")</f>
        <v/>
      </c>
      <c r="I157" s="237" t="str">
        <f>IF($G157&lt;&gt;"",VLOOKUP($G157,'MASTER TOKO BALI'!$B$2:$W$744,4,FALSE),"")</f>
        <v/>
      </c>
      <c r="J157" s="112">
        <v>46272</v>
      </c>
      <c r="K157" s="111" t="str">
        <f>IF($G157&lt;&gt;"",VLOOKUP($G157,'MASTER TOKO BALI'!$B$2:$W$744,12,FALSE),"")</f>
        <v/>
      </c>
      <c r="L157" s="111" t="str">
        <f>IF($G157&lt;&gt;"",VLOOKUP($G157,'MASTER TOKO BALI'!$B$2:$W$744,5,FALSE),"")</f>
        <v/>
      </c>
      <c r="M157" s="106"/>
      <c r="N157" s="111" t="str">
        <f>IF($G157&lt;&gt;"",VLOOKUP($G157,'MASTER TOKO BALI'!$B$2:$W$744,21,FALSE),"")</f>
        <v/>
      </c>
      <c r="O157" s="106"/>
      <c r="P157" s="164" t="str">
        <f>IF($G157&lt;&gt;"",VLOOKUP($G157,'MASTER TOKO BALI'!$B$2:$W$740,7,FALSE),"")</f>
        <v/>
      </c>
    </row>
    <row r="158" spans="1:18" ht="11.25" customHeight="1" x14ac:dyDescent="0.2">
      <c r="A158" s="106">
        <f t="shared" si="6"/>
        <v>147</v>
      </c>
      <c r="B158" s="107" t="s">
        <v>2040</v>
      </c>
      <c r="C158" s="107" t="s">
        <v>2035</v>
      </c>
      <c r="D158" s="108" t="s">
        <v>2041</v>
      </c>
      <c r="E158" s="109" t="s">
        <v>2073</v>
      </c>
      <c r="F158" s="110"/>
      <c r="G158" s="60"/>
      <c r="H158" s="111" t="str">
        <f>IF($G158&lt;&gt;"",VLOOKUP($G158,'MASTER TOKO BALI'!$B$2:$W$744,2,FALSE),"")</f>
        <v/>
      </c>
      <c r="I158" s="237" t="str">
        <f>IF($G158&lt;&gt;"",VLOOKUP($G158,'MASTER TOKO BALI'!$B$2:$W$744,4,FALSE),"")</f>
        <v/>
      </c>
      <c r="J158" s="112">
        <v>46272</v>
      </c>
      <c r="K158" s="111" t="str">
        <f>IF($G158&lt;&gt;"",VLOOKUP($G158,'MASTER TOKO BALI'!$B$2:$W$744,12,FALSE),"")</f>
        <v/>
      </c>
      <c r="L158" s="111" t="str">
        <f>IF($G158&lt;&gt;"",VLOOKUP($G158,'MASTER TOKO BALI'!$B$2:$W$744,5,FALSE),"")</f>
        <v/>
      </c>
      <c r="M158" s="106"/>
      <c r="N158" s="111" t="str">
        <f>IF($G158&lt;&gt;"",VLOOKUP($G158,'MASTER TOKO BALI'!$B$2:$W$744,21,FALSE),"")</f>
        <v/>
      </c>
      <c r="O158" s="106"/>
      <c r="P158" s="164" t="str">
        <f>IF($G158&lt;&gt;"",VLOOKUP($G158,'MASTER TOKO BALI'!$B$2:$W$740,7,FALSE),"")</f>
        <v/>
      </c>
    </row>
    <row r="159" spans="1:18" ht="11.25" customHeight="1" x14ac:dyDescent="0.2">
      <c r="A159" s="106">
        <f t="shared" si="6"/>
        <v>148</v>
      </c>
      <c r="B159" s="107" t="s">
        <v>2038</v>
      </c>
      <c r="C159" s="107" t="s">
        <v>2035</v>
      </c>
      <c r="D159" s="113" t="s">
        <v>2039</v>
      </c>
      <c r="E159" s="109" t="s">
        <v>2073</v>
      </c>
      <c r="F159" s="122"/>
      <c r="G159" s="60"/>
      <c r="H159" s="111" t="str">
        <f>IF($G159&lt;&gt;"",VLOOKUP($G159,'MASTER TOKO BALI'!$B$2:$W$744,2,FALSE),"")</f>
        <v/>
      </c>
      <c r="I159" s="237" t="str">
        <f>IF($G159&lt;&gt;"",VLOOKUP($G159,'MASTER TOKO BALI'!$B$2:$W$744,4,FALSE),"")</f>
        <v/>
      </c>
      <c r="J159" s="112">
        <v>46272</v>
      </c>
      <c r="K159" s="111" t="str">
        <f>IF($G159&lt;&gt;"",VLOOKUP($G159,'MASTER TOKO BALI'!$B$2:$W$744,12,FALSE),"")</f>
        <v/>
      </c>
      <c r="L159" s="111" t="str">
        <f>IF($G159&lt;&gt;"",VLOOKUP($G159,'MASTER TOKO BALI'!$B$2:$W$744,5,FALSE),"")</f>
        <v/>
      </c>
      <c r="M159" s="106"/>
      <c r="N159" s="111" t="str">
        <f>IF($G159&lt;&gt;"",VLOOKUP($G159,'MASTER TOKO BALI'!$B$2:$W$744,21,FALSE),"")</f>
        <v/>
      </c>
      <c r="O159" s="106"/>
      <c r="P159" s="164" t="str">
        <f>IF($G159&lt;&gt;"",VLOOKUP($G159,'MASTER TOKO BALI'!$B$2:$W$740,7,FALSE),"")</f>
        <v/>
      </c>
    </row>
    <row r="160" spans="1:18" ht="11.25" customHeight="1" x14ac:dyDescent="0.2">
      <c r="A160" s="106">
        <f t="shared" si="6"/>
        <v>149</v>
      </c>
      <c r="B160" s="107" t="s">
        <v>2042</v>
      </c>
      <c r="C160" s="107" t="s">
        <v>2043</v>
      </c>
      <c r="D160" s="108" t="s">
        <v>2044</v>
      </c>
      <c r="E160" s="109" t="s">
        <v>2073</v>
      </c>
      <c r="F160" s="126"/>
      <c r="G160" s="60"/>
      <c r="H160" s="111" t="str">
        <f>IF($G160&lt;&gt;"",VLOOKUP($G160,'MASTER TOKO BALI'!$B$2:$W$744,2,FALSE),"")</f>
        <v/>
      </c>
      <c r="I160" s="237" t="str">
        <f>IF($G160&lt;&gt;"",VLOOKUP($G160,'MASTER TOKO BALI'!$B$2:$W$744,4,FALSE),"")</f>
        <v/>
      </c>
      <c r="J160" s="112">
        <v>46272</v>
      </c>
      <c r="K160" s="111" t="str">
        <f>IF($G160&lt;&gt;"",VLOOKUP($G160,'MASTER TOKO BALI'!$B$2:$W$744,12,FALSE),"")</f>
        <v/>
      </c>
      <c r="L160" s="111" t="str">
        <f>IF($G160&lt;&gt;"",VLOOKUP($G160,'MASTER TOKO BALI'!$B$2:$W$744,5,FALSE),"")</f>
        <v/>
      </c>
      <c r="M160" s="106"/>
      <c r="N160" s="111" t="str">
        <f>IF($G160&lt;&gt;"",VLOOKUP($G160,'MASTER TOKO BALI'!$B$2:$W$744,21,FALSE),"")</f>
        <v/>
      </c>
      <c r="O160" s="106"/>
      <c r="P160" s="164" t="str">
        <f>IF($G160&lt;&gt;"",VLOOKUP($G160,'MASTER TOKO BALI'!$B$2:$W$740,7,FALSE),"")</f>
        <v/>
      </c>
    </row>
    <row r="161" spans="1:16" ht="11.25" customHeight="1" x14ac:dyDescent="0.3">
      <c r="A161" s="106">
        <f t="shared" si="6"/>
        <v>150</v>
      </c>
      <c r="B161" s="107" t="s">
        <v>2038</v>
      </c>
      <c r="C161" s="107" t="s">
        <v>2043</v>
      </c>
      <c r="D161" s="113" t="s">
        <v>2045</v>
      </c>
      <c r="E161" s="109" t="s">
        <v>2073</v>
      </c>
      <c r="F161" s="126"/>
      <c r="G161" s="60"/>
      <c r="H161" s="111" t="str">
        <f>IF($G161&lt;&gt;"",VLOOKUP($G161,'MASTER TOKO BALI'!$B$2:$W$744,2,FALSE),"")</f>
        <v/>
      </c>
      <c r="I161" s="237" t="str">
        <f>IF($G161&lt;&gt;"",VLOOKUP($G161,'MASTER TOKO BALI'!$B$2:$W$744,4,FALSE),"")</f>
        <v/>
      </c>
      <c r="J161" s="112">
        <v>46272</v>
      </c>
      <c r="K161" s="111" t="str">
        <f>IF($G161&lt;&gt;"",VLOOKUP($G161,'MASTER TOKO BALI'!$B$2:$W$744,12,FALSE),"")</f>
        <v/>
      </c>
      <c r="L161" s="111" t="str">
        <f>IF($G161&lt;&gt;"",VLOOKUP($G161,'MASTER TOKO BALI'!$B$2:$W$744,5,FALSE),"")</f>
        <v/>
      </c>
      <c r="M161" s="65"/>
      <c r="N161" s="111" t="str">
        <f>IF($G161&lt;&gt;"",VLOOKUP($G161,'MASTER TOKO BALI'!$B$2:$W$744,21,FALSE),"")</f>
        <v/>
      </c>
      <c r="O161" s="106"/>
      <c r="P161" s="164" t="str">
        <f>IF($G161&lt;&gt;"",VLOOKUP($G161,'MASTER TOKO BALI'!$B$2:$W$740,7,FALSE),"")</f>
        <v/>
      </c>
    </row>
    <row r="162" spans="1:16" ht="11.25" customHeight="1" x14ac:dyDescent="0.2">
      <c r="A162" s="106">
        <f t="shared" si="6"/>
        <v>151</v>
      </c>
      <c r="B162" s="107" t="s">
        <v>2046</v>
      </c>
      <c r="C162" s="107" t="s">
        <v>2043</v>
      </c>
      <c r="D162" s="108" t="s">
        <v>2047</v>
      </c>
      <c r="E162" s="109" t="s">
        <v>2073</v>
      </c>
      <c r="F162" s="126"/>
      <c r="G162" s="60"/>
      <c r="H162" s="111" t="str">
        <f>IF($G162&lt;&gt;"",VLOOKUP($G162,'MASTER TOKO BALI'!$B$2:$W$744,2,FALSE),"")</f>
        <v/>
      </c>
      <c r="I162" s="237" t="str">
        <f>IF($G162&lt;&gt;"",VLOOKUP($G162,'MASTER TOKO BALI'!$B$2:$W$744,4,FALSE),"")</f>
        <v/>
      </c>
      <c r="J162" s="112">
        <v>46272</v>
      </c>
      <c r="K162" s="111" t="str">
        <f>IF($G162&lt;&gt;"",VLOOKUP($G162,'MASTER TOKO BALI'!$B$2:$W$744,12,FALSE),"")</f>
        <v/>
      </c>
      <c r="L162" s="111" t="str">
        <f>IF($G162&lt;&gt;"",VLOOKUP($G162,'MASTER TOKO BALI'!$B$2:$W$744,5,FALSE),"")</f>
        <v/>
      </c>
      <c r="M162" s="106"/>
      <c r="N162" s="111" t="str">
        <f>IF($G162&lt;&gt;"",VLOOKUP($G162,'MASTER TOKO BALI'!$B$2:$W$744,21,FALSE),"")</f>
        <v/>
      </c>
      <c r="O162" s="106"/>
      <c r="P162" s="164" t="str">
        <f>IF($G162&lt;&gt;"",VLOOKUP($G162,'MASTER TOKO BALI'!$B$2:$W$740,7,FALSE),"")</f>
        <v/>
      </c>
    </row>
    <row r="163" spans="1:16" ht="11.25" customHeight="1" x14ac:dyDescent="0.3">
      <c r="A163" s="106">
        <f t="shared" si="6"/>
        <v>152</v>
      </c>
      <c r="B163" s="107" t="s">
        <v>2038</v>
      </c>
      <c r="C163" s="107" t="s">
        <v>2043</v>
      </c>
      <c r="D163" s="113" t="s">
        <v>2045</v>
      </c>
      <c r="E163" s="109" t="s">
        <v>2073</v>
      </c>
      <c r="F163" s="127"/>
      <c r="G163" s="60"/>
      <c r="H163" s="111" t="str">
        <f>IF($G163&lt;&gt;"",VLOOKUP($G163,'MASTER TOKO BALI'!$B$2:$W$744,2,FALSE),"")</f>
        <v/>
      </c>
      <c r="I163" s="237" t="str">
        <f>IF($G163&lt;&gt;"",VLOOKUP($G163,'MASTER TOKO BALI'!$B$2:$W$744,4,FALSE),"")</f>
        <v/>
      </c>
      <c r="J163" s="112">
        <v>46272</v>
      </c>
      <c r="K163" s="111" t="str">
        <f>IF($G163&lt;&gt;"",VLOOKUP($G163,'MASTER TOKO BALI'!$B$2:$W$744,12,FALSE),"")</f>
        <v/>
      </c>
      <c r="L163" s="111" t="str">
        <f>IF($G163&lt;&gt;"",VLOOKUP($G163,'MASTER TOKO BALI'!$B$2:$W$744,5,FALSE),"")</f>
        <v/>
      </c>
      <c r="M163" s="65"/>
      <c r="N163" s="111" t="str">
        <f>IF($G163&lt;&gt;"",VLOOKUP($G163,'MASTER TOKO BALI'!$B$2:$W$744,21,FALSE),"")</f>
        <v/>
      </c>
      <c r="O163" s="106"/>
      <c r="P163" s="164" t="str">
        <f>IF($G163&lt;&gt;"",VLOOKUP($G163,'MASTER TOKO BALI'!$B$2:$W$740,7,FALSE),"")</f>
        <v/>
      </c>
    </row>
    <row r="164" spans="1:16" ht="11.25" customHeight="1" x14ac:dyDescent="0.2">
      <c r="A164" s="106">
        <f t="shared" si="6"/>
        <v>153</v>
      </c>
      <c r="B164" s="107" t="s">
        <v>2048</v>
      </c>
      <c r="C164" s="107" t="s">
        <v>2049</v>
      </c>
      <c r="D164" s="108" t="s">
        <v>2050</v>
      </c>
      <c r="E164" s="109" t="s">
        <v>2073</v>
      </c>
      <c r="F164" s="126"/>
      <c r="G164" s="60"/>
      <c r="H164" s="111" t="str">
        <f>IF($G164&lt;&gt;"",VLOOKUP($G164,'MASTER TOKO BALI'!$B$2:$W$744,2,FALSE),"")</f>
        <v/>
      </c>
      <c r="I164" s="237" t="str">
        <f>IF($G164&lt;&gt;"",VLOOKUP($G164,'MASTER TOKO BALI'!$B$2:$W$744,4,FALSE),"")</f>
        <v/>
      </c>
      <c r="J164" s="112">
        <v>46272</v>
      </c>
      <c r="K164" s="111" t="str">
        <f>IF($G164&lt;&gt;"",VLOOKUP($G164,'MASTER TOKO BALI'!$B$2:$W$744,12,FALSE),"")</f>
        <v/>
      </c>
      <c r="L164" s="111" t="str">
        <f>IF($G164&lt;&gt;"",VLOOKUP($G164,'MASTER TOKO BALI'!$B$2:$W$744,5,FALSE),"")</f>
        <v/>
      </c>
      <c r="M164" s="106"/>
      <c r="N164" s="111" t="str">
        <f>IF($G164&lt;&gt;"",VLOOKUP($G164,'MASTER TOKO BALI'!$B$2:$W$744,21,FALSE),"")</f>
        <v/>
      </c>
      <c r="O164" s="106"/>
      <c r="P164" s="164" t="str">
        <f>IF($G164&lt;&gt;"",VLOOKUP($G164,'MASTER TOKO BALI'!$B$2:$W$740,7,FALSE),"")</f>
        <v/>
      </c>
    </row>
    <row r="165" spans="1:16" ht="11.25" customHeight="1" x14ac:dyDescent="0.3">
      <c r="A165" s="106">
        <f t="shared" si="6"/>
        <v>154</v>
      </c>
      <c r="B165" s="107" t="s">
        <v>2038</v>
      </c>
      <c r="C165" s="107" t="s">
        <v>2049</v>
      </c>
      <c r="D165" s="115" t="s">
        <v>2051</v>
      </c>
      <c r="E165" s="109" t="s">
        <v>2073</v>
      </c>
      <c r="F165" s="126"/>
      <c r="G165" s="60"/>
      <c r="H165" s="111" t="str">
        <f>IF($G165&lt;&gt;"",VLOOKUP($G165,'MASTER TOKO BALI'!$B$2:$W$744,2,FALSE),"")</f>
        <v/>
      </c>
      <c r="I165" s="237" t="str">
        <f>IF($G165&lt;&gt;"",VLOOKUP($G165,'MASTER TOKO BALI'!$B$2:$W$744,4,FALSE),"")</f>
        <v/>
      </c>
      <c r="J165" s="112">
        <v>46272</v>
      </c>
      <c r="K165" s="111" t="str">
        <f>IF($G165&lt;&gt;"",VLOOKUP($G165,'MASTER TOKO BALI'!$B$2:$W$744,12,FALSE),"")</f>
        <v/>
      </c>
      <c r="L165" s="111" t="str">
        <f>IF($G165&lt;&gt;"",VLOOKUP($G165,'MASTER TOKO BALI'!$B$2:$W$744,5,FALSE),"")</f>
        <v/>
      </c>
      <c r="M165" s="65"/>
      <c r="N165" s="111" t="str">
        <f>IF($G165&lt;&gt;"",VLOOKUP($G165,'MASTER TOKO BALI'!$B$2:$W$744,21,FALSE),"")</f>
        <v/>
      </c>
      <c r="O165" s="106"/>
      <c r="P165" s="164" t="str">
        <f>IF($G165&lt;&gt;"",VLOOKUP($G165,'MASTER TOKO BALI'!$B$2:$W$740,7,FALSE),"")</f>
        <v/>
      </c>
    </row>
    <row r="166" spans="1:16" ht="11.25" customHeight="1" x14ac:dyDescent="0.2">
      <c r="A166" s="106">
        <f t="shared" si="6"/>
        <v>155</v>
      </c>
      <c r="B166" s="107" t="s">
        <v>2052</v>
      </c>
      <c r="C166" s="107" t="s">
        <v>2049</v>
      </c>
      <c r="D166" s="108" t="s">
        <v>2053</v>
      </c>
      <c r="E166" s="109" t="s">
        <v>2073</v>
      </c>
      <c r="F166" s="122"/>
      <c r="G166" s="60"/>
      <c r="H166" s="111" t="str">
        <f>IF($G166&lt;&gt;"",VLOOKUP($G166,'MASTER TOKO BALI'!$B$2:$W$744,2,FALSE),"")</f>
        <v/>
      </c>
      <c r="I166" s="237" t="str">
        <f>IF($G166&lt;&gt;"",VLOOKUP($G166,'MASTER TOKO BALI'!$B$2:$W$744,4,FALSE),"")</f>
        <v/>
      </c>
      <c r="J166" s="112">
        <v>46272</v>
      </c>
      <c r="K166" s="111" t="str">
        <f>IF($G166&lt;&gt;"",VLOOKUP($G166,'MASTER TOKO BALI'!$B$2:$W$744,12,FALSE),"")</f>
        <v/>
      </c>
      <c r="L166" s="111" t="str">
        <f>IF($G166&lt;&gt;"",VLOOKUP($G166,'MASTER TOKO BALI'!$B$2:$W$744,5,FALSE),"")</f>
        <v/>
      </c>
      <c r="M166" s="106"/>
      <c r="N166" s="111" t="str">
        <f>IF($G166&lt;&gt;"",VLOOKUP($G166,'MASTER TOKO BALI'!$B$2:$W$744,21,FALSE),"")</f>
        <v/>
      </c>
      <c r="O166" s="106"/>
      <c r="P166" s="164" t="str">
        <f>IF($G166&lt;&gt;"",VLOOKUP($G166,'MASTER TOKO BALI'!$B$2:$W$740,7,FALSE),"")</f>
        <v/>
      </c>
    </row>
    <row r="167" spans="1:16" ht="11.25" customHeight="1" x14ac:dyDescent="0.2">
      <c r="A167" s="106">
        <f t="shared" si="6"/>
        <v>156</v>
      </c>
      <c r="B167" s="107" t="s">
        <v>2038</v>
      </c>
      <c r="C167" s="107" t="s">
        <v>2049</v>
      </c>
      <c r="D167" s="113" t="s">
        <v>2051</v>
      </c>
      <c r="E167" s="109" t="s">
        <v>2073</v>
      </c>
      <c r="F167" s="127"/>
      <c r="G167" s="60"/>
      <c r="H167" s="111" t="str">
        <f>IF($G167&lt;&gt;"",VLOOKUP($G167,'MASTER TOKO BALI'!$B$2:$W$744,2,FALSE),"")</f>
        <v/>
      </c>
      <c r="I167" s="237" t="str">
        <f>IF($G167&lt;&gt;"",VLOOKUP($G167,'MASTER TOKO BALI'!$B$2:$W$744,4,FALSE),"")</f>
        <v/>
      </c>
      <c r="J167" s="112">
        <v>46272</v>
      </c>
      <c r="K167" s="111" t="str">
        <f>IF($G167&lt;&gt;"",VLOOKUP($G167,'MASTER TOKO BALI'!$B$2:$W$744,12,FALSE),"")</f>
        <v/>
      </c>
      <c r="L167" s="111" t="str">
        <f>IF($G167&lt;&gt;"",VLOOKUP($G167,'MASTER TOKO BALI'!$B$2:$W$744,5,FALSE),"")</f>
        <v/>
      </c>
      <c r="M167" s="106"/>
      <c r="N167" s="111" t="str">
        <f>IF($G167&lt;&gt;"",VLOOKUP($G167,'MASTER TOKO BALI'!$B$2:$W$744,21,FALSE),"")</f>
        <v/>
      </c>
      <c r="O167" s="106"/>
      <c r="P167" s="164" t="str">
        <f>IF($G167&lt;&gt;"",VLOOKUP($G167,'MASTER TOKO BALI'!$B$2:$W$740,7,FALSE),"")</f>
        <v/>
      </c>
    </row>
    <row r="168" spans="1:16" ht="11.25" customHeight="1" x14ac:dyDescent="0.3">
      <c r="A168" s="106">
        <f t="shared" si="6"/>
        <v>157</v>
      </c>
      <c r="B168" s="107" t="s">
        <v>2054</v>
      </c>
      <c r="C168" s="116" t="s">
        <v>2055</v>
      </c>
      <c r="D168" s="108" t="s">
        <v>2056</v>
      </c>
      <c r="E168" s="109" t="s">
        <v>2073</v>
      </c>
      <c r="F168" s="126"/>
      <c r="G168" s="60"/>
      <c r="H168" s="111" t="str">
        <f>IF($G168&lt;&gt;"",VLOOKUP($G168,'MASTER TOKO BALI'!$B$2:$W$744,2,FALSE),"")</f>
        <v/>
      </c>
      <c r="I168" s="237" t="str">
        <f>IF($G168&lt;&gt;"",VLOOKUP($G168,'MASTER TOKO BALI'!$B$2:$W$744,4,FALSE),"")</f>
        <v/>
      </c>
      <c r="J168" s="112">
        <v>46272</v>
      </c>
      <c r="K168" s="111" t="str">
        <f>IF($G168&lt;&gt;"",VLOOKUP($G168,'MASTER TOKO BALI'!$B$2:$W$744,12,FALSE),"")</f>
        <v/>
      </c>
      <c r="L168" s="111" t="str">
        <f>IF($G168&lt;&gt;"",VLOOKUP($G168,'MASTER TOKO BALI'!$B$2:$W$744,5,FALSE),"")</f>
        <v/>
      </c>
      <c r="M168" s="65"/>
      <c r="N168" s="111" t="str">
        <f>IF($G168&lt;&gt;"",VLOOKUP($G168,'MASTER TOKO BALI'!$B$2:$W$744,21,FALSE),"")</f>
        <v/>
      </c>
      <c r="O168" s="106"/>
      <c r="P168" s="164" t="str">
        <f>IF($G168&lt;&gt;"",VLOOKUP($G168,'MASTER TOKO BALI'!$B$2:$W$740,7,FALSE),"")</f>
        <v/>
      </c>
    </row>
    <row r="169" spans="1:16" ht="11.25" customHeight="1" x14ac:dyDescent="0.3">
      <c r="A169" s="106">
        <f t="shared" si="6"/>
        <v>158</v>
      </c>
      <c r="B169" s="107" t="s">
        <v>2038</v>
      </c>
      <c r="C169" s="116" t="s">
        <v>2055</v>
      </c>
      <c r="D169" s="113" t="s">
        <v>2057</v>
      </c>
      <c r="E169" s="109" t="s">
        <v>2073</v>
      </c>
      <c r="F169" s="126"/>
      <c r="G169" s="60"/>
      <c r="H169" s="111" t="str">
        <f>IF($G169&lt;&gt;"",VLOOKUP($G169,'MASTER TOKO BALI'!$B$2:$W$744,2,FALSE),"")</f>
        <v/>
      </c>
      <c r="I169" s="237" t="str">
        <f>IF($G169&lt;&gt;"",VLOOKUP($G169,'MASTER TOKO BALI'!$B$2:$W$744,4,FALSE),"")</f>
        <v/>
      </c>
      <c r="J169" s="112">
        <v>46272</v>
      </c>
      <c r="K169" s="111" t="str">
        <f>IF($G169&lt;&gt;"",VLOOKUP($G169,'MASTER TOKO BALI'!$B$2:$W$744,12,FALSE),"")</f>
        <v/>
      </c>
      <c r="L169" s="111" t="str">
        <f>IF($G169&lt;&gt;"",VLOOKUP($G169,'MASTER TOKO BALI'!$B$2:$W$744,5,FALSE),"")</f>
        <v/>
      </c>
      <c r="M169" s="65"/>
      <c r="N169" s="111" t="str">
        <f>IF($G169&lt;&gt;"",VLOOKUP($G169,'MASTER TOKO BALI'!$B$2:$W$744,21,FALSE),"")</f>
        <v/>
      </c>
      <c r="O169" s="106"/>
      <c r="P169" s="164" t="str">
        <f>IF($G169&lt;&gt;"",VLOOKUP($G169,'MASTER TOKO BALI'!$B$2:$W$740,7,FALSE),"")</f>
        <v/>
      </c>
    </row>
    <row r="170" spans="1:16" ht="11.25" customHeight="1" x14ac:dyDescent="0.2">
      <c r="A170" s="106">
        <f t="shared" si="6"/>
        <v>159</v>
      </c>
      <c r="B170" s="107" t="s">
        <v>2058</v>
      </c>
      <c r="C170" s="116" t="s">
        <v>2055</v>
      </c>
      <c r="D170" s="108" t="s">
        <v>2059</v>
      </c>
      <c r="E170" s="109" t="s">
        <v>2073</v>
      </c>
      <c r="F170" s="126"/>
      <c r="G170" s="60"/>
      <c r="H170" s="111" t="str">
        <f>IF($G170&lt;&gt;"",VLOOKUP($G170,'MASTER TOKO BALI'!$B$2:$W$744,2,FALSE),"")</f>
        <v/>
      </c>
      <c r="I170" s="237" t="str">
        <f>IF($G170&lt;&gt;"",VLOOKUP($G170,'MASTER TOKO BALI'!$B$2:$W$744,4,FALSE),"")</f>
        <v/>
      </c>
      <c r="J170" s="112">
        <v>46272</v>
      </c>
      <c r="K170" s="111" t="str">
        <f>IF($G170&lt;&gt;"",VLOOKUP($G170,'MASTER TOKO BALI'!$B$2:$W$744,12,FALSE),"")</f>
        <v/>
      </c>
      <c r="L170" s="111" t="str">
        <f>IF($G170&lt;&gt;"",VLOOKUP($G170,'MASTER TOKO BALI'!$B$2:$W$744,5,FALSE),"")</f>
        <v/>
      </c>
      <c r="M170" s="106"/>
      <c r="N170" s="111" t="str">
        <f>IF($G170&lt;&gt;"",VLOOKUP($G170,'MASTER TOKO BALI'!$B$2:$W$744,21,FALSE),"")</f>
        <v/>
      </c>
      <c r="O170" s="106"/>
      <c r="P170" s="164" t="str">
        <f>IF($G170&lt;&gt;"",VLOOKUP($G170,'MASTER TOKO BALI'!$B$2:$W$740,7,FALSE),"")</f>
        <v/>
      </c>
    </row>
    <row r="171" spans="1:16" ht="11.25" customHeight="1" x14ac:dyDescent="0.2">
      <c r="A171" s="106">
        <f t="shared" si="6"/>
        <v>160</v>
      </c>
      <c r="B171" s="107" t="s">
        <v>2038</v>
      </c>
      <c r="C171" s="116" t="s">
        <v>2055</v>
      </c>
      <c r="D171" s="113" t="s">
        <v>2057</v>
      </c>
      <c r="E171" s="109" t="s">
        <v>2073</v>
      </c>
      <c r="F171" s="126"/>
      <c r="G171" s="139"/>
      <c r="H171" s="111" t="str">
        <f>IF($G171&lt;&gt;"",VLOOKUP($G171,'MASTER TOKO BALI'!$B$2:$W$744,2,FALSE),"")</f>
        <v/>
      </c>
      <c r="I171" s="237" t="str">
        <f>IF($G171&lt;&gt;"",VLOOKUP($G171,'MASTER TOKO BALI'!$B$2:$W$744,4,FALSE),"")</f>
        <v/>
      </c>
      <c r="J171" s="112">
        <v>46272</v>
      </c>
      <c r="K171" s="111" t="str">
        <f>IF($G171&lt;&gt;"",VLOOKUP($G171,'MASTER TOKO BALI'!$B$2:$W$744,12,FALSE),"")</f>
        <v/>
      </c>
      <c r="L171" s="111" t="str">
        <f>IF($G171&lt;&gt;"",VLOOKUP($G171,'MASTER TOKO BALI'!$B$2:$W$744,5,FALSE),"")</f>
        <v/>
      </c>
      <c r="M171" s="106"/>
      <c r="N171" s="111" t="str">
        <f>IF($G171&lt;&gt;"",VLOOKUP($G171,'MASTER TOKO BALI'!$B$2:$W$744,21,FALSE),"")</f>
        <v/>
      </c>
      <c r="O171" s="106"/>
      <c r="P171" s="164" t="str">
        <f>IF($G171&lt;&gt;"",VLOOKUP($G171,'MASTER TOKO BALI'!$B$2:$W$740,7,FALSE),"")</f>
        <v/>
      </c>
    </row>
    <row r="172" spans="1:16" ht="11.25" customHeight="1" x14ac:dyDescent="0.2">
      <c r="A172" s="106">
        <f t="shared" si="6"/>
        <v>161</v>
      </c>
      <c r="B172" s="107" t="s">
        <v>2060</v>
      </c>
      <c r="C172" s="116" t="s">
        <v>2061</v>
      </c>
      <c r="D172" s="108" t="s">
        <v>2062</v>
      </c>
      <c r="E172" s="109" t="s">
        <v>2073</v>
      </c>
      <c r="F172" s="126"/>
      <c r="G172" s="60" t="s">
        <v>1726</v>
      </c>
      <c r="H172" s="111" t="str">
        <f>IF($G172&lt;&gt;"",VLOOKUP($G172,'MASTER TOKO BALI'!$B$2:$W$744,2,FALSE),"")</f>
        <v>SESETAN NO .239 DPS</v>
      </c>
      <c r="I172" s="237">
        <f>IF($G172&lt;&gt;"",VLOOKUP($G172,'MASTER TOKO BALI'!$B$2:$W$744,4,FALSE),"")</f>
        <v>424461364</v>
      </c>
      <c r="J172" s="112">
        <v>46272</v>
      </c>
      <c r="K172" s="111" t="str">
        <f>IF($G172&lt;&gt;"",VLOOKUP($G172,'MASTER TOKO BALI'!$B$2:$W$744,12,FALSE),"")</f>
        <v>M</v>
      </c>
      <c r="L172" s="111">
        <f>IF($G172&lt;&gt;"",VLOOKUP($G172,'MASTER TOKO BALI'!$B$2:$W$744,5,FALSE),"")</f>
        <v>3000000</v>
      </c>
      <c r="M172" s="106"/>
      <c r="N172" s="111" t="str">
        <f>IF($G172&lt;&gt;"",VLOOKUP($G172,'MASTER TOKO BALI'!$B$2:$W$744,21,FALSE),"")</f>
        <v>ZONA HITAM</v>
      </c>
      <c r="O172" s="106"/>
      <c r="P172" s="164" t="str">
        <f>IF($G172&lt;&gt;"",VLOOKUP($G172,'MASTER TOKO BALI'!$B$2:$W$740,7,FALSE),"")</f>
        <v>MRI</v>
      </c>
    </row>
    <row r="173" spans="1:16" ht="11.25" customHeight="1" x14ac:dyDescent="0.3">
      <c r="A173" s="106">
        <f t="shared" si="6"/>
        <v>162</v>
      </c>
      <c r="B173" s="107" t="s">
        <v>2038</v>
      </c>
      <c r="C173" s="116" t="s">
        <v>2061</v>
      </c>
      <c r="D173" s="113" t="s">
        <v>2063</v>
      </c>
      <c r="E173" s="109" t="s">
        <v>2073</v>
      </c>
      <c r="F173" s="124"/>
      <c r="G173" s="76" t="s">
        <v>1548</v>
      </c>
      <c r="H173" s="111" t="str">
        <f>IF($G173&lt;&gt;"",VLOOKUP($G173,'MASTER TOKO BALI'!$B$2:$W$744,2,FALSE),"")</f>
        <v>TUKAD BILOK _DPS</v>
      </c>
      <c r="I173" s="237">
        <f>IF($G173&lt;&gt;"",VLOOKUP($G173,'MASTER TOKO BALI'!$B$2:$W$744,4,FALSE),"")</f>
        <v>351737846</v>
      </c>
      <c r="J173" s="112">
        <v>46272</v>
      </c>
      <c r="K173" s="111" t="str">
        <f>IF($G173&lt;&gt;"",VLOOKUP($G173,'MASTER TOKO BALI'!$B$2:$W$744,12,FALSE),"")</f>
        <v>M</v>
      </c>
      <c r="L173" s="111">
        <f>IF($G173&lt;&gt;"",VLOOKUP($G173,'MASTER TOKO BALI'!$B$2:$W$744,5,FALSE),"")</f>
        <v>2000000</v>
      </c>
      <c r="M173" s="106"/>
      <c r="N173" s="111" t="str">
        <f>IF($G173&lt;&gt;"",VLOOKUP($G173,'MASTER TOKO BALI'!$B$2:$W$744,21,FALSE),"")</f>
        <v>NON ZONA HITAM</v>
      </c>
      <c r="O173" s="106"/>
      <c r="P173" s="164" t="str">
        <f>IF($G173&lt;&gt;"",VLOOKUP($G173,'MASTER TOKO BALI'!$B$2:$W$740,7,FALSE),"")</f>
        <v>IGN</v>
      </c>
    </row>
    <row r="174" spans="1:16" ht="11.25" customHeight="1" x14ac:dyDescent="0.3">
      <c r="A174" s="106">
        <f t="shared" si="6"/>
        <v>163</v>
      </c>
      <c r="B174" s="107" t="s">
        <v>2064</v>
      </c>
      <c r="C174" s="116" t="s">
        <v>2061</v>
      </c>
      <c r="D174" s="108" t="s">
        <v>2065</v>
      </c>
      <c r="E174" s="109" t="s">
        <v>2073</v>
      </c>
      <c r="F174" s="124"/>
      <c r="G174" s="76" t="s">
        <v>1131</v>
      </c>
      <c r="H174" s="111" t="str">
        <f>IF($G174&lt;&gt;"",VLOOKUP($G174,'MASTER TOKO BALI'!$B$2:$W$744,2,FALSE),"")</f>
        <v>YCG.SIDAKARYA - DENPASAR</v>
      </c>
      <c r="I174" s="237">
        <f>IF($G174&lt;&gt;"",VLOOKUP($G174,'MASTER TOKO BALI'!$B$2:$W$744,4,FALSE),"")</f>
        <v>418879250</v>
      </c>
      <c r="J174" s="112">
        <v>46272</v>
      </c>
      <c r="K174" s="111" t="str">
        <f>IF($G174&lt;&gt;"",VLOOKUP($G174,'MASTER TOKO BALI'!$B$2:$W$744,12,FALSE),"")</f>
        <v>M</v>
      </c>
      <c r="L174" s="111">
        <f>IF($G174&lt;&gt;"",VLOOKUP($G174,'MASTER TOKO BALI'!$B$2:$W$744,5,FALSE),"")</f>
        <v>2000000</v>
      </c>
      <c r="M174" s="106"/>
      <c r="N174" s="111" t="str">
        <f>IF($G174&lt;&gt;"",VLOOKUP($G174,'MASTER TOKO BALI'!$B$2:$W$744,21,FALSE),"")</f>
        <v>NON ZONA HITAM</v>
      </c>
      <c r="O174" s="106"/>
      <c r="P174" s="164" t="str">
        <f>IF($G174&lt;&gt;"",VLOOKUP($G174,'MASTER TOKO BALI'!$B$2:$W$740,7,FALSE),"")</f>
        <v>LKH</v>
      </c>
    </row>
    <row r="175" spans="1:16" ht="11.25" customHeight="1" x14ac:dyDescent="0.3">
      <c r="A175" s="106">
        <f t="shared" si="6"/>
        <v>164</v>
      </c>
      <c r="B175" s="107" t="s">
        <v>2066</v>
      </c>
      <c r="C175" s="116" t="s">
        <v>2061</v>
      </c>
      <c r="D175" s="113" t="s">
        <v>2063</v>
      </c>
      <c r="E175" s="109" t="s">
        <v>2073</v>
      </c>
      <c r="F175" s="124"/>
      <c r="G175" s="76" t="s">
        <v>1470</v>
      </c>
      <c r="H175" s="111" t="str">
        <f>IF($G175&lt;&gt;"",VLOOKUP($G175,'MASTER TOKO BALI'!$B$2:$W$744,2,FALSE),"")</f>
        <v>YCG.MERTASARI NO 68 _DPS</v>
      </c>
      <c r="I175" s="237">
        <f>IF($G175&lt;&gt;"",VLOOKUP($G175,'MASTER TOKO BALI'!$B$2:$W$744,4,FALSE),"")</f>
        <v>383713445</v>
      </c>
      <c r="J175" s="112">
        <v>46272</v>
      </c>
      <c r="K175" s="111" t="str">
        <f>IF($G175&lt;&gt;"",VLOOKUP($G175,'MASTER TOKO BALI'!$B$2:$W$744,12,FALSE),"")</f>
        <v>M</v>
      </c>
      <c r="L175" s="111">
        <f>IF($G175&lt;&gt;"",VLOOKUP($G175,'MASTER TOKO BALI'!$B$2:$W$744,5,FALSE),"")</f>
        <v>2000000</v>
      </c>
      <c r="M175" s="106"/>
      <c r="N175" s="111" t="str">
        <f>IF($G175&lt;&gt;"",VLOOKUP($G175,'MASTER TOKO BALI'!$B$2:$W$744,21,FALSE),"")</f>
        <v>ZONA HITAM</v>
      </c>
      <c r="O175" s="106"/>
      <c r="P175" s="164" t="str">
        <f>IF($G175&lt;&gt;"",VLOOKUP($G175,'MASTER TOKO BALI'!$B$2:$W$740,7,FALSE),"")</f>
        <v>ANT</v>
      </c>
    </row>
    <row r="176" spans="1:16" ht="11.25" customHeight="1" x14ac:dyDescent="0.2">
      <c r="A176" s="106">
        <f t="shared" si="6"/>
        <v>165</v>
      </c>
      <c r="B176" s="107" t="s">
        <v>2067</v>
      </c>
      <c r="C176" s="107" t="s">
        <v>2068</v>
      </c>
      <c r="D176" s="108" t="s">
        <v>2069</v>
      </c>
      <c r="E176" s="109" t="s">
        <v>2073</v>
      </c>
      <c r="F176" s="126"/>
      <c r="G176" s="60"/>
      <c r="H176" s="111" t="str">
        <f>IF($G176&lt;&gt;"",VLOOKUP($G176,'MASTER TOKO BALI'!$B$2:$W$744,2,FALSE),"")</f>
        <v/>
      </c>
      <c r="I176" s="237" t="str">
        <f>IF($G176&lt;&gt;"",VLOOKUP($G176,'MASTER TOKO BALI'!$B$2:$W$744,4,FALSE),"")</f>
        <v/>
      </c>
      <c r="J176" s="112">
        <v>46272</v>
      </c>
      <c r="K176" s="111" t="str">
        <f>IF($G176&lt;&gt;"",VLOOKUP($G176,'MASTER TOKO BALI'!$B$2:$W$744,12,FALSE),"")</f>
        <v/>
      </c>
      <c r="L176" s="111" t="str">
        <f>IF($G176&lt;&gt;"",VLOOKUP($G176,'MASTER TOKO BALI'!$B$2:$W$744,5,FALSE),"")</f>
        <v/>
      </c>
      <c r="M176" s="106"/>
      <c r="N176" s="111" t="str">
        <f>IF($G176&lt;&gt;"",VLOOKUP($G176,'MASTER TOKO BALI'!$B$2:$W$744,21,FALSE),"")</f>
        <v/>
      </c>
      <c r="O176" s="106"/>
      <c r="P176" s="164" t="str">
        <f>IF($G176&lt;&gt;"",VLOOKUP($G176,'MASTER TOKO BALI'!$B$2:$W$740,7,FALSE),"")</f>
        <v/>
      </c>
    </row>
    <row r="177" spans="1:21" ht="11.25" customHeight="1" x14ac:dyDescent="0.2">
      <c r="A177" s="106">
        <f t="shared" si="6"/>
        <v>166</v>
      </c>
      <c r="B177" s="107" t="s">
        <v>2066</v>
      </c>
      <c r="C177" s="107" t="s">
        <v>2068</v>
      </c>
      <c r="D177" s="117" t="s">
        <v>2070</v>
      </c>
      <c r="E177" s="109" t="s">
        <v>2073</v>
      </c>
      <c r="F177" s="126"/>
      <c r="G177" s="60"/>
      <c r="H177" s="111" t="str">
        <f>IF($G177&lt;&gt;"",VLOOKUP($G177,'MASTER TOKO BALI'!$B$2:$W$744,2,FALSE),"")</f>
        <v/>
      </c>
      <c r="I177" s="237" t="str">
        <f>IF($G177&lt;&gt;"",VLOOKUP($G177,'MASTER TOKO BALI'!$B$2:$W$744,4,FALSE),"")</f>
        <v/>
      </c>
      <c r="J177" s="112">
        <v>46272</v>
      </c>
      <c r="K177" s="111" t="str">
        <f>IF($G177&lt;&gt;"",VLOOKUP($G177,'MASTER TOKO BALI'!$B$2:$W$744,12,FALSE),"")</f>
        <v/>
      </c>
      <c r="L177" s="111" t="str">
        <f>IF($G177&lt;&gt;"",VLOOKUP($G177,'MASTER TOKO BALI'!$B$2:$W$744,5,FALSE),"")</f>
        <v/>
      </c>
      <c r="M177" s="106"/>
      <c r="N177" s="111" t="str">
        <f>IF($G177&lt;&gt;"",VLOOKUP($G177,'MASTER TOKO BALI'!$B$2:$W$744,21,FALSE),"")</f>
        <v/>
      </c>
      <c r="O177" s="106"/>
      <c r="P177" s="164" t="str">
        <f>IF($G177&lt;&gt;"",VLOOKUP($G177,'MASTER TOKO BALI'!$B$2:$W$740,7,FALSE),"")</f>
        <v/>
      </c>
    </row>
    <row r="178" spans="1:21" ht="11.25" customHeight="1" x14ac:dyDescent="0.2">
      <c r="A178" s="106">
        <f t="shared" si="6"/>
        <v>167</v>
      </c>
      <c r="B178" s="107" t="s">
        <v>2071</v>
      </c>
      <c r="C178" s="107" t="s">
        <v>2068</v>
      </c>
      <c r="D178" s="116" t="s">
        <v>2003</v>
      </c>
      <c r="E178" s="109" t="s">
        <v>2073</v>
      </c>
      <c r="F178" s="126"/>
      <c r="G178" s="146"/>
      <c r="H178" s="111" t="str">
        <f>IF($G178&lt;&gt;"",VLOOKUP($G178,'MASTER TOKO BALI'!$B$2:$W$744,2,FALSE),"")</f>
        <v/>
      </c>
      <c r="I178" s="237" t="str">
        <f>IF($G178&lt;&gt;"",VLOOKUP($G178,'MASTER TOKO BALI'!$B$2:$W$744,4,FALSE),"")</f>
        <v/>
      </c>
      <c r="J178" s="112">
        <v>46272</v>
      </c>
      <c r="K178" s="111" t="str">
        <f>IF($G178&lt;&gt;"",VLOOKUP($G178,'MASTER TOKO BALI'!$B$2:$W$744,12,FALSE),"")</f>
        <v/>
      </c>
      <c r="L178" s="111" t="str">
        <f>IF($G178&lt;&gt;"",VLOOKUP($G178,'MASTER TOKO BALI'!$B$2:$W$744,5,FALSE),"")</f>
        <v/>
      </c>
      <c r="M178" s="106"/>
      <c r="N178" s="111" t="str">
        <f>IF($G178&lt;&gt;"",VLOOKUP($G178,'MASTER TOKO BALI'!$B$2:$W$744,21,FALSE),"")</f>
        <v/>
      </c>
      <c r="O178" s="106"/>
      <c r="P178" s="164" t="str">
        <f>IF($G178&lt;&gt;"",VLOOKUP($G178,'MASTER TOKO BALI'!$B$2:$W$740,7,FALSE),"")</f>
        <v/>
      </c>
    </row>
    <row r="179" spans="1:21" x14ac:dyDescent="0.2">
      <c r="A179" s="106">
        <f t="shared" si="6"/>
        <v>168</v>
      </c>
      <c r="B179" s="107" t="s">
        <v>2066</v>
      </c>
      <c r="C179" s="107" t="s">
        <v>2068</v>
      </c>
      <c r="D179" s="117" t="s">
        <v>2070</v>
      </c>
      <c r="E179" s="109" t="s">
        <v>2073</v>
      </c>
      <c r="F179" s="126"/>
      <c r="G179" s="144"/>
      <c r="H179" s="111" t="str">
        <f>IF($G179&lt;&gt;"",VLOOKUP($G179,'MASTER TOKO BALI'!$B$2:$W$744,2,FALSE),"")</f>
        <v/>
      </c>
      <c r="I179" s="237" t="str">
        <f>IF($G179&lt;&gt;"",VLOOKUP($G179,'MASTER TOKO BALI'!$B$2:$W$744,4,FALSE),"")</f>
        <v/>
      </c>
      <c r="J179" s="112">
        <v>46272</v>
      </c>
      <c r="K179" s="111" t="str">
        <f>IF($G179&lt;&gt;"",VLOOKUP($G179,'MASTER TOKO BALI'!$B$2:$W$744,12,FALSE),"")</f>
        <v/>
      </c>
      <c r="L179" s="111" t="str">
        <f>IF($G179&lt;&gt;"",VLOOKUP($G179,'MASTER TOKO BALI'!$B$2:$W$744,5,FALSE),"")</f>
        <v/>
      </c>
      <c r="M179" s="106"/>
      <c r="N179" s="111" t="str">
        <f>IF($G179&lt;&gt;"",VLOOKUP($G179,'MASTER TOKO BALI'!$B$2:$W$744,21,FALSE),"")</f>
        <v/>
      </c>
      <c r="O179" s="106"/>
      <c r="P179" s="164" t="str">
        <f>IF($G179&lt;&gt;"",VLOOKUP($G179,'MASTER TOKO BALI'!$B$2:$W$740,7,FALSE),"")</f>
        <v/>
      </c>
    </row>
    <row r="180" spans="1:21" x14ac:dyDescent="0.2">
      <c r="A180" s="106"/>
      <c r="B180" s="107"/>
      <c r="C180" s="107"/>
      <c r="D180" s="111"/>
      <c r="E180" s="114"/>
      <c r="F180" s="126"/>
      <c r="G180" s="144"/>
      <c r="H180" s="111" t="str">
        <f>IF($G180&lt;&gt;"",VLOOKUP($G180,'MASTER TOKO BALI'!$B$2:$W$744,2,FALSE),"")</f>
        <v/>
      </c>
      <c r="I180" s="237" t="str">
        <f>IF($G180&lt;&gt;"",VLOOKUP($G180,'MASTER TOKO BALI'!$B$2:$W$744,4,FALSE),"")</f>
        <v/>
      </c>
      <c r="J180" s="119"/>
      <c r="K180" s="111" t="str">
        <f>IF($G180&lt;&gt;"",VLOOKUP($G180,'MASTER TOKO BALI'!$B$2:$W$744,12,FALSE),"")</f>
        <v/>
      </c>
      <c r="L180" s="111" t="str">
        <f>IF($G180&lt;&gt;"",VLOOKUP($G180,'MASTER TOKO BALI'!$B$2:$W$744,5,FALSE),"")</f>
        <v/>
      </c>
      <c r="M180" s="106"/>
      <c r="N180" s="111" t="str">
        <f>IF($G180&lt;&gt;"",VLOOKUP($G180,'MASTER TOKO BALI'!$B$2:$W$744,21,FALSE),"")</f>
        <v/>
      </c>
      <c r="O180" s="106"/>
      <c r="P180" s="164" t="str">
        <f>IF($G180&lt;&gt;"",VLOOKUP($G180,'MASTER TOKO BALI'!$B$2:$W$740,7,FALSE),"")</f>
        <v/>
      </c>
    </row>
    <row r="181" spans="1:21" ht="11.25" customHeight="1" x14ac:dyDescent="0.2">
      <c r="A181" s="106">
        <f>A179+1</f>
        <v>169</v>
      </c>
      <c r="B181" s="107" t="s">
        <v>2034</v>
      </c>
      <c r="C181" s="107" t="s">
        <v>2035</v>
      </c>
      <c r="D181" s="108" t="s">
        <v>2036</v>
      </c>
      <c r="E181" s="109" t="s">
        <v>2074</v>
      </c>
      <c r="F181" s="126"/>
      <c r="G181" s="60"/>
      <c r="H181" s="111" t="str">
        <f>IF($G181&lt;&gt;"",VLOOKUP($G181,'MASTER TOKO BALI'!$B$2:$W$744,2,FALSE),"")</f>
        <v/>
      </c>
      <c r="I181" s="237" t="str">
        <f>IF($G181&lt;&gt;"",VLOOKUP($G181,'MASTER TOKO BALI'!$B$2:$W$744,4,FALSE),"")</f>
        <v/>
      </c>
      <c r="J181" s="112">
        <v>46273</v>
      </c>
      <c r="K181" s="111" t="str">
        <f>IF($G181&lt;&gt;"",VLOOKUP($G181,'MASTER TOKO BALI'!$B$2:$W$744,12,FALSE),"")</f>
        <v/>
      </c>
      <c r="L181" s="111" t="str">
        <f>IF($G181&lt;&gt;"",VLOOKUP($G181,'MASTER TOKO BALI'!$B$2:$W$744,5,FALSE),"")</f>
        <v/>
      </c>
      <c r="M181" s="106"/>
      <c r="N181" s="111" t="str">
        <f>IF($G181&lt;&gt;"",VLOOKUP($G181,'MASTER TOKO BALI'!$B$2:$W$744,21,FALSE),"")</f>
        <v/>
      </c>
      <c r="O181" s="106"/>
      <c r="P181" s="164" t="str">
        <f>IF($G181&lt;&gt;"",VLOOKUP($G181,'MASTER TOKO BALI'!$B$2:$W$740,7,FALSE),"")</f>
        <v/>
      </c>
    </row>
    <row r="182" spans="1:21" ht="11.25" customHeight="1" x14ac:dyDescent="0.3">
      <c r="A182" s="106">
        <f t="shared" ref="A182:A204" si="7">A181+1</f>
        <v>170</v>
      </c>
      <c r="B182" s="107" t="s">
        <v>2038</v>
      </c>
      <c r="C182" s="107" t="s">
        <v>2035</v>
      </c>
      <c r="D182" s="113" t="s">
        <v>2039</v>
      </c>
      <c r="E182" s="109" t="s">
        <v>2074</v>
      </c>
      <c r="F182" s="126"/>
      <c r="G182" s="144"/>
      <c r="H182" s="111" t="str">
        <f>IF($G182&lt;&gt;"",VLOOKUP($G182,'MASTER TOKO BALI'!$B$2:$W$744,2,FALSE),"")</f>
        <v/>
      </c>
      <c r="I182" s="237" t="str">
        <f>IF($G182&lt;&gt;"",VLOOKUP($G182,'MASTER TOKO BALI'!$B$2:$W$744,4,FALSE),"")</f>
        <v/>
      </c>
      <c r="J182" s="112">
        <v>46273</v>
      </c>
      <c r="K182" s="111" t="str">
        <f>IF($G182&lt;&gt;"",VLOOKUP($G182,'MASTER TOKO BALI'!$B$2:$W$744,12,FALSE),"")</f>
        <v/>
      </c>
      <c r="L182" s="111" t="str">
        <f>IF($G182&lt;&gt;"",VLOOKUP($G182,'MASTER TOKO BALI'!$B$2:$W$744,5,FALSE),"")</f>
        <v/>
      </c>
      <c r="M182" s="65"/>
      <c r="N182" s="111" t="str">
        <f>IF($G182&lt;&gt;"",VLOOKUP($G182,'MASTER TOKO BALI'!$B$2:$W$744,21,FALSE),"")</f>
        <v/>
      </c>
      <c r="O182" s="106"/>
      <c r="P182" s="164" t="str">
        <f>IF($G182&lt;&gt;"",VLOOKUP($G182,'MASTER TOKO BALI'!$B$2:$W$740,7,FALSE),"")</f>
        <v/>
      </c>
    </row>
    <row r="183" spans="1:21" ht="11.25" customHeight="1" x14ac:dyDescent="0.3">
      <c r="A183" s="106">
        <f t="shared" si="7"/>
        <v>171</v>
      </c>
      <c r="B183" s="107" t="s">
        <v>2040</v>
      </c>
      <c r="C183" s="107" t="s">
        <v>2035</v>
      </c>
      <c r="D183" s="108" t="s">
        <v>2041</v>
      </c>
      <c r="E183" s="109" t="s">
        <v>2074</v>
      </c>
      <c r="F183" s="122"/>
      <c r="G183" s="65"/>
      <c r="H183" s="111" t="str">
        <f>IF($G183&lt;&gt;"",VLOOKUP($G183,'MASTER TOKO BALI'!$B$2:$W$744,2,FALSE),"")</f>
        <v/>
      </c>
      <c r="I183" s="237" t="str">
        <f>IF($G183&lt;&gt;"",VLOOKUP($G183,'MASTER TOKO BALI'!$B$2:$W$744,4,FALSE),"")</f>
        <v/>
      </c>
      <c r="J183" s="112">
        <v>46273</v>
      </c>
      <c r="K183" s="111" t="str">
        <f>IF($G183&lt;&gt;"",VLOOKUP($G183,'MASTER TOKO BALI'!$B$2:$W$744,12,FALSE),"")</f>
        <v/>
      </c>
      <c r="L183" s="111" t="str">
        <f>IF($G183&lt;&gt;"",VLOOKUP($G183,'MASTER TOKO BALI'!$B$2:$W$744,5,FALSE),"")</f>
        <v/>
      </c>
      <c r="M183" s="106"/>
      <c r="N183" s="111" t="str">
        <f>IF($G183&lt;&gt;"",VLOOKUP($G183,'MASTER TOKO BALI'!$B$2:$W$744,21,FALSE),"")</f>
        <v/>
      </c>
      <c r="O183" s="106"/>
      <c r="P183" s="164" t="str">
        <f>IF($G183&lt;&gt;"",VLOOKUP($G183,'MASTER TOKO BALI'!$B$2:$W$740,7,FALSE),"")</f>
        <v/>
      </c>
      <c r="S183" s="63"/>
      <c r="T183" s="64"/>
      <c r="U183" s="64"/>
    </row>
    <row r="184" spans="1:21" ht="11.25" customHeight="1" x14ac:dyDescent="0.3">
      <c r="A184" s="106">
        <f t="shared" si="7"/>
        <v>172</v>
      </c>
      <c r="B184" s="107" t="s">
        <v>2038</v>
      </c>
      <c r="C184" s="107" t="s">
        <v>2035</v>
      </c>
      <c r="D184" s="113" t="s">
        <v>2039</v>
      </c>
      <c r="E184" s="109" t="s">
        <v>2074</v>
      </c>
      <c r="F184" s="122"/>
      <c r="G184" s="145"/>
      <c r="H184" s="111" t="str">
        <f>IF($G184&lt;&gt;"",VLOOKUP($G184,'MASTER TOKO BALI'!$B$2:$W$744,2,FALSE),"")</f>
        <v/>
      </c>
      <c r="I184" s="237" t="str">
        <f>IF($G184&lt;&gt;"",VLOOKUP($G184,'MASTER TOKO BALI'!$B$2:$W$744,4,FALSE),"")</f>
        <v/>
      </c>
      <c r="J184" s="112">
        <v>46273</v>
      </c>
      <c r="K184" s="111" t="str">
        <f>IF($G184&lt;&gt;"",VLOOKUP($G184,'MASTER TOKO BALI'!$B$2:$W$744,12,FALSE),"")</f>
        <v/>
      </c>
      <c r="L184" s="111" t="str">
        <f>IF($G184&lt;&gt;"",VLOOKUP($G184,'MASTER TOKO BALI'!$B$2:$W$744,5,FALSE),"")</f>
        <v/>
      </c>
      <c r="M184" s="65"/>
      <c r="N184" s="111" t="str">
        <f>IF($G184&lt;&gt;"",VLOOKUP($G184,'MASTER TOKO BALI'!$B$2:$W$744,21,FALSE),"")</f>
        <v/>
      </c>
      <c r="O184" s="106"/>
      <c r="P184" s="164" t="str">
        <f>IF($G184&lt;&gt;"",VLOOKUP($G184,'MASTER TOKO BALI'!$B$2:$W$740,7,FALSE),"")</f>
        <v/>
      </c>
    </row>
    <row r="185" spans="1:21" ht="11.25" customHeight="1" x14ac:dyDescent="0.2">
      <c r="A185" s="106">
        <f t="shared" si="7"/>
        <v>173</v>
      </c>
      <c r="B185" s="107" t="s">
        <v>2042</v>
      </c>
      <c r="C185" s="107" t="s">
        <v>2043</v>
      </c>
      <c r="D185" s="108" t="s">
        <v>2044</v>
      </c>
      <c r="E185" s="109" t="s">
        <v>2074</v>
      </c>
      <c r="F185" s="126"/>
      <c r="G185" s="60"/>
      <c r="H185" s="111" t="str">
        <f>IF($G185&lt;&gt;"",VLOOKUP($G185,'MASTER TOKO BALI'!$B$2:$W$744,2,FALSE),"")</f>
        <v/>
      </c>
      <c r="I185" s="237" t="str">
        <f>IF($G185&lt;&gt;"",VLOOKUP($G185,'MASTER TOKO BALI'!$B$2:$W$744,4,FALSE),"")</f>
        <v/>
      </c>
      <c r="J185" s="112">
        <v>46273</v>
      </c>
      <c r="K185" s="111" t="str">
        <f>IF($G185&lt;&gt;"",VLOOKUP($G185,'MASTER TOKO BALI'!$B$2:$W$744,12,FALSE),"")</f>
        <v/>
      </c>
      <c r="L185" s="111" t="str">
        <f>IF($G185&lt;&gt;"",VLOOKUP($G185,'MASTER TOKO BALI'!$B$2:$W$744,5,FALSE),"")</f>
        <v/>
      </c>
      <c r="M185" s="106"/>
      <c r="N185" s="111" t="str">
        <f>IF($G185&lt;&gt;"",VLOOKUP($G185,'MASTER TOKO BALI'!$B$2:$W$744,21,FALSE),"")</f>
        <v/>
      </c>
      <c r="O185" s="106"/>
      <c r="P185" s="164" t="str">
        <f>IF($G185&lt;&gt;"",VLOOKUP($G185,'MASTER TOKO BALI'!$B$2:$W$740,7,FALSE),"")</f>
        <v/>
      </c>
    </row>
    <row r="186" spans="1:21" ht="11.25" customHeight="1" x14ac:dyDescent="0.3">
      <c r="A186" s="106">
        <f t="shared" si="7"/>
        <v>174</v>
      </c>
      <c r="B186" s="107" t="s">
        <v>2038</v>
      </c>
      <c r="C186" s="107" t="s">
        <v>2043</v>
      </c>
      <c r="D186" s="113" t="s">
        <v>2045</v>
      </c>
      <c r="E186" s="109" t="s">
        <v>2074</v>
      </c>
      <c r="F186" s="126"/>
      <c r="G186" s="144"/>
      <c r="H186" s="111" t="str">
        <f>IF($G186&lt;&gt;"",VLOOKUP($G186,'MASTER TOKO BALI'!$B$2:$W$744,2,FALSE),"")</f>
        <v/>
      </c>
      <c r="I186" s="237" t="str">
        <f>IF($G186&lt;&gt;"",VLOOKUP($G186,'MASTER TOKO BALI'!$B$2:$W$744,4,FALSE),"")</f>
        <v/>
      </c>
      <c r="J186" s="112">
        <v>46273</v>
      </c>
      <c r="K186" s="111" t="str">
        <f>IF($G186&lt;&gt;"",VLOOKUP($G186,'MASTER TOKO BALI'!$B$2:$W$744,12,FALSE),"")</f>
        <v/>
      </c>
      <c r="L186" s="111" t="str">
        <f>IF($G186&lt;&gt;"",VLOOKUP($G186,'MASTER TOKO BALI'!$B$2:$W$744,5,FALSE),"")</f>
        <v/>
      </c>
      <c r="M186" s="65"/>
      <c r="N186" s="111" t="str">
        <f>IF($G186&lt;&gt;"",VLOOKUP($G186,'MASTER TOKO BALI'!$B$2:$W$744,21,FALSE),"")</f>
        <v/>
      </c>
      <c r="O186" s="106"/>
      <c r="P186" s="164" t="str">
        <f>IF($G186&lt;&gt;"",VLOOKUP($G186,'MASTER TOKO BALI'!$B$2:$W$740,7,FALSE),"")</f>
        <v/>
      </c>
    </row>
    <row r="187" spans="1:21" ht="11.25" customHeight="1" x14ac:dyDescent="0.2">
      <c r="A187" s="106">
        <f t="shared" si="7"/>
        <v>175</v>
      </c>
      <c r="B187" s="107" t="s">
        <v>2046</v>
      </c>
      <c r="C187" s="107" t="s">
        <v>2043</v>
      </c>
      <c r="D187" s="108" t="s">
        <v>2047</v>
      </c>
      <c r="E187" s="109" t="s">
        <v>2074</v>
      </c>
      <c r="F187" s="126"/>
      <c r="G187" s="60"/>
      <c r="H187" s="111" t="str">
        <f>IF($G187&lt;&gt;"",VLOOKUP($G187,'MASTER TOKO BALI'!$B$2:$W$744,2,FALSE),"")</f>
        <v/>
      </c>
      <c r="I187" s="237" t="str">
        <f>IF($G187&lt;&gt;"",VLOOKUP($G187,'MASTER TOKO BALI'!$B$2:$W$744,4,FALSE),"")</f>
        <v/>
      </c>
      <c r="J187" s="112">
        <v>46273</v>
      </c>
      <c r="K187" s="111" t="str">
        <f>IF($G187&lt;&gt;"",VLOOKUP($G187,'MASTER TOKO BALI'!$B$2:$W$744,12,FALSE),"")</f>
        <v/>
      </c>
      <c r="L187" s="111" t="str">
        <f>IF($G187&lt;&gt;"",VLOOKUP($G187,'MASTER TOKO BALI'!$B$2:$W$744,5,FALSE),"")</f>
        <v/>
      </c>
      <c r="M187" s="106"/>
      <c r="N187" s="111" t="str">
        <f>IF($G187&lt;&gt;"",VLOOKUP($G187,'MASTER TOKO BALI'!$B$2:$W$744,21,FALSE),"")</f>
        <v/>
      </c>
      <c r="O187" s="106"/>
      <c r="P187" s="164" t="str">
        <f>IF($G187&lt;&gt;"",VLOOKUP($G187,'MASTER TOKO BALI'!$B$2:$W$740,7,FALSE),"")</f>
        <v/>
      </c>
    </row>
    <row r="188" spans="1:21" ht="11.25" customHeight="1" x14ac:dyDescent="0.3">
      <c r="A188" s="106">
        <f t="shared" si="7"/>
        <v>176</v>
      </c>
      <c r="B188" s="107" t="s">
        <v>2038</v>
      </c>
      <c r="C188" s="107" t="s">
        <v>2043</v>
      </c>
      <c r="D188" s="113" t="s">
        <v>2045</v>
      </c>
      <c r="E188" s="109" t="s">
        <v>2074</v>
      </c>
      <c r="F188" s="126"/>
      <c r="G188" s="144"/>
      <c r="H188" s="111" t="str">
        <f>IF($G188&lt;&gt;"",VLOOKUP($G188,'MASTER TOKO BALI'!$B$2:$W$744,2,FALSE),"")</f>
        <v/>
      </c>
      <c r="I188" s="237" t="str">
        <f>IF($G188&lt;&gt;"",VLOOKUP($G188,'MASTER TOKO BALI'!$B$2:$W$744,4,FALSE),"")</f>
        <v/>
      </c>
      <c r="J188" s="112">
        <v>46273</v>
      </c>
      <c r="K188" s="111" t="str">
        <f>IF($G188&lt;&gt;"",VLOOKUP($G188,'MASTER TOKO BALI'!$B$2:$W$744,12,FALSE),"")</f>
        <v/>
      </c>
      <c r="L188" s="111" t="str">
        <f>IF($G188&lt;&gt;"",VLOOKUP($G188,'MASTER TOKO BALI'!$B$2:$W$744,5,FALSE),"")</f>
        <v/>
      </c>
      <c r="M188" s="65"/>
      <c r="N188" s="111" t="str">
        <f>IF($G188&lt;&gt;"",VLOOKUP($G188,'MASTER TOKO BALI'!$B$2:$W$744,21,FALSE),"")</f>
        <v/>
      </c>
      <c r="O188" s="106"/>
      <c r="P188" s="164" t="str">
        <f>IF($G188&lt;&gt;"",VLOOKUP($G188,'MASTER TOKO BALI'!$B$2:$W$740,7,FALSE),"")</f>
        <v/>
      </c>
    </row>
    <row r="189" spans="1:21" ht="11.25" customHeight="1" x14ac:dyDescent="0.2">
      <c r="A189" s="106">
        <f t="shared" si="7"/>
        <v>177</v>
      </c>
      <c r="B189" s="107" t="s">
        <v>2048</v>
      </c>
      <c r="C189" s="107" t="s">
        <v>2049</v>
      </c>
      <c r="D189" s="108" t="s">
        <v>2050</v>
      </c>
      <c r="E189" s="109" t="s">
        <v>2074</v>
      </c>
      <c r="F189" s="126"/>
      <c r="G189" s="60"/>
      <c r="H189" s="111" t="str">
        <f>IF($G189&lt;&gt;"",VLOOKUP($G189,'MASTER TOKO BALI'!$B$2:$W$744,2,FALSE),"")</f>
        <v/>
      </c>
      <c r="I189" s="237" t="str">
        <f>IF($G189&lt;&gt;"",VLOOKUP($G189,'MASTER TOKO BALI'!$B$2:$W$744,4,FALSE),"")</f>
        <v/>
      </c>
      <c r="J189" s="112">
        <v>46273</v>
      </c>
      <c r="K189" s="111" t="str">
        <f>IF($G189&lt;&gt;"",VLOOKUP($G189,'MASTER TOKO BALI'!$B$2:$W$744,12,FALSE),"")</f>
        <v/>
      </c>
      <c r="L189" s="111" t="str">
        <f>IF($G189&lt;&gt;"",VLOOKUP($G189,'MASTER TOKO BALI'!$B$2:$W$744,5,FALSE),"")</f>
        <v/>
      </c>
      <c r="M189" s="106"/>
      <c r="N189" s="111" t="str">
        <f>IF($G189&lt;&gt;"",VLOOKUP($G189,'MASTER TOKO BALI'!$B$2:$W$744,21,FALSE),"")</f>
        <v/>
      </c>
      <c r="O189" s="106"/>
      <c r="P189" s="164" t="str">
        <f>IF($G189&lt;&gt;"",VLOOKUP($G189,'MASTER TOKO BALI'!$B$2:$W$740,7,FALSE),"")</f>
        <v/>
      </c>
    </row>
    <row r="190" spans="1:21" ht="11.25" customHeight="1" x14ac:dyDescent="0.3">
      <c r="A190" s="106">
        <f t="shared" si="7"/>
        <v>178</v>
      </c>
      <c r="B190" s="107" t="s">
        <v>2038</v>
      </c>
      <c r="C190" s="107" t="s">
        <v>2049</v>
      </c>
      <c r="D190" s="115" t="s">
        <v>2051</v>
      </c>
      <c r="E190" s="109" t="s">
        <v>2074</v>
      </c>
      <c r="F190" s="126"/>
      <c r="G190" s="144"/>
      <c r="H190" s="111" t="str">
        <f>IF($G190&lt;&gt;"",VLOOKUP($G190,'MASTER TOKO BALI'!$B$2:$W$744,2,FALSE),"")</f>
        <v/>
      </c>
      <c r="I190" s="237" t="str">
        <f>IF($G190&lt;&gt;"",VLOOKUP($G190,'MASTER TOKO BALI'!$B$2:$W$744,4,FALSE),"")</f>
        <v/>
      </c>
      <c r="J190" s="112">
        <v>46273</v>
      </c>
      <c r="K190" s="111" t="str">
        <f>IF($G190&lt;&gt;"",VLOOKUP($G190,'MASTER TOKO BALI'!$B$2:$W$744,12,FALSE),"")</f>
        <v/>
      </c>
      <c r="L190" s="111" t="str">
        <f>IF($G190&lt;&gt;"",VLOOKUP($G190,'MASTER TOKO BALI'!$B$2:$W$744,5,FALSE),"")</f>
        <v/>
      </c>
      <c r="M190" s="65"/>
      <c r="N190" s="111" t="str">
        <f>IF($G190&lt;&gt;"",VLOOKUP($G190,'MASTER TOKO BALI'!$B$2:$W$744,21,FALSE),"")</f>
        <v/>
      </c>
      <c r="O190" s="106"/>
      <c r="P190" s="164" t="str">
        <f>IF($G190&lt;&gt;"",VLOOKUP($G190,'MASTER TOKO BALI'!$B$2:$W$740,7,FALSE),"")</f>
        <v/>
      </c>
    </row>
    <row r="191" spans="1:21" ht="11.25" customHeight="1" x14ac:dyDescent="0.2">
      <c r="A191" s="106">
        <f t="shared" si="7"/>
        <v>179</v>
      </c>
      <c r="B191" s="107" t="s">
        <v>2052</v>
      </c>
      <c r="C191" s="107" t="s">
        <v>2049</v>
      </c>
      <c r="D191" s="108" t="s">
        <v>2053</v>
      </c>
      <c r="E191" s="109" t="s">
        <v>2074</v>
      </c>
      <c r="F191" s="126"/>
      <c r="G191" s="60"/>
      <c r="H191" s="111" t="str">
        <f>IF($G191&lt;&gt;"",VLOOKUP($G191,'MASTER TOKO BALI'!$B$2:$W$744,2,FALSE),"")</f>
        <v/>
      </c>
      <c r="I191" s="237" t="str">
        <f>IF($G191&lt;&gt;"",VLOOKUP($G191,'MASTER TOKO BALI'!$B$2:$W$744,4,FALSE),"")</f>
        <v/>
      </c>
      <c r="J191" s="112">
        <v>46273</v>
      </c>
      <c r="K191" s="111" t="str">
        <f>IF($G191&lt;&gt;"",VLOOKUP($G191,'MASTER TOKO BALI'!$B$2:$W$744,12,FALSE),"")</f>
        <v/>
      </c>
      <c r="L191" s="111" t="str">
        <f>IF($G191&lt;&gt;"",VLOOKUP($G191,'MASTER TOKO BALI'!$B$2:$W$744,5,FALSE),"")</f>
        <v/>
      </c>
      <c r="M191" s="106"/>
      <c r="N191" s="111" t="str">
        <f>IF($G191&lt;&gt;"",VLOOKUP($G191,'MASTER TOKO BALI'!$B$2:$W$744,21,FALSE),"")</f>
        <v/>
      </c>
      <c r="O191" s="106"/>
      <c r="P191" s="164" t="str">
        <f>IF($G191&lt;&gt;"",VLOOKUP($G191,'MASTER TOKO BALI'!$B$2:$W$740,7,FALSE),"")</f>
        <v/>
      </c>
    </row>
    <row r="192" spans="1:21" ht="14.4" x14ac:dyDescent="0.3">
      <c r="A192" s="106">
        <f t="shared" si="7"/>
        <v>180</v>
      </c>
      <c r="B192" s="107" t="s">
        <v>2038</v>
      </c>
      <c r="C192" s="107" t="s">
        <v>2049</v>
      </c>
      <c r="D192" s="113" t="s">
        <v>2051</v>
      </c>
      <c r="E192" s="109" t="s">
        <v>2074</v>
      </c>
      <c r="F192" s="126"/>
      <c r="G192" s="144"/>
      <c r="H192" s="111" t="str">
        <f>IF($G192&lt;&gt;"",VLOOKUP($G192,'MASTER TOKO BALI'!$B$2:$W$744,2,FALSE),"")</f>
        <v/>
      </c>
      <c r="I192" s="237" t="str">
        <f>IF($G192&lt;&gt;"",VLOOKUP($G192,'MASTER TOKO BALI'!$B$2:$W$744,4,FALSE),"")</f>
        <v/>
      </c>
      <c r="J192" s="112">
        <v>46273</v>
      </c>
      <c r="K192" s="111" t="str">
        <f>IF($G192&lt;&gt;"",VLOOKUP($G192,'MASTER TOKO BALI'!$B$2:$W$744,12,FALSE),"")</f>
        <v/>
      </c>
      <c r="L192" s="111" t="str">
        <f>IF($G192&lt;&gt;"",VLOOKUP($G192,'MASTER TOKO BALI'!$B$2:$W$744,5,FALSE),"")</f>
        <v/>
      </c>
      <c r="M192" s="65"/>
      <c r="N192" s="111" t="str">
        <f>IF($G192&lt;&gt;"",VLOOKUP($G192,'MASTER TOKO BALI'!$B$2:$W$744,21,FALSE),"")</f>
        <v/>
      </c>
      <c r="O192" s="106"/>
      <c r="P192" s="164" t="str">
        <f>IF($G192&lt;&gt;"",VLOOKUP($G192,'MASTER TOKO BALI'!$B$2:$W$740,7,FALSE),"")</f>
        <v/>
      </c>
    </row>
    <row r="193" spans="1:16" ht="14.4" x14ac:dyDescent="0.2">
      <c r="A193" s="106">
        <f t="shared" si="7"/>
        <v>181</v>
      </c>
      <c r="B193" s="107" t="s">
        <v>2054</v>
      </c>
      <c r="C193" s="116" t="s">
        <v>2055</v>
      </c>
      <c r="D193" s="108" t="s">
        <v>2056</v>
      </c>
      <c r="E193" s="109" t="s">
        <v>2074</v>
      </c>
      <c r="F193" s="126"/>
      <c r="G193" s="60"/>
      <c r="H193" s="111" t="str">
        <f>IF($G193&lt;&gt;"",VLOOKUP($G193,'MASTER TOKO BALI'!$B$2:$W$744,2,FALSE),"")</f>
        <v/>
      </c>
      <c r="I193" s="237" t="str">
        <f>IF($G193&lt;&gt;"",VLOOKUP($G193,'MASTER TOKO BALI'!$B$2:$W$744,4,FALSE),"")</f>
        <v/>
      </c>
      <c r="J193" s="112">
        <v>46273</v>
      </c>
      <c r="K193" s="111" t="str">
        <f>IF($G193&lt;&gt;"",VLOOKUP($G193,'MASTER TOKO BALI'!$B$2:$W$744,12,FALSE),"")</f>
        <v/>
      </c>
      <c r="L193" s="111" t="str">
        <f>IF($G193&lt;&gt;"",VLOOKUP($G193,'MASTER TOKO BALI'!$B$2:$W$744,5,FALSE),"")</f>
        <v/>
      </c>
      <c r="M193" s="106"/>
      <c r="N193" s="111" t="str">
        <f>IF($G193&lt;&gt;"",VLOOKUP($G193,'MASTER TOKO BALI'!$B$2:$W$744,21,FALSE),"")</f>
        <v/>
      </c>
      <c r="O193" s="106"/>
      <c r="P193" s="164" t="str">
        <f>IF($G193&lt;&gt;"",VLOOKUP($G193,'MASTER TOKO BALI'!$B$2:$W$740,7,FALSE),"")</f>
        <v/>
      </c>
    </row>
    <row r="194" spans="1:16" ht="14.4" x14ac:dyDescent="0.2">
      <c r="A194" s="106">
        <f t="shared" si="7"/>
        <v>182</v>
      </c>
      <c r="B194" s="107" t="s">
        <v>2038</v>
      </c>
      <c r="C194" s="116" t="s">
        <v>2055</v>
      </c>
      <c r="D194" s="113" t="s">
        <v>2057</v>
      </c>
      <c r="E194" s="109" t="s">
        <v>2074</v>
      </c>
      <c r="F194" s="126"/>
      <c r="G194" s="60"/>
      <c r="H194" s="111" t="str">
        <f>IF($G194&lt;&gt;"",VLOOKUP($G194,'MASTER TOKO BALI'!$B$2:$W$744,2,FALSE),"")</f>
        <v/>
      </c>
      <c r="I194" s="237" t="str">
        <f>IF($G194&lt;&gt;"",VLOOKUP($G194,'MASTER TOKO BALI'!$B$2:$W$744,4,FALSE),"")</f>
        <v/>
      </c>
      <c r="J194" s="112">
        <v>46273</v>
      </c>
      <c r="K194" s="111" t="str">
        <f>IF($G194&lt;&gt;"",VLOOKUP($G194,'MASTER TOKO BALI'!$B$2:$W$744,12,FALSE),"")</f>
        <v/>
      </c>
      <c r="L194" s="111" t="str">
        <f>IF($G194&lt;&gt;"",VLOOKUP($G194,'MASTER TOKO BALI'!$B$2:$W$744,5,FALSE),"")</f>
        <v/>
      </c>
      <c r="M194" s="106"/>
      <c r="N194" s="111" t="str">
        <f>IF($G194&lt;&gt;"",VLOOKUP($G194,'MASTER TOKO BALI'!$B$2:$W$744,21,FALSE),"")</f>
        <v/>
      </c>
      <c r="O194" s="106"/>
      <c r="P194" s="164" t="str">
        <f>IF($G194&lt;&gt;"",VLOOKUP($G194,'MASTER TOKO BALI'!$B$2:$W$740,7,FALSE),"")</f>
        <v/>
      </c>
    </row>
    <row r="195" spans="1:16" ht="14.4" x14ac:dyDescent="0.2">
      <c r="A195" s="106">
        <f t="shared" si="7"/>
        <v>183</v>
      </c>
      <c r="B195" s="107" t="s">
        <v>2058</v>
      </c>
      <c r="C195" s="116" t="s">
        <v>2055</v>
      </c>
      <c r="D195" s="108" t="s">
        <v>2059</v>
      </c>
      <c r="E195" s="109" t="s">
        <v>2074</v>
      </c>
      <c r="F195" s="126"/>
      <c r="G195" s="60"/>
      <c r="H195" s="111" t="str">
        <f>IF($G195&lt;&gt;"",VLOOKUP($G195,'MASTER TOKO BALI'!$B$2:$W$744,2,FALSE),"")</f>
        <v/>
      </c>
      <c r="I195" s="237" t="str">
        <f>IF($G195&lt;&gt;"",VLOOKUP($G195,'MASTER TOKO BALI'!$B$2:$W$744,4,FALSE),"")</f>
        <v/>
      </c>
      <c r="J195" s="112">
        <v>46273</v>
      </c>
      <c r="K195" s="111" t="str">
        <f>IF($G195&lt;&gt;"",VLOOKUP($G195,'MASTER TOKO BALI'!$B$2:$W$744,12,FALSE),"")</f>
        <v/>
      </c>
      <c r="L195" s="111" t="str">
        <f>IF($G195&lt;&gt;"",VLOOKUP($G195,'MASTER TOKO BALI'!$B$2:$W$744,5,FALSE),"")</f>
        <v/>
      </c>
      <c r="M195" s="106"/>
      <c r="N195" s="111" t="str">
        <f>IF($G195&lt;&gt;"",VLOOKUP($G195,'MASTER TOKO BALI'!$B$2:$W$744,21,FALSE),"")</f>
        <v/>
      </c>
      <c r="O195" s="106"/>
      <c r="P195" s="164" t="str">
        <f>IF($G195&lt;&gt;"",VLOOKUP($G195,'MASTER TOKO BALI'!$B$2:$W$740,7,FALSE),"")</f>
        <v/>
      </c>
    </row>
    <row r="196" spans="1:16" x14ac:dyDescent="0.2">
      <c r="A196" s="106">
        <f t="shared" si="7"/>
        <v>184</v>
      </c>
      <c r="B196" s="107" t="s">
        <v>2038</v>
      </c>
      <c r="C196" s="116" t="s">
        <v>2055</v>
      </c>
      <c r="D196" s="113" t="s">
        <v>2057</v>
      </c>
      <c r="E196" s="109" t="s">
        <v>2074</v>
      </c>
      <c r="F196" s="126"/>
      <c r="G196" s="144"/>
      <c r="H196" s="111" t="str">
        <f>IF($G196&lt;&gt;"",VLOOKUP($G196,'MASTER TOKO BALI'!$B$2:$W$744,2,FALSE),"")</f>
        <v/>
      </c>
      <c r="I196" s="237" t="str">
        <f>IF($G196&lt;&gt;"",VLOOKUP($G196,'MASTER TOKO BALI'!$B$2:$W$744,4,FALSE),"")</f>
        <v/>
      </c>
      <c r="J196" s="112">
        <v>46273</v>
      </c>
      <c r="K196" s="111" t="str">
        <f>IF($G196&lt;&gt;"",VLOOKUP($G196,'MASTER TOKO BALI'!$B$2:$W$744,12,FALSE),"")</f>
        <v/>
      </c>
      <c r="L196" s="111" t="str">
        <f>IF($G196&lt;&gt;"",VLOOKUP($G196,'MASTER TOKO BALI'!$B$2:$W$744,5,FALSE),"")</f>
        <v/>
      </c>
      <c r="M196" s="106"/>
      <c r="N196" s="111" t="str">
        <f>IF($G196&lt;&gt;"",VLOOKUP($G196,'MASTER TOKO BALI'!$B$2:$W$744,21,FALSE),"")</f>
        <v/>
      </c>
      <c r="O196" s="106"/>
      <c r="P196" s="164" t="str">
        <f>IF($G196&lt;&gt;"",VLOOKUP($G196,'MASTER TOKO BALI'!$B$2:$W$740,7,FALSE),"")</f>
        <v/>
      </c>
    </row>
    <row r="197" spans="1:16" ht="14.4" x14ac:dyDescent="0.2">
      <c r="A197" s="106">
        <f t="shared" si="7"/>
        <v>185</v>
      </c>
      <c r="B197" s="107" t="s">
        <v>2060</v>
      </c>
      <c r="C197" s="116" t="s">
        <v>2061</v>
      </c>
      <c r="D197" s="108" t="s">
        <v>2062</v>
      </c>
      <c r="E197" s="109" t="s">
        <v>2074</v>
      </c>
      <c r="F197" s="126"/>
      <c r="G197" s="60"/>
      <c r="H197" s="111" t="str">
        <f>IF($G197&lt;&gt;"",VLOOKUP($G197,'MASTER TOKO BALI'!$B$2:$W$744,2,FALSE),"")</f>
        <v/>
      </c>
      <c r="I197" s="237" t="str">
        <f>IF($G197&lt;&gt;"",VLOOKUP($G197,'MASTER TOKO BALI'!$B$2:$W$744,4,FALSE),"")</f>
        <v/>
      </c>
      <c r="J197" s="112">
        <v>46273</v>
      </c>
      <c r="K197" s="111" t="str">
        <f>IF($G197&lt;&gt;"",VLOOKUP($G197,'MASTER TOKO BALI'!$B$2:$W$744,12,FALSE),"")</f>
        <v/>
      </c>
      <c r="L197" s="111" t="str">
        <f>IF($G197&lt;&gt;"",VLOOKUP($G197,'MASTER TOKO BALI'!$B$2:$W$744,5,FALSE),"")</f>
        <v/>
      </c>
      <c r="M197" s="106"/>
      <c r="N197" s="111" t="str">
        <f>IF($G197&lt;&gt;"",VLOOKUP($G197,'MASTER TOKO BALI'!$B$2:$W$744,21,FALSE),"")</f>
        <v/>
      </c>
      <c r="O197" s="106"/>
      <c r="P197" s="164" t="str">
        <f>IF($G197&lt;&gt;"",VLOOKUP($G197,'MASTER TOKO BALI'!$B$2:$W$740,7,FALSE),"")</f>
        <v/>
      </c>
    </row>
    <row r="198" spans="1:16" x14ac:dyDescent="0.2">
      <c r="A198" s="106">
        <f t="shared" si="7"/>
        <v>186</v>
      </c>
      <c r="B198" s="107" t="s">
        <v>2038</v>
      </c>
      <c r="C198" s="116" t="s">
        <v>2061</v>
      </c>
      <c r="D198" s="113" t="s">
        <v>2063</v>
      </c>
      <c r="E198" s="109" t="s">
        <v>2074</v>
      </c>
      <c r="F198" s="126"/>
      <c r="G198" s="149"/>
      <c r="H198" s="111" t="str">
        <f>IF($G198&lt;&gt;"",VLOOKUP($G198,'MASTER TOKO BALI'!$B$2:$W$744,2,FALSE),"")</f>
        <v/>
      </c>
      <c r="I198" s="237" t="str">
        <f>IF($G198&lt;&gt;"",VLOOKUP($G198,'MASTER TOKO BALI'!$B$2:$W$744,4,FALSE),"")</f>
        <v/>
      </c>
      <c r="J198" s="112">
        <v>46273</v>
      </c>
      <c r="K198" s="111" t="str">
        <f>IF($G198&lt;&gt;"",VLOOKUP($G198,'MASTER TOKO BALI'!$B$2:$W$744,12,FALSE),"")</f>
        <v/>
      </c>
      <c r="L198" s="111" t="str">
        <f>IF($G198&lt;&gt;"",VLOOKUP($G198,'MASTER TOKO BALI'!$B$2:$W$744,5,FALSE),"")</f>
        <v/>
      </c>
      <c r="M198" s="106"/>
      <c r="N198" s="111" t="str">
        <f>IF($G198&lt;&gt;"",VLOOKUP($G198,'MASTER TOKO BALI'!$B$2:$W$744,21,FALSE),"")</f>
        <v/>
      </c>
      <c r="O198" s="106"/>
      <c r="P198" s="164" t="str">
        <f>IF($G198&lt;&gt;"",VLOOKUP($G198,'MASTER TOKO BALI'!$B$2:$W$740,7,FALSE),"")</f>
        <v/>
      </c>
    </row>
    <row r="199" spans="1:16" ht="14.4" x14ac:dyDescent="0.2">
      <c r="A199" s="106">
        <f t="shared" si="7"/>
        <v>187</v>
      </c>
      <c r="B199" s="107" t="s">
        <v>2064</v>
      </c>
      <c r="C199" s="116" t="s">
        <v>2061</v>
      </c>
      <c r="D199" s="108" t="s">
        <v>2065</v>
      </c>
      <c r="E199" s="109" t="s">
        <v>2074</v>
      </c>
      <c r="F199" s="127"/>
      <c r="G199" s="60"/>
      <c r="H199" s="111" t="str">
        <f>IF($G199&lt;&gt;"",VLOOKUP($G199,'MASTER TOKO BALI'!$B$2:$W$744,2,FALSE),"")</f>
        <v/>
      </c>
      <c r="I199" s="237" t="str">
        <f>IF($G199&lt;&gt;"",VLOOKUP($G199,'MASTER TOKO BALI'!$B$2:$W$744,4,FALSE),"")</f>
        <v/>
      </c>
      <c r="J199" s="112">
        <v>46273</v>
      </c>
      <c r="K199" s="111" t="str">
        <f>IF($G199&lt;&gt;"",VLOOKUP($G199,'MASTER TOKO BALI'!$B$2:$W$744,12,FALSE),"")</f>
        <v/>
      </c>
      <c r="L199" s="111" t="str">
        <f>IF($G199&lt;&gt;"",VLOOKUP($G199,'MASTER TOKO BALI'!$B$2:$W$744,5,FALSE),"")</f>
        <v/>
      </c>
      <c r="M199" s="106"/>
      <c r="N199" s="111" t="str">
        <f>IF($G199&lt;&gt;"",VLOOKUP($G199,'MASTER TOKO BALI'!$B$2:$W$744,21,FALSE),"")</f>
        <v/>
      </c>
      <c r="O199" s="106"/>
      <c r="P199" s="164" t="str">
        <f>IF($G199&lt;&gt;"",VLOOKUP($G199,'MASTER TOKO BALI'!$B$2:$W$740,7,FALSE),"")</f>
        <v/>
      </c>
    </row>
    <row r="200" spans="1:16" x14ac:dyDescent="0.2">
      <c r="A200" s="106">
        <f t="shared" si="7"/>
        <v>188</v>
      </c>
      <c r="B200" s="107" t="s">
        <v>2066</v>
      </c>
      <c r="C200" s="116" t="s">
        <v>2061</v>
      </c>
      <c r="D200" s="113" t="s">
        <v>2063</v>
      </c>
      <c r="E200" s="109" t="s">
        <v>2074</v>
      </c>
      <c r="F200" s="110"/>
      <c r="G200" s="144"/>
      <c r="H200" s="111" t="str">
        <f>IF($G200&lt;&gt;"",VLOOKUP($G200,'MASTER TOKO BALI'!$B$2:$W$744,2,FALSE),"")</f>
        <v/>
      </c>
      <c r="I200" s="237" t="str">
        <f>IF($G200&lt;&gt;"",VLOOKUP($G200,'MASTER TOKO BALI'!$B$2:$W$744,4,FALSE),"")</f>
        <v/>
      </c>
      <c r="J200" s="112">
        <v>46273</v>
      </c>
      <c r="K200" s="111" t="str">
        <f>IF($G200&lt;&gt;"",VLOOKUP($G200,'MASTER TOKO BALI'!$B$2:$W$744,12,FALSE),"")</f>
        <v/>
      </c>
      <c r="L200" s="111" t="str">
        <f>IF($G200&lt;&gt;"",VLOOKUP($G200,'MASTER TOKO BALI'!$B$2:$W$744,5,FALSE),"")</f>
        <v/>
      </c>
      <c r="M200" s="106"/>
      <c r="N200" s="111" t="str">
        <f>IF($G200&lt;&gt;"",VLOOKUP($G200,'MASTER TOKO BALI'!$B$2:$W$744,21,FALSE),"")</f>
        <v/>
      </c>
      <c r="O200" s="106"/>
      <c r="P200" s="164" t="str">
        <f>IF($G200&lt;&gt;"",VLOOKUP($G200,'MASTER TOKO BALI'!$B$2:$W$740,7,FALSE),"")</f>
        <v/>
      </c>
    </row>
    <row r="201" spans="1:16" ht="14.4" x14ac:dyDescent="0.2">
      <c r="A201" s="106">
        <f t="shared" si="7"/>
        <v>189</v>
      </c>
      <c r="B201" s="107" t="s">
        <v>2067</v>
      </c>
      <c r="C201" s="107" t="s">
        <v>2068</v>
      </c>
      <c r="D201" s="108" t="s">
        <v>2069</v>
      </c>
      <c r="E201" s="109" t="s">
        <v>2074</v>
      </c>
      <c r="F201" s="122"/>
      <c r="G201" s="60"/>
      <c r="H201" s="111" t="str">
        <f>IF($G201&lt;&gt;"",VLOOKUP($G201,'MASTER TOKO BALI'!$B$2:$W$744,2,FALSE),"")</f>
        <v/>
      </c>
      <c r="I201" s="237" t="str">
        <f>IF($G201&lt;&gt;"",VLOOKUP($G201,'MASTER TOKO BALI'!$B$2:$W$744,4,FALSE),"")</f>
        <v/>
      </c>
      <c r="J201" s="112">
        <v>46273</v>
      </c>
      <c r="K201" s="111" t="str">
        <f>IF($G201&lt;&gt;"",VLOOKUP($G201,'MASTER TOKO BALI'!$B$2:$W$744,12,FALSE),"")</f>
        <v/>
      </c>
      <c r="L201" s="111" t="str">
        <f>IF($G201&lt;&gt;"",VLOOKUP($G201,'MASTER TOKO BALI'!$B$2:$W$744,5,FALSE),"")</f>
        <v/>
      </c>
      <c r="M201" s="106"/>
      <c r="N201" s="111" t="str">
        <f>IF($G201&lt;&gt;"",VLOOKUP($G201,'MASTER TOKO BALI'!$B$2:$W$744,21,FALSE),"")</f>
        <v/>
      </c>
      <c r="O201" s="106"/>
      <c r="P201" s="164" t="str">
        <f>IF($G201&lt;&gt;"",VLOOKUP($G201,'MASTER TOKO BALI'!$B$2:$W$740,7,FALSE),"")</f>
        <v/>
      </c>
    </row>
    <row r="202" spans="1:16" x14ac:dyDescent="0.2">
      <c r="A202" s="106">
        <f t="shared" si="7"/>
        <v>190</v>
      </c>
      <c r="B202" s="107" t="s">
        <v>2066</v>
      </c>
      <c r="C202" s="107" t="s">
        <v>2068</v>
      </c>
      <c r="D202" s="117" t="s">
        <v>2070</v>
      </c>
      <c r="E202" s="109" t="s">
        <v>2074</v>
      </c>
      <c r="F202" s="122"/>
      <c r="G202" s="144"/>
      <c r="H202" s="111" t="str">
        <f>IF($G202&lt;&gt;"",VLOOKUP($G202,'MASTER TOKO BALI'!$B$2:$W$744,2,FALSE),"")</f>
        <v/>
      </c>
      <c r="I202" s="237" t="str">
        <f>IF($G202&lt;&gt;"",VLOOKUP($G202,'MASTER TOKO BALI'!$B$2:$W$744,4,FALSE),"")</f>
        <v/>
      </c>
      <c r="J202" s="112">
        <v>46273</v>
      </c>
      <c r="K202" s="111" t="str">
        <f>IF($G202&lt;&gt;"",VLOOKUP($G202,'MASTER TOKO BALI'!$B$2:$W$744,12,FALSE),"")</f>
        <v/>
      </c>
      <c r="L202" s="111" t="str">
        <f>IF($G202&lt;&gt;"",VLOOKUP($G202,'MASTER TOKO BALI'!$B$2:$W$744,5,FALSE),"")</f>
        <v/>
      </c>
      <c r="M202" s="106"/>
      <c r="N202" s="111" t="str">
        <f>IF($G202&lt;&gt;"",VLOOKUP($G202,'MASTER TOKO BALI'!$B$2:$W$744,21,FALSE),"")</f>
        <v/>
      </c>
      <c r="O202" s="106"/>
      <c r="P202" s="164" t="str">
        <f>IF($G202&lt;&gt;"",VLOOKUP($G202,'MASTER TOKO BALI'!$B$2:$W$740,7,FALSE),"")</f>
        <v/>
      </c>
    </row>
    <row r="203" spans="1:16" x14ac:dyDescent="0.2">
      <c r="A203" s="106">
        <f t="shared" si="7"/>
        <v>191</v>
      </c>
      <c r="B203" s="107" t="s">
        <v>2071</v>
      </c>
      <c r="C203" s="107" t="s">
        <v>2068</v>
      </c>
      <c r="D203" s="116" t="s">
        <v>2003</v>
      </c>
      <c r="E203" s="109" t="s">
        <v>2074</v>
      </c>
      <c r="F203" s="126"/>
      <c r="G203" s="149"/>
      <c r="H203" s="111" t="str">
        <f>IF($G203&lt;&gt;"",VLOOKUP($G203,'MASTER TOKO BALI'!$B$2:$W$744,2,FALSE),"")</f>
        <v/>
      </c>
      <c r="I203" s="237" t="str">
        <f>IF($G203&lt;&gt;"",VLOOKUP($G203,'MASTER TOKO BALI'!$B$2:$W$744,4,FALSE),"")</f>
        <v/>
      </c>
      <c r="J203" s="112">
        <v>46273</v>
      </c>
      <c r="K203" s="111" t="str">
        <f>IF($G203&lt;&gt;"",VLOOKUP($G203,'MASTER TOKO BALI'!$B$2:$W$744,12,FALSE),"")</f>
        <v/>
      </c>
      <c r="L203" s="111" t="str">
        <f>IF($G203&lt;&gt;"",VLOOKUP($G203,'MASTER TOKO BALI'!$B$2:$W$744,5,FALSE),"")</f>
        <v/>
      </c>
      <c r="M203" s="106"/>
      <c r="N203" s="111" t="str">
        <f>IF($G203&lt;&gt;"",VLOOKUP($G203,'MASTER TOKO BALI'!$B$2:$W$744,21,FALSE),"")</f>
        <v/>
      </c>
      <c r="O203" s="106"/>
      <c r="P203" s="164" t="str">
        <f>IF($G203&lt;&gt;"",VLOOKUP($G203,'MASTER TOKO BALI'!$B$2:$W$740,7,FALSE),"")</f>
        <v/>
      </c>
    </row>
    <row r="204" spans="1:16" x14ac:dyDescent="0.2">
      <c r="A204" s="106">
        <f t="shared" si="7"/>
        <v>192</v>
      </c>
      <c r="B204" s="107" t="s">
        <v>2066</v>
      </c>
      <c r="C204" s="107" t="s">
        <v>2068</v>
      </c>
      <c r="D204" s="117" t="s">
        <v>2070</v>
      </c>
      <c r="E204" s="109" t="s">
        <v>2074</v>
      </c>
      <c r="F204" s="126"/>
      <c r="G204" s="149"/>
      <c r="H204" s="111" t="str">
        <f>IF($G204&lt;&gt;"",VLOOKUP($G204,'MASTER TOKO BALI'!$B$2:$W$744,2,FALSE),"")</f>
        <v/>
      </c>
      <c r="I204" s="237" t="str">
        <f>IF($G204&lt;&gt;"",VLOOKUP($G204,'MASTER TOKO BALI'!$B$2:$W$744,4,FALSE),"")</f>
        <v/>
      </c>
      <c r="J204" s="112">
        <v>46273</v>
      </c>
      <c r="K204" s="111" t="str">
        <f>IF($G204&lt;&gt;"",VLOOKUP($G204,'MASTER TOKO BALI'!$B$2:$W$744,12,FALSE),"")</f>
        <v/>
      </c>
      <c r="L204" s="111" t="str">
        <f>IF($G204&lt;&gt;"",VLOOKUP($G204,'MASTER TOKO BALI'!$B$2:$W$744,5,FALSE),"")</f>
        <v/>
      </c>
      <c r="M204" s="106"/>
      <c r="N204" s="111" t="str">
        <f>IF($G204&lt;&gt;"",VLOOKUP($G204,'MASTER TOKO BALI'!$B$2:$W$744,21,FALSE),"")</f>
        <v/>
      </c>
      <c r="O204" s="106"/>
      <c r="P204" s="164" t="str">
        <f>IF($G204&lt;&gt;"",VLOOKUP($G204,'MASTER TOKO BALI'!$B$2:$W$740,7,FALSE),"")</f>
        <v/>
      </c>
    </row>
    <row r="205" spans="1:16" x14ac:dyDescent="0.2">
      <c r="A205" s="106"/>
      <c r="B205" s="107"/>
      <c r="C205" s="107"/>
      <c r="D205" s="111"/>
      <c r="E205" s="114"/>
      <c r="F205" s="126"/>
      <c r="G205" s="149"/>
      <c r="H205" s="111" t="str">
        <f>IF($G205&lt;&gt;"",VLOOKUP($G205,'MASTER TOKO BALI'!$B$2:$W$744,2,FALSE),"")</f>
        <v/>
      </c>
      <c r="I205" s="237" t="str">
        <f>IF($G205&lt;&gt;"",VLOOKUP($G205,'MASTER TOKO BALI'!$B$2:$W$744,4,FALSE),"")</f>
        <v/>
      </c>
      <c r="J205" s="119"/>
      <c r="K205" s="111" t="str">
        <f>IF($G205&lt;&gt;"",VLOOKUP($G205,'MASTER TOKO BALI'!$B$2:$W$744,12,FALSE),"")</f>
        <v/>
      </c>
      <c r="L205" s="111" t="str">
        <f>IF($G205&lt;&gt;"",VLOOKUP($G205,'MASTER TOKO BALI'!$B$2:$W$744,5,FALSE),"")</f>
        <v/>
      </c>
      <c r="M205" s="106"/>
      <c r="N205" s="111" t="str">
        <f>IF($G205&lt;&gt;"",VLOOKUP($G205,'MASTER TOKO BALI'!$B$2:$W$744,21,FALSE),"")</f>
        <v/>
      </c>
      <c r="O205" s="106"/>
      <c r="P205" s="164" t="str">
        <f>IF($G205&lt;&gt;"",VLOOKUP($G205,'MASTER TOKO BALI'!$B$2:$W$740,7,FALSE),"")</f>
        <v/>
      </c>
    </row>
    <row r="206" spans="1:16" x14ac:dyDescent="0.2">
      <c r="A206" s="106">
        <f>A204+1</f>
        <v>193</v>
      </c>
      <c r="B206" s="107" t="s">
        <v>2034</v>
      </c>
      <c r="C206" s="107" t="s">
        <v>2035</v>
      </c>
      <c r="D206" s="108" t="s">
        <v>2036</v>
      </c>
      <c r="E206" s="114" t="s">
        <v>2075</v>
      </c>
      <c r="F206" s="126"/>
      <c r="G206" s="144"/>
      <c r="H206" s="111" t="str">
        <f>IF($G206&lt;&gt;"",VLOOKUP($G206,'MASTER TOKO BALI'!$B$2:$W$744,2,FALSE),"")</f>
        <v/>
      </c>
      <c r="I206" s="237" t="str">
        <f>IF($G206&lt;&gt;"",VLOOKUP($G206,'MASTER TOKO BALI'!$B$2:$W$744,4,FALSE),"")</f>
        <v/>
      </c>
      <c r="J206" s="119">
        <v>46274</v>
      </c>
      <c r="K206" s="111" t="str">
        <f>IF($G206&lt;&gt;"",VLOOKUP($G206,'MASTER TOKO BALI'!$B$2:$W$744,12,FALSE),"")</f>
        <v/>
      </c>
      <c r="L206" s="111" t="str">
        <f>IF($G206&lt;&gt;"",VLOOKUP($G206,'MASTER TOKO BALI'!$B$2:$W$744,5,FALSE),"")</f>
        <v/>
      </c>
      <c r="M206" s="106"/>
      <c r="N206" s="111" t="str">
        <f>IF($G206&lt;&gt;"",VLOOKUP($G206,'MASTER TOKO BALI'!$B$2:$W$744,21,FALSE),"")</f>
        <v/>
      </c>
      <c r="O206" s="106"/>
      <c r="P206" s="164" t="str">
        <f>IF($G206&lt;&gt;"",VLOOKUP($G206,'MASTER TOKO BALI'!$B$2:$W$740,7,FALSE),"")</f>
        <v/>
      </c>
    </row>
    <row r="207" spans="1:16" x14ac:dyDescent="0.2">
      <c r="A207" s="106">
        <f t="shared" ref="A207:A229" si="8">A206+1</f>
        <v>194</v>
      </c>
      <c r="B207" s="107" t="s">
        <v>2038</v>
      </c>
      <c r="C207" s="107" t="s">
        <v>2035</v>
      </c>
      <c r="D207" s="113" t="s">
        <v>2039</v>
      </c>
      <c r="E207" s="114" t="s">
        <v>2075</v>
      </c>
      <c r="F207" s="126"/>
      <c r="G207" s="144"/>
      <c r="H207" s="111" t="str">
        <f>IF($G207&lt;&gt;"",VLOOKUP($G207,'MASTER TOKO BALI'!$B$2:$W$744,2,FALSE),"")</f>
        <v/>
      </c>
      <c r="I207" s="237" t="str">
        <f>IF($G207&lt;&gt;"",VLOOKUP($G207,'MASTER TOKO BALI'!$B$2:$W$744,4,FALSE),"")</f>
        <v/>
      </c>
      <c r="J207" s="119">
        <v>46274</v>
      </c>
      <c r="K207" s="111" t="str">
        <f>IF($G207&lt;&gt;"",VLOOKUP($G207,'MASTER TOKO BALI'!$B$2:$W$744,12,FALSE),"")</f>
        <v/>
      </c>
      <c r="L207" s="111" t="str">
        <f>IF($G207&lt;&gt;"",VLOOKUP($G207,'MASTER TOKO BALI'!$B$2:$W$744,5,FALSE),"")</f>
        <v/>
      </c>
      <c r="M207" s="106"/>
      <c r="N207" s="111" t="str">
        <f>IF($G207&lt;&gt;"",VLOOKUP($G207,'MASTER TOKO BALI'!$B$2:$W$744,21,FALSE),"")</f>
        <v/>
      </c>
      <c r="O207" s="106"/>
      <c r="P207" s="164" t="str">
        <f>IF($G207&lt;&gt;"",VLOOKUP($G207,'MASTER TOKO BALI'!$B$2:$W$740,7,FALSE),"")</f>
        <v/>
      </c>
    </row>
    <row r="208" spans="1:16" x14ac:dyDescent="0.2">
      <c r="A208" s="106">
        <f t="shared" si="8"/>
        <v>195</v>
      </c>
      <c r="B208" s="107" t="s">
        <v>2040</v>
      </c>
      <c r="C208" s="107" t="s">
        <v>2035</v>
      </c>
      <c r="D208" s="108" t="s">
        <v>2041</v>
      </c>
      <c r="E208" s="114" t="s">
        <v>2075</v>
      </c>
      <c r="F208" s="126"/>
      <c r="G208" s="145"/>
      <c r="H208" s="111" t="str">
        <f>IF($G208&lt;&gt;"",VLOOKUP($G208,'MASTER TOKO BALI'!$B$2:$W$744,2,FALSE),"")</f>
        <v/>
      </c>
      <c r="I208" s="237" t="str">
        <f>IF($G208&lt;&gt;"",VLOOKUP($G208,'MASTER TOKO BALI'!$B$2:$W$744,4,FALSE),"")</f>
        <v/>
      </c>
      <c r="J208" s="119">
        <v>46274</v>
      </c>
      <c r="K208" s="111" t="str">
        <f>IF($G208&lt;&gt;"",VLOOKUP($G208,'MASTER TOKO BALI'!$B$2:$W$744,12,FALSE),"")</f>
        <v/>
      </c>
      <c r="L208" s="111" t="str">
        <f>IF($G208&lt;&gt;"",VLOOKUP($G208,'MASTER TOKO BALI'!$B$2:$W$744,5,FALSE),"")</f>
        <v/>
      </c>
      <c r="M208" s="106"/>
      <c r="N208" s="111" t="str">
        <f>IF($G208&lt;&gt;"",VLOOKUP($G208,'MASTER TOKO BALI'!$B$2:$W$744,21,FALSE),"")</f>
        <v/>
      </c>
      <c r="O208" s="106"/>
      <c r="P208" s="164" t="str">
        <f>IF($G208&lt;&gt;"",VLOOKUP($G208,'MASTER TOKO BALI'!$B$2:$W$740,7,FALSE),"")</f>
        <v/>
      </c>
    </row>
    <row r="209" spans="1:16" x14ac:dyDescent="0.2">
      <c r="A209" s="106">
        <f t="shared" si="8"/>
        <v>196</v>
      </c>
      <c r="B209" s="107" t="s">
        <v>2038</v>
      </c>
      <c r="C209" s="107" t="s">
        <v>2035</v>
      </c>
      <c r="D209" s="113" t="s">
        <v>2039</v>
      </c>
      <c r="E209" s="114" t="s">
        <v>2075</v>
      </c>
      <c r="F209" s="110"/>
      <c r="G209" s="145"/>
      <c r="H209" s="111" t="str">
        <f>IF($G209&lt;&gt;"",VLOOKUP($G209,'MASTER TOKO BALI'!$B$2:$W$744,2,FALSE),"")</f>
        <v/>
      </c>
      <c r="I209" s="237" t="str">
        <f>IF($G209&lt;&gt;"",VLOOKUP($G209,'MASTER TOKO BALI'!$B$2:$W$744,4,FALSE),"")</f>
        <v/>
      </c>
      <c r="J209" s="119">
        <v>46274</v>
      </c>
      <c r="K209" s="111" t="str">
        <f>IF($G209&lt;&gt;"",VLOOKUP($G209,'MASTER TOKO BALI'!$B$2:$W$744,12,FALSE),"")</f>
        <v/>
      </c>
      <c r="L209" s="111" t="str">
        <f>IF($G209&lt;&gt;"",VLOOKUP($G209,'MASTER TOKO BALI'!$B$2:$W$744,5,FALSE),"")</f>
        <v/>
      </c>
      <c r="M209" s="106"/>
      <c r="N209" s="111" t="str">
        <f>IF($G209&lt;&gt;"",VLOOKUP($G209,'MASTER TOKO BALI'!$B$2:$W$744,21,FALSE),"")</f>
        <v/>
      </c>
      <c r="O209" s="106"/>
      <c r="P209" s="164" t="str">
        <f>IF($G209&lt;&gt;"",VLOOKUP($G209,'MASTER TOKO BALI'!$B$2:$W$740,7,FALSE),"")</f>
        <v/>
      </c>
    </row>
    <row r="210" spans="1:16" x14ac:dyDescent="0.2">
      <c r="A210" s="106">
        <f t="shared" si="8"/>
        <v>197</v>
      </c>
      <c r="B210" s="107" t="s">
        <v>2042</v>
      </c>
      <c r="C210" s="107" t="s">
        <v>2043</v>
      </c>
      <c r="D210" s="108" t="s">
        <v>2044</v>
      </c>
      <c r="E210" s="114" t="s">
        <v>2075</v>
      </c>
      <c r="F210" s="126"/>
      <c r="G210" s="145"/>
      <c r="H210" s="111" t="str">
        <f>IF($G210&lt;&gt;"",VLOOKUP($G210,'MASTER TOKO BALI'!$B$2:$W$744,2,FALSE),"")</f>
        <v/>
      </c>
      <c r="I210" s="237" t="str">
        <f>IF($G210&lt;&gt;"",VLOOKUP($G210,'MASTER TOKO BALI'!$B$2:$W$744,4,FALSE),"")</f>
        <v/>
      </c>
      <c r="J210" s="119">
        <v>46274</v>
      </c>
      <c r="K210" s="111" t="str">
        <f>IF($G210&lt;&gt;"",VLOOKUP($G210,'MASTER TOKO BALI'!$B$2:$W$744,12,FALSE),"")</f>
        <v/>
      </c>
      <c r="L210" s="111" t="str">
        <f>IF($G210&lt;&gt;"",VLOOKUP($G210,'MASTER TOKO BALI'!$B$2:$W$744,5,FALSE),"")</f>
        <v/>
      </c>
      <c r="M210" s="106"/>
      <c r="N210" s="111" t="str">
        <f>IF($G210&lt;&gt;"",VLOOKUP($G210,'MASTER TOKO BALI'!$B$2:$W$744,21,FALSE),"")</f>
        <v/>
      </c>
      <c r="O210" s="106"/>
      <c r="P210" s="164" t="str">
        <f>IF($G210&lt;&gt;"",VLOOKUP($G210,'MASTER TOKO BALI'!$B$2:$W$740,7,FALSE),"")</f>
        <v/>
      </c>
    </row>
    <row r="211" spans="1:16" x14ac:dyDescent="0.2">
      <c r="A211" s="106">
        <f t="shared" si="8"/>
        <v>198</v>
      </c>
      <c r="B211" s="107" t="s">
        <v>2038</v>
      </c>
      <c r="C211" s="107" t="s">
        <v>2043</v>
      </c>
      <c r="D211" s="113" t="s">
        <v>2045</v>
      </c>
      <c r="E211" s="114" t="s">
        <v>2075</v>
      </c>
      <c r="F211" s="110"/>
      <c r="G211" s="145"/>
      <c r="H211" s="111" t="str">
        <f>IF($G211&lt;&gt;"",VLOOKUP($G211,'MASTER TOKO BALI'!$B$2:$W$744,2,FALSE),"")</f>
        <v/>
      </c>
      <c r="I211" s="237" t="str">
        <f>IF($G211&lt;&gt;"",VLOOKUP($G211,'MASTER TOKO BALI'!$B$2:$W$744,4,FALSE),"")</f>
        <v/>
      </c>
      <c r="J211" s="119">
        <v>46274</v>
      </c>
      <c r="K211" s="111" t="str">
        <f>IF($G211&lt;&gt;"",VLOOKUP($G211,'MASTER TOKO BALI'!$B$2:$W$744,12,FALSE),"")</f>
        <v/>
      </c>
      <c r="L211" s="111" t="str">
        <f>IF($G211&lt;&gt;"",VLOOKUP($G211,'MASTER TOKO BALI'!$B$2:$W$744,5,FALSE),"")</f>
        <v/>
      </c>
      <c r="M211" s="106"/>
      <c r="N211" s="111" t="str">
        <f>IF($G211&lt;&gt;"",VLOOKUP($G211,'MASTER TOKO BALI'!$B$2:$W$744,21,FALSE),"")</f>
        <v/>
      </c>
      <c r="O211" s="106"/>
      <c r="P211" s="164" t="str">
        <f>IF($G211&lt;&gt;"",VLOOKUP($G211,'MASTER TOKO BALI'!$B$2:$W$740,7,FALSE),"")</f>
        <v/>
      </c>
    </row>
    <row r="212" spans="1:16" x14ac:dyDescent="0.2">
      <c r="A212" s="106">
        <f t="shared" si="8"/>
        <v>199</v>
      </c>
      <c r="B212" s="107" t="s">
        <v>2046</v>
      </c>
      <c r="C212" s="107" t="s">
        <v>2043</v>
      </c>
      <c r="D212" s="108" t="s">
        <v>2047</v>
      </c>
      <c r="E212" s="114" t="s">
        <v>2075</v>
      </c>
      <c r="F212" s="126"/>
      <c r="G212" s="145"/>
      <c r="H212" s="111" t="str">
        <f>IF($G212&lt;&gt;"",VLOOKUP($G212,'MASTER TOKO BALI'!$B$2:$W$744,2,FALSE),"")</f>
        <v/>
      </c>
      <c r="I212" s="237" t="str">
        <f>IF($G212&lt;&gt;"",VLOOKUP($G212,'MASTER TOKO BALI'!$B$2:$W$744,4,FALSE),"")</f>
        <v/>
      </c>
      <c r="J212" s="119">
        <v>46274</v>
      </c>
      <c r="K212" s="111" t="str">
        <f>IF($G212&lt;&gt;"",VLOOKUP($G212,'MASTER TOKO BALI'!$B$2:$W$744,12,FALSE),"")</f>
        <v/>
      </c>
      <c r="L212" s="111" t="str">
        <f>IF($G212&lt;&gt;"",VLOOKUP($G212,'MASTER TOKO BALI'!$B$2:$W$744,5,FALSE),"")</f>
        <v/>
      </c>
      <c r="M212" s="106"/>
      <c r="N212" s="111" t="str">
        <f>IF($G212&lt;&gt;"",VLOOKUP($G212,'MASTER TOKO BALI'!$B$2:$W$744,21,FALSE),"")</f>
        <v/>
      </c>
      <c r="O212" s="106"/>
      <c r="P212" s="164" t="str">
        <f>IF($G212&lt;&gt;"",VLOOKUP($G212,'MASTER TOKO BALI'!$B$2:$W$740,7,FALSE),"")</f>
        <v/>
      </c>
    </row>
    <row r="213" spans="1:16" x14ac:dyDescent="0.2">
      <c r="A213" s="106">
        <f t="shared" si="8"/>
        <v>200</v>
      </c>
      <c r="B213" s="107" t="s">
        <v>2038</v>
      </c>
      <c r="C213" s="107" t="s">
        <v>2043</v>
      </c>
      <c r="D213" s="113" t="s">
        <v>2045</v>
      </c>
      <c r="E213" s="114" t="s">
        <v>2075</v>
      </c>
      <c r="F213" s="110"/>
      <c r="G213" s="145"/>
      <c r="H213" s="111" t="str">
        <f>IF($G213&lt;&gt;"",VLOOKUP($G213,'MASTER TOKO BALI'!$B$2:$W$744,2,FALSE),"")</f>
        <v/>
      </c>
      <c r="I213" s="237" t="str">
        <f>IF($G213&lt;&gt;"",VLOOKUP($G213,'MASTER TOKO BALI'!$B$2:$W$744,4,FALSE),"")</f>
        <v/>
      </c>
      <c r="J213" s="119">
        <v>46274</v>
      </c>
      <c r="K213" s="111" t="str">
        <f>IF($G213&lt;&gt;"",VLOOKUP($G213,'MASTER TOKO BALI'!$B$2:$W$744,12,FALSE),"")</f>
        <v/>
      </c>
      <c r="L213" s="111" t="str">
        <f>IF($G213&lt;&gt;"",VLOOKUP($G213,'MASTER TOKO BALI'!$B$2:$W$744,5,FALSE),"")</f>
        <v/>
      </c>
      <c r="M213" s="106"/>
      <c r="N213" s="111" t="str">
        <f>IF($G213&lt;&gt;"",VLOOKUP($G213,'MASTER TOKO BALI'!$B$2:$W$744,21,FALSE),"")</f>
        <v/>
      </c>
      <c r="O213" s="106"/>
      <c r="P213" s="164" t="str">
        <f>IF($G213&lt;&gt;"",VLOOKUP($G213,'MASTER TOKO BALI'!$B$2:$W$740,7,FALSE),"")</f>
        <v/>
      </c>
    </row>
    <row r="214" spans="1:16" ht="14.4" x14ac:dyDescent="0.2">
      <c r="A214" s="106">
        <f t="shared" si="8"/>
        <v>201</v>
      </c>
      <c r="B214" s="107" t="s">
        <v>2048</v>
      </c>
      <c r="C214" s="107" t="s">
        <v>2049</v>
      </c>
      <c r="D214" s="108" t="s">
        <v>2050</v>
      </c>
      <c r="E214" s="114" t="s">
        <v>2075</v>
      </c>
      <c r="F214" s="126"/>
      <c r="G214" s="60"/>
      <c r="H214" s="111" t="str">
        <f>IF($G214&lt;&gt;"",VLOOKUP($G214,'MASTER TOKO BALI'!$B$2:$W$744,2,FALSE),"")</f>
        <v/>
      </c>
      <c r="I214" s="237" t="str">
        <f>IF($G214&lt;&gt;"",VLOOKUP($G214,'MASTER TOKO BALI'!$B$2:$W$744,4,FALSE),"")</f>
        <v/>
      </c>
      <c r="J214" s="119">
        <v>46274</v>
      </c>
      <c r="K214" s="111" t="str">
        <f>IF($G214&lt;&gt;"",VLOOKUP($G214,'MASTER TOKO BALI'!$B$2:$W$744,12,FALSE),"")</f>
        <v/>
      </c>
      <c r="L214" s="111" t="str">
        <f>IF($G214&lt;&gt;"",VLOOKUP($G214,'MASTER TOKO BALI'!$B$2:$W$744,5,FALSE),"")</f>
        <v/>
      </c>
      <c r="M214" s="106"/>
      <c r="N214" s="111" t="str">
        <f>IF($G214&lt;&gt;"",VLOOKUP($G214,'MASTER TOKO BALI'!$B$2:$W$744,21,FALSE),"")</f>
        <v/>
      </c>
      <c r="O214" s="106"/>
      <c r="P214" s="164" t="str">
        <f>IF($G214&lt;&gt;"",VLOOKUP($G214,'MASTER TOKO BALI'!$B$2:$W$740,7,FALSE),"")</f>
        <v/>
      </c>
    </row>
    <row r="215" spans="1:16" ht="14.4" x14ac:dyDescent="0.2">
      <c r="A215" s="106">
        <f t="shared" si="8"/>
        <v>202</v>
      </c>
      <c r="B215" s="107" t="s">
        <v>2038</v>
      </c>
      <c r="C215" s="107" t="s">
        <v>2049</v>
      </c>
      <c r="D215" s="115" t="s">
        <v>2051</v>
      </c>
      <c r="E215" s="114" t="s">
        <v>2075</v>
      </c>
      <c r="F215" s="126"/>
      <c r="G215" s="60"/>
      <c r="H215" s="111" t="str">
        <f>IF($G215&lt;&gt;"",VLOOKUP($G215,'MASTER TOKO BALI'!$B$2:$W$744,2,FALSE),"")</f>
        <v/>
      </c>
      <c r="I215" s="237" t="str">
        <f>IF($G215&lt;&gt;"",VLOOKUP($G215,'MASTER TOKO BALI'!$B$2:$W$744,4,FALSE),"")</f>
        <v/>
      </c>
      <c r="J215" s="119">
        <v>46274</v>
      </c>
      <c r="K215" s="111" t="str">
        <f>IF($G215&lt;&gt;"",VLOOKUP($G215,'MASTER TOKO BALI'!$B$2:$W$744,12,FALSE),"")</f>
        <v/>
      </c>
      <c r="L215" s="111" t="str">
        <f>IF($G215&lt;&gt;"",VLOOKUP($G215,'MASTER TOKO BALI'!$B$2:$W$744,5,FALSE),"")</f>
        <v/>
      </c>
      <c r="M215" s="106"/>
      <c r="N215" s="111" t="str">
        <f>IF($G215&lt;&gt;"",VLOOKUP($G215,'MASTER TOKO BALI'!$B$2:$W$744,21,FALSE),"")</f>
        <v/>
      </c>
      <c r="O215" s="106"/>
      <c r="P215" s="164" t="str">
        <f>IF($G215&lt;&gt;"",VLOOKUP($G215,'MASTER TOKO BALI'!$B$2:$W$740,7,FALSE),"")</f>
        <v/>
      </c>
    </row>
    <row r="216" spans="1:16" x14ac:dyDescent="0.2">
      <c r="A216" s="106">
        <f t="shared" si="8"/>
        <v>203</v>
      </c>
      <c r="B216" s="107" t="s">
        <v>2052</v>
      </c>
      <c r="C216" s="107" t="s">
        <v>2049</v>
      </c>
      <c r="D216" s="108" t="s">
        <v>2053</v>
      </c>
      <c r="E216" s="114" t="s">
        <v>2075</v>
      </c>
      <c r="F216" s="126"/>
      <c r="G216" s="149"/>
      <c r="H216" s="111" t="str">
        <f>IF($G216&lt;&gt;"",VLOOKUP($G216,'MASTER TOKO BALI'!$B$2:$W$744,2,FALSE),"")</f>
        <v/>
      </c>
      <c r="I216" s="237" t="str">
        <f>IF($G216&lt;&gt;"",VLOOKUP($G216,'MASTER TOKO BALI'!$B$2:$W$744,4,FALSE),"")</f>
        <v/>
      </c>
      <c r="J216" s="119">
        <v>46274</v>
      </c>
      <c r="K216" s="111" t="str">
        <f>IF($G216&lt;&gt;"",VLOOKUP($G216,'MASTER TOKO BALI'!$B$2:$W$744,12,FALSE),"")</f>
        <v/>
      </c>
      <c r="L216" s="111" t="str">
        <f>IF($G216&lt;&gt;"",VLOOKUP($G216,'MASTER TOKO BALI'!$B$2:$W$744,5,FALSE),"")</f>
        <v/>
      </c>
      <c r="M216" s="106"/>
      <c r="N216" s="111" t="str">
        <f>IF($G216&lt;&gt;"",VLOOKUP($G216,'MASTER TOKO BALI'!$B$2:$W$744,21,FALSE),"")</f>
        <v/>
      </c>
      <c r="O216" s="106"/>
      <c r="P216" s="164" t="str">
        <f>IF($G216&lt;&gt;"",VLOOKUP($G216,'MASTER TOKO BALI'!$B$2:$W$740,7,FALSE),"")</f>
        <v/>
      </c>
    </row>
    <row r="217" spans="1:16" x14ac:dyDescent="0.2">
      <c r="A217" s="106">
        <f t="shared" si="8"/>
        <v>204</v>
      </c>
      <c r="B217" s="107" t="s">
        <v>2038</v>
      </c>
      <c r="C217" s="107" t="s">
        <v>2049</v>
      </c>
      <c r="D217" s="113" t="s">
        <v>2051</v>
      </c>
      <c r="E217" s="114" t="s">
        <v>2075</v>
      </c>
      <c r="F217" s="126"/>
      <c r="G217" s="149"/>
      <c r="H217" s="111" t="str">
        <f>IF($G217&lt;&gt;"",VLOOKUP($G217,'MASTER TOKO BALI'!$B$2:$W$744,2,FALSE),"")</f>
        <v/>
      </c>
      <c r="I217" s="237" t="str">
        <f>IF($G217&lt;&gt;"",VLOOKUP($G217,'MASTER TOKO BALI'!$B$2:$W$744,4,FALSE),"")</f>
        <v/>
      </c>
      <c r="J217" s="119">
        <v>46274</v>
      </c>
      <c r="K217" s="111" t="str">
        <f>IF($G217&lt;&gt;"",VLOOKUP($G217,'MASTER TOKO BALI'!$B$2:$W$744,12,FALSE),"")</f>
        <v/>
      </c>
      <c r="L217" s="111" t="str">
        <f>IF($G217&lt;&gt;"",VLOOKUP($G217,'MASTER TOKO BALI'!$B$2:$W$744,5,FALSE),"")</f>
        <v/>
      </c>
      <c r="M217" s="106"/>
      <c r="N217" s="111" t="str">
        <f>IF($G217&lt;&gt;"",VLOOKUP($G217,'MASTER TOKO BALI'!$B$2:$W$744,21,FALSE),"")</f>
        <v/>
      </c>
      <c r="O217" s="106"/>
      <c r="P217" s="164" t="str">
        <f>IF($G217&lt;&gt;"",VLOOKUP($G217,'MASTER TOKO BALI'!$B$2:$W$740,7,FALSE),"")</f>
        <v/>
      </c>
    </row>
    <row r="218" spans="1:16" x14ac:dyDescent="0.2">
      <c r="A218" s="106">
        <f t="shared" si="8"/>
        <v>205</v>
      </c>
      <c r="B218" s="107" t="s">
        <v>2054</v>
      </c>
      <c r="C218" s="116" t="s">
        <v>2055</v>
      </c>
      <c r="D218" s="108" t="s">
        <v>2056</v>
      </c>
      <c r="E218" s="114" t="s">
        <v>2075</v>
      </c>
      <c r="F218" s="126"/>
      <c r="G218" s="145"/>
      <c r="H218" s="111" t="str">
        <f>IF($G218&lt;&gt;"",VLOOKUP($G218,'MASTER TOKO BALI'!$B$2:$W$744,2,FALSE),"")</f>
        <v/>
      </c>
      <c r="I218" s="237" t="str">
        <f>IF($G218&lt;&gt;"",VLOOKUP($G218,'MASTER TOKO BALI'!$B$2:$W$744,4,FALSE),"")</f>
        <v/>
      </c>
      <c r="J218" s="119">
        <v>46274</v>
      </c>
      <c r="K218" s="111" t="str">
        <f>IF($G218&lt;&gt;"",VLOOKUP($G218,'MASTER TOKO BALI'!$B$2:$W$744,12,FALSE),"")</f>
        <v/>
      </c>
      <c r="L218" s="111" t="str">
        <f>IF($G218&lt;&gt;"",VLOOKUP($G218,'MASTER TOKO BALI'!$B$2:$W$744,5,FALSE),"")</f>
        <v/>
      </c>
      <c r="M218" s="106"/>
      <c r="N218" s="111" t="str">
        <f>IF($G218&lt;&gt;"",VLOOKUP($G218,'MASTER TOKO BALI'!$B$2:$W$744,21,FALSE),"")</f>
        <v/>
      </c>
      <c r="O218" s="106"/>
      <c r="P218" s="164" t="str">
        <f>IF($G218&lt;&gt;"",VLOOKUP($G218,'MASTER TOKO BALI'!$B$2:$W$740,7,FALSE),"")</f>
        <v/>
      </c>
    </row>
    <row r="219" spans="1:16" x14ac:dyDescent="0.2">
      <c r="A219" s="106">
        <f t="shared" si="8"/>
        <v>206</v>
      </c>
      <c r="B219" s="107" t="s">
        <v>2038</v>
      </c>
      <c r="C219" s="116" t="s">
        <v>2055</v>
      </c>
      <c r="D219" s="113" t="s">
        <v>2057</v>
      </c>
      <c r="E219" s="114" t="s">
        <v>2075</v>
      </c>
      <c r="F219" s="126"/>
      <c r="G219" s="145"/>
      <c r="H219" s="111" t="str">
        <f>IF($G219&lt;&gt;"",VLOOKUP($G219,'MASTER TOKO BALI'!$B$2:$W$744,2,FALSE),"")</f>
        <v/>
      </c>
      <c r="I219" s="237" t="str">
        <f>IF($G219&lt;&gt;"",VLOOKUP($G219,'MASTER TOKO BALI'!$B$2:$W$744,4,FALSE),"")</f>
        <v/>
      </c>
      <c r="J219" s="119">
        <v>46274</v>
      </c>
      <c r="K219" s="111" t="str">
        <f>IF($G219&lt;&gt;"",VLOOKUP($G219,'MASTER TOKO BALI'!$B$2:$W$744,12,FALSE),"")</f>
        <v/>
      </c>
      <c r="L219" s="111" t="str">
        <f>IF($G219&lt;&gt;"",VLOOKUP($G219,'MASTER TOKO BALI'!$B$2:$W$744,5,FALSE),"")</f>
        <v/>
      </c>
      <c r="M219" s="106"/>
      <c r="N219" s="111" t="str">
        <f>IF($G219&lt;&gt;"",VLOOKUP($G219,'MASTER TOKO BALI'!$B$2:$W$744,21,FALSE),"")</f>
        <v/>
      </c>
      <c r="O219" s="106"/>
      <c r="P219" s="164" t="str">
        <f>IF($G219&lt;&gt;"",VLOOKUP($G219,'MASTER TOKO BALI'!$B$2:$W$740,7,FALSE),"")</f>
        <v/>
      </c>
    </row>
    <row r="220" spans="1:16" x14ac:dyDescent="0.2">
      <c r="A220" s="106">
        <f t="shared" si="8"/>
        <v>207</v>
      </c>
      <c r="B220" s="107" t="s">
        <v>2058</v>
      </c>
      <c r="C220" s="116" t="s">
        <v>2055</v>
      </c>
      <c r="D220" s="108" t="s">
        <v>2059</v>
      </c>
      <c r="E220" s="114" t="s">
        <v>2075</v>
      </c>
      <c r="F220" s="110"/>
      <c r="G220" s="145"/>
      <c r="H220" s="111" t="str">
        <f>IF($G220&lt;&gt;"",VLOOKUP($G220,'MASTER TOKO BALI'!$B$2:$W$744,2,FALSE),"")</f>
        <v/>
      </c>
      <c r="I220" s="237" t="str">
        <f>IF($G220&lt;&gt;"",VLOOKUP($G220,'MASTER TOKO BALI'!$B$2:$W$744,4,FALSE),"")</f>
        <v/>
      </c>
      <c r="J220" s="119">
        <v>46274</v>
      </c>
      <c r="K220" s="111" t="str">
        <f>IF($G220&lt;&gt;"",VLOOKUP($G220,'MASTER TOKO BALI'!$B$2:$W$744,12,FALSE),"")</f>
        <v/>
      </c>
      <c r="L220" s="111" t="str">
        <f>IF($G220&lt;&gt;"",VLOOKUP($G220,'MASTER TOKO BALI'!$B$2:$W$744,5,FALSE),"")</f>
        <v/>
      </c>
      <c r="M220" s="106"/>
      <c r="N220" s="111" t="str">
        <f>IF($G220&lt;&gt;"",VLOOKUP($G220,'MASTER TOKO BALI'!$B$2:$W$744,21,FALSE),"")</f>
        <v/>
      </c>
      <c r="O220" s="106"/>
      <c r="P220" s="164" t="str">
        <f>IF($G220&lt;&gt;"",VLOOKUP($G220,'MASTER TOKO BALI'!$B$2:$W$740,7,FALSE),"")</f>
        <v/>
      </c>
    </row>
    <row r="221" spans="1:16" x14ac:dyDescent="0.2">
      <c r="A221" s="106">
        <f t="shared" si="8"/>
        <v>208</v>
      </c>
      <c r="B221" s="107" t="s">
        <v>2038</v>
      </c>
      <c r="C221" s="116" t="s">
        <v>2055</v>
      </c>
      <c r="D221" s="113" t="s">
        <v>2057</v>
      </c>
      <c r="E221" s="114" t="s">
        <v>2075</v>
      </c>
      <c r="F221" s="126"/>
      <c r="G221" s="145"/>
      <c r="H221" s="111" t="str">
        <f>IF($G221&lt;&gt;"",VLOOKUP($G221,'MASTER TOKO BALI'!$B$2:$W$744,2,FALSE),"")</f>
        <v/>
      </c>
      <c r="I221" s="237" t="str">
        <f>IF($G221&lt;&gt;"",VLOOKUP($G221,'MASTER TOKO BALI'!$B$2:$W$744,4,FALSE),"")</f>
        <v/>
      </c>
      <c r="J221" s="119">
        <v>46274</v>
      </c>
      <c r="K221" s="111" t="str">
        <f>IF($G221&lt;&gt;"",VLOOKUP($G221,'MASTER TOKO BALI'!$B$2:$W$744,12,FALSE),"")</f>
        <v/>
      </c>
      <c r="L221" s="111" t="str">
        <f>IF($G221&lt;&gt;"",VLOOKUP($G221,'MASTER TOKO BALI'!$B$2:$W$744,5,FALSE),"")</f>
        <v/>
      </c>
      <c r="M221" s="106"/>
      <c r="N221" s="111" t="str">
        <f>IF($G221&lt;&gt;"",VLOOKUP($G221,'MASTER TOKO BALI'!$B$2:$W$744,21,FALSE),"")</f>
        <v/>
      </c>
      <c r="O221" s="106"/>
      <c r="P221" s="164" t="str">
        <f>IF($G221&lt;&gt;"",VLOOKUP($G221,'MASTER TOKO BALI'!$B$2:$W$740,7,FALSE),"")</f>
        <v/>
      </c>
    </row>
    <row r="222" spans="1:16" x14ac:dyDescent="0.2">
      <c r="A222" s="106">
        <f t="shared" si="8"/>
        <v>209</v>
      </c>
      <c r="B222" s="107" t="s">
        <v>2060</v>
      </c>
      <c r="C222" s="116" t="s">
        <v>2061</v>
      </c>
      <c r="D222" s="108" t="s">
        <v>2062</v>
      </c>
      <c r="E222" s="114" t="s">
        <v>2075</v>
      </c>
      <c r="F222" s="126"/>
      <c r="G222" s="144"/>
      <c r="H222" s="111" t="str">
        <f>IF($G222&lt;&gt;"",VLOOKUP($G222,'MASTER TOKO BALI'!$B$2:$W$744,2,FALSE),"")</f>
        <v/>
      </c>
      <c r="I222" s="237" t="str">
        <f>IF($G222&lt;&gt;"",VLOOKUP($G222,'MASTER TOKO BALI'!$B$2:$W$744,4,FALSE),"")</f>
        <v/>
      </c>
      <c r="J222" s="119">
        <v>46274</v>
      </c>
      <c r="K222" s="111" t="str">
        <f>IF($G222&lt;&gt;"",VLOOKUP($G222,'MASTER TOKO BALI'!$B$2:$W$744,12,FALSE),"")</f>
        <v/>
      </c>
      <c r="L222" s="111" t="str">
        <f>IF($G222&lt;&gt;"",VLOOKUP($G222,'MASTER TOKO BALI'!$B$2:$W$744,5,FALSE),"")</f>
        <v/>
      </c>
      <c r="M222" s="106"/>
      <c r="N222" s="111" t="str">
        <f>IF($G222&lt;&gt;"",VLOOKUP($G222,'MASTER TOKO BALI'!$B$2:$W$744,21,FALSE),"")</f>
        <v/>
      </c>
      <c r="O222" s="106"/>
      <c r="P222" s="164" t="str">
        <f>IF($G222&lt;&gt;"",VLOOKUP($G222,'MASTER TOKO BALI'!$B$2:$W$740,7,FALSE),"")</f>
        <v/>
      </c>
    </row>
    <row r="223" spans="1:16" x14ac:dyDescent="0.2">
      <c r="A223" s="106">
        <f t="shared" si="8"/>
        <v>210</v>
      </c>
      <c r="B223" s="107" t="s">
        <v>2038</v>
      </c>
      <c r="C223" s="116" t="s">
        <v>2061</v>
      </c>
      <c r="D223" s="113" t="s">
        <v>2063</v>
      </c>
      <c r="E223" s="114" t="s">
        <v>2075</v>
      </c>
      <c r="F223" s="126"/>
      <c r="G223" s="144"/>
      <c r="H223" s="111" t="str">
        <f>IF($G223&lt;&gt;"",VLOOKUP($G223,'MASTER TOKO BALI'!$B$2:$W$744,2,FALSE),"")</f>
        <v/>
      </c>
      <c r="I223" s="237" t="str">
        <f>IF($G223&lt;&gt;"",VLOOKUP($G223,'MASTER TOKO BALI'!$B$2:$W$744,4,FALSE),"")</f>
        <v/>
      </c>
      <c r="J223" s="119">
        <v>46274</v>
      </c>
      <c r="K223" s="111" t="str">
        <f>IF($G223&lt;&gt;"",VLOOKUP($G223,'MASTER TOKO BALI'!$B$2:$W$744,12,FALSE),"")</f>
        <v/>
      </c>
      <c r="L223" s="111" t="str">
        <f>IF($G223&lt;&gt;"",VLOOKUP($G223,'MASTER TOKO BALI'!$B$2:$W$744,5,FALSE),"")</f>
        <v/>
      </c>
      <c r="M223" s="106"/>
      <c r="N223" s="111" t="str">
        <f>IF($G223&lt;&gt;"",VLOOKUP($G223,'MASTER TOKO BALI'!$B$2:$W$744,21,FALSE),"")</f>
        <v/>
      </c>
      <c r="O223" s="106"/>
      <c r="P223" s="164" t="str">
        <f>IF($G223&lt;&gt;"",VLOOKUP($G223,'MASTER TOKO BALI'!$B$2:$W$740,7,FALSE),"")</f>
        <v/>
      </c>
    </row>
    <row r="224" spans="1:16" x14ac:dyDescent="0.2">
      <c r="A224" s="106">
        <f t="shared" si="8"/>
        <v>211</v>
      </c>
      <c r="B224" s="107" t="s">
        <v>2064</v>
      </c>
      <c r="C224" s="116" t="s">
        <v>2061</v>
      </c>
      <c r="D224" s="108" t="s">
        <v>2065</v>
      </c>
      <c r="E224" s="114" t="s">
        <v>2075</v>
      </c>
      <c r="F224" s="126"/>
      <c r="G224" s="144"/>
      <c r="H224" s="111" t="str">
        <f>IF($G224&lt;&gt;"",VLOOKUP($G224,'MASTER TOKO BALI'!$B$2:$W$744,2,FALSE),"")</f>
        <v/>
      </c>
      <c r="I224" s="237" t="str">
        <f>IF($G224&lt;&gt;"",VLOOKUP($G224,'MASTER TOKO BALI'!$B$2:$W$744,4,FALSE),"")</f>
        <v/>
      </c>
      <c r="J224" s="119">
        <v>46274</v>
      </c>
      <c r="K224" s="111" t="str">
        <f>IF($G224&lt;&gt;"",VLOOKUP($G224,'MASTER TOKO BALI'!$B$2:$W$744,12,FALSE),"")</f>
        <v/>
      </c>
      <c r="L224" s="111" t="str">
        <f>IF($G224&lt;&gt;"",VLOOKUP($G224,'MASTER TOKO BALI'!$B$2:$W$744,5,FALSE),"")</f>
        <v/>
      </c>
      <c r="M224" s="106"/>
      <c r="N224" s="111" t="str">
        <f>IF($G224&lt;&gt;"",VLOOKUP($G224,'MASTER TOKO BALI'!$B$2:$W$744,21,FALSE),"")</f>
        <v/>
      </c>
      <c r="O224" s="106"/>
      <c r="P224" s="164" t="str">
        <f>IF($G224&lt;&gt;"",VLOOKUP($G224,'MASTER TOKO BALI'!$B$2:$W$740,7,FALSE),"")</f>
        <v/>
      </c>
    </row>
    <row r="225" spans="1:17" x14ac:dyDescent="0.2">
      <c r="A225" s="106">
        <f t="shared" si="8"/>
        <v>212</v>
      </c>
      <c r="B225" s="107" t="s">
        <v>2066</v>
      </c>
      <c r="C225" s="116" t="s">
        <v>2061</v>
      </c>
      <c r="D225" s="113" t="s">
        <v>2063</v>
      </c>
      <c r="E225" s="114" t="s">
        <v>2075</v>
      </c>
      <c r="F225" s="110"/>
      <c r="G225" s="144"/>
      <c r="H225" s="111" t="str">
        <f>IF($G225&lt;&gt;"",VLOOKUP($G225,'MASTER TOKO BALI'!$B$2:$W$744,2,FALSE),"")</f>
        <v/>
      </c>
      <c r="I225" s="237" t="str">
        <f>IF($G225&lt;&gt;"",VLOOKUP($G225,'MASTER TOKO BALI'!$B$2:$W$744,4,FALSE),"")</f>
        <v/>
      </c>
      <c r="J225" s="119">
        <v>46274</v>
      </c>
      <c r="K225" s="111" t="str">
        <f>IF($G225&lt;&gt;"",VLOOKUP($G225,'MASTER TOKO BALI'!$B$2:$W$744,12,FALSE),"")</f>
        <v/>
      </c>
      <c r="L225" s="111" t="str">
        <f>IF($G225&lt;&gt;"",VLOOKUP($G225,'MASTER TOKO BALI'!$B$2:$W$744,5,FALSE),"")</f>
        <v/>
      </c>
      <c r="M225" s="106"/>
      <c r="N225" s="111" t="str">
        <f>IF($G225&lt;&gt;"",VLOOKUP($G225,'MASTER TOKO BALI'!$B$2:$W$744,21,FALSE),"")</f>
        <v/>
      </c>
      <c r="O225" s="106"/>
      <c r="P225" s="164" t="str">
        <f>IF($G225&lt;&gt;"",VLOOKUP($G225,'MASTER TOKO BALI'!$B$2:$W$740,7,FALSE),"")</f>
        <v/>
      </c>
    </row>
    <row r="226" spans="1:17" x14ac:dyDescent="0.2">
      <c r="A226" s="106">
        <f t="shared" si="8"/>
        <v>213</v>
      </c>
      <c r="B226" s="107" t="s">
        <v>2067</v>
      </c>
      <c r="C226" s="107" t="s">
        <v>2068</v>
      </c>
      <c r="D226" s="108" t="s">
        <v>2069</v>
      </c>
      <c r="E226" s="114" t="s">
        <v>2075</v>
      </c>
      <c r="F226" s="122"/>
      <c r="G226" s="144"/>
      <c r="H226" s="111" t="str">
        <f>IF($G226&lt;&gt;"",VLOOKUP($G226,'MASTER TOKO BALI'!$B$2:$W$744,2,FALSE),"")</f>
        <v/>
      </c>
      <c r="I226" s="237" t="str">
        <f>IF($G226&lt;&gt;"",VLOOKUP($G226,'MASTER TOKO BALI'!$B$2:$W$744,4,FALSE),"")</f>
        <v/>
      </c>
      <c r="J226" s="119">
        <v>46274</v>
      </c>
      <c r="K226" s="111" t="str">
        <f>IF($G226&lt;&gt;"",VLOOKUP($G226,'MASTER TOKO BALI'!$B$2:$W$744,12,FALSE),"")</f>
        <v/>
      </c>
      <c r="L226" s="111" t="str">
        <f>IF($G226&lt;&gt;"",VLOOKUP($G226,'MASTER TOKO BALI'!$B$2:$W$744,5,FALSE),"")</f>
        <v/>
      </c>
      <c r="M226" s="106"/>
      <c r="N226" s="111" t="str">
        <f>IF($G226&lt;&gt;"",VLOOKUP($G226,'MASTER TOKO BALI'!$B$2:$W$744,21,FALSE),"")</f>
        <v/>
      </c>
      <c r="O226" s="106"/>
      <c r="P226" s="164" t="str">
        <f>IF($G226&lt;&gt;"",VLOOKUP($G226,'MASTER TOKO BALI'!$B$2:$W$740,7,FALSE),"")</f>
        <v/>
      </c>
    </row>
    <row r="227" spans="1:17" x14ac:dyDescent="0.2">
      <c r="A227" s="106">
        <f t="shared" si="8"/>
        <v>214</v>
      </c>
      <c r="B227" s="107" t="s">
        <v>2066</v>
      </c>
      <c r="C227" s="107" t="s">
        <v>2068</v>
      </c>
      <c r="D227" s="117" t="s">
        <v>2070</v>
      </c>
      <c r="E227" s="114" t="s">
        <v>2075</v>
      </c>
      <c r="F227" s="126"/>
      <c r="G227" s="144"/>
      <c r="H227" s="111" t="str">
        <f>IF($G227&lt;&gt;"",VLOOKUP($G227,'MASTER TOKO BALI'!$B$2:$W$744,2,FALSE),"")</f>
        <v/>
      </c>
      <c r="I227" s="237" t="str">
        <f>IF($G227&lt;&gt;"",VLOOKUP($G227,'MASTER TOKO BALI'!$B$2:$W$744,4,FALSE),"")</f>
        <v/>
      </c>
      <c r="J227" s="119">
        <v>46274</v>
      </c>
      <c r="K227" s="111" t="str">
        <f>IF($G227&lt;&gt;"",VLOOKUP($G227,'MASTER TOKO BALI'!$B$2:$W$744,12,FALSE),"")</f>
        <v/>
      </c>
      <c r="L227" s="111" t="str">
        <f>IF($G227&lt;&gt;"",VLOOKUP($G227,'MASTER TOKO BALI'!$B$2:$W$744,5,FALSE),"")</f>
        <v/>
      </c>
      <c r="M227" s="106"/>
      <c r="N227" s="111" t="str">
        <f>IF($G227&lt;&gt;"",VLOOKUP($G227,'MASTER TOKO BALI'!$B$2:$W$744,21,FALSE),"")</f>
        <v/>
      </c>
      <c r="O227" s="106"/>
      <c r="P227" s="164" t="str">
        <f>IF($G227&lt;&gt;"",VLOOKUP($G227,'MASTER TOKO BALI'!$B$2:$W$740,7,FALSE),"")</f>
        <v/>
      </c>
    </row>
    <row r="228" spans="1:17" x14ac:dyDescent="0.2">
      <c r="A228" s="106">
        <f t="shared" si="8"/>
        <v>215</v>
      </c>
      <c r="B228" s="107" t="s">
        <v>2071</v>
      </c>
      <c r="C228" s="107" t="s">
        <v>2068</v>
      </c>
      <c r="D228" s="116" t="s">
        <v>2003</v>
      </c>
      <c r="E228" s="114" t="s">
        <v>2075</v>
      </c>
      <c r="F228" s="126"/>
      <c r="G228" s="144"/>
      <c r="H228" s="111" t="str">
        <f>IF($G228&lt;&gt;"",VLOOKUP($G228,'MASTER TOKO BALI'!$B$2:$W$744,2,FALSE),"")</f>
        <v/>
      </c>
      <c r="I228" s="237" t="str">
        <f>IF($G228&lt;&gt;"",VLOOKUP($G228,'MASTER TOKO BALI'!$B$2:$W$744,4,FALSE),"")</f>
        <v/>
      </c>
      <c r="J228" s="119">
        <v>46274</v>
      </c>
      <c r="K228" s="111" t="str">
        <f>IF($G228&lt;&gt;"",VLOOKUP($G228,'MASTER TOKO BALI'!$B$2:$W$744,12,FALSE),"")</f>
        <v/>
      </c>
      <c r="L228" s="111" t="str">
        <f>IF($G228&lt;&gt;"",VLOOKUP($G228,'MASTER TOKO BALI'!$B$2:$W$744,5,FALSE),"")</f>
        <v/>
      </c>
      <c r="M228" s="106"/>
      <c r="N228" s="111" t="str">
        <f>IF($G228&lt;&gt;"",VLOOKUP($G228,'MASTER TOKO BALI'!$B$2:$W$744,21,FALSE),"")</f>
        <v/>
      </c>
      <c r="O228" s="106"/>
      <c r="P228" s="164" t="str">
        <f>IF($G228&lt;&gt;"",VLOOKUP($G228,'MASTER TOKO BALI'!$B$2:$W$740,7,FALSE),"")</f>
        <v/>
      </c>
    </row>
    <row r="229" spans="1:17" x14ac:dyDescent="0.2">
      <c r="A229" s="106">
        <f t="shared" si="8"/>
        <v>216</v>
      </c>
      <c r="B229" s="107" t="s">
        <v>2066</v>
      </c>
      <c r="C229" s="107" t="s">
        <v>2068</v>
      </c>
      <c r="D229" s="117" t="s">
        <v>2070</v>
      </c>
      <c r="E229" s="114" t="s">
        <v>2075</v>
      </c>
      <c r="F229" s="126"/>
      <c r="G229" s="144"/>
      <c r="H229" s="111" t="str">
        <f>IF($G229&lt;&gt;"",VLOOKUP($G229,'MASTER TOKO BALI'!$B$2:$W$744,2,FALSE),"")</f>
        <v/>
      </c>
      <c r="I229" s="237" t="str">
        <f>IF($G229&lt;&gt;"",VLOOKUP($G229,'MASTER TOKO BALI'!$B$2:$W$744,4,FALSE),"")</f>
        <v/>
      </c>
      <c r="J229" s="119">
        <v>46274</v>
      </c>
      <c r="K229" s="111" t="str">
        <f>IF($G229&lt;&gt;"",VLOOKUP($G229,'MASTER TOKO BALI'!$B$2:$W$744,12,FALSE),"")</f>
        <v/>
      </c>
      <c r="L229" s="111" t="str">
        <f>IF($G229&lt;&gt;"",VLOOKUP($G229,'MASTER TOKO BALI'!$B$2:$W$744,5,FALSE),"")</f>
        <v/>
      </c>
      <c r="M229" s="106"/>
      <c r="N229" s="111" t="str">
        <f>IF($G229&lt;&gt;"",VLOOKUP($G229,'MASTER TOKO BALI'!$B$2:$W$744,21,FALSE),"")</f>
        <v/>
      </c>
      <c r="O229" s="106"/>
      <c r="P229" s="164" t="str">
        <f>IF($G229&lt;&gt;"",VLOOKUP($G229,'MASTER TOKO BALI'!$B$2:$W$740,7,FALSE),"")</f>
        <v/>
      </c>
    </row>
    <row r="230" spans="1:17" x14ac:dyDescent="0.2">
      <c r="A230" s="106"/>
      <c r="B230" s="107"/>
      <c r="C230" s="107"/>
      <c r="D230" s="111"/>
      <c r="E230" s="114"/>
      <c r="F230" s="126"/>
      <c r="G230" s="144"/>
      <c r="H230" s="111" t="str">
        <f>IF($G230&lt;&gt;"",VLOOKUP($G230,'MASTER TOKO BALI'!$B$2:$W$744,2,FALSE),"")</f>
        <v/>
      </c>
      <c r="I230" s="237" t="str">
        <f>IF($G230&lt;&gt;"",VLOOKUP($G230,'MASTER TOKO BALI'!$B$2:$W$744,4,FALSE),"")</f>
        <v/>
      </c>
      <c r="J230" s="119"/>
      <c r="K230" s="111" t="str">
        <f>IF($G230&lt;&gt;"",VLOOKUP($G230,'MASTER TOKO BALI'!$B$2:$W$744,12,FALSE),"")</f>
        <v/>
      </c>
      <c r="L230" s="111" t="str">
        <f>IF($G230&lt;&gt;"",VLOOKUP($G230,'MASTER TOKO BALI'!$B$2:$W$744,5,FALSE),"")</f>
        <v/>
      </c>
      <c r="M230" s="106"/>
      <c r="N230" s="111" t="str">
        <f>IF($G230&lt;&gt;"",VLOOKUP($G230,'MASTER TOKO BALI'!$B$2:$W$744,21,FALSE),"")</f>
        <v/>
      </c>
      <c r="O230" s="106"/>
      <c r="P230" s="164" t="str">
        <f>IF($G230&lt;&gt;"",VLOOKUP($G230,'MASTER TOKO BALI'!$B$2:$W$740,7,FALSE),"")</f>
        <v/>
      </c>
    </row>
    <row r="231" spans="1:17" ht="14.4" x14ac:dyDescent="0.3">
      <c r="A231" s="106">
        <f>A229+1</f>
        <v>217</v>
      </c>
      <c r="B231" s="107" t="s">
        <v>2034</v>
      </c>
      <c r="C231" s="107" t="s">
        <v>2035</v>
      </c>
      <c r="D231" s="108" t="s">
        <v>2036</v>
      </c>
      <c r="E231" s="109" t="s">
        <v>2076</v>
      </c>
      <c r="F231" s="126"/>
      <c r="G231" s="60"/>
      <c r="H231" s="111" t="str">
        <f>IF($G231&lt;&gt;"",VLOOKUP($G231,'MASTER TOKO BALI'!$B$2:$W$744,2,FALSE),"")</f>
        <v/>
      </c>
      <c r="I231" s="237" t="str">
        <f>IF($G231&lt;&gt;"",VLOOKUP($G231,'MASTER TOKO BALI'!$B$2:$W$744,4,FALSE),"")</f>
        <v/>
      </c>
      <c r="J231" s="112">
        <v>46275</v>
      </c>
      <c r="K231" s="111" t="str">
        <f>IF($G231&lt;&gt;"",VLOOKUP($G231,'MASTER TOKO BALI'!$B$2:$W$744,12,FALSE),"")</f>
        <v/>
      </c>
      <c r="L231" s="111" t="str">
        <f>IF($G231&lt;&gt;"",VLOOKUP($G231,'MASTER TOKO BALI'!$B$2:$W$744,5,FALSE),"")</f>
        <v/>
      </c>
      <c r="M231" s="65"/>
      <c r="N231" s="111" t="str">
        <f>IF($G231&lt;&gt;"",VLOOKUP($G231,'MASTER TOKO BALI'!$B$2:$W$744,21,FALSE),"")</f>
        <v/>
      </c>
      <c r="O231" s="106"/>
      <c r="P231" s="164" t="str">
        <f>IF($G231&lt;&gt;"",VLOOKUP($G231,'MASTER TOKO BALI'!$B$2:$W$740,7,FALSE),"")</f>
        <v/>
      </c>
      <c r="Q231" s="61"/>
    </row>
    <row r="232" spans="1:17" ht="14.4" x14ac:dyDescent="0.3">
      <c r="A232" s="106">
        <f t="shared" ref="A232:A255" si="9">A231+1</f>
        <v>218</v>
      </c>
      <c r="B232" s="107" t="s">
        <v>2038</v>
      </c>
      <c r="C232" s="107" t="s">
        <v>2035</v>
      </c>
      <c r="D232" s="113" t="s">
        <v>2039</v>
      </c>
      <c r="E232" s="109" t="s">
        <v>2076</v>
      </c>
      <c r="F232" s="126"/>
      <c r="G232" s="60"/>
      <c r="H232" s="111" t="str">
        <f>IF($G232&lt;&gt;"",VLOOKUP($G232,'MASTER TOKO BALI'!$B$2:$W$744,2,FALSE),"")</f>
        <v/>
      </c>
      <c r="I232" s="237" t="str">
        <f>IF($G232&lt;&gt;"",VLOOKUP($G232,'MASTER TOKO BALI'!$B$2:$W$744,4,FALSE),"")</f>
        <v/>
      </c>
      <c r="J232" s="112">
        <v>46275</v>
      </c>
      <c r="K232" s="111" t="str">
        <f>IF($G232&lt;&gt;"",VLOOKUP($G232,'MASTER TOKO BALI'!$B$2:$W$744,12,FALSE),"")</f>
        <v/>
      </c>
      <c r="L232" s="111" t="str">
        <f>IF($G232&lt;&gt;"",VLOOKUP($G232,'MASTER TOKO BALI'!$B$2:$W$744,5,FALSE),"")</f>
        <v/>
      </c>
      <c r="M232" s="65"/>
      <c r="N232" s="111" t="str">
        <f>IF($G232&lt;&gt;"",VLOOKUP($G232,'MASTER TOKO BALI'!$B$2:$W$744,21,FALSE),"")</f>
        <v/>
      </c>
      <c r="O232" s="106"/>
      <c r="P232" s="164" t="str">
        <f>IF($G232&lt;&gt;"",VLOOKUP($G232,'MASTER TOKO BALI'!$B$2:$W$740,7,FALSE),"")</f>
        <v/>
      </c>
      <c r="Q232" s="61"/>
    </row>
    <row r="233" spans="1:17" ht="14.4" x14ac:dyDescent="0.3">
      <c r="A233" s="106">
        <f t="shared" si="9"/>
        <v>219</v>
      </c>
      <c r="B233" s="107" t="s">
        <v>2040</v>
      </c>
      <c r="C233" s="107" t="s">
        <v>2035</v>
      </c>
      <c r="D233" s="108" t="s">
        <v>2041</v>
      </c>
      <c r="E233" s="109" t="s">
        <v>2076</v>
      </c>
      <c r="F233" s="126"/>
      <c r="G233" s="60"/>
      <c r="H233" s="111" t="str">
        <f>IF($G233&lt;&gt;"",VLOOKUP($G233,'MASTER TOKO BALI'!$B$2:$W$744,2,FALSE),"")</f>
        <v/>
      </c>
      <c r="I233" s="237" t="str">
        <f>IF($G233&lt;&gt;"",VLOOKUP($G233,'MASTER TOKO BALI'!$B$2:$W$744,4,FALSE),"")</f>
        <v/>
      </c>
      <c r="J233" s="112">
        <v>46275</v>
      </c>
      <c r="K233" s="111" t="str">
        <f>IF($G233&lt;&gt;"",VLOOKUP($G233,'MASTER TOKO BALI'!$B$2:$W$744,12,FALSE),"")</f>
        <v/>
      </c>
      <c r="L233" s="111" t="str">
        <f>IF($G233&lt;&gt;"",VLOOKUP($G233,'MASTER TOKO BALI'!$B$2:$W$744,5,FALSE),"")</f>
        <v/>
      </c>
      <c r="M233" s="65"/>
      <c r="N233" s="111" t="str">
        <f>IF($G233&lt;&gt;"",VLOOKUP($G233,'MASTER TOKO BALI'!$B$2:$W$744,21,FALSE),"")</f>
        <v/>
      </c>
      <c r="O233" s="106"/>
      <c r="P233" s="164" t="str">
        <f>IF($G233&lt;&gt;"",VLOOKUP($G233,'MASTER TOKO BALI'!$B$2:$W$740,7,FALSE),"")</f>
        <v/>
      </c>
      <c r="Q233" s="61"/>
    </row>
    <row r="234" spans="1:17" ht="14.4" x14ac:dyDescent="0.3">
      <c r="A234" s="106">
        <f t="shared" si="9"/>
        <v>220</v>
      </c>
      <c r="B234" s="107" t="s">
        <v>2038</v>
      </c>
      <c r="C234" s="107" t="s">
        <v>2035</v>
      </c>
      <c r="D234" s="113" t="s">
        <v>2039</v>
      </c>
      <c r="E234" s="109" t="s">
        <v>2076</v>
      </c>
      <c r="F234" s="126"/>
      <c r="G234" s="60"/>
      <c r="H234" s="111" t="str">
        <f>IF($G234&lt;&gt;"",VLOOKUP($G234,'MASTER TOKO BALI'!$B$2:$W$744,2,FALSE),"")</f>
        <v/>
      </c>
      <c r="I234" s="237" t="str">
        <f>IF($G234&lt;&gt;"",VLOOKUP($G234,'MASTER TOKO BALI'!$B$2:$W$744,4,FALSE),"")</f>
        <v/>
      </c>
      <c r="J234" s="112">
        <v>46275</v>
      </c>
      <c r="K234" s="111" t="str">
        <f>IF($G234&lt;&gt;"",VLOOKUP($G234,'MASTER TOKO BALI'!$B$2:$W$744,12,FALSE),"")</f>
        <v/>
      </c>
      <c r="L234" s="111" t="str">
        <f>IF($G234&lt;&gt;"",VLOOKUP($G234,'MASTER TOKO BALI'!$B$2:$W$744,5,FALSE),"")</f>
        <v/>
      </c>
      <c r="M234" s="65"/>
      <c r="N234" s="111" t="str">
        <f>IF($G234&lt;&gt;"",VLOOKUP($G234,'MASTER TOKO BALI'!$B$2:$W$744,21,FALSE),"")</f>
        <v/>
      </c>
      <c r="O234" s="106"/>
      <c r="P234" s="164" t="str">
        <f>IF($G234&lt;&gt;"",VLOOKUP($G234,'MASTER TOKO BALI'!$B$2:$W$740,7,FALSE),"")</f>
        <v/>
      </c>
      <c r="Q234" s="61"/>
    </row>
    <row r="235" spans="1:17" ht="14.4" x14ac:dyDescent="0.3">
      <c r="A235" s="106"/>
      <c r="B235" s="107" t="s">
        <v>2042</v>
      </c>
      <c r="C235" s="107" t="s">
        <v>2043</v>
      </c>
      <c r="D235" s="108" t="s">
        <v>2044</v>
      </c>
      <c r="E235" s="109" t="s">
        <v>2076</v>
      </c>
      <c r="F235" s="110"/>
      <c r="G235" s="145"/>
      <c r="H235" s="111" t="str">
        <f>IF($G235&lt;&gt;"",VLOOKUP($G235,'MASTER TOKO BALI'!$B$2:$W$744,2,FALSE),"")</f>
        <v/>
      </c>
      <c r="I235" s="237" t="str">
        <f>IF($G235&lt;&gt;"",VLOOKUP($G235,'MASTER TOKO BALI'!$B$2:$W$744,4,FALSE),"")</f>
        <v/>
      </c>
      <c r="J235" s="112">
        <v>46275</v>
      </c>
      <c r="K235" s="111" t="str">
        <f>IF($G235&lt;&gt;"",VLOOKUP($G235,'MASTER TOKO BALI'!$B$2:$W$744,12,FALSE),"")</f>
        <v/>
      </c>
      <c r="L235" s="111" t="str">
        <f>IF($G235&lt;&gt;"",VLOOKUP($G235,'MASTER TOKO BALI'!$B$2:$W$744,5,FALSE),"")</f>
        <v/>
      </c>
      <c r="M235" s="65"/>
      <c r="N235" s="111" t="str">
        <f>IF($G235&lt;&gt;"",VLOOKUP($G235,'MASTER TOKO BALI'!$B$2:$W$744,21,FALSE),"")</f>
        <v/>
      </c>
      <c r="O235" s="106"/>
      <c r="P235" s="164" t="str">
        <f>IF($G235&lt;&gt;"",VLOOKUP($G235,'MASTER TOKO BALI'!$B$2:$W$740,7,FALSE),"")</f>
        <v/>
      </c>
      <c r="Q235" s="61"/>
    </row>
    <row r="236" spans="1:17" ht="14.4" x14ac:dyDescent="0.3">
      <c r="A236" s="106">
        <f>A234+1</f>
        <v>221</v>
      </c>
      <c r="B236" s="107" t="s">
        <v>2038</v>
      </c>
      <c r="C236" s="107" t="s">
        <v>2043</v>
      </c>
      <c r="D236" s="113" t="s">
        <v>2045</v>
      </c>
      <c r="E236" s="109" t="s">
        <v>2076</v>
      </c>
      <c r="F236" s="110"/>
      <c r="G236" s="145"/>
      <c r="H236" s="111" t="str">
        <f>IF($G236&lt;&gt;"",VLOOKUP($G236,'MASTER TOKO BALI'!$B$2:$W$744,2,FALSE),"")</f>
        <v/>
      </c>
      <c r="I236" s="237" t="str">
        <f>IF($G236&lt;&gt;"",VLOOKUP($G236,'MASTER TOKO BALI'!$B$2:$W$744,4,FALSE),"")</f>
        <v/>
      </c>
      <c r="J236" s="112">
        <v>46275</v>
      </c>
      <c r="K236" s="111" t="str">
        <f>IF($G236&lt;&gt;"",VLOOKUP($G236,'MASTER TOKO BALI'!$B$2:$W$744,12,FALSE),"")</f>
        <v/>
      </c>
      <c r="L236" s="111" t="str">
        <f>IF($G236&lt;&gt;"",VLOOKUP($G236,'MASTER TOKO BALI'!$B$2:$W$744,5,FALSE),"")</f>
        <v/>
      </c>
      <c r="M236" s="65"/>
      <c r="N236" s="111" t="str">
        <f>IF($G236&lt;&gt;"",VLOOKUP($G236,'MASTER TOKO BALI'!$B$2:$W$744,21,FALSE),"")</f>
        <v/>
      </c>
      <c r="O236" s="106"/>
      <c r="P236" s="164" t="str">
        <f>IF($G236&lt;&gt;"",VLOOKUP($G236,'MASTER TOKO BALI'!$B$2:$W$740,7,FALSE),"")</f>
        <v/>
      </c>
      <c r="Q236" s="61"/>
    </row>
    <row r="237" spans="1:17" ht="14.4" x14ac:dyDescent="0.3">
      <c r="A237" s="106">
        <f t="shared" si="9"/>
        <v>222</v>
      </c>
      <c r="B237" s="107" t="s">
        <v>2046</v>
      </c>
      <c r="C237" s="107" t="s">
        <v>2043</v>
      </c>
      <c r="D237" s="108" t="s">
        <v>2047</v>
      </c>
      <c r="E237" s="109" t="s">
        <v>2076</v>
      </c>
      <c r="F237" s="110"/>
      <c r="G237" s="145"/>
      <c r="H237" s="111" t="str">
        <f>IF($G237&lt;&gt;"",VLOOKUP($G237,'MASTER TOKO BALI'!$B$2:$W$744,2,FALSE),"")</f>
        <v/>
      </c>
      <c r="I237" s="237" t="str">
        <f>IF($G237&lt;&gt;"",VLOOKUP($G237,'MASTER TOKO BALI'!$B$2:$W$744,4,FALSE),"")</f>
        <v/>
      </c>
      <c r="J237" s="112">
        <v>46275</v>
      </c>
      <c r="K237" s="111" t="str">
        <f>IF($G237&lt;&gt;"",VLOOKUP($G237,'MASTER TOKO BALI'!$B$2:$W$744,12,FALSE),"")</f>
        <v/>
      </c>
      <c r="L237" s="111" t="str">
        <f>IF($G237&lt;&gt;"",VLOOKUP($G237,'MASTER TOKO BALI'!$B$2:$W$744,5,FALSE),"")</f>
        <v/>
      </c>
      <c r="M237" s="65"/>
      <c r="N237" s="111" t="str">
        <f>IF($G237&lt;&gt;"",VLOOKUP($G237,'MASTER TOKO BALI'!$B$2:$W$744,21,FALSE),"")</f>
        <v/>
      </c>
      <c r="O237" s="106"/>
      <c r="P237" s="164" t="str">
        <f>IF($G237&lt;&gt;"",VLOOKUP($G237,'MASTER TOKO BALI'!$B$2:$W$740,7,FALSE),"")</f>
        <v/>
      </c>
      <c r="Q237" s="61"/>
    </row>
    <row r="238" spans="1:17" ht="14.4" x14ac:dyDescent="0.3">
      <c r="A238" s="106">
        <f t="shared" si="9"/>
        <v>223</v>
      </c>
      <c r="B238" s="107" t="s">
        <v>2038</v>
      </c>
      <c r="C238" s="107" t="s">
        <v>2043</v>
      </c>
      <c r="D238" s="113" t="s">
        <v>2045</v>
      </c>
      <c r="E238" s="109" t="s">
        <v>2076</v>
      </c>
      <c r="F238" s="110"/>
      <c r="G238" s="60"/>
      <c r="H238" s="111" t="str">
        <f>IF($G238&lt;&gt;"",VLOOKUP($G238,'MASTER TOKO BALI'!$B$2:$W$744,2,FALSE),"")</f>
        <v/>
      </c>
      <c r="I238" s="237" t="str">
        <f>IF($G238&lt;&gt;"",VLOOKUP($G238,'MASTER TOKO BALI'!$B$2:$W$744,4,FALSE),"")</f>
        <v/>
      </c>
      <c r="J238" s="112">
        <v>46275</v>
      </c>
      <c r="K238" s="111" t="str">
        <f>IF($G238&lt;&gt;"",VLOOKUP($G238,'MASTER TOKO BALI'!$B$2:$W$744,12,FALSE),"")</f>
        <v/>
      </c>
      <c r="L238" s="111" t="str">
        <f>IF($G238&lt;&gt;"",VLOOKUP($G238,'MASTER TOKO BALI'!$B$2:$W$744,5,FALSE),"")</f>
        <v/>
      </c>
      <c r="M238" s="65"/>
      <c r="N238" s="111" t="str">
        <f>IF($G238&lt;&gt;"",VLOOKUP($G238,'MASTER TOKO BALI'!$B$2:$W$744,21,FALSE),"")</f>
        <v/>
      </c>
      <c r="O238" s="106"/>
      <c r="P238" s="164" t="str">
        <f>IF($G238&lt;&gt;"",VLOOKUP($G238,'MASTER TOKO BALI'!$B$2:$W$740,7,FALSE),"")</f>
        <v/>
      </c>
      <c r="Q238" s="61"/>
    </row>
    <row r="239" spans="1:17" ht="14.4" x14ac:dyDescent="0.3">
      <c r="A239" s="106">
        <f t="shared" si="9"/>
        <v>224</v>
      </c>
      <c r="B239" s="107" t="s">
        <v>2048</v>
      </c>
      <c r="C239" s="107" t="s">
        <v>2049</v>
      </c>
      <c r="D239" s="108" t="s">
        <v>2050</v>
      </c>
      <c r="E239" s="109" t="s">
        <v>2076</v>
      </c>
      <c r="F239" s="127"/>
      <c r="G239" s="60"/>
      <c r="H239" s="111" t="str">
        <f>IF($G239&lt;&gt;"",VLOOKUP($G239,'MASTER TOKO BALI'!$B$2:$W$744,2,FALSE),"")</f>
        <v/>
      </c>
      <c r="I239" s="237" t="str">
        <f>IF($G239&lt;&gt;"",VLOOKUP($G239,'MASTER TOKO BALI'!$B$2:$W$744,4,FALSE),"")</f>
        <v/>
      </c>
      <c r="J239" s="112">
        <v>46275</v>
      </c>
      <c r="K239" s="111" t="str">
        <f>IF($G239&lt;&gt;"",VLOOKUP($G239,'MASTER TOKO BALI'!$B$2:$W$744,12,FALSE),"")</f>
        <v/>
      </c>
      <c r="L239" s="111" t="str">
        <f>IF($G239&lt;&gt;"",VLOOKUP($G239,'MASTER TOKO BALI'!$B$2:$W$744,5,FALSE),"")</f>
        <v/>
      </c>
      <c r="M239" s="65"/>
      <c r="N239" s="111" t="str">
        <f>IF($G239&lt;&gt;"",VLOOKUP($G239,'MASTER TOKO BALI'!$B$2:$W$744,21,FALSE),"")</f>
        <v/>
      </c>
      <c r="O239" s="106"/>
      <c r="P239" s="164" t="str">
        <f>IF($G239&lt;&gt;"",VLOOKUP($G239,'MASTER TOKO BALI'!$B$2:$W$740,7,FALSE),"")</f>
        <v/>
      </c>
      <c r="Q239" s="61"/>
    </row>
    <row r="240" spans="1:17" ht="14.4" x14ac:dyDescent="0.3">
      <c r="A240" s="106">
        <f t="shared" si="9"/>
        <v>225</v>
      </c>
      <c r="B240" s="107" t="s">
        <v>2038</v>
      </c>
      <c r="C240" s="107" t="s">
        <v>2049</v>
      </c>
      <c r="D240" s="115" t="s">
        <v>2051</v>
      </c>
      <c r="E240" s="109" t="s">
        <v>2076</v>
      </c>
      <c r="F240" s="122"/>
      <c r="G240" s="60"/>
      <c r="H240" s="111" t="str">
        <f>IF($G240&lt;&gt;"",VLOOKUP($G240,'MASTER TOKO BALI'!$B$2:$W$744,2,FALSE),"")</f>
        <v/>
      </c>
      <c r="I240" s="237" t="str">
        <f>IF($G240&lt;&gt;"",VLOOKUP($G240,'MASTER TOKO BALI'!$B$2:$W$744,4,FALSE),"")</f>
        <v/>
      </c>
      <c r="J240" s="112">
        <v>46275</v>
      </c>
      <c r="K240" s="111" t="str">
        <f>IF($G240&lt;&gt;"",VLOOKUP($G240,'MASTER TOKO BALI'!$B$2:$W$744,12,FALSE),"")</f>
        <v/>
      </c>
      <c r="L240" s="111" t="str">
        <f>IF($G240&lt;&gt;"",VLOOKUP($G240,'MASTER TOKO BALI'!$B$2:$W$744,5,FALSE),"")</f>
        <v/>
      </c>
      <c r="M240" s="65"/>
      <c r="N240" s="111" t="str">
        <f>IF($G240&lt;&gt;"",VLOOKUP($G240,'MASTER TOKO BALI'!$B$2:$W$744,21,FALSE),"")</f>
        <v/>
      </c>
      <c r="O240" s="106"/>
      <c r="P240" s="164" t="str">
        <f>IF($G240&lt;&gt;"",VLOOKUP($G240,'MASTER TOKO BALI'!$B$2:$W$740,7,FALSE),"")</f>
        <v/>
      </c>
      <c r="Q240" s="61"/>
    </row>
    <row r="241" spans="1:17" ht="14.4" x14ac:dyDescent="0.3">
      <c r="A241" s="106">
        <f t="shared" si="9"/>
        <v>226</v>
      </c>
      <c r="B241" s="107" t="s">
        <v>2052</v>
      </c>
      <c r="C241" s="107" t="s">
        <v>2049</v>
      </c>
      <c r="D241" s="108" t="s">
        <v>2053</v>
      </c>
      <c r="E241" s="109" t="s">
        <v>2076</v>
      </c>
      <c r="F241" s="126"/>
      <c r="G241" s="60"/>
      <c r="H241" s="111" t="str">
        <f>IF($G241&lt;&gt;"",VLOOKUP($G241,'MASTER TOKO BALI'!$B$2:$W$744,2,FALSE),"")</f>
        <v/>
      </c>
      <c r="I241" s="237" t="str">
        <f>IF($G241&lt;&gt;"",VLOOKUP($G241,'MASTER TOKO BALI'!$B$2:$W$744,4,FALSE),"")</f>
        <v/>
      </c>
      <c r="J241" s="112">
        <v>46275</v>
      </c>
      <c r="K241" s="111" t="str">
        <f>IF($G241&lt;&gt;"",VLOOKUP($G241,'MASTER TOKO BALI'!$B$2:$W$744,12,FALSE),"")</f>
        <v/>
      </c>
      <c r="L241" s="111" t="str">
        <f>IF($G241&lt;&gt;"",VLOOKUP($G241,'MASTER TOKO BALI'!$B$2:$W$744,5,FALSE),"")</f>
        <v/>
      </c>
      <c r="M241" s="65"/>
      <c r="N241" s="111" t="str">
        <f>IF($G241&lt;&gt;"",VLOOKUP($G241,'MASTER TOKO BALI'!$B$2:$W$744,21,FALSE),"")</f>
        <v/>
      </c>
      <c r="O241" s="106"/>
      <c r="P241" s="164" t="str">
        <f>IF($G241&lt;&gt;"",VLOOKUP($G241,'MASTER TOKO BALI'!$B$2:$W$740,7,FALSE),"")</f>
        <v/>
      </c>
      <c r="Q241" s="61"/>
    </row>
    <row r="242" spans="1:17" ht="14.4" x14ac:dyDescent="0.3">
      <c r="A242" s="106">
        <f t="shared" si="9"/>
        <v>227</v>
      </c>
      <c r="B242" s="107" t="s">
        <v>2038</v>
      </c>
      <c r="C242" s="107" t="s">
        <v>2049</v>
      </c>
      <c r="D242" s="113" t="s">
        <v>2051</v>
      </c>
      <c r="E242" s="109" t="s">
        <v>2076</v>
      </c>
      <c r="F242" s="126"/>
      <c r="G242" s="60"/>
      <c r="H242" s="111" t="str">
        <f>IF($G242&lt;&gt;"",VLOOKUP($G242,'MASTER TOKO BALI'!$B$2:$W$744,2,FALSE),"")</f>
        <v/>
      </c>
      <c r="I242" s="237" t="str">
        <f>IF($G242&lt;&gt;"",VLOOKUP($G242,'MASTER TOKO BALI'!$B$2:$W$744,4,FALSE),"")</f>
        <v/>
      </c>
      <c r="J242" s="112">
        <v>46275</v>
      </c>
      <c r="K242" s="111" t="str">
        <f>IF($G242&lt;&gt;"",VLOOKUP($G242,'MASTER TOKO BALI'!$B$2:$W$744,12,FALSE),"")</f>
        <v/>
      </c>
      <c r="L242" s="111" t="str">
        <f>IF($G242&lt;&gt;"",VLOOKUP($G242,'MASTER TOKO BALI'!$B$2:$W$744,5,FALSE),"")</f>
        <v/>
      </c>
      <c r="M242" s="65"/>
      <c r="N242" s="111" t="str">
        <f>IF($G242&lt;&gt;"",VLOOKUP($G242,'MASTER TOKO BALI'!$B$2:$W$744,21,FALSE),"")</f>
        <v/>
      </c>
      <c r="O242" s="106"/>
      <c r="P242" s="164" t="str">
        <f>IF($G242&lt;&gt;"",VLOOKUP($G242,'MASTER TOKO BALI'!$B$2:$W$740,7,FALSE),"")</f>
        <v/>
      </c>
      <c r="Q242" s="61"/>
    </row>
    <row r="243" spans="1:17" ht="14.4" x14ac:dyDescent="0.3">
      <c r="A243" s="106">
        <f t="shared" si="9"/>
        <v>228</v>
      </c>
      <c r="B243" s="107" t="s">
        <v>2054</v>
      </c>
      <c r="C243" s="116" t="s">
        <v>2055</v>
      </c>
      <c r="D243" s="108" t="s">
        <v>2056</v>
      </c>
      <c r="E243" s="109" t="s">
        <v>2076</v>
      </c>
      <c r="F243" s="126"/>
      <c r="G243" s="60"/>
      <c r="H243" s="111" t="str">
        <f>IF($G243&lt;&gt;"",VLOOKUP($G243,'MASTER TOKO BALI'!$B$2:$W$744,2,FALSE),"")</f>
        <v/>
      </c>
      <c r="I243" s="237" t="str">
        <f>IF($G243&lt;&gt;"",VLOOKUP($G243,'MASTER TOKO BALI'!$B$2:$W$744,4,FALSE),"")</f>
        <v/>
      </c>
      <c r="J243" s="112">
        <v>46275</v>
      </c>
      <c r="K243" s="111" t="str">
        <f>IF($G243&lt;&gt;"",VLOOKUP($G243,'MASTER TOKO BALI'!$B$2:$W$744,12,FALSE),"")</f>
        <v/>
      </c>
      <c r="L243" s="111" t="str">
        <f>IF($G243&lt;&gt;"",VLOOKUP($G243,'MASTER TOKO BALI'!$B$2:$W$744,5,FALSE),"")</f>
        <v/>
      </c>
      <c r="M243" s="65"/>
      <c r="N243" s="111" t="str">
        <f>IF($G243&lt;&gt;"",VLOOKUP($G243,'MASTER TOKO BALI'!$B$2:$W$744,21,FALSE),"")</f>
        <v/>
      </c>
      <c r="O243" s="106"/>
      <c r="P243" s="164" t="str">
        <f>IF($G243&lt;&gt;"",VLOOKUP($G243,'MASTER TOKO BALI'!$B$2:$W$740,7,FALSE),"")</f>
        <v/>
      </c>
      <c r="Q243" s="61"/>
    </row>
    <row r="244" spans="1:17" ht="14.4" x14ac:dyDescent="0.3">
      <c r="A244" s="106">
        <f t="shared" si="9"/>
        <v>229</v>
      </c>
      <c r="B244" s="107" t="s">
        <v>2038</v>
      </c>
      <c r="C244" s="116" t="s">
        <v>2055</v>
      </c>
      <c r="D244" s="113" t="s">
        <v>2057</v>
      </c>
      <c r="E244" s="109" t="s">
        <v>2076</v>
      </c>
      <c r="F244" s="126"/>
      <c r="G244" s="60"/>
      <c r="H244" s="111" t="str">
        <f>IF($G244&lt;&gt;"",VLOOKUP($G244,'MASTER TOKO BALI'!$B$2:$W$744,2,FALSE),"")</f>
        <v/>
      </c>
      <c r="I244" s="237" t="str">
        <f>IF($G244&lt;&gt;"",VLOOKUP($G244,'MASTER TOKO BALI'!$B$2:$W$744,4,FALSE),"")</f>
        <v/>
      </c>
      <c r="J244" s="112">
        <v>46275</v>
      </c>
      <c r="K244" s="111" t="str">
        <f>IF($G244&lt;&gt;"",VLOOKUP($G244,'MASTER TOKO BALI'!$B$2:$W$744,12,FALSE),"")</f>
        <v/>
      </c>
      <c r="L244" s="111" t="str">
        <f>IF($G244&lt;&gt;"",VLOOKUP($G244,'MASTER TOKO BALI'!$B$2:$W$744,5,FALSE),"")</f>
        <v/>
      </c>
      <c r="M244" s="65"/>
      <c r="N244" s="111" t="str">
        <f>IF($G244&lt;&gt;"",VLOOKUP($G244,'MASTER TOKO BALI'!$B$2:$W$744,21,FALSE),"")</f>
        <v/>
      </c>
      <c r="O244" s="106"/>
      <c r="P244" s="164" t="str">
        <f>IF($G244&lt;&gt;"",VLOOKUP($G244,'MASTER TOKO BALI'!$B$2:$W$740,7,FALSE),"")</f>
        <v/>
      </c>
      <c r="Q244" s="61"/>
    </row>
    <row r="245" spans="1:17" ht="14.4" x14ac:dyDescent="0.3">
      <c r="A245" s="106">
        <f t="shared" si="9"/>
        <v>230</v>
      </c>
      <c r="B245" s="107" t="s">
        <v>2058</v>
      </c>
      <c r="C245" s="116" t="s">
        <v>2055</v>
      </c>
      <c r="D245" s="108" t="s">
        <v>2059</v>
      </c>
      <c r="E245" s="109" t="s">
        <v>2076</v>
      </c>
      <c r="F245" s="110"/>
      <c r="G245" s="60"/>
      <c r="H245" s="111" t="str">
        <f>IF($G245&lt;&gt;"",VLOOKUP($G245,'MASTER TOKO BALI'!$B$2:$W$744,2,FALSE),"")</f>
        <v/>
      </c>
      <c r="I245" s="237" t="str">
        <f>IF($G245&lt;&gt;"",VLOOKUP($G245,'MASTER TOKO BALI'!$B$2:$W$744,4,FALSE),"")</f>
        <v/>
      </c>
      <c r="J245" s="112">
        <v>46275</v>
      </c>
      <c r="K245" s="111" t="str">
        <f>IF($G245&lt;&gt;"",VLOOKUP($G245,'MASTER TOKO BALI'!$B$2:$W$744,12,FALSE),"")</f>
        <v/>
      </c>
      <c r="L245" s="111" t="str">
        <f>IF($G245&lt;&gt;"",VLOOKUP($G245,'MASTER TOKO BALI'!$B$2:$W$744,5,FALSE),"")</f>
        <v/>
      </c>
      <c r="M245" s="65"/>
      <c r="N245" s="111" t="str">
        <f>IF($G245&lt;&gt;"",VLOOKUP($G245,'MASTER TOKO BALI'!$B$2:$W$744,21,FALSE),"")</f>
        <v/>
      </c>
      <c r="O245" s="106"/>
      <c r="P245" s="164" t="str">
        <f>IF($G245&lt;&gt;"",VLOOKUP($G245,'MASTER TOKO BALI'!$B$2:$W$740,7,FALSE),"")</f>
        <v/>
      </c>
      <c r="Q245" s="61"/>
    </row>
    <row r="246" spans="1:17" ht="14.4" x14ac:dyDescent="0.3">
      <c r="A246" s="106">
        <f t="shared" si="9"/>
        <v>231</v>
      </c>
      <c r="B246" s="107" t="s">
        <v>2038</v>
      </c>
      <c r="C246" s="116" t="s">
        <v>2055</v>
      </c>
      <c r="D246" s="113" t="s">
        <v>2057</v>
      </c>
      <c r="E246" s="109" t="s">
        <v>2076</v>
      </c>
      <c r="F246" s="110"/>
      <c r="G246" s="60"/>
      <c r="H246" s="111" t="str">
        <f>IF($G246&lt;&gt;"",VLOOKUP($G246,'MASTER TOKO BALI'!$B$2:$W$744,2,FALSE),"")</f>
        <v/>
      </c>
      <c r="I246" s="237" t="str">
        <f>IF($G246&lt;&gt;"",VLOOKUP($G246,'MASTER TOKO BALI'!$B$2:$W$744,4,FALSE),"")</f>
        <v/>
      </c>
      <c r="J246" s="112">
        <v>46275</v>
      </c>
      <c r="K246" s="111" t="str">
        <f>IF($G246&lt;&gt;"",VLOOKUP($G246,'MASTER TOKO BALI'!$B$2:$W$744,12,FALSE),"")</f>
        <v/>
      </c>
      <c r="L246" s="111" t="str">
        <f>IF($G246&lt;&gt;"",VLOOKUP($G246,'MASTER TOKO BALI'!$B$2:$W$744,5,FALSE),"")</f>
        <v/>
      </c>
      <c r="M246" s="65"/>
      <c r="N246" s="111" t="str">
        <f>IF($G246&lt;&gt;"",VLOOKUP($G246,'MASTER TOKO BALI'!$B$2:$W$744,21,FALSE),"")</f>
        <v/>
      </c>
      <c r="O246" s="106"/>
      <c r="P246" s="164" t="str">
        <f>IF($G246&lt;&gt;"",VLOOKUP($G246,'MASTER TOKO BALI'!$B$2:$W$740,7,FALSE),"")</f>
        <v/>
      </c>
      <c r="Q246" s="61"/>
    </row>
    <row r="247" spans="1:17" ht="14.4" x14ac:dyDescent="0.3">
      <c r="A247" s="106">
        <f t="shared" si="9"/>
        <v>232</v>
      </c>
      <c r="B247" s="107" t="s">
        <v>2060</v>
      </c>
      <c r="C247" s="116" t="s">
        <v>2061</v>
      </c>
      <c r="D247" s="108" t="s">
        <v>2062</v>
      </c>
      <c r="E247" s="109" t="s">
        <v>2076</v>
      </c>
      <c r="F247" s="126"/>
      <c r="G247" s="60"/>
      <c r="H247" s="111" t="str">
        <f>IF($G247&lt;&gt;"",VLOOKUP($G247,'MASTER TOKO BALI'!$B$2:$W$744,2,FALSE),"")</f>
        <v/>
      </c>
      <c r="I247" s="237" t="str">
        <f>IF($G247&lt;&gt;"",VLOOKUP($G247,'MASTER TOKO BALI'!$B$2:$W$744,4,FALSE),"")</f>
        <v/>
      </c>
      <c r="J247" s="112">
        <v>46275</v>
      </c>
      <c r="K247" s="111" t="str">
        <f>IF($G247&lt;&gt;"",VLOOKUP($G247,'MASTER TOKO BALI'!$B$2:$W$744,12,FALSE),"")</f>
        <v/>
      </c>
      <c r="L247" s="111" t="str">
        <f>IF($G247&lt;&gt;"",VLOOKUP($G247,'MASTER TOKO BALI'!$B$2:$W$744,5,FALSE),"")</f>
        <v/>
      </c>
      <c r="M247" s="65"/>
      <c r="N247" s="111" t="str">
        <f>IF($G247&lt;&gt;"",VLOOKUP($G247,'MASTER TOKO BALI'!$B$2:$W$744,21,FALSE),"")</f>
        <v/>
      </c>
      <c r="O247" s="106"/>
      <c r="P247" s="164" t="str">
        <f>IF($G247&lt;&gt;"",VLOOKUP($G247,'MASTER TOKO BALI'!$B$2:$W$740,7,FALSE),"")</f>
        <v/>
      </c>
      <c r="Q247" s="61"/>
    </row>
    <row r="248" spans="1:17" ht="14.4" x14ac:dyDescent="0.3">
      <c r="A248" s="106">
        <f t="shared" si="9"/>
        <v>233</v>
      </c>
      <c r="B248" s="107" t="s">
        <v>2038</v>
      </c>
      <c r="C248" s="116" t="s">
        <v>2061</v>
      </c>
      <c r="D248" s="113" t="s">
        <v>2063</v>
      </c>
      <c r="E248" s="109" t="s">
        <v>2076</v>
      </c>
      <c r="F248" s="110"/>
      <c r="G248" s="60"/>
      <c r="H248" s="111" t="str">
        <f>IF($G248&lt;&gt;"",VLOOKUP($G248,'MASTER TOKO BALI'!$B$2:$W$744,2,FALSE),"")</f>
        <v/>
      </c>
      <c r="I248" s="237" t="str">
        <f>IF($G248&lt;&gt;"",VLOOKUP($G248,'MASTER TOKO BALI'!$B$2:$W$744,4,FALSE),"")</f>
        <v/>
      </c>
      <c r="J248" s="112">
        <v>46275</v>
      </c>
      <c r="K248" s="111" t="str">
        <f>IF($G248&lt;&gt;"",VLOOKUP($G248,'MASTER TOKO BALI'!$B$2:$W$744,12,FALSE),"")</f>
        <v/>
      </c>
      <c r="L248" s="111" t="str">
        <f>IF($G248&lt;&gt;"",VLOOKUP($G248,'MASTER TOKO BALI'!$B$2:$W$744,5,FALSE),"")</f>
        <v/>
      </c>
      <c r="M248" s="65"/>
      <c r="N248" s="111" t="str">
        <f>IF($G248&lt;&gt;"",VLOOKUP($G248,'MASTER TOKO BALI'!$B$2:$W$744,21,FALSE),"")</f>
        <v/>
      </c>
      <c r="O248" s="106"/>
      <c r="P248" s="164" t="str">
        <f>IF($G248&lt;&gt;"",VLOOKUP($G248,'MASTER TOKO BALI'!$B$2:$W$740,7,FALSE),"")</f>
        <v/>
      </c>
      <c r="Q248" s="61"/>
    </row>
    <row r="249" spans="1:17" ht="14.4" x14ac:dyDescent="0.3">
      <c r="A249" s="106">
        <f t="shared" si="9"/>
        <v>234</v>
      </c>
      <c r="B249" s="107" t="s">
        <v>2064</v>
      </c>
      <c r="C249" s="116" t="s">
        <v>2061</v>
      </c>
      <c r="D249" s="108" t="s">
        <v>2065</v>
      </c>
      <c r="E249" s="109" t="s">
        <v>2076</v>
      </c>
      <c r="F249" s="126"/>
      <c r="G249" s="60"/>
      <c r="H249" s="111" t="str">
        <f>IF($G249&lt;&gt;"",VLOOKUP($G249,'MASTER TOKO BALI'!$B$2:$W$744,2,FALSE),"")</f>
        <v/>
      </c>
      <c r="I249" s="237" t="str">
        <f>IF($G249&lt;&gt;"",VLOOKUP($G249,'MASTER TOKO BALI'!$B$2:$W$744,4,FALSE),"")</f>
        <v/>
      </c>
      <c r="J249" s="112">
        <v>46275</v>
      </c>
      <c r="K249" s="111" t="str">
        <f>IF($G249&lt;&gt;"",VLOOKUP($G249,'MASTER TOKO BALI'!$B$2:$W$744,12,FALSE),"")</f>
        <v/>
      </c>
      <c r="L249" s="111" t="str">
        <f>IF($G249&lt;&gt;"",VLOOKUP($G249,'MASTER TOKO BALI'!$B$2:$W$744,5,FALSE),"")</f>
        <v/>
      </c>
      <c r="M249" s="65"/>
      <c r="N249" s="111" t="str">
        <f>IF($G249&lt;&gt;"",VLOOKUP($G249,'MASTER TOKO BALI'!$B$2:$W$744,21,FALSE),"")</f>
        <v/>
      </c>
      <c r="O249" s="106"/>
      <c r="P249" s="164" t="str">
        <f>IF($G249&lt;&gt;"",VLOOKUP($G249,'MASTER TOKO BALI'!$B$2:$W$740,7,FALSE),"")</f>
        <v/>
      </c>
      <c r="Q249" s="61"/>
    </row>
    <row r="250" spans="1:17" ht="14.4" x14ac:dyDescent="0.3">
      <c r="A250" s="106">
        <f t="shared" si="9"/>
        <v>235</v>
      </c>
      <c r="B250" s="107" t="s">
        <v>2066</v>
      </c>
      <c r="C250" s="116" t="s">
        <v>2061</v>
      </c>
      <c r="D250" s="113" t="s">
        <v>2063</v>
      </c>
      <c r="E250" s="109" t="s">
        <v>2076</v>
      </c>
      <c r="F250" s="126"/>
      <c r="G250" s="60"/>
      <c r="H250" s="111" t="str">
        <f>IF($G250&lt;&gt;"",VLOOKUP($G250,'MASTER TOKO BALI'!$B$2:$W$744,2,FALSE),"")</f>
        <v/>
      </c>
      <c r="I250" s="237" t="str">
        <f>IF($G250&lt;&gt;"",VLOOKUP($G250,'MASTER TOKO BALI'!$B$2:$W$744,4,FALSE),"")</f>
        <v/>
      </c>
      <c r="J250" s="112">
        <v>46275</v>
      </c>
      <c r="K250" s="111" t="str">
        <f>IF($G250&lt;&gt;"",VLOOKUP($G250,'MASTER TOKO BALI'!$B$2:$W$744,12,FALSE),"")</f>
        <v/>
      </c>
      <c r="L250" s="111" t="str">
        <f>IF($G250&lt;&gt;"",VLOOKUP($G250,'MASTER TOKO BALI'!$B$2:$W$744,5,FALSE),"")</f>
        <v/>
      </c>
      <c r="M250" s="65"/>
      <c r="N250" s="111" t="str">
        <f>IF($G250&lt;&gt;"",VLOOKUP($G250,'MASTER TOKO BALI'!$B$2:$W$744,21,FALSE),"")</f>
        <v/>
      </c>
      <c r="O250" s="60"/>
      <c r="P250" s="164" t="str">
        <f>IF($G250&lt;&gt;"",VLOOKUP($G250,'MASTER TOKO BALI'!$B$2:$W$740,7,FALSE),"")</f>
        <v/>
      </c>
      <c r="Q250" s="61"/>
    </row>
    <row r="251" spans="1:17" ht="14.4" x14ac:dyDescent="0.3">
      <c r="A251" s="106">
        <f t="shared" si="9"/>
        <v>236</v>
      </c>
      <c r="B251" s="107" t="s">
        <v>2067</v>
      </c>
      <c r="C251" s="107" t="s">
        <v>2068</v>
      </c>
      <c r="D251" s="108" t="s">
        <v>2069</v>
      </c>
      <c r="E251" s="109" t="s">
        <v>2076</v>
      </c>
      <c r="F251" s="131"/>
      <c r="G251" s="60"/>
      <c r="H251" s="111" t="str">
        <f>IF($G251&lt;&gt;"",VLOOKUP($G251,'MASTER TOKO BALI'!$B$2:$W$744,2,FALSE),"")</f>
        <v/>
      </c>
      <c r="I251" s="237" t="str">
        <f>IF($G251&lt;&gt;"",VLOOKUP($G251,'MASTER TOKO BALI'!$B$2:$W$744,4,FALSE),"")</f>
        <v/>
      </c>
      <c r="J251" s="112">
        <v>46275</v>
      </c>
      <c r="K251" s="111" t="str">
        <f>IF($G251&lt;&gt;"",VLOOKUP($G251,'MASTER TOKO BALI'!$B$2:$W$744,12,FALSE),"")</f>
        <v/>
      </c>
      <c r="L251" s="111" t="str">
        <f>IF($G251&lt;&gt;"",VLOOKUP($G251,'MASTER TOKO BALI'!$B$2:$W$744,5,FALSE),"")</f>
        <v/>
      </c>
      <c r="M251" s="65"/>
      <c r="N251" s="111" t="str">
        <f>IF($G251&lt;&gt;"",VLOOKUP($G251,'MASTER TOKO BALI'!$B$2:$W$744,21,FALSE),"")</f>
        <v/>
      </c>
      <c r="O251" s="106"/>
      <c r="P251" s="164" t="str">
        <f>IF($G251&lt;&gt;"",VLOOKUP($G251,'MASTER TOKO BALI'!$B$2:$W$740,7,FALSE),"")</f>
        <v/>
      </c>
      <c r="Q251" s="61"/>
    </row>
    <row r="252" spans="1:17" ht="14.4" x14ac:dyDescent="0.3">
      <c r="A252" s="106">
        <f t="shared" si="9"/>
        <v>237</v>
      </c>
      <c r="B252" s="107" t="s">
        <v>2066</v>
      </c>
      <c r="C252" s="107" t="s">
        <v>2068</v>
      </c>
      <c r="D252" s="117" t="s">
        <v>2070</v>
      </c>
      <c r="E252" s="109" t="s">
        <v>2076</v>
      </c>
      <c r="F252" s="127"/>
      <c r="G252" s="60"/>
      <c r="H252" s="111" t="str">
        <f>IF($G252&lt;&gt;"",VLOOKUP($G252,'MASTER TOKO BALI'!$B$2:$W$744,2,FALSE),"")</f>
        <v/>
      </c>
      <c r="I252" s="237" t="str">
        <f>IF($G252&lt;&gt;"",VLOOKUP($G252,'MASTER TOKO BALI'!$B$2:$W$744,4,FALSE),"")</f>
        <v/>
      </c>
      <c r="J252" s="112">
        <v>46275</v>
      </c>
      <c r="K252" s="111" t="str">
        <f>IF($G252&lt;&gt;"",VLOOKUP($G252,'MASTER TOKO BALI'!$B$2:$W$744,12,FALSE),"")</f>
        <v/>
      </c>
      <c r="L252" s="111" t="str">
        <f>IF($G252&lt;&gt;"",VLOOKUP($G252,'MASTER TOKO BALI'!$B$2:$W$744,5,FALSE),"")</f>
        <v/>
      </c>
      <c r="M252" s="65"/>
      <c r="N252" s="111" t="str">
        <f>IF($G252&lt;&gt;"",VLOOKUP($G252,'MASTER TOKO BALI'!$B$2:$W$744,21,FALSE),"")</f>
        <v/>
      </c>
      <c r="O252" s="60"/>
      <c r="P252" s="164" t="str">
        <f>IF($G252&lt;&gt;"",VLOOKUP($G252,'MASTER TOKO BALI'!$B$2:$W$740,7,FALSE),"")</f>
        <v/>
      </c>
      <c r="Q252" s="61"/>
    </row>
    <row r="253" spans="1:17" ht="14.4" x14ac:dyDescent="0.2">
      <c r="A253" s="106">
        <f t="shared" si="9"/>
        <v>238</v>
      </c>
      <c r="B253" s="107" t="s">
        <v>2071</v>
      </c>
      <c r="C253" s="107" t="s">
        <v>2068</v>
      </c>
      <c r="D253" s="116" t="s">
        <v>2003</v>
      </c>
      <c r="E253" s="109" t="s">
        <v>2076</v>
      </c>
      <c r="F253" s="122"/>
      <c r="G253" s="60"/>
      <c r="H253" s="111" t="str">
        <f>IF($G253&lt;&gt;"",VLOOKUP($G253,'MASTER TOKO BALI'!$B$2:$W$744,2,FALSE),"")</f>
        <v/>
      </c>
      <c r="I253" s="237" t="str">
        <f>IF($G253&lt;&gt;"",VLOOKUP($G253,'MASTER TOKO BALI'!$B$2:$W$744,4,FALSE),"")</f>
        <v/>
      </c>
      <c r="J253" s="112">
        <v>46275</v>
      </c>
      <c r="K253" s="111" t="str">
        <f>IF($G253&lt;&gt;"",VLOOKUP($G253,'MASTER TOKO BALI'!$B$2:$W$744,12,FALSE),"")</f>
        <v/>
      </c>
      <c r="L253" s="111" t="str">
        <f>IF($G253&lt;&gt;"",VLOOKUP($G253,'MASTER TOKO BALI'!$B$2:$W$744,5,FALSE),"")</f>
        <v/>
      </c>
      <c r="M253" s="106"/>
      <c r="N253" s="111" t="str">
        <f>IF($G253&lt;&gt;"",VLOOKUP($G253,'MASTER TOKO BALI'!$B$2:$W$744,21,FALSE),"")</f>
        <v/>
      </c>
      <c r="O253" s="106"/>
      <c r="P253" s="164" t="str">
        <f>IF($G253&lt;&gt;"",VLOOKUP($G253,'MASTER TOKO BALI'!$B$2:$W$740,7,FALSE),"")</f>
        <v/>
      </c>
    </row>
    <row r="254" spans="1:17" x14ac:dyDescent="0.2">
      <c r="A254" s="106">
        <f t="shared" si="9"/>
        <v>239</v>
      </c>
      <c r="B254" s="107" t="s">
        <v>2066</v>
      </c>
      <c r="C254" s="107" t="s">
        <v>2068</v>
      </c>
      <c r="D254" s="117" t="s">
        <v>2070</v>
      </c>
      <c r="E254" s="109" t="s">
        <v>2076</v>
      </c>
      <c r="F254" s="126"/>
      <c r="G254" s="144"/>
      <c r="H254" s="111" t="str">
        <f>IF($G254&lt;&gt;"",VLOOKUP($G254,'MASTER TOKO BALI'!$B$2:$W$744,2,FALSE),"")</f>
        <v/>
      </c>
      <c r="I254" s="237" t="str">
        <f>IF($G254&lt;&gt;"",VLOOKUP($G254,'MASTER TOKO BALI'!$B$2:$W$744,4,FALSE),"")</f>
        <v/>
      </c>
      <c r="J254" s="112">
        <v>46275</v>
      </c>
      <c r="K254" s="111" t="str">
        <f>IF($G254&lt;&gt;"",VLOOKUP($G254,'MASTER TOKO BALI'!$B$2:$W$744,12,FALSE),"")</f>
        <v/>
      </c>
      <c r="L254" s="111" t="str">
        <f>IF($G254&lt;&gt;"",VLOOKUP($G254,'MASTER TOKO BALI'!$B$2:$W$744,5,FALSE),"")</f>
        <v/>
      </c>
      <c r="M254" s="106"/>
      <c r="N254" s="111" t="str">
        <f>IF($G254&lt;&gt;"",VLOOKUP($G254,'MASTER TOKO BALI'!$B$2:$W$744,21,FALSE),"")</f>
        <v/>
      </c>
      <c r="O254" s="106"/>
      <c r="P254" s="164" t="str">
        <f>IF($G254&lt;&gt;"",VLOOKUP($G254,'MASTER TOKO BALI'!$B$2:$W$740,7,FALSE),"")</f>
        <v/>
      </c>
    </row>
    <row r="255" spans="1:17" x14ac:dyDescent="0.2">
      <c r="A255" s="106">
        <f t="shared" si="9"/>
        <v>240</v>
      </c>
      <c r="B255" s="107"/>
      <c r="C255" s="107"/>
      <c r="D255" s="116" t="s">
        <v>2079</v>
      </c>
      <c r="E255" s="109" t="s">
        <v>2076</v>
      </c>
      <c r="F255" s="126"/>
      <c r="G255" s="144"/>
      <c r="H255" s="111" t="str">
        <f>IF($G255&lt;&gt;"",VLOOKUP($G255,'MASTER TOKO BALI'!$B$2:$W$744,2,FALSE),"")</f>
        <v/>
      </c>
      <c r="I255" s="237" t="str">
        <f>IF($G255&lt;&gt;"",VLOOKUP($G255,'MASTER TOKO BALI'!$B$2:$W$744,4,FALSE),"")</f>
        <v/>
      </c>
      <c r="J255" s="112">
        <v>46275</v>
      </c>
      <c r="K255" s="111" t="str">
        <f>IF($G255&lt;&gt;"",VLOOKUP($G255,'MASTER TOKO BALI'!$B$2:$W$744,12,FALSE),"")</f>
        <v/>
      </c>
      <c r="L255" s="111" t="str">
        <f>IF($G255&lt;&gt;"",VLOOKUP($G255,'MASTER TOKO BALI'!$B$2:$W$744,5,FALSE),"")</f>
        <v/>
      </c>
      <c r="M255" s="106"/>
      <c r="N255" s="111" t="str">
        <f>IF($G255&lt;&gt;"",VLOOKUP($G255,'MASTER TOKO BALI'!$B$2:$W$744,21,FALSE),"")</f>
        <v/>
      </c>
      <c r="O255" s="106"/>
      <c r="P255" s="164" t="str">
        <f>IF($G255&lt;&gt;"",VLOOKUP($G255,'MASTER TOKO BALI'!$B$2:$W$740,7,FALSE),"")</f>
        <v/>
      </c>
    </row>
    <row r="256" spans="1:17" x14ac:dyDescent="0.2">
      <c r="A256" s="106"/>
      <c r="B256" s="107"/>
      <c r="C256" s="107"/>
      <c r="D256" s="111"/>
      <c r="E256" s="114"/>
      <c r="F256" s="126"/>
      <c r="G256" s="144"/>
      <c r="H256" s="111" t="str">
        <f>IF($G256&lt;&gt;"",VLOOKUP($G256,'MASTER TOKO BALI'!$B$2:$W$744,2,FALSE),"")</f>
        <v/>
      </c>
      <c r="I256" s="237" t="str">
        <f>IF($G256&lt;&gt;"",VLOOKUP($G256,'MASTER TOKO BALI'!$B$2:$W$744,4,FALSE),"")</f>
        <v/>
      </c>
      <c r="J256" s="119"/>
      <c r="K256" s="111" t="str">
        <f>IF($G256&lt;&gt;"",VLOOKUP($G256,'MASTER TOKO BALI'!$B$2:$W$744,12,FALSE),"")</f>
        <v/>
      </c>
      <c r="L256" s="111" t="str">
        <f>IF($G256&lt;&gt;"",VLOOKUP($G256,'MASTER TOKO BALI'!$B$2:$W$744,5,FALSE),"")</f>
        <v/>
      </c>
      <c r="M256" s="106"/>
      <c r="N256" s="111" t="str">
        <f>IF($G256&lt;&gt;"",VLOOKUP($G256,'MASTER TOKO BALI'!$B$2:$W$744,21,FALSE),"")</f>
        <v/>
      </c>
      <c r="O256" s="106"/>
      <c r="P256" s="164" t="str">
        <f>IF($G256&lt;&gt;"",VLOOKUP($G256,'MASTER TOKO BALI'!$B$2:$W$740,7,FALSE),"")</f>
        <v/>
      </c>
    </row>
    <row r="257" spans="1:16" ht="14.4" x14ac:dyDescent="0.3">
      <c r="A257" s="106">
        <f>A254+1</f>
        <v>240</v>
      </c>
      <c r="B257" s="107" t="s">
        <v>2034</v>
      </c>
      <c r="C257" s="107" t="s">
        <v>2035</v>
      </c>
      <c r="D257" s="108" t="s">
        <v>2036</v>
      </c>
      <c r="E257" s="109" t="s">
        <v>2077</v>
      </c>
      <c r="F257" s="126"/>
      <c r="G257" s="60"/>
      <c r="H257" s="111" t="str">
        <f>IF($G257&lt;&gt;"",VLOOKUP($G257,'MASTER TOKO BALI'!$B$2:$W$744,2,FALSE),"")</f>
        <v/>
      </c>
      <c r="I257" s="237" t="str">
        <f>IF($G257&lt;&gt;"",VLOOKUP($G257,'MASTER TOKO BALI'!$B$2:$W$744,4,FALSE),"")</f>
        <v/>
      </c>
      <c r="J257" s="112">
        <v>46276</v>
      </c>
      <c r="K257" s="111" t="str">
        <f>IF($G257&lt;&gt;"",VLOOKUP($G257,'MASTER TOKO BALI'!$B$2:$W$744,12,FALSE),"")</f>
        <v/>
      </c>
      <c r="L257" s="111" t="str">
        <f>IF($G257&lt;&gt;"",VLOOKUP($G257,'MASTER TOKO BALI'!$B$2:$W$744,5,FALSE),"")</f>
        <v/>
      </c>
      <c r="M257" s="65"/>
      <c r="N257" s="111" t="str">
        <f>IF($G257&lt;&gt;"",VLOOKUP($G257,'MASTER TOKO BALI'!$B$2:$W$744,21,FALSE),"")</f>
        <v/>
      </c>
      <c r="O257" s="106"/>
      <c r="P257" s="164" t="str">
        <f>IF($G257&lt;&gt;"",VLOOKUP($G257,'MASTER TOKO BALI'!$B$2:$W$740,7,FALSE),"")</f>
        <v/>
      </c>
    </row>
    <row r="258" spans="1:16" ht="14.4" x14ac:dyDescent="0.3">
      <c r="A258" s="106">
        <f t="shared" ref="A258:A280" si="10">A257+1</f>
        <v>241</v>
      </c>
      <c r="B258" s="107" t="s">
        <v>2038</v>
      </c>
      <c r="C258" s="107" t="s">
        <v>2035</v>
      </c>
      <c r="D258" s="113" t="s">
        <v>2039</v>
      </c>
      <c r="E258" s="109" t="s">
        <v>2077</v>
      </c>
      <c r="F258" s="110"/>
      <c r="G258" s="60"/>
      <c r="H258" s="111" t="str">
        <f>IF($G258&lt;&gt;"",VLOOKUP($G258,'MASTER TOKO BALI'!$B$2:$W$744,2,FALSE),"")</f>
        <v/>
      </c>
      <c r="I258" s="237" t="str">
        <f>IF($G258&lt;&gt;"",VLOOKUP($G258,'MASTER TOKO BALI'!$B$2:$W$744,4,FALSE),"")</f>
        <v/>
      </c>
      <c r="J258" s="112">
        <v>46276</v>
      </c>
      <c r="K258" s="111" t="str">
        <f>IF($G258&lt;&gt;"",VLOOKUP($G258,'MASTER TOKO BALI'!$B$2:$W$744,12,FALSE),"")</f>
        <v/>
      </c>
      <c r="L258" s="111" t="str">
        <f>IF($G258&lt;&gt;"",VLOOKUP($G258,'MASTER TOKO BALI'!$B$2:$W$744,5,FALSE),"")</f>
        <v/>
      </c>
      <c r="M258" s="65"/>
      <c r="N258" s="111" t="str">
        <f>IF($G258&lt;&gt;"",VLOOKUP($G258,'MASTER TOKO BALI'!$B$2:$W$744,21,FALSE),"")</f>
        <v/>
      </c>
      <c r="O258" s="106"/>
      <c r="P258" s="164" t="str">
        <f>IF($G258&lt;&gt;"",VLOOKUP($G258,'MASTER TOKO BALI'!$B$2:$W$740,7,FALSE),"")</f>
        <v/>
      </c>
    </row>
    <row r="259" spans="1:16" ht="14.4" x14ac:dyDescent="0.3">
      <c r="A259" s="106">
        <f t="shared" si="10"/>
        <v>242</v>
      </c>
      <c r="B259" s="132" t="s">
        <v>2040</v>
      </c>
      <c r="C259" s="132" t="s">
        <v>2035</v>
      </c>
      <c r="D259" s="133" t="s">
        <v>2041</v>
      </c>
      <c r="E259" s="109" t="s">
        <v>2077</v>
      </c>
      <c r="F259" s="134"/>
      <c r="G259" s="60"/>
      <c r="H259" s="111" t="str">
        <f>IF($G259&lt;&gt;"",VLOOKUP($G259,'MASTER TOKO BALI'!$B$2:$W$744,2,FALSE),"")</f>
        <v/>
      </c>
      <c r="I259" s="237" t="str">
        <f>IF($G259&lt;&gt;"",VLOOKUP($G259,'MASTER TOKO BALI'!$B$2:$W$744,4,FALSE),"")</f>
        <v/>
      </c>
      <c r="J259" s="112">
        <v>46276</v>
      </c>
      <c r="K259" s="111" t="str">
        <f>IF($G259&lt;&gt;"",VLOOKUP($G259,'MASTER TOKO BALI'!$B$2:$W$744,12,FALSE),"")</f>
        <v/>
      </c>
      <c r="L259" s="111" t="str">
        <f>IF($G259&lt;&gt;"",VLOOKUP($G259,'MASTER TOKO BALI'!$B$2:$W$744,5,FALSE),"")</f>
        <v/>
      </c>
      <c r="M259" s="65"/>
      <c r="N259" s="111" t="str">
        <f>IF($G259&lt;&gt;"",VLOOKUP($G259,'MASTER TOKO BALI'!$B$2:$W$744,21,FALSE),"")</f>
        <v/>
      </c>
      <c r="O259" s="133"/>
      <c r="P259" s="164" t="str">
        <f>IF($G259&lt;&gt;"",VLOOKUP($G259,'MASTER TOKO BALI'!$B$2:$W$740,7,FALSE),"")</f>
        <v/>
      </c>
    </row>
    <row r="260" spans="1:16" ht="14.4" x14ac:dyDescent="0.3">
      <c r="A260" s="106">
        <f t="shared" si="10"/>
        <v>243</v>
      </c>
      <c r="B260" s="107" t="s">
        <v>2038</v>
      </c>
      <c r="C260" s="107" t="s">
        <v>2035</v>
      </c>
      <c r="D260" s="113" t="s">
        <v>2039</v>
      </c>
      <c r="E260" s="109" t="s">
        <v>2077</v>
      </c>
      <c r="F260" s="110"/>
      <c r="G260" s="60"/>
      <c r="H260" s="111" t="str">
        <f>IF($G260&lt;&gt;"",VLOOKUP($G260,'MASTER TOKO BALI'!$B$2:$W$744,2,FALSE),"")</f>
        <v/>
      </c>
      <c r="I260" s="237" t="str">
        <f>IF($G260&lt;&gt;"",VLOOKUP($G260,'MASTER TOKO BALI'!$B$2:$W$744,4,FALSE),"")</f>
        <v/>
      </c>
      <c r="J260" s="112">
        <v>46276</v>
      </c>
      <c r="K260" s="111" t="str">
        <f>IF($G260&lt;&gt;"",VLOOKUP($G260,'MASTER TOKO BALI'!$B$2:$W$744,12,FALSE),"")</f>
        <v/>
      </c>
      <c r="L260" s="111" t="str">
        <f>IF($G260&lt;&gt;"",VLOOKUP($G260,'MASTER TOKO BALI'!$B$2:$W$744,5,FALSE),"")</f>
        <v/>
      </c>
      <c r="M260" s="65"/>
      <c r="N260" s="111" t="str">
        <f>IF($G260&lt;&gt;"",VLOOKUP($G260,'MASTER TOKO BALI'!$B$2:$W$744,21,FALSE),"")</f>
        <v/>
      </c>
      <c r="O260" s="106"/>
      <c r="P260" s="164" t="str">
        <f>IF($G260&lt;&gt;"",VLOOKUP($G260,'MASTER TOKO BALI'!$B$2:$W$740,7,FALSE),"")</f>
        <v/>
      </c>
    </row>
    <row r="261" spans="1:16" ht="14.4" x14ac:dyDescent="0.3">
      <c r="A261" s="106"/>
      <c r="B261" s="107" t="s">
        <v>2042</v>
      </c>
      <c r="C261" s="107" t="s">
        <v>2043</v>
      </c>
      <c r="D261" s="108" t="s">
        <v>2044</v>
      </c>
      <c r="E261" s="109" t="s">
        <v>2077</v>
      </c>
      <c r="F261" s="110"/>
      <c r="G261" s="65"/>
      <c r="H261" s="111" t="str">
        <f>IF($G261&lt;&gt;"",VLOOKUP($G261,'MASTER TOKO BALI'!$B$2:$W$744,2,FALSE),"")</f>
        <v/>
      </c>
      <c r="I261" s="237" t="str">
        <f>IF($G261&lt;&gt;"",VLOOKUP($G261,'MASTER TOKO BALI'!$B$2:$W$744,4,FALSE),"")</f>
        <v/>
      </c>
      <c r="J261" s="112">
        <v>46276</v>
      </c>
      <c r="K261" s="111" t="str">
        <f>IF($G261&lt;&gt;"",VLOOKUP($G261,'MASTER TOKO BALI'!$B$2:$W$744,12,FALSE),"")</f>
        <v/>
      </c>
      <c r="L261" s="111" t="str">
        <f>IF($G261&lt;&gt;"",VLOOKUP($G261,'MASTER TOKO BALI'!$B$2:$W$744,5,FALSE),"")</f>
        <v/>
      </c>
      <c r="M261" s="65"/>
      <c r="N261" s="111" t="str">
        <f>IF($G261&lt;&gt;"",VLOOKUP($G261,'MASTER TOKO BALI'!$B$2:$W$744,21,FALSE),"")</f>
        <v/>
      </c>
      <c r="O261" s="106"/>
      <c r="P261" s="164" t="str">
        <f>IF($G261&lt;&gt;"",VLOOKUP($G261,'MASTER TOKO BALI'!$B$2:$W$740,7,FALSE),"")</f>
        <v/>
      </c>
    </row>
    <row r="262" spans="1:16" ht="14.4" x14ac:dyDescent="0.3">
      <c r="A262" s="106">
        <f>A260+1</f>
        <v>244</v>
      </c>
      <c r="B262" s="107" t="s">
        <v>2038</v>
      </c>
      <c r="C262" s="107" t="s">
        <v>2043</v>
      </c>
      <c r="D262" s="113" t="s">
        <v>2045</v>
      </c>
      <c r="E262" s="109" t="s">
        <v>2077</v>
      </c>
      <c r="F262" s="123"/>
      <c r="G262" s="60"/>
      <c r="H262" s="111" t="str">
        <f>IF($G262&lt;&gt;"",VLOOKUP($G262,'MASTER TOKO BALI'!$B$2:$W$744,2,FALSE),"")</f>
        <v/>
      </c>
      <c r="I262" s="237" t="str">
        <f>IF($G262&lt;&gt;"",VLOOKUP($G262,'MASTER TOKO BALI'!$B$2:$W$744,4,FALSE),"")</f>
        <v/>
      </c>
      <c r="J262" s="112">
        <v>46276</v>
      </c>
      <c r="K262" s="111" t="str">
        <f>IF($G262&lt;&gt;"",VLOOKUP($G262,'MASTER TOKO BALI'!$B$2:$W$744,12,FALSE),"")</f>
        <v/>
      </c>
      <c r="L262" s="111" t="str">
        <f>IF($G262&lt;&gt;"",VLOOKUP($G262,'MASTER TOKO BALI'!$B$2:$W$744,5,FALSE),"")</f>
        <v/>
      </c>
      <c r="M262" s="65"/>
      <c r="N262" s="111" t="str">
        <f>IF($G262&lt;&gt;"",VLOOKUP($G262,'MASTER TOKO BALI'!$B$2:$W$744,21,FALSE),"")</f>
        <v/>
      </c>
      <c r="O262" s="106"/>
      <c r="P262" s="164" t="str">
        <f>IF($G262&lt;&gt;"",VLOOKUP($G262,'MASTER TOKO BALI'!$B$2:$W$740,7,FALSE),"")</f>
        <v/>
      </c>
    </row>
    <row r="263" spans="1:16" ht="14.4" x14ac:dyDescent="0.3">
      <c r="A263" s="106">
        <f t="shared" si="10"/>
        <v>245</v>
      </c>
      <c r="B263" s="107" t="s">
        <v>2046</v>
      </c>
      <c r="C263" s="107" t="s">
        <v>2043</v>
      </c>
      <c r="D263" s="108" t="s">
        <v>2047</v>
      </c>
      <c r="E263" s="109" t="s">
        <v>2077</v>
      </c>
      <c r="F263" s="110"/>
      <c r="G263" s="150"/>
      <c r="H263" s="111" t="str">
        <f>IF($G263&lt;&gt;"",VLOOKUP($G263,'MASTER TOKO BALI'!$B$2:$W$744,2,FALSE),"")</f>
        <v/>
      </c>
      <c r="I263" s="237" t="str">
        <f>IF($G263&lt;&gt;"",VLOOKUP($G263,'MASTER TOKO BALI'!$B$2:$W$744,4,FALSE),"")</f>
        <v/>
      </c>
      <c r="J263" s="112">
        <v>46276</v>
      </c>
      <c r="K263" s="111" t="str">
        <f>IF($G263&lt;&gt;"",VLOOKUP($G263,'MASTER TOKO BALI'!$B$2:$W$744,12,FALSE),"")</f>
        <v/>
      </c>
      <c r="L263" s="111" t="str">
        <f>IF($G263&lt;&gt;"",VLOOKUP($G263,'MASTER TOKO BALI'!$B$2:$W$744,5,FALSE),"")</f>
        <v/>
      </c>
      <c r="M263" s="65"/>
      <c r="N263" s="111" t="str">
        <f>IF($G263&lt;&gt;"",VLOOKUP($G263,'MASTER TOKO BALI'!$B$2:$W$744,21,FALSE),"")</f>
        <v/>
      </c>
      <c r="O263" s="106"/>
      <c r="P263" s="164" t="str">
        <f>IF($G263&lt;&gt;"",VLOOKUP($G263,'MASTER TOKO BALI'!$B$2:$W$740,7,FALSE),"")</f>
        <v/>
      </c>
    </row>
    <row r="264" spans="1:16" ht="14.4" x14ac:dyDescent="0.3">
      <c r="A264" s="106">
        <f t="shared" si="10"/>
        <v>246</v>
      </c>
      <c r="B264" s="107" t="s">
        <v>2038</v>
      </c>
      <c r="C264" s="107" t="s">
        <v>2043</v>
      </c>
      <c r="D264" s="113" t="s">
        <v>2045</v>
      </c>
      <c r="E264" s="109" t="s">
        <v>2077</v>
      </c>
      <c r="F264" s="126"/>
      <c r="G264" s="144"/>
      <c r="H264" s="111" t="str">
        <f>IF($G264&lt;&gt;"",VLOOKUP($G264,'MASTER TOKO BALI'!$B$2:$W$744,2,FALSE),"")</f>
        <v/>
      </c>
      <c r="I264" s="237" t="str">
        <f>IF($G264&lt;&gt;"",VLOOKUP($G264,'MASTER TOKO BALI'!$B$2:$W$744,4,FALSE),"")</f>
        <v/>
      </c>
      <c r="J264" s="112">
        <v>46276</v>
      </c>
      <c r="K264" s="111" t="str">
        <f>IF($G264&lt;&gt;"",VLOOKUP($G264,'MASTER TOKO BALI'!$B$2:$W$744,12,FALSE),"")</f>
        <v/>
      </c>
      <c r="L264" s="111" t="str">
        <f>IF($G264&lt;&gt;"",VLOOKUP($G264,'MASTER TOKO BALI'!$B$2:$W$744,5,FALSE),"")</f>
        <v/>
      </c>
      <c r="M264" s="65"/>
      <c r="N264" s="111" t="str">
        <f>IF($G264&lt;&gt;"",VLOOKUP($G264,'MASTER TOKO BALI'!$B$2:$W$744,21,FALSE),"")</f>
        <v/>
      </c>
      <c r="O264" s="106"/>
      <c r="P264" s="164" t="str">
        <f>IF($G264&lt;&gt;"",VLOOKUP($G264,'MASTER TOKO BALI'!$B$2:$W$740,7,FALSE),"")</f>
        <v/>
      </c>
    </row>
    <row r="265" spans="1:16" ht="14.4" x14ac:dyDescent="0.3">
      <c r="A265" s="106">
        <f t="shared" si="10"/>
        <v>247</v>
      </c>
      <c r="B265" s="107" t="s">
        <v>2048</v>
      </c>
      <c r="C265" s="107" t="s">
        <v>2049</v>
      </c>
      <c r="D265" s="108" t="s">
        <v>2050</v>
      </c>
      <c r="E265" s="109" t="s">
        <v>2077</v>
      </c>
      <c r="F265" s="126"/>
      <c r="G265" s="60"/>
      <c r="H265" s="111" t="str">
        <f>IF($G265&lt;&gt;"",VLOOKUP($G265,'MASTER TOKO BALI'!$B$2:$W$744,2,FALSE),"")</f>
        <v/>
      </c>
      <c r="I265" s="237" t="str">
        <f>IF($G265&lt;&gt;"",VLOOKUP($G265,'MASTER TOKO BALI'!$B$2:$W$744,4,FALSE),"")</f>
        <v/>
      </c>
      <c r="J265" s="112">
        <v>46276</v>
      </c>
      <c r="K265" s="111" t="str">
        <f>IF($G265&lt;&gt;"",VLOOKUP($G265,'MASTER TOKO BALI'!$B$2:$W$744,12,FALSE),"")</f>
        <v/>
      </c>
      <c r="L265" s="111" t="str">
        <f>IF($G265&lt;&gt;"",VLOOKUP($G265,'MASTER TOKO BALI'!$B$2:$W$744,5,FALSE),"")</f>
        <v/>
      </c>
      <c r="M265" s="65"/>
      <c r="N265" s="111" t="str">
        <f>IF($G265&lt;&gt;"",VLOOKUP($G265,'MASTER TOKO BALI'!$B$2:$W$744,21,FALSE),"")</f>
        <v/>
      </c>
      <c r="O265" s="106"/>
      <c r="P265" s="164" t="str">
        <f>IF($G265&lt;&gt;"",VLOOKUP($G265,'MASTER TOKO BALI'!$B$2:$W$740,7,FALSE),"")</f>
        <v/>
      </c>
    </row>
    <row r="266" spans="1:16" ht="14.4" x14ac:dyDescent="0.3">
      <c r="A266" s="106">
        <f t="shared" si="10"/>
        <v>248</v>
      </c>
      <c r="B266" s="107" t="s">
        <v>2038</v>
      </c>
      <c r="C266" s="107" t="s">
        <v>2049</v>
      </c>
      <c r="D266" s="115" t="s">
        <v>2051</v>
      </c>
      <c r="E266" s="109" t="s">
        <v>2077</v>
      </c>
      <c r="F266" s="126"/>
      <c r="G266" s="60"/>
      <c r="H266" s="111" t="str">
        <f>IF($G266&lt;&gt;"",VLOOKUP($G266,'MASTER TOKO BALI'!$B$2:$W$744,2,FALSE),"")</f>
        <v/>
      </c>
      <c r="I266" s="237" t="str">
        <f>IF($G266&lt;&gt;"",VLOOKUP($G266,'MASTER TOKO BALI'!$B$2:$W$744,4,FALSE),"")</f>
        <v/>
      </c>
      <c r="J266" s="112">
        <v>46276</v>
      </c>
      <c r="K266" s="111" t="str">
        <f>IF($G266&lt;&gt;"",VLOOKUP($G266,'MASTER TOKO BALI'!$B$2:$W$744,12,FALSE),"")</f>
        <v/>
      </c>
      <c r="L266" s="111" t="str">
        <f>IF($G266&lt;&gt;"",VLOOKUP($G266,'MASTER TOKO BALI'!$B$2:$W$744,5,FALSE),"")</f>
        <v/>
      </c>
      <c r="M266" s="65"/>
      <c r="N266" s="111" t="str">
        <f>IF($G266&lt;&gt;"",VLOOKUP($G266,'MASTER TOKO BALI'!$B$2:$W$744,21,FALSE),"")</f>
        <v/>
      </c>
      <c r="O266" s="106"/>
      <c r="P266" s="164" t="str">
        <f>IF($G266&lt;&gt;"",VLOOKUP($G266,'MASTER TOKO BALI'!$B$2:$W$740,7,FALSE),"")</f>
        <v/>
      </c>
    </row>
    <row r="267" spans="1:16" ht="14.4" x14ac:dyDescent="0.3">
      <c r="A267" s="106">
        <f t="shared" si="10"/>
        <v>249</v>
      </c>
      <c r="B267" s="107" t="s">
        <v>2052</v>
      </c>
      <c r="C267" s="107" t="s">
        <v>2049</v>
      </c>
      <c r="D267" s="108" t="s">
        <v>2053</v>
      </c>
      <c r="E267" s="109" t="s">
        <v>2077</v>
      </c>
      <c r="F267" s="126"/>
      <c r="G267" s="60"/>
      <c r="H267" s="111" t="str">
        <f>IF($G267&lt;&gt;"",VLOOKUP($G267,'MASTER TOKO BALI'!$B$2:$W$744,2,FALSE),"")</f>
        <v/>
      </c>
      <c r="I267" s="237" t="str">
        <f>IF($G267&lt;&gt;"",VLOOKUP($G267,'MASTER TOKO BALI'!$B$2:$W$744,4,FALSE),"")</f>
        <v/>
      </c>
      <c r="J267" s="112">
        <v>46276</v>
      </c>
      <c r="K267" s="111" t="str">
        <f>IF($G267&lt;&gt;"",VLOOKUP($G267,'MASTER TOKO BALI'!$B$2:$W$744,12,FALSE),"")</f>
        <v/>
      </c>
      <c r="L267" s="111" t="str">
        <f>IF($G267&lt;&gt;"",VLOOKUP($G267,'MASTER TOKO BALI'!$B$2:$W$744,5,FALSE),"")</f>
        <v/>
      </c>
      <c r="M267" s="65"/>
      <c r="N267" s="111" t="str">
        <f>IF($G267&lt;&gt;"",VLOOKUP($G267,'MASTER TOKO BALI'!$B$2:$W$744,21,FALSE),"")</f>
        <v/>
      </c>
      <c r="O267" s="106"/>
      <c r="P267" s="164" t="str">
        <f>IF($G267&lt;&gt;"",VLOOKUP($G267,'MASTER TOKO BALI'!$B$2:$W$740,7,FALSE),"")</f>
        <v/>
      </c>
    </row>
    <row r="268" spans="1:16" ht="14.4" x14ac:dyDescent="0.3">
      <c r="A268" s="106">
        <f t="shared" si="10"/>
        <v>250</v>
      </c>
      <c r="B268" s="107" t="s">
        <v>2038</v>
      </c>
      <c r="C268" s="107" t="s">
        <v>2049</v>
      </c>
      <c r="D268" s="113" t="s">
        <v>2051</v>
      </c>
      <c r="E268" s="109" t="s">
        <v>2077</v>
      </c>
      <c r="F268" s="126"/>
      <c r="G268" s="60"/>
      <c r="H268" s="111" t="str">
        <f>IF($G268&lt;&gt;"",VLOOKUP($G268,'MASTER TOKO BALI'!$B$2:$W$744,2,FALSE),"")</f>
        <v/>
      </c>
      <c r="I268" s="237" t="str">
        <f>IF($G268&lt;&gt;"",VLOOKUP($G268,'MASTER TOKO BALI'!$B$2:$W$744,4,FALSE),"")</f>
        <v/>
      </c>
      <c r="J268" s="112">
        <v>46276</v>
      </c>
      <c r="K268" s="111" t="str">
        <f>IF($G268&lt;&gt;"",VLOOKUP($G268,'MASTER TOKO BALI'!$B$2:$W$744,12,FALSE),"")</f>
        <v/>
      </c>
      <c r="L268" s="111" t="str">
        <f>IF($G268&lt;&gt;"",VLOOKUP($G268,'MASTER TOKO BALI'!$B$2:$W$744,5,FALSE),"")</f>
        <v/>
      </c>
      <c r="M268" s="65"/>
      <c r="N268" s="111" t="str">
        <f>IF($G268&lt;&gt;"",VLOOKUP($G268,'MASTER TOKO BALI'!$B$2:$W$744,21,FALSE),"")</f>
        <v/>
      </c>
      <c r="O268" s="106"/>
      <c r="P268" s="164" t="str">
        <f>IF($G268&lt;&gt;"",VLOOKUP($G268,'MASTER TOKO BALI'!$B$2:$W$740,7,FALSE),"")</f>
        <v/>
      </c>
    </row>
    <row r="269" spans="1:16" ht="14.4" x14ac:dyDescent="0.3">
      <c r="A269" s="106">
        <f t="shared" si="10"/>
        <v>251</v>
      </c>
      <c r="B269" s="107" t="s">
        <v>2054</v>
      </c>
      <c r="C269" s="116" t="s">
        <v>2055</v>
      </c>
      <c r="D269" s="108" t="s">
        <v>2056</v>
      </c>
      <c r="E269" s="109" t="s">
        <v>2077</v>
      </c>
      <c r="F269" s="126"/>
      <c r="G269" s="60"/>
      <c r="H269" s="111" t="str">
        <f>IF($G269&lt;&gt;"",VLOOKUP($G269,'MASTER TOKO BALI'!$B$2:$W$744,2,FALSE),"")</f>
        <v/>
      </c>
      <c r="I269" s="237" t="str">
        <f>IF($G269&lt;&gt;"",VLOOKUP($G269,'MASTER TOKO BALI'!$B$2:$W$744,4,FALSE),"")</f>
        <v/>
      </c>
      <c r="J269" s="112">
        <v>46276</v>
      </c>
      <c r="K269" s="111" t="str">
        <f>IF($G269&lt;&gt;"",VLOOKUP($G269,'MASTER TOKO BALI'!$B$2:$W$744,12,FALSE),"")</f>
        <v/>
      </c>
      <c r="L269" s="111" t="str">
        <f>IF($G269&lt;&gt;"",VLOOKUP($G269,'MASTER TOKO BALI'!$B$2:$W$744,5,FALSE),"")</f>
        <v/>
      </c>
      <c r="M269" s="65"/>
      <c r="N269" s="111" t="str">
        <f>IF($G269&lt;&gt;"",VLOOKUP($G269,'MASTER TOKO BALI'!$B$2:$W$744,21,FALSE),"")</f>
        <v/>
      </c>
      <c r="O269" s="106"/>
      <c r="P269" s="164" t="str">
        <f>IF($G269&lt;&gt;"",VLOOKUP($G269,'MASTER TOKO BALI'!$B$2:$W$740,7,FALSE),"")</f>
        <v/>
      </c>
    </row>
    <row r="270" spans="1:16" ht="14.4" x14ac:dyDescent="0.3">
      <c r="A270" s="106">
        <f t="shared" si="10"/>
        <v>252</v>
      </c>
      <c r="B270" s="107" t="s">
        <v>2038</v>
      </c>
      <c r="C270" s="116" t="s">
        <v>2055</v>
      </c>
      <c r="D270" s="113" t="s">
        <v>2057</v>
      </c>
      <c r="E270" s="109" t="s">
        <v>2077</v>
      </c>
      <c r="F270" s="126"/>
      <c r="G270" s="60"/>
      <c r="H270" s="111" t="str">
        <f>IF($G270&lt;&gt;"",VLOOKUP($G270,'MASTER TOKO BALI'!$B$2:$W$744,2,FALSE),"")</f>
        <v/>
      </c>
      <c r="I270" s="237" t="str">
        <f>IF($G270&lt;&gt;"",VLOOKUP($G270,'MASTER TOKO BALI'!$B$2:$W$744,4,FALSE),"")</f>
        <v/>
      </c>
      <c r="J270" s="112">
        <v>46276</v>
      </c>
      <c r="K270" s="111" t="str">
        <f>IF($G270&lt;&gt;"",VLOOKUP($G270,'MASTER TOKO BALI'!$B$2:$W$744,12,FALSE),"")</f>
        <v/>
      </c>
      <c r="L270" s="111" t="str">
        <f>IF($G270&lt;&gt;"",VLOOKUP($G270,'MASTER TOKO BALI'!$B$2:$W$744,5,FALSE),"")</f>
        <v/>
      </c>
      <c r="M270" s="65"/>
      <c r="N270" s="111" t="str">
        <f>IF($G270&lt;&gt;"",VLOOKUP($G270,'MASTER TOKO BALI'!$B$2:$W$744,21,FALSE),"")</f>
        <v/>
      </c>
      <c r="O270" s="106"/>
      <c r="P270" s="164" t="str">
        <f>IF($G270&lt;&gt;"",VLOOKUP($G270,'MASTER TOKO BALI'!$B$2:$W$740,7,FALSE),"")</f>
        <v/>
      </c>
    </row>
    <row r="271" spans="1:16" ht="14.4" x14ac:dyDescent="0.3">
      <c r="A271" s="106">
        <f t="shared" si="10"/>
        <v>253</v>
      </c>
      <c r="B271" s="107" t="s">
        <v>2058</v>
      </c>
      <c r="C271" s="116" t="s">
        <v>2055</v>
      </c>
      <c r="D271" s="108" t="s">
        <v>2059</v>
      </c>
      <c r="E271" s="109" t="s">
        <v>2077</v>
      </c>
      <c r="F271" s="60"/>
      <c r="G271" s="60"/>
      <c r="H271" s="111" t="str">
        <f>IF($G271&lt;&gt;"",VLOOKUP($G271,'MASTER TOKO BALI'!$B$2:$W$744,2,FALSE),"")</f>
        <v/>
      </c>
      <c r="I271" s="237" t="str">
        <f>IF($G271&lt;&gt;"",VLOOKUP($G271,'MASTER TOKO BALI'!$B$2:$W$744,4,FALSE),"")</f>
        <v/>
      </c>
      <c r="J271" s="112">
        <v>46276</v>
      </c>
      <c r="K271" s="111" t="str">
        <f>IF($G271&lt;&gt;"",VLOOKUP($G271,'MASTER TOKO BALI'!$B$2:$W$744,12,FALSE),"")</f>
        <v/>
      </c>
      <c r="L271" s="111" t="str">
        <f>IF($G271&lt;&gt;"",VLOOKUP($G271,'MASTER TOKO BALI'!$B$2:$W$744,5,FALSE),"")</f>
        <v/>
      </c>
      <c r="M271" s="65"/>
      <c r="N271" s="111" t="str">
        <f>IF($G271&lt;&gt;"",VLOOKUP($G271,'MASTER TOKO BALI'!$B$2:$W$744,21,FALSE),"")</f>
        <v/>
      </c>
      <c r="O271" s="106"/>
      <c r="P271" s="164" t="str">
        <f>IF($G271&lt;&gt;"",VLOOKUP($G271,'MASTER TOKO BALI'!$B$2:$W$740,7,FALSE),"")</f>
        <v/>
      </c>
    </row>
    <row r="272" spans="1:16" ht="14.4" x14ac:dyDescent="0.3">
      <c r="A272" s="106">
        <f t="shared" si="10"/>
        <v>254</v>
      </c>
      <c r="B272" s="107" t="s">
        <v>2038</v>
      </c>
      <c r="C272" s="116" t="s">
        <v>2055</v>
      </c>
      <c r="D272" s="113" t="s">
        <v>2057</v>
      </c>
      <c r="E272" s="109" t="s">
        <v>2077</v>
      </c>
      <c r="F272" s="135"/>
      <c r="G272" s="60"/>
      <c r="H272" s="111" t="str">
        <f>IF($G272&lt;&gt;"",VLOOKUP($G272,'MASTER TOKO BALI'!$B$2:$W$744,2,FALSE),"")</f>
        <v/>
      </c>
      <c r="I272" s="237" t="str">
        <f>IF($G272&lt;&gt;"",VLOOKUP($G272,'MASTER TOKO BALI'!$B$2:$W$744,4,FALSE),"")</f>
        <v/>
      </c>
      <c r="J272" s="112">
        <v>46276</v>
      </c>
      <c r="K272" s="111" t="str">
        <f>IF($G272&lt;&gt;"",VLOOKUP($G272,'MASTER TOKO BALI'!$B$2:$W$744,12,FALSE),"")</f>
        <v/>
      </c>
      <c r="L272" s="111" t="str">
        <f>IF($G272&lt;&gt;"",VLOOKUP($G272,'MASTER TOKO BALI'!$B$2:$W$744,5,FALSE),"")</f>
        <v/>
      </c>
      <c r="M272" s="65"/>
      <c r="N272" s="111" t="str">
        <f>IF($G272&lt;&gt;"",VLOOKUP($G272,'MASTER TOKO BALI'!$B$2:$W$744,21,FALSE),"")</f>
        <v/>
      </c>
      <c r="O272" s="106"/>
      <c r="P272" s="164" t="str">
        <f>IF($G272&lt;&gt;"",VLOOKUP($G272,'MASTER TOKO BALI'!$B$2:$W$740,7,FALSE),"")</f>
        <v/>
      </c>
    </row>
    <row r="273" spans="1:16" ht="14.4" x14ac:dyDescent="0.3">
      <c r="A273" s="106">
        <f t="shared" si="10"/>
        <v>255</v>
      </c>
      <c r="B273" s="107" t="s">
        <v>2060</v>
      </c>
      <c r="C273" s="116" t="s">
        <v>2061</v>
      </c>
      <c r="D273" s="108" t="s">
        <v>2062</v>
      </c>
      <c r="E273" s="109" t="s">
        <v>2077</v>
      </c>
      <c r="F273" s="126"/>
      <c r="G273" s="60"/>
      <c r="H273" s="111" t="str">
        <f>IF($G273&lt;&gt;"",VLOOKUP($G273,'MASTER TOKO BALI'!$B$2:$W$744,2,FALSE),"")</f>
        <v/>
      </c>
      <c r="I273" s="237" t="str">
        <f>IF($G273&lt;&gt;"",VLOOKUP($G273,'MASTER TOKO BALI'!$B$2:$W$744,4,FALSE),"")</f>
        <v/>
      </c>
      <c r="J273" s="112">
        <v>46276</v>
      </c>
      <c r="K273" s="111" t="str">
        <f>IF($G273&lt;&gt;"",VLOOKUP($G273,'MASTER TOKO BALI'!$B$2:$W$744,12,FALSE),"")</f>
        <v/>
      </c>
      <c r="L273" s="111" t="str">
        <f>IF($G273&lt;&gt;"",VLOOKUP($G273,'MASTER TOKO BALI'!$B$2:$W$744,5,FALSE),"")</f>
        <v/>
      </c>
      <c r="M273" s="65"/>
      <c r="N273" s="111" t="str">
        <f>IF($G273&lt;&gt;"",VLOOKUP($G273,'MASTER TOKO BALI'!$B$2:$W$744,21,FALSE),"")</f>
        <v/>
      </c>
      <c r="O273" s="106"/>
      <c r="P273" s="164" t="str">
        <f>IF($G273&lt;&gt;"",VLOOKUP($G273,'MASTER TOKO BALI'!$B$2:$W$740,7,FALSE),"")</f>
        <v/>
      </c>
    </row>
    <row r="274" spans="1:16" ht="14.4" x14ac:dyDescent="0.3">
      <c r="A274" s="106">
        <f t="shared" si="10"/>
        <v>256</v>
      </c>
      <c r="B274" s="107" t="s">
        <v>2038</v>
      </c>
      <c r="C274" s="116" t="s">
        <v>2061</v>
      </c>
      <c r="D274" s="113" t="s">
        <v>2063</v>
      </c>
      <c r="E274" s="109" t="s">
        <v>2077</v>
      </c>
      <c r="F274" s="135"/>
      <c r="G274" s="60"/>
      <c r="H274" s="111" t="str">
        <f>IF($G274&lt;&gt;"",VLOOKUP($G274,'MASTER TOKO BALI'!$B$2:$W$744,2,FALSE),"")</f>
        <v/>
      </c>
      <c r="I274" s="237" t="str">
        <f>IF($G274&lt;&gt;"",VLOOKUP($G274,'MASTER TOKO BALI'!$B$2:$W$744,4,FALSE),"")</f>
        <v/>
      </c>
      <c r="J274" s="112">
        <v>46276</v>
      </c>
      <c r="K274" s="111" t="str">
        <f>IF($G274&lt;&gt;"",VLOOKUP($G274,'MASTER TOKO BALI'!$B$2:$W$744,12,FALSE),"")</f>
        <v/>
      </c>
      <c r="L274" s="111" t="str">
        <f>IF($G274&lt;&gt;"",VLOOKUP($G274,'MASTER TOKO BALI'!$B$2:$W$744,5,FALSE),"")</f>
        <v/>
      </c>
      <c r="M274" s="65"/>
      <c r="N274" s="111" t="str">
        <f>IF($G274&lt;&gt;"",VLOOKUP($G274,'MASTER TOKO BALI'!$B$2:$W$744,21,FALSE),"")</f>
        <v/>
      </c>
      <c r="O274" s="106"/>
      <c r="P274" s="164" t="str">
        <f>IF($G274&lt;&gt;"",VLOOKUP($G274,'MASTER TOKO BALI'!$B$2:$W$740,7,FALSE),"")</f>
        <v/>
      </c>
    </row>
    <row r="275" spans="1:16" ht="14.4" x14ac:dyDescent="0.3">
      <c r="A275" s="106">
        <f t="shared" si="10"/>
        <v>257</v>
      </c>
      <c r="B275" s="107" t="s">
        <v>2064</v>
      </c>
      <c r="C275" s="116" t="s">
        <v>2061</v>
      </c>
      <c r="D275" s="108" t="s">
        <v>2065</v>
      </c>
      <c r="E275" s="109" t="s">
        <v>2077</v>
      </c>
      <c r="F275" s="126"/>
      <c r="G275" s="60"/>
      <c r="H275" s="111" t="str">
        <f>IF($G275&lt;&gt;"",VLOOKUP($G275,'MASTER TOKO BALI'!$B$2:$W$744,2,FALSE),"")</f>
        <v/>
      </c>
      <c r="I275" s="237" t="str">
        <f>IF($G275&lt;&gt;"",VLOOKUP($G275,'MASTER TOKO BALI'!$B$2:$W$744,4,FALSE),"")</f>
        <v/>
      </c>
      <c r="J275" s="112">
        <v>46276</v>
      </c>
      <c r="K275" s="111" t="str">
        <f>IF($G275&lt;&gt;"",VLOOKUP($G275,'MASTER TOKO BALI'!$B$2:$W$744,12,FALSE),"")</f>
        <v/>
      </c>
      <c r="L275" s="111" t="str">
        <f>IF($G275&lt;&gt;"",VLOOKUP($G275,'MASTER TOKO BALI'!$B$2:$W$744,5,FALSE),"")</f>
        <v/>
      </c>
      <c r="M275" s="65"/>
      <c r="N275" s="111" t="str">
        <f>IF($G275&lt;&gt;"",VLOOKUP($G275,'MASTER TOKO BALI'!$B$2:$W$744,21,FALSE),"")</f>
        <v/>
      </c>
      <c r="O275" s="106"/>
      <c r="P275" s="164" t="str">
        <f>IF($G275&lt;&gt;"",VLOOKUP($G275,'MASTER TOKO BALI'!$B$2:$W$740,7,FALSE),"")</f>
        <v/>
      </c>
    </row>
    <row r="276" spans="1:16" ht="14.4" x14ac:dyDescent="0.3">
      <c r="A276" s="106">
        <f t="shared" si="10"/>
        <v>258</v>
      </c>
      <c r="B276" s="107" t="s">
        <v>2066</v>
      </c>
      <c r="C276" s="116" t="s">
        <v>2061</v>
      </c>
      <c r="D276" s="113" t="s">
        <v>2063</v>
      </c>
      <c r="E276" s="109" t="s">
        <v>2077</v>
      </c>
      <c r="F276" s="135"/>
      <c r="G276" s="60"/>
      <c r="H276" s="111" t="str">
        <f>IF($G276&lt;&gt;"",VLOOKUP($G276,'MASTER TOKO BALI'!$B$2:$W$744,2,FALSE),"")</f>
        <v/>
      </c>
      <c r="I276" s="237" t="str">
        <f>IF($G276&lt;&gt;"",VLOOKUP($G276,'MASTER TOKO BALI'!$B$2:$W$744,4,FALSE),"")</f>
        <v/>
      </c>
      <c r="J276" s="112">
        <v>46276</v>
      </c>
      <c r="K276" s="111" t="str">
        <f>IF($G276&lt;&gt;"",VLOOKUP($G276,'MASTER TOKO BALI'!$B$2:$W$744,12,FALSE),"")</f>
        <v/>
      </c>
      <c r="L276" s="111" t="str">
        <f>IF($G276&lt;&gt;"",VLOOKUP($G276,'MASTER TOKO BALI'!$B$2:$W$744,5,FALSE),"")</f>
        <v/>
      </c>
      <c r="M276" s="65"/>
      <c r="N276" s="111" t="str">
        <f>IF($G276&lt;&gt;"",VLOOKUP($G276,'MASTER TOKO BALI'!$B$2:$W$744,21,FALSE),"")</f>
        <v/>
      </c>
      <c r="O276" s="106"/>
      <c r="P276" s="164" t="str">
        <f>IF($G276&lt;&gt;"",VLOOKUP($G276,'MASTER TOKO BALI'!$B$2:$W$740,7,FALSE),"")</f>
        <v/>
      </c>
    </row>
    <row r="277" spans="1:16" ht="14.4" x14ac:dyDescent="0.3">
      <c r="A277" s="106">
        <f t="shared" si="10"/>
        <v>259</v>
      </c>
      <c r="B277" s="107" t="s">
        <v>2067</v>
      </c>
      <c r="C277" s="107" t="s">
        <v>2068</v>
      </c>
      <c r="D277" s="108" t="s">
        <v>2069</v>
      </c>
      <c r="E277" s="109" t="s">
        <v>2077</v>
      </c>
      <c r="F277" s="126"/>
      <c r="G277" s="60"/>
      <c r="H277" s="111" t="str">
        <f>IF($G277&lt;&gt;"",VLOOKUP($G277,'MASTER TOKO BALI'!$B$2:$W$744,2,FALSE),"")</f>
        <v/>
      </c>
      <c r="I277" s="237" t="str">
        <f>IF($G277&lt;&gt;"",VLOOKUP($G277,'MASTER TOKO BALI'!$B$2:$W$744,4,FALSE),"")</f>
        <v/>
      </c>
      <c r="J277" s="112">
        <v>46276</v>
      </c>
      <c r="K277" s="111" t="str">
        <f>IF($G277&lt;&gt;"",VLOOKUP($G277,'MASTER TOKO BALI'!$B$2:$W$744,12,FALSE),"")</f>
        <v/>
      </c>
      <c r="L277" s="111" t="str">
        <f>IF($G277&lt;&gt;"",VLOOKUP($G277,'MASTER TOKO BALI'!$B$2:$W$744,5,FALSE),"")</f>
        <v/>
      </c>
      <c r="M277" s="65"/>
      <c r="N277" s="111" t="str">
        <f>IF($G277&lt;&gt;"",VLOOKUP($G277,'MASTER TOKO BALI'!$B$2:$W$744,21,FALSE),"")</f>
        <v/>
      </c>
      <c r="O277" s="106"/>
      <c r="P277" s="164" t="str">
        <f>IF($G277&lt;&gt;"",VLOOKUP($G277,'MASTER TOKO BALI'!$B$2:$W$740,7,FALSE),"")</f>
        <v/>
      </c>
    </row>
    <row r="278" spans="1:16" ht="14.4" x14ac:dyDescent="0.2">
      <c r="A278" s="106">
        <f t="shared" si="10"/>
        <v>260</v>
      </c>
      <c r="B278" s="107" t="s">
        <v>2066</v>
      </c>
      <c r="C278" s="107" t="s">
        <v>2068</v>
      </c>
      <c r="D278" s="117" t="s">
        <v>2070</v>
      </c>
      <c r="E278" s="109" t="s">
        <v>2077</v>
      </c>
      <c r="F278" s="126"/>
      <c r="G278" s="60"/>
      <c r="H278" s="111" t="str">
        <f>IF($G278&lt;&gt;"",VLOOKUP($G278,'MASTER TOKO BALI'!$B$2:$W$744,2,FALSE),"")</f>
        <v/>
      </c>
      <c r="I278" s="237" t="str">
        <f>IF($G278&lt;&gt;"",VLOOKUP($G278,'MASTER TOKO BALI'!$B$2:$W$744,4,FALSE),"")</f>
        <v/>
      </c>
      <c r="J278" s="112">
        <v>46276</v>
      </c>
      <c r="K278" s="111" t="str">
        <f>IF($G278&lt;&gt;"",VLOOKUP($G278,'MASTER TOKO BALI'!$B$2:$W$744,12,FALSE),"")</f>
        <v/>
      </c>
      <c r="L278" s="111" t="str">
        <f>IF($G278&lt;&gt;"",VLOOKUP($G278,'MASTER TOKO BALI'!$B$2:$W$744,5,FALSE),"")</f>
        <v/>
      </c>
      <c r="M278" s="106"/>
      <c r="N278" s="111" t="str">
        <f>IF($G278&lt;&gt;"",VLOOKUP($G278,'MASTER TOKO BALI'!$B$2:$W$744,21,FALSE),"")</f>
        <v/>
      </c>
      <c r="O278" s="106"/>
      <c r="P278" s="164" t="str">
        <f>IF($G278&lt;&gt;"",VLOOKUP($G278,'MASTER TOKO BALI'!$B$2:$W$740,7,FALSE),"")</f>
        <v/>
      </c>
    </row>
    <row r="279" spans="1:16" x14ac:dyDescent="0.2">
      <c r="A279" s="106">
        <f t="shared" si="10"/>
        <v>261</v>
      </c>
      <c r="B279" s="107" t="s">
        <v>2071</v>
      </c>
      <c r="C279" s="107" t="s">
        <v>2068</v>
      </c>
      <c r="D279" s="116" t="s">
        <v>2003</v>
      </c>
      <c r="E279" s="109" t="s">
        <v>2077</v>
      </c>
      <c r="F279" s="126"/>
      <c r="G279" s="144"/>
      <c r="H279" s="111" t="str">
        <f>IF($G279&lt;&gt;"",VLOOKUP($G279,'MASTER TOKO BALI'!$B$2:$W$744,2,FALSE),"")</f>
        <v/>
      </c>
      <c r="I279" s="237" t="str">
        <f>IF($G279&lt;&gt;"",VLOOKUP($G279,'MASTER TOKO BALI'!$B$2:$W$744,4,FALSE),"")</f>
        <v/>
      </c>
      <c r="J279" s="112">
        <v>46276</v>
      </c>
      <c r="K279" s="111" t="str">
        <f>IF($G279&lt;&gt;"",VLOOKUP($G279,'MASTER TOKO BALI'!$B$2:$W$744,12,FALSE),"")</f>
        <v/>
      </c>
      <c r="L279" s="111" t="str">
        <f>IF($G279&lt;&gt;"",VLOOKUP($G279,'MASTER TOKO BALI'!$B$2:$W$744,5,FALSE),"")</f>
        <v/>
      </c>
      <c r="M279" s="106"/>
      <c r="N279" s="111" t="str">
        <f>IF($G279&lt;&gt;"",VLOOKUP($G279,'MASTER TOKO BALI'!$B$2:$W$744,21,FALSE),"")</f>
        <v/>
      </c>
      <c r="O279" s="106"/>
      <c r="P279" s="164" t="str">
        <f>IF($G279&lt;&gt;"",VLOOKUP($G279,'MASTER TOKO BALI'!$B$2:$W$740,7,FALSE),"")</f>
        <v/>
      </c>
    </row>
    <row r="280" spans="1:16" x14ac:dyDescent="0.2">
      <c r="A280" s="106">
        <f t="shared" si="10"/>
        <v>262</v>
      </c>
      <c r="B280" s="107" t="s">
        <v>2066</v>
      </c>
      <c r="C280" s="107" t="s">
        <v>2068</v>
      </c>
      <c r="D280" s="117" t="s">
        <v>2070</v>
      </c>
      <c r="E280" s="109" t="s">
        <v>2077</v>
      </c>
      <c r="F280" s="126"/>
      <c r="G280" s="144"/>
      <c r="H280" s="111" t="str">
        <f>IF($G280&lt;&gt;"",VLOOKUP($G280,'MASTER TOKO BALI'!$B$2:$W$744,2,FALSE),"")</f>
        <v/>
      </c>
      <c r="I280" s="237" t="str">
        <f>IF($G280&lt;&gt;"",VLOOKUP($G280,'MASTER TOKO BALI'!$B$2:$W$744,4,FALSE),"")</f>
        <v/>
      </c>
      <c r="J280" s="112">
        <v>46276</v>
      </c>
      <c r="K280" s="111" t="str">
        <f>IF($G280&lt;&gt;"",VLOOKUP($G280,'MASTER TOKO BALI'!$B$2:$W$744,12,FALSE),"")</f>
        <v/>
      </c>
      <c r="L280" s="111" t="str">
        <f>IF($G280&lt;&gt;"",VLOOKUP($G280,'MASTER TOKO BALI'!$B$2:$W$744,5,FALSE),"")</f>
        <v/>
      </c>
      <c r="M280" s="106"/>
      <c r="N280" s="111" t="str">
        <f>IF($G280&lt;&gt;"",VLOOKUP($G280,'MASTER TOKO BALI'!$B$2:$W$744,21,FALSE),"")</f>
        <v/>
      </c>
      <c r="O280" s="106"/>
      <c r="P280" s="164" t="str">
        <f>IF($G280&lt;&gt;"",VLOOKUP($G280,'MASTER TOKO BALI'!$B$2:$W$740,7,FALSE),"")</f>
        <v/>
      </c>
    </row>
    <row r="281" spans="1:16" x14ac:dyDescent="0.2">
      <c r="A281" s="106"/>
      <c r="B281" s="107"/>
      <c r="C281" s="107"/>
      <c r="D281" s="111"/>
      <c r="E281" s="114"/>
      <c r="F281" s="126"/>
      <c r="G281" s="144"/>
      <c r="H281" s="111" t="str">
        <f>IF($G281&lt;&gt;"",VLOOKUP($G281,'MASTER TOKO BALI'!$B$2:$W$744,2,FALSE),"")</f>
        <v/>
      </c>
      <c r="I281" s="237" t="str">
        <f>IF($G281&lt;&gt;"",VLOOKUP($G281,'MASTER TOKO BALI'!$B$2:$W$744,4,FALSE),"")</f>
        <v/>
      </c>
      <c r="J281" s="119"/>
      <c r="K281" s="111" t="str">
        <f>IF($G281&lt;&gt;"",VLOOKUP($G281,'MASTER TOKO BALI'!$B$2:$W$744,12,FALSE),"")</f>
        <v/>
      </c>
      <c r="L281" s="111" t="str">
        <f>IF($G281&lt;&gt;"",VLOOKUP($G281,'MASTER TOKO BALI'!$B$2:$W$744,5,FALSE),"")</f>
        <v/>
      </c>
      <c r="M281" s="106"/>
      <c r="N281" s="111" t="str">
        <f>IF($G281&lt;&gt;"",VLOOKUP($G281,'MASTER TOKO BALI'!$B$2:$W$744,21,FALSE),"")</f>
        <v/>
      </c>
      <c r="O281" s="106"/>
      <c r="P281" s="164" t="str">
        <f>IF($G281&lt;&gt;"",VLOOKUP($G281,'MASTER TOKO BALI'!$B$2:$W$740,7,FALSE),"")</f>
        <v/>
      </c>
    </row>
    <row r="282" spans="1:16" ht="14.4" x14ac:dyDescent="0.3">
      <c r="A282" s="106">
        <f>A280+1</f>
        <v>263</v>
      </c>
      <c r="B282" s="107" t="s">
        <v>2034</v>
      </c>
      <c r="C282" s="107" t="s">
        <v>2035</v>
      </c>
      <c r="D282" s="108" t="s">
        <v>2036</v>
      </c>
      <c r="E282" s="109" t="s">
        <v>2037</v>
      </c>
      <c r="F282" s="60"/>
      <c r="G282" s="60"/>
      <c r="H282" s="111" t="str">
        <f>IF($G282&lt;&gt;"",VLOOKUP($G282,'MASTER TOKO BALI'!$B$2:$W$744,2,FALSE),"")</f>
        <v/>
      </c>
      <c r="I282" s="237" t="str">
        <f>IF($G282&lt;&gt;"",VLOOKUP($G282,'MASTER TOKO BALI'!$B$2:$W$744,4,FALSE),"")</f>
        <v/>
      </c>
      <c r="J282" s="112">
        <v>46277</v>
      </c>
      <c r="K282" s="111" t="str">
        <f>IF($G282&lt;&gt;"",VLOOKUP($G282,'MASTER TOKO BALI'!$B$2:$W$744,12,FALSE),"")</f>
        <v/>
      </c>
      <c r="L282" s="111" t="str">
        <f>IF($G282&lt;&gt;"",VLOOKUP($G282,'MASTER TOKO BALI'!$B$2:$W$744,5,FALSE),"")</f>
        <v/>
      </c>
      <c r="M282" s="65"/>
      <c r="N282" s="111" t="str">
        <f>IF($G282&lt;&gt;"",VLOOKUP($G282,'MASTER TOKO BALI'!$B$2:$W$744,21,FALSE),"")</f>
        <v/>
      </c>
      <c r="O282" s="106"/>
      <c r="P282" s="164" t="str">
        <f>IF($G282&lt;&gt;"",VLOOKUP($G282,'MASTER TOKO BALI'!$B$2:$W$740,7,FALSE),"")</f>
        <v/>
      </c>
    </row>
    <row r="283" spans="1:16" ht="14.4" x14ac:dyDescent="0.3">
      <c r="A283" s="106">
        <f t="shared" ref="A283:A305" si="11">A282+1</f>
        <v>264</v>
      </c>
      <c r="B283" s="107" t="s">
        <v>2038</v>
      </c>
      <c r="C283" s="107" t="s">
        <v>2035</v>
      </c>
      <c r="D283" s="113" t="s">
        <v>2039</v>
      </c>
      <c r="E283" s="109" t="s">
        <v>2037</v>
      </c>
      <c r="F283" s="110"/>
      <c r="G283" s="60"/>
      <c r="H283" s="111" t="str">
        <f>IF($G283&lt;&gt;"",VLOOKUP($G283,'MASTER TOKO BALI'!$B$2:$W$744,2,FALSE),"")</f>
        <v/>
      </c>
      <c r="I283" s="237" t="str">
        <f>IF($G283&lt;&gt;"",VLOOKUP($G283,'MASTER TOKO BALI'!$B$2:$W$744,4,FALSE),"")</f>
        <v/>
      </c>
      <c r="J283" s="112">
        <v>46277</v>
      </c>
      <c r="K283" s="111" t="str">
        <f>IF($G283&lt;&gt;"",VLOOKUP($G283,'MASTER TOKO BALI'!$B$2:$W$744,12,FALSE),"")</f>
        <v/>
      </c>
      <c r="L283" s="111" t="str">
        <f>IF($G283&lt;&gt;"",VLOOKUP($G283,'MASTER TOKO BALI'!$B$2:$W$744,5,FALSE),"")</f>
        <v/>
      </c>
      <c r="M283" s="65"/>
      <c r="N283" s="111" t="str">
        <f>IF($G283&lt;&gt;"",VLOOKUP($G283,'MASTER TOKO BALI'!$B$2:$W$744,21,FALSE),"")</f>
        <v/>
      </c>
      <c r="O283" s="106"/>
      <c r="P283" s="164" t="str">
        <f>IF($G283&lt;&gt;"",VLOOKUP($G283,'MASTER TOKO BALI'!$B$2:$W$740,7,FALSE),"")</f>
        <v/>
      </c>
    </row>
    <row r="284" spans="1:16" ht="14.4" x14ac:dyDescent="0.3">
      <c r="A284" s="106">
        <f t="shared" si="11"/>
        <v>265</v>
      </c>
      <c r="B284" s="107" t="s">
        <v>2040</v>
      </c>
      <c r="C284" s="107" t="s">
        <v>2035</v>
      </c>
      <c r="D284" s="108" t="s">
        <v>2041</v>
      </c>
      <c r="E284" s="109" t="s">
        <v>2037</v>
      </c>
      <c r="F284" s="126"/>
      <c r="G284" s="60"/>
      <c r="H284" s="111" t="str">
        <f>IF($G284&lt;&gt;"",VLOOKUP($G284,'MASTER TOKO BALI'!$B$2:$W$744,2,FALSE),"")</f>
        <v/>
      </c>
      <c r="I284" s="237" t="str">
        <f>IF($G284&lt;&gt;"",VLOOKUP($G284,'MASTER TOKO BALI'!$B$2:$W$744,4,FALSE),"")</f>
        <v/>
      </c>
      <c r="J284" s="112">
        <v>46277</v>
      </c>
      <c r="K284" s="111" t="str">
        <f>IF($G284&lt;&gt;"",VLOOKUP($G284,'MASTER TOKO BALI'!$B$2:$W$744,12,FALSE),"")</f>
        <v/>
      </c>
      <c r="L284" s="111" t="str">
        <f>IF($G284&lt;&gt;"",VLOOKUP($G284,'MASTER TOKO BALI'!$B$2:$W$744,5,FALSE),"")</f>
        <v/>
      </c>
      <c r="M284" s="65"/>
      <c r="N284" s="111" t="str">
        <f>IF($G284&lt;&gt;"",VLOOKUP($G284,'MASTER TOKO BALI'!$B$2:$W$744,21,FALSE),"")</f>
        <v/>
      </c>
      <c r="O284" s="106"/>
      <c r="P284" s="164" t="str">
        <f>IF($G284&lt;&gt;"",VLOOKUP($G284,'MASTER TOKO BALI'!$B$2:$W$740,7,FALSE),"")</f>
        <v/>
      </c>
    </row>
    <row r="285" spans="1:16" ht="14.4" x14ac:dyDescent="0.3">
      <c r="A285" s="106">
        <f t="shared" si="11"/>
        <v>266</v>
      </c>
      <c r="B285" s="107" t="s">
        <v>2038</v>
      </c>
      <c r="C285" s="107" t="s">
        <v>2035</v>
      </c>
      <c r="D285" s="113" t="s">
        <v>2039</v>
      </c>
      <c r="E285" s="109" t="s">
        <v>2037</v>
      </c>
      <c r="F285" s="126"/>
      <c r="G285" s="145"/>
      <c r="H285" s="111" t="str">
        <f>IF($G285&lt;&gt;"",VLOOKUP($G285,'MASTER TOKO BALI'!$B$2:$W$744,2,FALSE),"")</f>
        <v/>
      </c>
      <c r="I285" s="237" t="str">
        <f>IF($G285&lt;&gt;"",VLOOKUP($G285,'MASTER TOKO BALI'!$B$2:$W$744,4,FALSE),"")</f>
        <v/>
      </c>
      <c r="J285" s="112">
        <v>46277</v>
      </c>
      <c r="K285" s="111" t="str">
        <f>IF($G285&lt;&gt;"",VLOOKUP($G285,'MASTER TOKO BALI'!$B$2:$W$744,12,FALSE),"")</f>
        <v/>
      </c>
      <c r="L285" s="111" t="str">
        <f>IF($G285&lt;&gt;"",VLOOKUP($G285,'MASTER TOKO BALI'!$B$2:$W$744,5,FALSE),"")</f>
        <v/>
      </c>
      <c r="M285" s="65"/>
      <c r="N285" s="111" t="str">
        <f>IF($G285&lt;&gt;"",VLOOKUP($G285,'MASTER TOKO BALI'!$B$2:$W$744,21,FALSE),"")</f>
        <v/>
      </c>
      <c r="O285" s="106"/>
      <c r="P285" s="164" t="str">
        <f>IF($G285&lt;&gt;"",VLOOKUP($G285,'MASTER TOKO BALI'!$B$2:$W$740,7,FALSE),"")</f>
        <v/>
      </c>
    </row>
    <row r="286" spans="1:16" ht="14.4" x14ac:dyDescent="0.3">
      <c r="A286" s="106">
        <f t="shared" si="11"/>
        <v>267</v>
      </c>
      <c r="B286" s="107" t="s">
        <v>2042</v>
      </c>
      <c r="C286" s="107" t="s">
        <v>2043</v>
      </c>
      <c r="D286" s="108" t="s">
        <v>2044</v>
      </c>
      <c r="E286" s="109" t="s">
        <v>2037</v>
      </c>
      <c r="F286" s="126"/>
      <c r="G286" s="60"/>
      <c r="H286" s="111" t="str">
        <f>IF($G286&lt;&gt;"",VLOOKUP($G286,'MASTER TOKO BALI'!$B$2:$W$744,2,FALSE),"")</f>
        <v/>
      </c>
      <c r="I286" s="237" t="str">
        <f>IF($G286&lt;&gt;"",VLOOKUP($G286,'MASTER TOKO BALI'!$B$2:$W$744,4,FALSE),"")</f>
        <v/>
      </c>
      <c r="J286" s="112">
        <v>46277</v>
      </c>
      <c r="K286" s="111" t="str">
        <f>IF($G286&lt;&gt;"",VLOOKUP($G286,'MASTER TOKO BALI'!$B$2:$W$744,12,FALSE),"")</f>
        <v/>
      </c>
      <c r="L286" s="111" t="str">
        <f>IF($G286&lt;&gt;"",VLOOKUP($G286,'MASTER TOKO BALI'!$B$2:$W$744,5,FALSE),"")</f>
        <v/>
      </c>
      <c r="M286" s="65"/>
      <c r="N286" s="111" t="str">
        <f>IF($G286&lt;&gt;"",VLOOKUP($G286,'MASTER TOKO BALI'!$B$2:$W$744,21,FALSE),"")</f>
        <v/>
      </c>
      <c r="O286" s="106"/>
      <c r="P286" s="164" t="str">
        <f>IF($G286&lt;&gt;"",VLOOKUP($G286,'MASTER TOKO BALI'!$B$2:$W$740,7,FALSE),"")</f>
        <v/>
      </c>
    </row>
    <row r="287" spans="1:16" ht="14.4" x14ac:dyDescent="0.3">
      <c r="A287" s="106">
        <f t="shared" si="11"/>
        <v>268</v>
      </c>
      <c r="B287" s="107" t="s">
        <v>2038</v>
      </c>
      <c r="C287" s="107" t="s">
        <v>2043</v>
      </c>
      <c r="D287" s="113" t="s">
        <v>2045</v>
      </c>
      <c r="E287" s="109" t="s">
        <v>2037</v>
      </c>
      <c r="F287" s="126"/>
      <c r="G287" s="60"/>
      <c r="H287" s="111" t="str">
        <f>IF($G287&lt;&gt;"",VLOOKUP($G287,'MASTER TOKO BALI'!$B$2:$W$744,2,FALSE),"")</f>
        <v/>
      </c>
      <c r="I287" s="237" t="str">
        <f>IF($G287&lt;&gt;"",VLOOKUP($G287,'MASTER TOKO BALI'!$B$2:$W$744,4,FALSE),"")</f>
        <v/>
      </c>
      <c r="J287" s="112">
        <v>46277</v>
      </c>
      <c r="K287" s="111" t="str">
        <f>IF($G287&lt;&gt;"",VLOOKUP($G287,'MASTER TOKO BALI'!$B$2:$W$744,12,FALSE),"")</f>
        <v/>
      </c>
      <c r="L287" s="111" t="str">
        <f>IF($G287&lt;&gt;"",VLOOKUP($G287,'MASTER TOKO BALI'!$B$2:$W$744,5,FALSE),"")</f>
        <v/>
      </c>
      <c r="M287" s="65"/>
      <c r="N287" s="111" t="str">
        <f>IF($G287&lt;&gt;"",VLOOKUP($G287,'MASTER TOKO BALI'!$B$2:$W$744,21,FALSE),"")</f>
        <v/>
      </c>
      <c r="O287" s="106"/>
      <c r="P287" s="164" t="str">
        <f>IF($G287&lt;&gt;"",VLOOKUP($G287,'MASTER TOKO BALI'!$B$2:$W$740,7,FALSE),"")</f>
        <v/>
      </c>
    </row>
    <row r="288" spans="1:16" ht="14.4" x14ac:dyDescent="0.3">
      <c r="A288" s="106">
        <f t="shared" si="11"/>
        <v>269</v>
      </c>
      <c r="B288" s="107" t="s">
        <v>2046</v>
      </c>
      <c r="C288" s="107" t="s">
        <v>2043</v>
      </c>
      <c r="D288" s="108" t="s">
        <v>2047</v>
      </c>
      <c r="E288" s="109" t="s">
        <v>2037</v>
      </c>
      <c r="F288" s="126"/>
      <c r="G288" s="60"/>
      <c r="H288" s="111" t="str">
        <f>IF($G288&lt;&gt;"",VLOOKUP($G288,'MASTER TOKO BALI'!$B$2:$W$744,2,FALSE),"")</f>
        <v/>
      </c>
      <c r="I288" s="237" t="str">
        <f>IF($G288&lt;&gt;"",VLOOKUP($G288,'MASTER TOKO BALI'!$B$2:$W$744,4,FALSE),"")</f>
        <v/>
      </c>
      <c r="J288" s="112">
        <v>46277</v>
      </c>
      <c r="K288" s="111" t="str">
        <f>IF($G288&lt;&gt;"",VLOOKUP($G288,'MASTER TOKO BALI'!$B$2:$W$744,12,FALSE),"")</f>
        <v/>
      </c>
      <c r="L288" s="111" t="str">
        <f>IF($G288&lt;&gt;"",VLOOKUP($G288,'MASTER TOKO BALI'!$B$2:$W$744,5,FALSE),"")</f>
        <v/>
      </c>
      <c r="M288" s="65"/>
      <c r="N288" s="111" t="str">
        <f>IF($G288&lt;&gt;"",VLOOKUP($G288,'MASTER TOKO BALI'!$B$2:$W$744,21,FALSE),"")</f>
        <v/>
      </c>
      <c r="O288" s="106"/>
      <c r="P288" s="164" t="str">
        <f>IF($G288&lt;&gt;"",VLOOKUP($G288,'MASTER TOKO BALI'!$B$2:$W$740,7,FALSE),"")</f>
        <v/>
      </c>
    </row>
    <row r="289" spans="1:16" ht="14.4" x14ac:dyDescent="0.3">
      <c r="A289" s="106">
        <f t="shared" si="11"/>
        <v>270</v>
      </c>
      <c r="B289" s="107" t="s">
        <v>2038</v>
      </c>
      <c r="C289" s="107" t="s">
        <v>2043</v>
      </c>
      <c r="D289" s="113" t="s">
        <v>2045</v>
      </c>
      <c r="E289" s="109" t="s">
        <v>2037</v>
      </c>
      <c r="F289" s="126"/>
      <c r="G289" s="144"/>
      <c r="H289" s="111" t="str">
        <f>IF($G289&lt;&gt;"",VLOOKUP($G289,'MASTER TOKO BALI'!$B$2:$W$744,2,FALSE),"")</f>
        <v/>
      </c>
      <c r="I289" s="237" t="str">
        <f>IF($G289&lt;&gt;"",VLOOKUP($G289,'MASTER TOKO BALI'!$B$2:$W$744,4,FALSE),"")</f>
        <v/>
      </c>
      <c r="J289" s="112">
        <v>46277</v>
      </c>
      <c r="K289" s="111" t="str">
        <f>IF($G289&lt;&gt;"",VLOOKUP($G289,'MASTER TOKO BALI'!$B$2:$W$744,12,FALSE),"")</f>
        <v/>
      </c>
      <c r="L289" s="111" t="str">
        <f>IF($G289&lt;&gt;"",VLOOKUP($G289,'MASTER TOKO BALI'!$B$2:$W$744,5,FALSE),"")</f>
        <v/>
      </c>
      <c r="M289" s="65"/>
      <c r="N289" s="111" t="str">
        <f>IF($G289&lt;&gt;"",VLOOKUP($G289,'MASTER TOKO BALI'!$B$2:$W$744,21,FALSE),"")</f>
        <v/>
      </c>
      <c r="O289" s="106"/>
      <c r="P289" s="164" t="str">
        <f>IF($G289&lt;&gt;"",VLOOKUP($G289,'MASTER TOKO BALI'!$B$2:$W$740,7,FALSE),"")</f>
        <v/>
      </c>
    </row>
    <row r="290" spans="1:16" ht="14.4" x14ac:dyDescent="0.3">
      <c r="A290" s="106">
        <f t="shared" si="11"/>
        <v>271</v>
      </c>
      <c r="B290" s="107" t="s">
        <v>2048</v>
      </c>
      <c r="C290" s="107" t="s">
        <v>2049</v>
      </c>
      <c r="D290" s="108" t="s">
        <v>2050</v>
      </c>
      <c r="E290" s="109" t="s">
        <v>2037</v>
      </c>
      <c r="F290" s="110"/>
      <c r="G290" s="60"/>
      <c r="H290" s="111" t="str">
        <f>IF($G290&lt;&gt;"",VLOOKUP($G290,'MASTER TOKO BALI'!$B$2:$W$744,2,FALSE),"")</f>
        <v/>
      </c>
      <c r="I290" s="237" t="str">
        <f>IF($G290&lt;&gt;"",VLOOKUP($G290,'MASTER TOKO BALI'!$B$2:$W$744,4,FALSE),"")</f>
        <v/>
      </c>
      <c r="J290" s="112">
        <v>46277</v>
      </c>
      <c r="K290" s="111" t="str">
        <f>IF($G290&lt;&gt;"",VLOOKUP($G290,'MASTER TOKO BALI'!$B$2:$W$744,12,FALSE),"")</f>
        <v/>
      </c>
      <c r="L290" s="111" t="str">
        <f>IF($G290&lt;&gt;"",VLOOKUP($G290,'MASTER TOKO BALI'!$B$2:$W$744,5,FALSE),"")</f>
        <v/>
      </c>
      <c r="M290" s="65"/>
      <c r="N290" s="111" t="str">
        <f>IF($G290&lt;&gt;"",VLOOKUP($G290,'MASTER TOKO BALI'!$B$2:$W$744,21,FALSE),"")</f>
        <v/>
      </c>
      <c r="O290" s="106"/>
      <c r="P290" s="164" t="str">
        <f>IF($G290&lt;&gt;"",VLOOKUP($G290,'MASTER TOKO BALI'!$B$2:$W$740,7,FALSE),"")</f>
        <v/>
      </c>
    </row>
    <row r="291" spans="1:16" ht="14.4" x14ac:dyDescent="0.3">
      <c r="A291" s="106"/>
      <c r="B291" s="107" t="s">
        <v>2038</v>
      </c>
      <c r="C291" s="107" t="s">
        <v>2049</v>
      </c>
      <c r="D291" s="115" t="s">
        <v>2051</v>
      </c>
      <c r="E291" s="109" t="s">
        <v>2037</v>
      </c>
      <c r="F291" s="126"/>
      <c r="G291" s="144"/>
      <c r="H291" s="111" t="str">
        <f>IF($G291&lt;&gt;"",VLOOKUP($G291,'MASTER TOKO BALI'!$B$2:$W$744,2,FALSE),"")</f>
        <v/>
      </c>
      <c r="I291" s="237" t="str">
        <f>IF($G291&lt;&gt;"",VLOOKUP($G291,'MASTER TOKO BALI'!$B$2:$W$744,4,FALSE),"")</f>
        <v/>
      </c>
      <c r="J291" s="112">
        <v>46277</v>
      </c>
      <c r="K291" s="111" t="str">
        <f>IF($G291&lt;&gt;"",VLOOKUP($G291,'MASTER TOKO BALI'!$B$2:$W$744,12,FALSE),"")</f>
        <v/>
      </c>
      <c r="L291" s="111" t="str">
        <f>IF($G291&lt;&gt;"",VLOOKUP($G291,'MASTER TOKO BALI'!$B$2:$W$744,5,FALSE),"")</f>
        <v/>
      </c>
      <c r="M291" s="65"/>
      <c r="N291" s="111" t="str">
        <f>IF($G291&lt;&gt;"",VLOOKUP($G291,'MASTER TOKO BALI'!$B$2:$W$744,21,FALSE),"")</f>
        <v/>
      </c>
      <c r="O291" s="106"/>
      <c r="P291" s="164" t="str">
        <f>IF($G291&lt;&gt;"",VLOOKUP($G291,'MASTER TOKO BALI'!$B$2:$W$740,7,FALSE),"")</f>
        <v/>
      </c>
    </row>
    <row r="292" spans="1:16" ht="14.4" x14ac:dyDescent="0.3">
      <c r="A292" s="106">
        <f>A290+1</f>
        <v>272</v>
      </c>
      <c r="B292" s="107" t="s">
        <v>2052</v>
      </c>
      <c r="C292" s="107" t="s">
        <v>2049</v>
      </c>
      <c r="D292" s="108" t="s">
        <v>2053</v>
      </c>
      <c r="E292" s="109" t="s">
        <v>2037</v>
      </c>
      <c r="F292" s="126"/>
      <c r="G292" s="60"/>
      <c r="H292" s="111" t="str">
        <f>IF($G292&lt;&gt;"",VLOOKUP($G292,'MASTER TOKO BALI'!$B$2:$W$744,2,FALSE),"")</f>
        <v/>
      </c>
      <c r="I292" s="237" t="str">
        <f>IF($G292&lt;&gt;"",VLOOKUP($G292,'MASTER TOKO BALI'!$B$2:$W$744,4,FALSE),"")</f>
        <v/>
      </c>
      <c r="J292" s="112">
        <v>46277</v>
      </c>
      <c r="K292" s="111" t="str">
        <f>IF($G292&lt;&gt;"",VLOOKUP($G292,'MASTER TOKO BALI'!$B$2:$W$744,12,FALSE),"")</f>
        <v/>
      </c>
      <c r="L292" s="111" t="str">
        <f>IF($G292&lt;&gt;"",VLOOKUP($G292,'MASTER TOKO BALI'!$B$2:$W$744,5,FALSE),"")</f>
        <v/>
      </c>
      <c r="M292" s="65"/>
      <c r="N292" s="111" t="str">
        <f>IF($G292&lt;&gt;"",VLOOKUP($G292,'MASTER TOKO BALI'!$B$2:$W$744,21,FALSE),"")</f>
        <v/>
      </c>
      <c r="O292" s="106"/>
      <c r="P292" s="164" t="str">
        <f>IF($G292&lt;&gt;"",VLOOKUP($G292,'MASTER TOKO BALI'!$B$2:$W$740,7,FALSE),"")</f>
        <v/>
      </c>
    </row>
    <row r="293" spans="1:16" ht="14.4" x14ac:dyDescent="0.3">
      <c r="A293" s="106">
        <f t="shared" si="11"/>
        <v>273</v>
      </c>
      <c r="B293" s="107" t="s">
        <v>2038</v>
      </c>
      <c r="C293" s="107" t="s">
        <v>2049</v>
      </c>
      <c r="D293" s="113" t="s">
        <v>2051</v>
      </c>
      <c r="E293" s="109" t="s">
        <v>2037</v>
      </c>
      <c r="F293" s="127"/>
      <c r="G293" s="144"/>
      <c r="H293" s="111" t="str">
        <f>IF($G293&lt;&gt;"",VLOOKUP($G293,'MASTER TOKO BALI'!$B$2:$W$744,2,FALSE),"")</f>
        <v/>
      </c>
      <c r="I293" s="237" t="str">
        <f>IF($G293&lt;&gt;"",VLOOKUP($G293,'MASTER TOKO BALI'!$B$2:$W$744,4,FALSE),"")</f>
        <v/>
      </c>
      <c r="J293" s="112">
        <v>46277</v>
      </c>
      <c r="K293" s="111" t="str">
        <f>IF($G293&lt;&gt;"",VLOOKUP($G293,'MASTER TOKO BALI'!$B$2:$W$744,12,FALSE),"")</f>
        <v/>
      </c>
      <c r="L293" s="111" t="str">
        <f>IF($G293&lt;&gt;"",VLOOKUP($G293,'MASTER TOKO BALI'!$B$2:$W$744,5,FALSE),"")</f>
        <v/>
      </c>
      <c r="M293" s="65"/>
      <c r="N293" s="111" t="str">
        <f>IF($G293&lt;&gt;"",VLOOKUP($G293,'MASTER TOKO BALI'!$B$2:$W$744,21,FALSE),"")</f>
        <v/>
      </c>
      <c r="O293" s="106"/>
      <c r="P293" s="164" t="str">
        <f>IF($G293&lt;&gt;"",VLOOKUP($G293,'MASTER TOKO BALI'!$B$2:$W$740,7,FALSE),"")</f>
        <v/>
      </c>
    </row>
    <row r="294" spans="1:16" ht="14.4" x14ac:dyDescent="0.3">
      <c r="A294" s="106">
        <f t="shared" si="11"/>
        <v>274</v>
      </c>
      <c r="B294" s="107" t="s">
        <v>2054</v>
      </c>
      <c r="C294" s="116" t="s">
        <v>2055</v>
      </c>
      <c r="D294" s="108" t="s">
        <v>2056</v>
      </c>
      <c r="E294" s="109" t="s">
        <v>2037</v>
      </c>
      <c r="F294" s="126"/>
      <c r="G294" s="60"/>
      <c r="H294" s="111" t="str">
        <f>IF($G294&lt;&gt;"",VLOOKUP($G294,'MASTER TOKO BALI'!$B$2:$W$744,2,FALSE),"")</f>
        <v/>
      </c>
      <c r="I294" s="237" t="str">
        <f>IF($G294&lt;&gt;"",VLOOKUP($G294,'MASTER TOKO BALI'!$B$2:$W$744,4,FALSE),"")</f>
        <v/>
      </c>
      <c r="J294" s="112">
        <v>46277</v>
      </c>
      <c r="K294" s="111" t="str">
        <f>IF($G294&lt;&gt;"",VLOOKUP($G294,'MASTER TOKO BALI'!$B$2:$W$744,12,FALSE),"")</f>
        <v/>
      </c>
      <c r="L294" s="111" t="str">
        <f>IF($G294&lt;&gt;"",VLOOKUP($G294,'MASTER TOKO BALI'!$B$2:$W$744,5,FALSE),"")</f>
        <v/>
      </c>
      <c r="M294" s="65"/>
      <c r="N294" s="111" t="str">
        <f>IF($G294&lt;&gt;"",VLOOKUP($G294,'MASTER TOKO BALI'!$B$2:$W$744,21,FALSE),"")</f>
        <v/>
      </c>
      <c r="O294" s="106"/>
      <c r="P294" s="164" t="str">
        <f>IF($G294&lt;&gt;"",VLOOKUP($G294,'MASTER TOKO BALI'!$B$2:$W$740,7,FALSE),"")</f>
        <v/>
      </c>
    </row>
    <row r="295" spans="1:16" ht="14.4" x14ac:dyDescent="0.2">
      <c r="A295" s="106">
        <f t="shared" si="11"/>
        <v>275</v>
      </c>
      <c r="B295" s="107" t="s">
        <v>2038</v>
      </c>
      <c r="C295" s="116" t="s">
        <v>2055</v>
      </c>
      <c r="D295" s="113" t="s">
        <v>2057</v>
      </c>
      <c r="E295" s="109" t="s">
        <v>2037</v>
      </c>
      <c r="F295" s="60"/>
      <c r="G295" s="144"/>
      <c r="H295" s="111" t="str">
        <f>IF($G295&lt;&gt;"",VLOOKUP($G295,'MASTER TOKO BALI'!$B$2:$W$744,2,FALSE),"")</f>
        <v/>
      </c>
      <c r="I295" s="237" t="str">
        <f>IF($G295&lt;&gt;"",VLOOKUP($G295,'MASTER TOKO BALI'!$B$2:$W$744,4,FALSE),"")</f>
        <v/>
      </c>
      <c r="J295" s="112">
        <v>46277</v>
      </c>
      <c r="K295" s="111" t="str">
        <f>IF($G295&lt;&gt;"",VLOOKUP($G295,'MASTER TOKO BALI'!$B$2:$W$744,12,FALSE),"")</f>
        <v/>
      </c>
      <c r="L295" s="111" t="str">
        <f>IF($G295&lt;&gt;"",VLOOKUP($G295,'MASTER TOKO BALI'!$B$2:$W$744,5,FALSE),"")</f>
        <v/>
      </c>
      <c r="M295" s="106"/>
      <c r="N295" s="111" t="str">
        <f>IF($G295&lt;&gt;"",VLOOKUP($G295,'MASTER TOKO BALI'!$B$2:$W$744,21,FALSE),"")</f>
        <v/>
      </c>
      <c r="O295" s="106"/>
      <c r="P295" s="164" t="str">
        <f>IF($G295&lt;&gt;"",VLOOKUP($G295,'MASTER TOKO BALI'!$B$2:$W$740,7,FALSE),"")</f>
        <v/>
      </c>
    </row>
    <row r="296" spans="1:16" ht="14.4" x14ac:dyDescent="0.2">
      <c r="A296" s="106">
        <f t="shared" si="11"/>
        <v>276</v>
      </c>
      <c r="B296" s="107" t="s">
        <v>2058</v>
      </c>
      <c r="C296" s="116" t="s">
        <v>2055</v>
      </c>
      <c r="D296" s="108" t="s">
        <v>2059</v>
      </c>
      <c r="E296" s="109" t="s">
        <v>2037</v>
      </c>
      <c r="F296" s="60"/>
      <c r="G296" s="60"/>
      <c r="H296" s="111" t="str">
        <f>IF($G296&lt;&gt;"",VLOOKUP($G296,'MASTER TOKO BALI'!$B$2:$W$744,2,FALSE),"")</f>
        <v/>
      </c>
      <c r="I296" s="237" t="str">
        <f>IF($G296&lt;&gt;"",VLOOKUP($G296,'MASTER TOKO BALI'!$B$2:$W$744,4,FALSE),"")</f>
        <v/>
      </c>
      <c r="J296" s="112">
        <v>46277</v>
      </c>
      <c r="K296" s="111" t="str">
        <f>IF($G296&lt;&gt;"",VLOOKUP($G296,'MASTER TOKO BALI'!$B$2:$W$744,12,FALSE),"")</f>
        <v/>
      </c>
      <c r="L296" s="111" t="str">
        <f>IF($G296&lt;&gt;"",VLOOKUP($G296,'MASTER TOKO BALI'!$B$2:$W$744,5,FALSE),"")</f>
        <v/>
      </c>
      <c r="M296" s="106"/>
      <c r="N296" s="111" t="str">
        <f>IF($G296&lt;&gt;"",VLOOKUP($G296,'MASTER TOKO BALI'!$B$2:$W$744,21,FALSE),"")</f>
        <v/>
      </c>
      <c r="O296" s="106"/>
      <c r="P296" s="164" t="str">
        <f>IF($G296&lt;&gt;"",VLOOKUP($G296,'MASTER TOKO BALI'!$B$2:$W$740,7,FALSE),"")</f>
        <v/>
      </c>
    </row>
    <row r="297" spans="1:16" x14ac:dyDescent="0.2">
      <c r="A297" s="106">
        <f t="shared" si="11"/>
        <v>277</v>
      </c>
      <c r="B297" s="107" t="s">
        <v>2038</v>
      </c>
      <c r="C297" s="116" t="s">
        <v>2055</v>
      </c>
      <c r="D297" s="113" t="s">
        <v>2057</v>
      </c>
      <c r="E297" s="109" t="s">
        <v>2037</v>
      </c>
      <c r="F297" s="135"/>
      <c r="G297" s="148"/>
      <c r="H297" s="111" t="str">
        <f>IF($G297&lt;&gt;"",VLOOKUP($G297,'MASTER TOKO BALI'!$B$2:$W$744,2,FALSE),"")</f>
        <v/>
      </c>
      <c r="I297" s="237" t="str">
        <f>IF($G297&lt;&gt;"",VLOOKUP($G297,'MASTER TOKO BALI'!$B$2:$W$744,4,FALSE),"")</f>
        <v/>
      </c>
      <c r="J297" s="112">
        <v>46277</v>
      </c>
      <c r="K297" s="111" t="str">
        <f>IF($G297&lt;&gt;"",VLOOKUP($G297,'MASTER TOKO BALI'!$B$2:$W$744,12,FALSE),"")</f>
        <v/>
      </c>
      <c r="L297" s="111" t="str">
        <f>IF($G297&lt;&gt;"",VLOOKUP($G297,'MASTER TOKO BALI'!$B$2:$W$744,5,FALSE),"")</f>
        <v/>
      </c>
      <c r="M297" s="106"/>
      <c r="N297" s="111" t="str">
        <f>IF($G297&lt;&gt;"",VLOOKUP($G297,'MASTER TOKO BALI'!$B$2:$W$744,21,FALSE),"")</f>
        <v/>
      </c>
      <c r="O297" s="106"/>
      <c r="P297" s="164" t="str">
        <f>IF($G297&lt;&gt;"",VLOOKUP($G297,'MASTER TOKO BALI'!$B$2:$W$740,7,FALSE),"")</f>
        <v/>
      </c>
    </row>
    <row r="298" spans="1:16" ht="14.4" x14ac:dyDescent="0.2">
      <c r="A298" s="106">
        <f t="shared" si="11"/>
        <v>278</v>
      </c>
      <c r="B298" s="107" t="s">
        <v>2060</v>
      </c>
      <c r="C298" s="116" t="s">
        <v>2061</v>
      </c>
      <c r="D298" s="108" t="s">
        <v>2062</v>
      </c>
      <c r="E298" s="109" t="s">
        <v>2037</v>
      </c>
      <c r="F298" s="126"/>
      <c r="G298" s="60"/>
      <c r="H298" s="111" t="str">
        <f>IF($G298&lt;&gt;"",VLOOKUP($G298,'MASTER TOKO BALI'!$B$2:$W$744,2,FALSE),"")</f>
        <v/>
      </c>
      <c r="I298" s="237" t="str">
        <f>IF($G298&lt;&gt;"",VLOOKUP($G298,'MASTER TOKO BALI'!$B$2:$W$744,4,FALSE),"")</f>
        <v/>
      </c>
      <c r="J298" s="112">
        <v>46277</v>
      </c>
      <c r="K298" s="111" t="str">
        <f>IF($G298&lt;&gt;"",VLOOKUP($G298,'MASTER TOKO BALI'!$B$2:$W$744,12,FALSE),"")</f>
        <v/>
      </c>
      <c r="L298" s="111" t="str">
        <f>IF($G298&lt;&gt;"",VLOOKUP($G298,'MASTER TOKO BALI'!$B$2:$W$744,5,FALSE),"")</f>
        <v/>
      </c>
      <c r="M298" s="106"/>
      <c r="N298" s="111" t="str">
        <f>IF($G298&lt;&gt;"",VLOOKUP($G298,'MASTER TOKO BALI'!$B$2:$W$744,21,FALSE),"")</f>
        <v/>
      </c>
      <c r="O298" s="106"/>
      <c r="P298" s="164" t="str">
        <f>IF($G298&lt;&gt;"",VLOOKUP($G298,'MASTER TOKO BALI'!$B$2:$W$740,7,FALSE),"")</f>
        <v/>
      </c>
    </row>
    <row r="299" spans="1:16" x14ac:dyDescent="0.2">
      <c r="A299" s="106">
        <f t="shared" si="11"/>
        <v>279</v>
      </c>
      <c r="B299" s="107" t="s">
        <v>2038</v>
      </c>
      <c r="C299" s="116" t="s">
        <v>2061</v>
      </c>
      <c r="D299" s="113" t="s">
        <v>2063</v>
      </c>
      <c r="E299" s="109" t="s">
        <v>2037</v>
      </c>
      <c r="F299" s="126"/>
      <c r="G299" s="144"/>
      <c r="H299" s="111" t="str">
        <f>IF($G299&lt;&gt;"",VLOOKUP($G299,'MASTER TOKO BALI'!$B$2:$W$744,2,FALSE),"")</f>
        <v/>
      </c>
      <c r="I299" s="237" t="str">
        <f>IF($G299&lt;&gt;"",VLOOKUP($G299,'MASTER TOKO BALI'!$B$2:$W$744,4,FALSE),"")</f>
        <v/>
      </c>
      <c r="J299" s="112">
        <v>46277</v>
      </c>
      <c r="K299" s="111" t="str">
        <f>IF($G299&lt;&gt;"",VLOOKUP($G299,'MASTER TOKO BALI'!$B$2:$W$744,12,FALSE),"")</f>
        <v/>
      </c>
      <c r="L299" s="111" t="str">
        <f>IF($G299&lt;&gt;"",VLOOKUP($G299,'MASTER TOKO BALI'!$B$2:$W$744,5,FALSE),"")</f>
        <v/>
      </c>
      <c r="M299" s="106"/>
      <c r="N299" s="111" t="str">
        <f>IF($G299&lt;&gt;"",VLOOKUP($G299,'MASTER TOKO BALI'!$B$2:$W$744,21,FALSE),"")</f>
        <v/>
      </c>
      <c r="O299" s="106"/>
      <c r="P299" s="164" t="str">
        <f>IF($G299&lt;&gt;"",VLOOKUP($G299,'MASTER TOKO BALI'!$B$2:$W$740,7,FALSE),"")</f>
        <v/>
      </c>
    </row>
    <row r="300" spans="1:16" ht="14.4" x14ac:dyDescent="0.2">
      <c r="A300" s="106">
        <f t="shared" si="11"/>
        <v>280</v>
      </c>
      <c r="B300" s="107" t="s">
        <v>2064</v>
      </c>
      <c r="C300" s="116" t="s">
        <v>2061</v>
      </c>
      <c r="D300" s="108" t="s">
        <v>2065</v>
      </c>
      <c r="E300" s="109" t="s">
        <v>2037</v>
      </c>
      <c r="F300" s="110"/>
      <c r="G300" s="60"/>
      <c r="H300" s="111" t="str">
        <f>IF($G300&lt;&gt;"",VLOOKUP($G300,'MASTER TOKO BALI'!$B$2:$W$744,2,FALSE),"")</f>
        <v/>
      </c>
      <c r="I300" s="237" t="str">
        <f>IF($G300&lt;&gt;"",VLOOKUP($G300,'MASTER TOKO BALI'!$B$2:$W$744,4,FALSE),"")</f>
        <v/>
      </c>
      <c r="J300" s="112">
        <v>46277</v>
      </c>
      <c r="K300" s="111" t="str">
        <f>IF($G300&lt;&gt;"",VLOOKUP($G300,'MASTER TOKO BALI'!$B$2:$W$744,12,FALSE),"")</f>
        <v/>
      </c>
      <c r="L300" s="111" t="str">
        <f>IF($G300&lt;&gt;"",VLOOKUP($G300,'MASTER TOKO BALI'!$B$2:$W$744,5,FALSE),"")</f>
        <v/>
      </c>
      <c r="M300" s="106"/>
      <c r="N300" s="111" t="str">
        <f>IF($G300&lt;&gt;"",VLOOKUP($G300,'MASTER TOKO BALI'!$B$2:$W$744,21,FALSE),"")</f>
        <v/>
      </c>
      <c r="O300" s="106"/>
      <c r="P300" s="164" t="str">
        <f>IF($G300&lt;&gt;"",VLOOKUP($G300,'MASTER TOKO BALI'!$B$2:$W$740,7,FALSE),"")</f>
        <v/>
      </c>
    </row>
    <row r="301" spans="1:16" x14ac:dyDescent="0.2">
      <c r="A301" s="106">
        <f t="shared" si="11"/>
        <v>281</v>
      </c>
      <c r="B301" s="107" t="s">
        <v>2066</v>
      </c>
      <c r="C301" s="116" t="s">
        <v>2061</v>
      </c>
      <c r="D301" s="113" t="s">
        <v>2063</v>
      </c>
      <c r="E301" s="109" t="s">
        <v>2037</v>
      </c>
      <c r="F301" s="126"/>
      <c r="G301" s="144"/>
      <c r="H301" s="111" t="str">
        <f>IF($G301&lt;&gt;"",VLOOKUP($G301,'MASTER TOKO BALI'!$B$2:$W$744,2,FALSE),"")</f>
        <v/>
      </c>
      <c r="I301" s="237" t="str">
        <f>IF($G301&lt;&gt;"",VLOOKUP($G301,'MASTER TOKO BALI'!$B$2:$W$744,4,FALSE),"")</f>
        <v/>
      </c>
      <c r="J301" s="112">
        <v>46277</v>
      </c>
      <c r="K301" s="111" t="str">
        <f>IF($G301&lt;&gt;"",VLOOKUP($G301,'MASTER TOKO BALI'!$B$2:$W$744,12,FALSE),"")</f>
        <v/>
      </c>
      <c r="L301" s="111" t="str">
        <f>IF($G301&lt;&gt;"",VLOOKUP($G301,'MASTER TOKO BALI'!$B$2:$W$744,5,FALSE),"")</f>
        <v/>
      </c>
      <c r="M301" s="106"/>
      <c r="N301" s="111" t="str">
        <f>IF($G301&lt;&gt;"",VLOOKUP($G301,'MASTER TOKO BALI'!$B$2:$W$744,21,FALSE),"")</f>
        <v/>
      </c>
      <c r="O301" s="106"/>
      <c r="P301" s="164" t="str">
        <f>IF($G301&lt;&gt;"",VLOOKUP($G301,'MASTER TOKO BALI'!$B$2:$W$740,7,FALSE),"")</f>
        <v/>
      </c>
    </row>
    <row r="302" spans="1:16" ht="14.4" x14ac:dyDescent="0.3">
      <c r="A302" s="106">
        <f t="shared" si="11"/>
        <v>282</v>
      </c>
      <c r="B302" s="107" t="s">
        <v>2067</v>
      </c>
      <c r="C302" s="107" t="s">
        <v>2068</v>
      </c>
      <c r="D302" s="108" t="s">
        <v>2069</v>
      </c>
      <c r="E302" s="109" t="s">
        <v>2037</v>
      </c>
      <c r="F302" s="126"/>
      <c r="G302" s="151"/>
      <c r="H302" s="111" t="str">
        <f>IF($G302&lt;&gt;"",VLOOKUP($G302,'MASTER TOKO BALI'!$B$2:$W$744,2,FALSE),"")</f>
        <v/>
      </c>
      <c r="I302" s="237" t="str">
        <f>IF($G302&lt;&gt;"",VLOOKUP($G302,'MASTER TOKO BALI'!$B$2:$W$744,4,FALSE),"")</f>
        <v/>
      </c>
      <c r="J302" s="112">
        <v>46277</v>
      </c>
      <c r="K302" s="111" t="str">
        <f>IF($G302&lt;&gt;"",VLOOKUP($G302,'MASTER TOKO BALI'!$B$2:$W$744,12,FALSE),"")</f>
        <v/>
      </c>
      <c r="L302" s="111" t="str">
        <f>IF($G302&lt;&gt;"",VLOOKUP($G302,'MASTER TOKO BALI'!$B$2:$W$744,5,FALSE),"")</f>
        <v/>
      </c>
      <c r="M302" s="106"/>
      <c r="N302" s="111" t="str">
        <f>IF($G302&lt;&gt;"",VLOOKUP($G302,'MASTER TOKO BALI'!$B$2:$W$744,21,FALSE),"")</f>
        <v/>
      </c>
      <c r="O302" s="106"/>
      <c r="P302" s="164" t="str">
        <f>IF($G302&lt;&gt;"",VLOOKUP($G302,'MASTER TOKO BALI'!$B$2:$W$740,7,FALSE),"")</f>
        <v/>
      </c>
    </row>
    <row r="303" spans="1:16" x14ac:dyDescent="0.2">
      <c r="A303" s="106">
        <f t="shared" si="11"/>
        <v>283</v>
      </c>
      <c r="B303" s="107" t="s">
        <v>2066</v>
      </c>
      <c r="C303" s="107" t="s">
        <v>2068</v>
      </c>
      <c r="D303" s="117" t="s">
        <v>2070</v>
      </c>
      <c r="E303" s="109" t="s">
        <v>2037</v>
      </c>
      <c r="F303" s="129"/>
      <c r="G303" s="148"/>
      <c r="H303" s="111" t="str">
        <f>IF($G303&lt;&gt;"",VLOOKUP($G303,'MASTER TOKO BALI'!$B$2:$W$744,2,FALSE),"")</f>
        <v/>
      </c>
      <c r="I303" s="237" t="str">
        <f>IF($G303&lt;&gt;"",VLOOKUP($G303,'MASTER TOKO BALI'!$B$2:$W$744,4,FALSE),"")</f>
        <v/>
      </c>
      <c r="J303" s="112">
        <v>46277</v>
      </c>
      <c r="K303" s="111" t="str">
        <f>IF($G303&lt;&gt;"",VLOOKUP($G303,'MASTER TOKO BALI'!$B$2:$W$744,12,FALSE),"")</f>
        <v/>
      </c>
      <c r="L303" s="111" t="str">
        <f>IF($G303&lt;&gt;"",VLOOKUP($G303,'MASTER TOKO BALI'!$B$2:$W$744,5,FALSE),"")</f>
        <v/>
      </c>
      <c r="M303" s="106"/>
      <c r="N303" s="111" t="str">
        <f>IF($G303&lt;&gt;"",VLOOKUP($G303,'MASTER TOKO BALI'!$B$2:$W$744,21,FALSE),"")</f>
        <v/>
      </c>
      <c r="O303" s="106"/>
      <c r="P303" s="164" t="str">
        <f>IF($G303&lt;&gt;"",VLOOKUP($G303,'MASTER TOKO BALI'!$B$2:$W$740,7,FALSE),"")</f>
        <v/>
      </c>
    </row>
    <row r="304" spans="1:16" ht="14.4" x14ac:dyDescent="0.2">
      <c r="A304" s="106">
        <f t="shared" si="11"/>
        <v>284</v>
      </c>
      <c r="B304" s="107" t="s">
        <v>2071</v>
      </c>
      <c r="C304" s="107" t="s">
        <v>2068</v>
      </c>
      <c r="D304" s="116" t="s">
        <v>2003</v>
      </c>
      <c r="E304" s="109" t="s">
        <v>2037</v>
      </c>
      <c r="F304" s="126"/>
      <c r="G304" s="60"/>
      <c r="H304" s="111" t="str">
        <f>IF($G304&lt;&gt;"",VLOOKUP($G304,'MASTER TOKO BALI'!$B$2:$W$744,2,FALSE),"")</f>
        <v/>
      </c>
      <c r="I304" s="237" t="str">
        <f>IF($G304&lt;&gt;"",VLOOKUP($G304,'MASTER TOKO BALI'!$B$2:$W$744,4,FALSE),"")</f>
        <v/>
      </c>
      <c r="J304" s="112">
        <v>46277</v>
      </c>
      <c r="K304" s="111" t="str">
        <f>IF($G304&lt;&gt;"",VLOOKUP($G304,'MASTER TOKO BALI'!$B$2:$W$744,12,FALSE),"")</f>
        <v/>
      </c>
      <c r="L304" s="111" t="str">
        <f>IF($G304&lt;&gt;"",VLOOKUP($G304,'MASTER TOKO BALI'!$B$2:$W$744,5,FALSE),"")</f>
        <v/>
      </c>
      <c r="M304" s="106"/>
      <c r="N304" s="111" t="str">
        <f>IF($G304&lt;&gt;"",VLOOKUP($G304,'MASTER TOKO BALI'!$B$2:$W$744,21,FALSE),"")</f>
        <v/>
      </c>
      <c r="O304" s="106"/>
      <c r="P304" s="164" t="str">
        <f>IF($G304&lt;&gt;"",VLOOKUP($G304,'MASTER TOKO BALI'!$B$2:$W$740,7,FALSE),"")</f>
        <v/>
      </c>
    </row>
    <row r="305" spans="1:16" x14ac:dyDescent="0.2">
      <c r="A305" s="106">
        <f t="shared" si="11"/>
        <v>285</v>
      </c>
      <c r="B305" s="107" t="s">
        <v>2066</v>
      </c>
      <c r="C305" s="107" t="s">
        <v>2068</v>
      </c>
      <c r="D305" s="117" t="s">
        <v>2070</v>
      </c>
      <c r="E305" s="109" t="s">
        <v>2037</v>
      </c>
      <c r="F305" s="126"/>
      <c r="G305" s="144"/>
      <c r="H305" s="111" t="str">
        <f>IF($G305&lt;&gt;"",VLOOKUP($G305,'MASTER TOKO BALI'!$B$2:$W$744,2,FALSE),"")</f>
        <v/>
      </c>
      <c r="I305" s="237" t="str">
        <f>IF($G305&lt;&gt;"",VLOOKUP($G305,'MASTER TOKO BALI'!$B$2:$W$744,4,FALSE),"")</f>
        <v/>
      </c>
      <c r="J305" s="112">
        <v>46277</v>
      </c>
      <c r="K305" s="111" t="str">
        <f>IF($G305&lt;&gt;"",VLOOKUP($G305,'MASTER TOKO BALI'!$B$2:$W$744,12,FALSE),"")</f>
        <v/>
      </c>
      <c r="L305" s="111" t="str">
        <f>IF($G305&lt;&gt;"",VLOOKUP($G305,'MASTER TOKO BALI'!$B$2:$W$744,5,FALSE),"")</f>
        <v/>
      </c>
      <c r="M305" s="106"/>
      <c r="N305" s="111" t="str">
        <f>IF($G305&lt;&gt;"",VLOOKUP($G305,'MASTER TOKO BALI'!$B$2:$W$744,21,FALSE),"")</f>
        <v/>
      </c>
      <c r="O305" s="106"/>
      <c r="P305" s="164" t="str">
        <f>IF($G305&lt;&gt;"",VLOOKUP($G305,'MASTER TOKO BALI'!$B$2:$W$740,7,FALSE),"")</f>
        <v/>
      </c>
    </row>
    <row r="306" spans="1:16" x14ac:dyDescent="0.2">
      <c r="A306" s="106"/>
      <c r="B306" s="107"/>
      <c r="C306" s="107"/>
      <c r="D306" s="111"/>
      <c r="E306" s="114"/>
      <c r="F306" s="126"/>
      <c r="G306" s="144"/>
      <c r="H306" s="111" t="str">
        <f>IF($G306&lt;&gt;"",VLOOKUP($G306,'MASTER TOKO BALI'!$B$2:$W$744,2,FALSE),"")</f>
        <v/>
      </c>
      <c r="I306" s="237" t="str">
        <f>IF($G306&lt;&gt;"",VLOOKUP($G306,'MASTER TOKO BALI'!$B$2:$W$744,4,FALSE),"")</f>
        <v/>
      </c>
      <c r="J306" s="119"/>
      <c r="K306" s="111" t="str">
        <f>IF($G306&lt;&gt;"",VLOOKUP($G306,'MASTER TOKO BALI'!$B$2:$W$744,12,FALSE),"")</f>
        <v/>
      </c>
      <c r="L306" s="111" t="str">
        <f>IF($G306&lt;&gt;"",VLOOKUP($G306,'MASTER TOKO BALI'!$B$2:$W$744,5,FALSE),"")</f>
        <v/>
      </c>
      <c r="M306" s="106"/>
      <c r="N306" s="111" t="str">
        <f>IF($G306&lt;&gt;"",VLOOKUP($G306,'MASTER TOKO BALI'!$B$2:$W$744,21,FALSE),"")</f>
        <v/>
      </c>
      <c r="O306" s="106"/>
      <c r="P306" s="164" t="str">
        <f>IF($G306&lt;&gt;"",VLOOKUP($G306,'MASTER TOKO BALI'!$B$2:$W$740,7,FALSE),"")</f>
        <v/>
      </c>
    </row>
    <row r="307" spans="1:16" ht="14.4" x14ac:dyDescent="0.3">
      <c r="A307" s="106">
        <f>A305+1</f>
        <v>286</v>
      </c>
      <c r="B307" s="107" t="s">
        <v>2034</v>
      </c>
      <c r="C307" s="107" t="s">
        <v>2035</v>
      </c>
      <c r="D307" s="108" t="s">
        <v>2036</v>
      </c>
      <c r="E307" s="114" t="s">
        <v>2073</v>
      </c>
      <c r="F307" s="126"/>
      <c r="G307" s="60"/>
      <c r="H307" s="111" t="str">
        <f>IF($G307&lt;&gt;"",VLOOKUP($G307,'MASTER TOKO BALI'!$B$2:$W$744,2,FALSE),"")</f>
        <v/>
      </c>
      <c r="I307" s="237" t="str">
        <f>IF($G307&lt;&gt;"",VLOOKUP($G307,'MASTER TOKO BALI'!$B$2:$W$744,4,FALSE),"")</f>
        <v/>
      </c>
      <c r="J307" s="119">
        <v>46279</v>
      </c>
      <c r="K307" s="111" t="str">
        <f>IF($G307&lt;&gt;"",VLOOKUP($G307,'MASTER TOKO BALI'!$B$2:$W$744,12,FALSE),"")</f>
        <v/>
      </c>
      <c r="L307" s="111" t="str">
        <f>IF($G307&lt;&gt;"",VLOOKUP($G307,'MASTER TOKO BALI'!$B$2:$W$744,5,FALSE),"")</f>
        <v/>
      </c>
      <c r="M307" s="65"/>
      <c r="N307" s="111" t="str">
        <f>IF($G307&lt;&gt;"",VLOOKUP($G307,'MASTER TOKO BALI'!$B$2:$W$744,21,FALSE),"")</f>
        <v/>
      </c>
      <c r="O307" s="106"/>
      <c r="P307" s="164" t="str">
        <f>IF($G307&lt;&gt;"",VLOOKUP($G307,'MASTER TOKO BALI'!$B$2:$W$740,7,FALSE),"")</f>
        <v/>
      </c>
    </row>
    <row r="308" spans="1:16" ht="14.4" x14ac:dyDescent="0.3">
      <c r="A308" s="106">
        <f t="shared" ref="A308:A330" si="12">A307+1</f>
        <v>287</v>
      </c>
      <c r="B308" s="107" t="s">
        <v>2038</v>
      </c>
      <c r="C308" s="107" t="s">
        <v>2035</v>
      </c>
      <c r="D308" s="113" t="s">
        <v>2039</v>
      </c>
      <c r="E308" s="114" t="s">
        <v>2073</v>
      </c>
      <c r="F308" s="126"/>
      <c r="G308" s="145"/>
      <c r="H308" s="111" t="str">
        <f>IF($G308&lt;&gt;"",VLOOKUP($G308,'MASTER TOKO BALI'!$B$2:$W$744,2,FALSE),"")</f>
        <v/>
      </c>
      <c r="I308" s="237" t="str">
        <f>IF($G308&lt;&gt;"",VLOOKUP($G308,'MASTER TOKO BALI'!$B$2:$W$744,4,FALSE),"")</f>
        <v/>
      </c>
      <c r="J308" s="119">
        <v>46279</v>
      </c>
      <c r="K308" s="111" t="str">
        <f>IF($G308&lt;&gt;"",VLOOKUP($G308,'MASTER TOKO BALI'!$B$2:$W$744,12,FALSE),"")</f>
        <v/>
      </c>
      <c r="L308" s="111" t="str">
        <f>IF($G308&lt;&gt;"",VLOOKUP($G308,'MASTER TOKO BALI'!$B$2:$W$744,5,FALSE),"")</f>
        <v/>
      </c>
      <c r="M308" s="65"/>
      <c r="N308" s="111" t="str">
        <f>IF($G308&lt;&gt;"",VLOOKUP($G308,'MASTER TOKO BALI'!$B$2:$W$744,21,FALSE),"")</f>
        <v/>
      </c>
      <c r="O308" s="106"/>
      <c r="P308" s="164" t="str">
        <f>IF($G308&lt;&gt;"",VLOOKUP($G308,'MASTER TOKO BALI'!$B$2:$W$740,7,FALSE),"")</f>
        <v/>
      </c>
    </row>
    <row r="309" spans="1:16" ht="14.4" x14ac:dyDescent="0.3">
      <c r="A309" s="106">
        <f t="shared" si="12"/>
        <v>288</v>
      </c>
      <c r="B309" s="107" t="s">
        <v>2040</v>
      </c>
      <c r="C309" s="107" t="s">
        <v>2035</v>
      </c>
      <c r="D309" s="108" t="s">
        <v>2041</v>
      </c>
      <c r="E309" s="114" t="s">
        <v>2073</v>
      </c>
      <c r="F309" s="126"/>
      <c r="G309" s="60"/>
      <c r="H309" s="111" t="str">
        <f>IF($G309&lt;&gt;"",VLOOKUP($G309,'MASTER TOKO BALI'!$B$2:$W$744,2,FALSE),"")</f>
        <v/>
      </c>
      <c r="I309" s="237" t="str">
        <f>IF($G309&lt;&gt;"",VLOOKUP($G309,'MASTER TOKO BALI'!$B$2:$W$744,4,FALSE),"")</f>
        <v/>
      </c>
      <c r="J309" s="119">
        <v>46279</v>
      </c>
      <c r="K309" s="111" t="str">
        <f>IF($G309&lt;&gt;"",VLOOKUP($G309,'MASTER TOKO BALI'!$B$2:$W$744,12,FALSE),"")</f>
        <v/>
      </c>
      <c r="L309" s="111" t="str">
        <f>IF($G309&lt;&gt;"",VLOOKUP($G309,'MASTER TOKO BALI'!$B$2:$W$744,5,FALSE),"")</f>
        <v/>
      </c>
      <c r="M309" s="65"/>
      <c r="N309" s="111" t="str">
        <f>IF($G309&lt;&gt;"",VLOOKUP($G309,'MASTER TOKO BALI'!$B$2:$W$744,21,FALSE),"")</f>
        <v/>
      </c>
      <c r="O309" s="106"/>
      <c r="P309" s="164" t="str">
        <f>IF($G309&lt;&gt;"",VLOOKUP($G309,'MASTER TOKO BALI'!$B$2:$W$740,7,FALSE),"")</f>
        <v/>
      </c>
    </row>
    <row r="310" spans="1:16" ht="14.4" x14ac:dyDescent="0.3">
      <c r="A310" s="106">
        <f t="shared" si="12"/>
        <v>289</v>
      </c>
      <c r="B310" s="107" t="s">
        <v>2038</v>
      </c>
      <c r="C310" s="107" t="s">
        <v>2035</v>
      </c>
      <c r="D310" s="113" t="s">
        <v>2039</v>
      </c>
      <c r="E310" s="114" t="s">
        <v>2073</v>
      </c>
      <c r="F310" s="126"/>
      <c r="G310" s="60"/>
      <c r="H310" s="111" t="str">
        <f>IF($G310&lt;&gt;"",VLOOKUP($G310,'MASTER TOKO BALI'!$B$2:$W$744,2,FALSE),"")</f>
        <v/>
      </c>
      <c r="I310" s="237" t="str">
        <f>IF($G310&lt;&gt;"",VLOOKUP($G310,'MASTER TOKO BALI'!$B$2:$W$744,4,FALSE),"")</f>
        <v/>
      </c>
      <c r="J310" s="119">
        <v>46279</v>
      </c>
      <c r="K310" s="111" t="str">
        <f>IF($G310&lt;&gt;"",VLOOKUP($G310,'MASTER TOKO BALI'!$B$2:$W$744,12,FALSE),"")</f>
        <v/>
      </c>
      <c r="L310" s="111" t="str">
        <f>IF($G310&lt;&gt;"",VLOOKUP($G310,'MASTER TOKO BALI'!$B$2:$W$744,5,FALSE),"")</f>
        <v/>
      </c>
      <c r="M310" s="65"/>
      <c r="N310" s="111" t="str">
        <f>IF($G310&lt;&gt;"",VLOOKUP($G310,'MASTER TOKO BALI'!$B$2:$W$744,21,FALSE),"")</f>
        <v/>
      </c>
      <c r="O310" s="106"/>
      <c r="P310" s="164" t="str">
        <f>IF($G310&lt;&gt;"",VLOOKUP($G310,'MASTER TOKO BALI'!$B$2:$W$740,7,FALSE),"")</f>
        <v/>
      </c>
    </row>
    <row r="311" spans="1:16" ht="14.4" x14ac:dyDescent="0.3">
      <c r="A311" s="106">
        <f t="shared" si="12"/>
        <v>290</v>
      </c>
      <c r="B311" s="107" t="s">
        <v>2042</v>
      </c>
      <c r="C311" s="107" t="s">
        <v>2043</v>
      </c>
      <c r="D311" s="108" t="s">
        <v>2044</v>
      </c>
      <c r="E311" s="114" t="s">
        <v>2073</v>
      </c>
      <c r="F311" s="129"/>
      <c r="G311" s="60"/>
      <c r="H311" s="111" t="str">
        <f>IF($G311&lt;&gt;"",VLOOKUP($G311,'MASTER TOKO BALI'!$B$2:$W$744,2,FALSE),"")</f>
        <v/>
      </c>
      <c r="I311" s="237" t="str">
        <f>IF($G311&lt;&gt;"",VLOOKUP($G311,'MASTER TOKO BALI'!$B$2:$W$744,4,FALSE),"")</f>
        <v/>
      </c>
      <c r="J311" s="119">
        <v>46279</v>
      </c>
      <c r="K311" s="111" t="str">
        <f>IF($G311&lt;&gt;"",VLOOKUP($G311,'MASTER TOKO BALI'!$B$2:$W$744,12,FALSE),"")</f>
        <v/>
      </c>
      <c r="L311" s="111" t="str">
        <f>IF($G311&lt;&gt;"",VLOOKUP($G311,'MASTER TOKO BALI'!$B$2:$W$744,5,FALSE),"")</f>
        <v/>
      </c>
      <c r="M311" s="65"/>
      <c r="N311" s="111" t="str">
        <f>IF($G311&lt;&gt;"",VLOOKUP($G311,'MASTER TOKO BALI'!$B$2:$W$744,21,FALSE),"")</f>
        <v/>
      </c>
      <c r="O311" s="106"/>
      <c r="P311" s="164" t="str">
        <f>IF($G311&lt;&gt;"",VLOOKUP($G311,'MASTER TOKO BALI'!$B$2:$W$740,7,FALSE),"")</f>
        <v/>
      </c>
    </row>
    <row r="312" spans="1:16" ht="14.4" x14ac:dyDescent="0.3">
      <c r="A312" s="106">
        <f t="shared" si="12"/>
        <v>291</v>
      </c>
      <c r="B312" s="107" t="s">
        <v>2038</v>
      </c>
      <c r="C312" s="107" t="s">
        <v>2043</v>
      </c>
      <c r="D312" s="113" t="s">
        <v>2045</v>
      </c>
      <c r="E312" s="114" t="s">
        <v>2073</v>
      </c>
      <c r="F312" s="129"/>
      <c r="G312" s="60"/>
      <c r="H312" s="111" t="str">
        <f>IF($G312&lt;&gt;"",VLOOKUP($G312,'MASTER TOKO BALI'!$B$2:$W$744,2,FALSE),"")</f>
        <v/>
      </c>
      <c r="I312" s="237" t="str">
        <f>IF($G312&lt;&gt;"",VLOOKUP($G312,'MASTER TOKO BALI'!$B$2:$W$744,4,FALSE),"")</f>
        <v/>
      </c>
      <c r="J312" s="119">
        <v>46279</v>
      </c>
      <c r="K312" s="111" t="str">
        <f>IF($G312&lt;&gt;"",VLOOKUP($G312,'MASTER TOKO BALI'!$B$2:$W$744,12,FALSE),"")</f>
        <v/>
      </c>
      <c r="L312" s="111" t="str">
        <f>IF($G312&lt;&gt;"",VLOOKUP($G312,'MASTER TOKO BALI'!$B$2:$W$744,5,FALSE),"")</f>
        <v/>
      </c>
      <c r="M312" s="65"/>
      <c r="N312" s="111" t="str">
        <f>IF($G312&lt;&gt;"",VLOOKUP($G312,'MASTER TOKO BALI'!$B$2:$W$744,21,FALSE),"")</f>
        <v/>
      </c>
      <c r="O312" s="106"/>
      <c r="P312" s="164" t="str">
        <f>IF($G312&lt;&gt;"",VLOOKUP($G312,'MASTER TOKO BALI'!$B$2:$W$740,7,FALSE),"")</f>
        <v/>
      </c>
    </row>
    <row r="313" spans="1:16" ht="14.4" x14ac:dyDescent="0.3">
      <c r="A313" s="106">
        <f t="shared" si="12"/>
        <v>292</v>
      </c>
      <c r="B313" s="107" t="s">
        <v>2046</v>
      </c>
      <c r="C313" s="107" t="s">
        <v>2043</v>
      </c>
      <c r="D313" s="108" t="s">
        <v>2047</v>
      </c>
      <c r="E313" s="114" t="s">
        <v>2073</v>
      </c>
      <c r="F313" s="129"/>
      <c r="G313" s="60"/>
      <c r="H313" s="111" t="str">
        <f>IF($G313&lt;&gt;"",VLOOKUP($G313,'MASTER TOKO BALI'!$B$2:$W$744,2,FALSE),"")</f>
        <v/>
      </c>
      <c r="I313" s="237" t="str">
        <f>IF($G313&lt;&gt;"",VLOOKUP($G313,'MASTER TOKO BALI'!$B$2:$W$744,4,FALSE),"")</f>
        <v/>
      </c>
      <c r="J313" s="119">
        <v>46279</v>
      </c>
      <c r="K313" s="111" t="str">
        <f>IF($G313&lt;&gt;"",VLOOKUP($G313,'MASTER TOKO BALI'!$B$2:$W$744,12,FALSE),"")</f>
        <v/>
      </c>
      <c r="L313" s="111" t="str">
        <f>IF($G313&lt;&gt;"",VLOOKUP($G313,'MASTER TOKO BALI'!$B$2:$W$744,5,FALSE),"")</f>
        <v/>
      </c>
      <c r="M313" s="65"/>
      <c r="N313" s="111" t="str">
        <f>IF($G313&lt;&gt;"",VLOOKUP($G313,'MASTER TOKO BALI'!$B$2:$W$744,21,FALSE),"")</f>
        <v/>
      </c>
      <c r="O313" s="106"/>
      <c r="P313" s="164" t="str">
        <f>IF($G313&lt;&gt;"",VLOOKUP($G313,'MASTER TOKO BALI'!$B$2:$W$740,7,FALSE),"")</f>
        <v/>
      </c>
    </row>
    <row r="314" spans="1:16" ht="14.4" x14ac:dyDescent="0.3">
      <c r="A314" s="106">
        <f t="shared" si="12"/>
        <v>293</v>
      </c>
      <c r="B314" s="107" t="s">
        <v>2038</v>
      </c>
      <c r="C314" s="107" t="s">
        <v>2043</v>
      </c>
      <c r="D314" s="113" t="s">
        <v>2045</v>
      </c>
      <c r="E314" s="114" t="s">
        <v>2073</v>
      </c>
      <c r="F314" s="110"/>
      <c r="G314" s="60"/>
      <c r="H314" s="111" t="str">
        <f>IF($G314&lt;&gt;"",VLOOKUP($G314,'MASTER TOKO BALI'!$B$2:$W$744,2,FALSE),"")</f>
        <v/>
      </c>
      <c r="I314" s="237" t="str">
        <f>IF($G314&lt;&gt;"",VLOOKUP($G314,'MASTER TOKO BALI'!$B$2:$W$744,4,FALSE),"")</f>
        <v/>
      </c>
      <c r="J314" s="119">
        <v>46279</v>
      </c>
      <c r="K314" s="111" t="str">
        <f>IF($G314&lt;&gt;"",VLOOKUP($G314,'MASTER TOKO BALI'!$B$2:$W$744,12,FALSE),"")</f>
        <v/>
      </c>
      <c r="L314" s="111" t="str">
        <f>IF($G314&lt;&gt;"",VLOOKUP($G314,'MASTER TOKO BALI'!$B$2:$W$744,5,FALSE),"")</f>
        <v/>
      </c>
      <c r="M314" s="65"/>
      <c r="N314" s="111" t="str">
        <f>IF($G314&lt;&gt;"",VLOOKUP($G314,'MASTER TOKO BALI'!$B$2:$W$744,21,FALSE),"")</f>
        <v/>
      </c>
      <c r="O314" s="106"/>
      <c r="P314" s="164" t="str">
        <f>IF($G314&lt;&gt;"",VLOOKUP($G314,'MASTER TOKO BALI'!$B$2:$W$740,7,FALSE),"")</f>
        <v/>
      </c>
    </row>
    <row r="315" spans="1:16" ht="14.4" x14ac:dyDescent="0.3">
      <c r="A315" s="106"/>
      <c r="B315" s="107" t="s">
        <v>2048</v>
      </c>
      <c r="C315" s="107" t="s">
        <v>2049</v>
      </c>
      <c r="D315" s="108" t="s">
        <v>2050</v>
      </c>
      <c r="E315" s="114" t="s">
        <v>2073</v>
      </c>
      <c r="F315" s="126"/>
      <c r="G315" s="60"/>
      <c r="H315" s="111" t="str">
        <f>IF($G315&lt;&gt;"",VLOOKUP($G315,'MASTER TOKO BALI'!$B$2:$W$744,2,FALSE),"")</f>
        <v/>
      </c>
      <c r="I315" s="237" t="str">
        <f>IF($G315&lt;&gt;"",VLOOKUP($G315,'MASTER TOKO BALI'!$B$2:$W$744,4,FALSE),"")</f>
        <v/>
      </c>
      <c r="J315" s="119">
        <v>46279</v>
      </c>
      <c r="K315" s="111" t="str">
        <f>IF($G315&lt;&gt;"",VLOOKUP($G315,'MASTER TOKO BALI'!$B$2:$W$744,12,FALSE),"")</f>
        <v/>
      </c>
      <c r="L315" s="111" t="str">
        <f>IF($G315&lt;&gt;"",VLOOKUP($G315,'MASTER TOKO BALI'!$B$2:$W$744,5,FALSE),"")</f>
        <v/>
      </c>
      <c r="M315" s="65"/>
      <c r="N315" s="111" t="str">
        <f>IF($G315&lt;&gt;"",VLOOKUP($G315,'MASTER TOKO BALI'!$B$2:$W$744,21,FALSE),"")</f>
        <v/>
      </c>
      <c r="O315" s="106"/>
      <c r="P315" s="164" t="str">
        <f>IF($G315&lt;&gt;"",VLOOKUP($G315,'MASTER TOKO BALI'!$B$2:$W$740,7,FALSE),"")</f>
        <v/>
      </c>
    </row>
    <row r="316" spans="1:16" ht="14.4" x14ac:dyDescent="0.3">
      <c r="A316" s="106">
        <f>A314+1</f>
        <v>294</v>
      </c>
      <c r="B316" s="107" t="s">
        <v>2038</v>
      </c>
      <c r="C316" s="107" t="s">
        <v>2049</v>
      </c>
      <c r="D316" s="115" t="s">
        <v>2051</v>
      </c>
      <c r="E316" s="114" t="s">
        <v>2073</v>
      </c>
      <c r="F316" s="126"/>
      <c r="G316" s="60"/>
      <c r="H316" s="111" t="str">
        <f>IF($G316&lt;&gt;"",VLOOKUP($G316,'MASTER TOKO BALI'!$B$2:$W$744,2,FALSE),"")</f>
        <v/>
      </c>
      <c r="I316" s="237" t="str">
        <f>IF($G316&lt;&gt;"",VLOOKUP($G316,'MASTER TOKO BALI'!$B$2:$W$744,4,FALSE),"")</f>
        <v/>
      </c>
      <c r="J316" s="119">
        <v>46279</v>
      </c>
      <c r="K316" s="111" t="str">
        <f>IF($G316&lt;&gt;"",VLOOKUP($G316,'MASTER TOKO BALI'!$B$2:$W$744,12,FALSE),"")</f>
        <v/>
      </c>
      <c r="L316" s="111" t="str">
        <f>IF($G316&lt;&gt;"",VLOOKUP($G316,'MASTER TOKO BALI'!$B$2:$W$744,5,FALSE),"")</f>
        <v/>
      </c>
      <c r="M316" s="65"/>
      <c r="N316" s="111" t="str">
        <f>IF($G316&lt;&gt;"",VLOOKUP($G316,'MASTER TOKO BALI'!$B$2:$W$744,21,FALSE),"")</f>
        <v/>
      </c>
      <c r="O316" s="106"/>
      <c r="P316" s="164" t="str">
        <f>IF($G316&lt;&gt;"",VLOOKUP($G316,'MASTER TOKO BALI'!$B$2:$W$740,7,FALSE),"")</f>
        <v/>
      </c>
    </row>
    <row r="317" spans="1:16" ht="14.4" x14ac:dyDescent="0.3">
      <c r="A317" s="106">
        <f t="shared" si="12"/>
        <v>295</v>
      </c>
      <c r="B317" s="107" t="s">
        <v>2052</v>
      </c>
      <c r="C317" s="107" t="s">
        <v>2049</v>
      </c>
      <c r="D317" s="108" t="s">
        <v>2053</v>
      </c>
      <c r="E317" s="114" t="s">
        <v>2073</v>
      </c>
      <c r="F317" s="126"/>
      <c r="G317" s="60"/>
      <c r="H317" s="111" t="str">
        <f>IF($G317&lt;&gt;"",VLOOKUP($G317,'MASTER TOKO BALI'!$B$2:$W$744,2,FALSE),"")</f>
        <v/>
      </c>
      <c r="I317" s="237" t="str">
        <f>IF($G317&lt;&gt;"",VLOOKUP($G317,'MASTER TOKO BALI'!$B$2:$W$744,4,FALSE),"")</f>
        <v/>
      </c>
      <c r="J317" s="119">
        <v>46279</v>
      </c>
      <c r="K317" s="111" t="str">
        <f>IF($G317&lt;&gt;"",VLOOKUP($G317,'MASTER TOKO BALI'!$B$2:$W$744,12,FALSE),"")</f>
        <v/>
      </c>
      <c r="L317" s="111" t="str">
        <f>IF($G317&lt;&gt;"",VLOOKUP($G317,'MASTER TOKO BALI'!$B$2:$W$744,5,FALSE),"")</f>
        <v/>
      </c>
      <c r="M317" s="65"/>
      <c r="N317" s="111" t="str">
        <f>IF($G317&lt;&gt;"",VLOOKUP($G317,'MASTER TOKO BALI'!$B$2:$W$744,21,FALSE),"")</f>
        <v/>
      </c>
      <c r="O317" s="106"/>
      <c r="P317" s="164" t="str">
        <f>IF($G317&lt;&gt;"",VLOOKUP($G317,'MASTER TOKO BALI'!$B$2:$W$740,7,FALSE),"")</f>
        <v/>
      </c>
    </row>
    <row r="318" spans="1:16" ht="14.4" x14ac:dyDescent="0.3">
      <c r="A318" s="106">
        <f t="shared" si="12"/>
        <v>296</v>
      </c>
      <c r="B318" s="107" t="s">
        <v>2038</v>
      </c>
      <c r="C318" s="107" t="s">
        <v>2049</v>
      </c>
      <c r="D318" s="113" t="s">
        <v>2051</v>
      </c>
      <c r="E318" s="114" t="s">
        <v>2073</v>
      </c>
      <c r="F318" s="126"/>
      <c r="G318" s="60"/>
      <c r="H318" s="111" t="str">
        <f>IF($G318&lt;&gt;"",VLOOKUP($G318,'MASTER TOKO BALI'!$B$2:$W$744,2,FALSE),"")</f>
        <v/>
      </c>
      <c r="I318" s="237" t="str">
        <f>IF($G318&lt;&gt;"",VLOOKUP($G318,'MASTER TOKO BALI'!$B$2:$W$744,4,FALSE),"")</f>
        <v/>
      </c>
      <c r="J318" s="119">
        <v>46279</v>
      </c>
      <c r="K318" s="111" t="str">
        <f>IF($G318&lt;&gt;"",VLOOKUP($G318,'MASTER TOKO BALI'!$B$2:$W$744,12,FALSE),"")</f>
        <v/>
      </c>
      <c r="L318" s="111" t="str">
        <f>IF($G318&lt;&gt;"",VLOOKUP($G318,'MASTER TOKO BALI'!$B$2:$W$744,5,FALSE),"")</f>
        <v/>
      </c>
      <c r="M318" s="65"/>
      <c r="N318" s="111" t="str">
        <f>IF($G318&lt;&gt;"",VLOOKUP($G318,'MASTER TOKO BALI'!$B$2:$W$744,21,FALSE),"")</f>
        <v/>
      </c>
      <c r="O318" s="106"/>
      <c r="P318" s="164" t="str">
        <f>IF($G318&lt;&gt;"",VLOOKUP($G318,'MASTER TOKO BALI'!$B$2:$W$740,7,FALSE),"")</f>
        <v/>
      </c>
    </row>
    <row r="319" spans="1:16" ht="14.4" x14ac:dyDescent="0.3">
      <c r="A319" s="106">
        <f t="shared" si="12"/>
        <v>297</v>
      </c>
      <c r="B319" s="107" t="s">
        <v>2054</v>
      </c>
      <c r="C319" s="116" t="s">
        <v>2055</v>
      </c>
      <c r="D319" s="108" t="s">
        <v>2056</v>
      </c>
      <c r="E319" s="114" t="s">
        <v>2073</v>
      </c>
      <c r="F319" s="110"/>
      <c r="G319" s="60"/>
      <c r="H319" s="111" t="str">
        <f>IF($G319&lt;&gt;"",VLOOKUP($G319,'MASTER TOKO BALI'!$B$2:$W$744,2,FALSE),"")</f>
        <v/>
      </c>
      <c r="I319" s="237" t="str">
        <f>IF($G319&lt;&gt;"",VLOOKUP($G319,'MASTER TOKO BALI'!$B$2:$W$744,4,FALSE),"")</f>
        <v/>
      </c>
      <c r="J319" s="119">
        <v>46279</v>
      </c>
      <c r="K319" s="111" t="str">
        <f>IF($G319&lt;&gt;"",VLOOKUP($G319,'MASTER TOKO BALI'!$B$2:$W$744,12,FALSE),"")</f>
        <v/>
      </c>
      <c r="L319" s="111" t="str">
        <f>IF($G319&lt;&gt;"",VLOOKUP($G319,'MASTER TOKO BALI'!$B$2:$W$744,5,FALSE),"")</f>
        <v/>
      </c>
      <c r="M319" s="65"/>
      <c r="N319" s="111" t="str">
        <f>IF($G319&lt;&gt;"",VLOOKUP($G319,'MASTER TOKO BALI'!$B$2:$W$744,21,FALSE),"")</f>
        <v/>
      </c>
      <c r="O319" s="106"/>
      <c r="P319" s="164" t="str">
        <f>IF($G319&lt;&gt;"",VLOOKUP($G319,'MASTER TOKO BALI'!$B$2:$W$740,7,FALSE),"")</f>
        <v/>
      </c>
    </row>
    <row r="320" spans="1:16" ht="14.4" x14ac:dyDescent="0.3">
      <c r="A320" s="106">
        <f t="shared" si="12"/>
        <v>298</v>
      </c>
      <c r="B320" s="107" t="s">
        <v>2038</v>
      </c>
      <c r="C320" s="116" t="s">
        <v>2055</v>
      </c>
      <c r="D320" s="113" t="s">
        <v>2057</v>
      </c>
      <c r="E320" s="114" t="s">
        <v>2073</v>
      </c>
      <c r="F320" s="110"/>
      <c r="G320" s="145"/>
      <c r="H320" s="111" t="str">
        <f>IF($G320&lt;&gt;"",VLOOKUP($G320,'MASTER TOKO BALI'!$B$2:$W$744,2,FALSE),"")</f>
        <v/>
      </c>
      <c r="I320" s="237" t="str">
        <f>IF($G320&lt;&gt;"",VLOOKUP($G320,'MASTER TOKO BALI'!$B$2:$W$744,4,FALSE),"")</f>
        <v/>
      </c>
      <c r="J320" s="119">
        <v>46279</v>
      </c>
      <c r="K320" s="111" t="str">
        <f>IF($G320&lt;&gt;"",VLOOKUP($G320,'MASTER TOKO BALI'!$B$2:$W$744,12,FALSE),"")</f>
        <v/>
      </c>
      <c r="L320" s="111" t="str">
        <f>IF($G320&lt;&gt;"",VLOOKUP($G320,'MASTER TOKO BALI'!$B$2:$W$744,5,FALSE),"")</f>
        <v/>
      </c>
      <c r="M320" s="65"/>
      <c r="N320" s="111" t="str">
        <f>IF($G320&lt;&gt;"",VLOOKUP($G320,'MASTER TOKO BALI'!$B$2:$W$744,21,FALSE),"")</f>
        <v/>
      </c>
      <c r="O320" s="106"/>
      <c r="P320" s="164" t="str">
        <f>IF($G320&lt;&gt;"",VLOOKUP($G320,'MASTER TOKO BALI'!$B$2:$W$740,7,FALSE),"")</f>
        <v/>
      </c>
    </row>
    <row r="321" spans="1:19" ht="14.4" x14ac:dyDescent="0.3">
      <c r="A321" s="106">
        <f t="shared" si="12"/>
        <v>299</v>
      </c>
      <c r="B321" s="107" t="s">
        <v>2058</v>
      </c>
      <c r="C321" s="116" t="s">
        <v>2055</v>
      </c>
      <c r="D321" s="108" t="s">
        <v>2059</v>
      </c>
      <c r="E321" s="114" t="s">
        <v>2073</v>
      </c>
      <c r="F321" s="110"/>
      <c r="G321" s="60"/>
      <c r="H321" s="111" t="str">
        <f>IF($G321&lt;&gt;"",VLOOKUP($G321,'MASTER TOKO BALI'!$B$2:$W$744,2,FALSE),"")</f>
        <v/>
      </c>
      <c r="I321" s="237" t="str">
        <f>IF($G321&lt;&gt;"",VLOOKUP($G321,'MASTER TOKO BALI'!$B$2:$W$744,4,FALSE),"")</f>
        <v/>
      </c>
      <c r="J321" s="119">
        <v>46279</v>
      </c>
      <c r="K321" s="111" t="str">
        <f>IF($G321&lt;&gt;"",VLOOKUP($G321,'MASTER TOKO BALI'!$B$2:$W$744,12,FALSE),"")</f>
        <v/>
      </c>
      <c r="L321" s="111" t="str">
        <f>IF($G321&lt;&gt;"",VLOOKUP($G321,'MASTER TOKO BALI'!$B$2:$W$744,5,FALSE),"")</f>
        <v/>
      </c>
      <c r="M321" s="65"/>
      <c r="N321" s="111" t="str">
        <f>IF($G321&lt;&gt;"",VLOOKUP($G321,'MASTER TOKO BALI'!$B$2:$W$744,21,FALSE),"")</f>
        <v/>
      </c>
      <c r="O321" s="106"/>
      <c r="P321" s="164" t="str">
        <f>IF($G321&lt;&gt;"",VLOOKUP($G321,'MASTER TOKO BALI'!$B$2:$W$740,7,FALSE),"")</f>
        <v/>
      </c>
    </row>
    <row r="322" spans="1:19" ht="14.4" x14ac:dyDescent="0.3">
      <c r="A322" s="106">
        <f t="shared" si="12"/>
        <v>300</v>
      </c>
      <c r="B322" s="107" t="s">
        <v>2038</v>
      </c>
      <c r="C322" s="116" t="s">
        <v>2055</v>
      </c>
      <c r="D322" s="113" t="s">
        <v>2057</v>
      </c>
      <c r="E322" s="114" t="s">
        <v>2073</v>
      </c>
      <c r="F322" s="110"/>
      <c r="G322" s="60"/>
      <c r="H322" s="111" t="str">
        <f>IF($G322&lt;&gt;"",VLOOKUP($G322,'MASTER TOKO BALI'!$B$2:$W$744,2,FALSE),"")</f>
        <v/>
      </c>
      <c r="I322" s="237" t="str">
        <f>IF($G322&lt;&gt;"",VLOOKUP($G322,'MASTER TOKO BALI'!$B$2:$W$744,4,FALSE),"")</f>
        <v/>
      </c>
      <c r="J322" s="119">
        <v>46279</v>
      </c>
      <c r="K322" s="111" t="str">
        <f>IF($G322&lt;&gt;"",VLOOKUP($G322,'MASTER TOKO BALI'!$B$2:$W$744,12,FALSE),"")</f>
        <v/>
      </c>
      <c r="L322" s="111" t="str">
        <f>IF($G322&lt;&gt;"",VLOOKUP($G322,'MASTER TOKO BALI'!$B$2:$W$744,5,FALSE),"")</f>
        <v/>
      </c>
      <c r="M322" s="65"/>
      <c r="N322" s="111" t="str">
        <f>IF($G322&lt;&gt;"",VLOOKUP($G322,'MASTER TOKO BALI'!$B$2:$W$744,21,FALSE),"")</f>
        <v/>
      </c>
      <c r="O322" s="106"/>
      <c r="P322" s="164" t="str">
        <f>IF($G322&lt;&gt;"",VLOOKUP($G322,'MASTER TOKO BALI'!$B$2:$W$740,7,FALSE),"")</f>
        <v/>
      </c>
    </row>
    <row r="323" spans="1:19" ht="14.4" x14ac:dyDescent="0.3">
      <c r="A323" s="106">
        <f t="shared" si="12"/>
        <v>301</v>
      </c>
      <c r="B323" s="107" t="s">
        <v>2060</v>
      </c>
      <c r="C323" s="116" t="s">
        <v>2061</v>
      </c>
      <c r="D323" s="108" t="s">
        <v>2062</v>
      </c>
      <c r="E323" s="114" t="s">
        <v>2073</v>
      </c>
      <c r="F323" s="126"/>
      <c r="G323" s="152"/>
      <c r="H323" s="111" t="str">
        <f>IF($G323&lt;&gt;"",VLOOKUP($G323,'MASTER TOKO BALI'!$B$2:$W$744,2,FALSE),"")</f>
        <v/>
      </c>
      <c r="I323" s="237" t="str">
        <f>IF($G323&lt;&gt;"",VLOOKUP($G323,'MASTER TOKO BALI'!$B$2:$W$744,4,FALSE),"")</f>
        <v/>
      </c>
      <c r="J323" s="119">
        <v>46279</v>
      </c>
      <c r="K323" s="111" t="str">
        <f>IF($G323&lt;&gt;"",VLOOKUP($G323,'MASTER TOKO BALI'!$B$2:$W$744,12,FALSE),"")</f>
        <v/>
      </c>
      <c r="L323" s="111" t="str">
        <f>IF($G323&lt;&gt;"",VLOOKUP($G323,'MASTER TOKO BALI'!$B$2:$W$744,5,FALSE),"")</f>
        <v/>
      </c>
      <c r="M323" s="65"/>
      <c r="N323" s="111" t="str">
        <f>IF($G323&lt;&gt;"",VLOOKUP($G323,'MASTER TOKO BALI'!$B$2:$W$744,21,FALSE),"")</f>
        <v/>
      </c>
      <c r="O323" s="106"/>
      <c r="P323" s="164" t="str">
        <f>IF($G323&lt;&gt;"",VLOOKUP($G323,'MASTER TOKO BALI'!$B$2:$W$740,7,FALSE),"")</f>
        <v/>
      </c>
    </row>
    <row r="324" spans="1:19" ht="14.4" x14ac:dyDescent="0.3">
      <c r="A324" s="106">
        <f t="shared" si="12"/>
        <v>302</v>
      </c>
      <c r="B324" s="107" t="s">
        <v>2038</v>
      </c>
      <c r="C324" s="116" t="s">
        <v>2061</v>
      </c>
      <c r="D324" s="113" t="s">
        <v>2063</v>
      </c>
      <c r="E324" s="114" t="s">
        <v>2073</v>
      </c>
      <c r="F324" s="126"/>
      <c r="G324" s="60"/>
      <c r="H324" s="111" t="str">
        <f>IF($G324&lt;&gt;"",VLOOKUP($G324,'MASTER TOKO BALI'!$B$2:$W$744,2,FALSE),"")</f>
        <v/>
      </c>
      <c r="I324" s="237" t="str">
        <f>IF($G324&lt;&gt;"",VLOOKUP($G324,'MASTER TOKO BALI'!$B$2:$W$744,4,FALSE),"")</f>
        <v/>
      </c>
      <c r="J324" s="119">
        <v>46279</v>
      </c>
      <c r="K324" s="111" t="str">
        <f>IF($G324&lt;&gt;"",VLOOKUP($G324,'MASTER TOKO BALI'!$B$2:$W$744,12,FALSE),"")</f>
        <v/>
      </c>
      <c r="L324" s="111" t="str">
        <f>IF($G324&lt;&gt;"",VLOOKUP($G324,'MASTER TOKO BALI'!$B$2:$W$744,5,FALSE),"")</f>
        <v/>
      </c>
      <c r="M324" s="65"/>
      <c r="N324" s="111" t="str">
        <f>IF($G324&lt;&gt;"",VLOOKUP($G324,'MASTER TOKO BALI'!$B$2:$W$744,21,FALSE),"")</f>
        <v/>
      </c>
      <c r="O324" s="106"/>
      <c r="P324" s="164" t="str">
        <f>IF($G324&lt;&gt;"",VLOOKUP($G324,'MASTER TOKO BALI'!$B$2:$W$740,7,FALSE),"")</f>
        <v/>
      </c>
    </row>
    <row r="325" spans="1:19" s="66" customFormat="1" ht="14.4" x14ac:dyDescent="0.3">
      <c r="A325" s="106">
        <f t="shared" si="12"/>
        <v>303</v>
      </c>
      <c r="B325" s="107" t="s">
        <v>2064</v>
      </c>
      <c r="C325" s="116" t="s">
        <v>2061</v>
      </c>
      <c r="D325" s="108" t="s">
        <v>2065</v>
      </c>
      <c r="E325" s="114" t="s">
        <v>2073</v>
      </c>
      <c r="F325" s="127"/>
      <c r="G325" s="152"/>
      <c r="H325" s="111" t="str">
        <f>IF($G325&lt;&gt;"",VLOOKUP($G325,'MASTER TOKO BALI'!$B$2:$W$744,2,FALSE),"")</f>
        <v/>
      </c>
      <c r="I325" s="237" t="str">
        <f>IF($G325&lt;&gt;"",VLOOKUP($G325,'MASTER TOKO BALI'!$B$2:$W$744,4,FALSE),"")</f>
        <v/>
      </c>
      <c r="J325" s="119">
        <v>46279</v>
      </c>
      <c r="K325" s="111" t="str">
        <f>IF($G325&lt;&gt;"",VLOOKUP($G325,'MASTER TOKO BALI'!$B$2:$W$744,12,FALSE),"")</f>
        <v/>
      </c>
      <c r="L325" s="111" t="str">
        <f>IF($G325&lt;&gt;"",VLOOKUP($G325,'MASTER TOKO BALI'!$B$2:$W$744,5,FALSE),"")</f>
        <v/>
      </c>
      <c r="M325" s="65"/>
      <c r="N325" s="111" t="str">
        <f>IF($G325&lt;&gt;"",VLOOKUP($G325,'MASTER TOKO BALI'!$B$2:$W$744,21,FALSE),"")</f>
        <v/>
      </c>
      <c r="O325" s="136"/>
      <c r="P325" s="164" t="str">
        <f>IF($G325&lt;&gt;"",VLOOKUP($G325,'MASTER TOKO BALI'!$B$2:$W$740,7,FALSE),"")</f>
        <v/>
      </c>
      <c r="S325" s="67"/>
    </row>
    <row r="326" spans="1:19" s="66" customFormat="1" ht="14.4" x14ac:dyDescent="0.2">
      <c r="A326" s="106">
        <f t="shared" si="12"/>
        <v>304</v>
      </c>
      <c r="B326" s="107" t="s">
        <v>2066</v>
      </c>
      <c r="C326" s="116" t="s">
        <v>2061</v>
      </c>
      <c r="D326" s="113" t="s">
        <v>2063</v>
      </c>
      <c r="E326" s="114" t="s">
        <v>2073</v>
      </c>
      <c r="F326" s="127"/>
      <c r="G326" s="152"/>
      <c r="H326" s="111" t="str">
        <f>IF($G326&lt;&gt;"",VLOOKUP($G326,'MASTER TOKO BALI'!$B$2:$W$744,2,FALSE),"")</f>
        <v/>
      </c>
      <c r="I326" s="237" t="str">
        <f>IF($G326&lt;&gt;"",VLOOKUP($G326,'MASTER TOKO BALI'!$B$2:$W$744,4,FALSE),"")</f>
        <v/>
      </c>
      <c r="J326" s="119">
        <v>46279</v>
      </c>
      <c r="K326" s="111" t="str">
        <f>IF($G326&lt;&gt;"",VLOOKUP($G326,'MASTER TOKO BALI'!$B$2:$W$744,12,FALSE),"")</f>
        <v/>
      </c>
      <c r="L326" s="111" t="str">
        <f>IF($G326&lt;&gt;"",VLOOKUP($G326,'MASTER TOKO BALI'!$B$2:$W$744,5,FALSE),"")</f>
        <v/>
      </c>
      <c r="M326" s="106"/>
      <c r="N326" s="111" t="str">
        <f>IF($G326&lt;&gt;"",VLOOKUP($G326,'MASTER TOKO BALI'!$B$2:$W$744,21,FALSE),"")</f>
        <v/>
      </c>
      <c r="O326" s="136"/>
      <c r="P326" s="164" t="str">
        <f>IF($G326&lt;&gt;"",VLOOKUP($G326,'MASTER TOKO BALI'!$B$2:$W$740,7,FALSE),"")</f>
        <v/>
      </c>
      <c r="S326" s="67"/>
    </row>
    <row r="327" spans="1:19" ht="14.4" x14ac:dyDescent="0.2">
      <c r="A327" s="106">
        <f t="shared" si="12"/>
        <v>305</v>
      </c>
      <c r="B327" s="107" t="s">
        <v>2067</v>
      </c>
      <c r="C327" s="107" t="s">
        <v>2068</v>
      </c>
      <c r="D327" s="108" t="s">
        <v>2069</v>
      </c>
      <c r="E327" s="114" t="s">
        <v>2073</v>
      </c>
      <c r="F327" s="126"/>
      <c r="G327" s="60"/>
      <c r="H327" s="111" t="str">
        <f>IF($G327&lt;&gt;"",VLOOKUP($G327,'MASTER TOKO BALI'!$B$2:$W$744,2,FALSE),"")</f>
        <v/>
      </c>
      <c r="I327" s="237" t="str">
        <f>IF($G327&lt;&gt;"",VLOOKUP($G327,'MASTER TOKO BALI'!$B$2:$W$744,4,FALSE),"")</f>
        <v/>
      </c>
      <c r="J327" s="119">
        <v>46279</v>
      </c>
      <c r="K327" s="111" t="str">
        <f>IF($G327&lt;&gt;"",VLOOKUP($G327,'MASTER TOKO BALI'!$B$2:$W$744,12,FALSE),"")</f>
        <v/>
      </c>
      <c r="L327" s="111" t="str">
        <f>IF($G327&lt;&gt;"",VLOOKUP($G327,'MASTER TOKO BALI'!$B$2:$W$744,5,FALSE),"")</f>
        <v/>
      </c>
      <c r="M327" s="106"/>
      <c r="N327" s="111" t="str">
        <f>IF($G327&lt;&gt;"",VLOOKUP($G327,'MASTER TOKO BALI'!$B$2:$W$744,21,FALSE),"")</f>
        <v/>
      </c>
      <c r="O327" s="106"/>
      <c r="P327" s="164" t="str">
        <f>IF($G327&lt;&gt;"",VLOOKUP($G327,'MASTER TOKO BALI'!$B$2:$W$740,7,FALSE),"")</f>
        <v/>
      </c>
    </row>
    <row r="328" spans="1:19" ht="14.4" x14ac:dyDescent="0.2">
      <c r="A328" s="106">
        <f t="shared" si="12"/>
        <v>306</v>
      </c>
      <c r="B328" s="107" t="s">
        <v>2066</v>
      </c>
      <c r="C328" s="107" t="s">
        <v>2068</v>
      </c>
      <c r="D328" s="117" t="s">
        <v>2070</v>
      </c>
      <c r="E328" s="114" t="s">
        <v>2073</v>
      </c>
      <c r="F328" s="126"/>
      <c r="G328" s="60"/>
      <c r="H328" s="111" t="str">
        <f>IF($G328&lt;&gt;"",VLOOKUP($G328,'MASTER TOKO BALI'!$B$2:$W$744,2,FALSE),"")</f>
        <v/>
      </c>
      <c r="I328" s="237" t="str">
        <f>IF($G328&lt;&gt;"",VLOOKUP($G328,'MASTER TOKO BALI'!$B$2:$W$744,4,FALSE),"")</f>
        <v/>
      </c>
      <c r="J328" s="119">
        <v>46279</v>
      </c>
      <c r="K328" s="111" t="str">
        <f>IF($G328&lt;&gt;"",VLOOKUP($G328,'MASTER TOKO BALI'!$B$2:$W$744,12,FALSE),"")</f>
        <v/>
      </c>
      <c r="L328" s="111" t="str">
        <f>IF($G328&lt;&gt;"",VLOOKUP($G328,'MASTER TOKO BALI'!$B$2:$W$744,5,FALSE),"")</f>
        <v/>
      </c>
      <c r="M328" s="106"/>
      <c r="N328" s="111" t="str">
        <f>IF($G328&lt;&gt;"",VLOOKUP($G328,'MASTER TOKO BALI'!$B$2:$W$744,21,FALSE),"")</f>
        <v/>
      </c>
      <c r="O328" s="106"/>
      <c r="P328" s="164" t="str">
        <f>IF($G328&lt;&gt;"",VLOOKUP($G328,'MASTER TOKO BALI'!$B$2:$W$740,7,FALSE),"")</f>
        <v/>
      </c>
    </row>
    <row r="329" spans="1:19" x14ac:dyDescent="0.2">
      <c r="A329" s="106">
        <f t="shared" si="12"/>
        <v>307</v>
      </c>
      <c r="B329" s="107" t="s">
        <v>2071</v>
      </c>
      <c r="C329" s="107" t="s">
        <v>2068</v>
      </c>
      <c r="D329" s="116" t="s">
        <v>2003</v>
      </c>
      <c r="E329" s="114" t="s">
        <v>2073</v>
      </c>
      <c r="F329" s="126"/>
      <c r="G329" s="144"/>
      <c r="H329" s="111" t="str">
        <f>IF($G329&lt;&gt;"",VLOOKUP($G329,'MASTER TOKO BALI'!$B$2:$W$744,2,FALSE),"")</f>
        <v/>
      </c>
      <c r="I329" s="237" t="str">
        <f>IF($G329&lt;&gt;"",VLOOKUP($G329,'MASTER TOKO BALI'!$B$2:$W$744,4,FALSE),"")</f>
        <v/>
      </c>
      <c r="J329" s="119">
        <v>46279</v>
      </c>
      <c r="K329" s="111" t="str">
        <f>IF($G329&lt;&gt;"",VLOOKUP($G329,'MASTER TOKO BALI'!$B$2:$W$744,12,FALSE),"")</f>
        <v/>
      </c>
      <c r="L329" s="111" t="str">
        <f>IF($G329&lt;&gt;"",VLOOKUP($G329,'MASTER TOKO BALI'!$B$2:$W$744,5,FALSE),"")</f>
        <v/>
      </c>
      <c r="M329" s="106"/>
      <c r="N329" s="111" t="str">
        <f>IF($G329&lt;&gt;"",VLOOKUP($G329,'MASTER TOKO BALI'!$B$2:$W$744,21,FALSE),"")</f>
        <v/>
      </c>
      <c r="O329" s="106"/>
      <c r="P329" s="164" t="str">
        <f>IF($G329&lt;&gt;"",VLOOKUP($G329,'MASTER TOKO BALI'!$B$2:$W$740,7,FALSE),"")</f>
        <v/>
      </c>
    </row>
    <row r="330" spans="1:19" x14ac:dyDescent="0.2">
      <c r="A330" s="106">
        <f t="shared" si="12"/>
        <v>308</v>
      </c>
      <c r="B330" s="107" t="s">
        <v>2066</v>
      </c>
      <c r="C330" s="107" t="s">
        <v>2068</v>
      </c>
      <c r="D330" s="117" t="s">
        <v>2070</v>
      </c>
      <c r="E330" s="114" t="s">
        <v>2073</v>
      </c>
      <c r="F330" s="126"/>
      <c r="G330" s="144"/>
      <c r="H330" s="111" t="str">
        <f>IF($G330&lt;&gt;"",VLOOKUP($G330,'MASTER TOKO BALI'!$B$2:$W$744,2,FALSE),"")</f>
        <v/>
      </c>
      <c r="I330" s="237" t="str">
        <f>IF($G330&lt;&gt;"",VLOOKUP($G330,'MASTER TOKO BALI'!$B$2:$W$744,4,FALSE),"")</f>
        <v/>
      </c>
      <c r="J330" s="119">
        <v>46279</v>
      </c>
      <c r="K330" s="111" t="str">
        <f>IF($G330&lt;&gt;"",VLOOKUP($G330,'MASTER TOKO BALI'!$B$2:$W$744,12,FALSE),"")</f>
        <v/>
      </c>
      <c r="L330" s="111" t="str">
        <f>IF($G330&lt;&gt;"",VLOOKUP($G330,'MASTER TOKO BALI'!$B$2:$W$744,5,FALSE),"")</f>
        <v/>
      </c>
      <c r="M330" s="106"/>
      <c r="N330" s="111" t="str">
        <f>IF($G330&lt;&gt;"",VLOOKUP($G330,'MASTER TOKO BALI'!$B$2:$W$744,21,FALSE),"")</f>
        <v/>
      </c>
      <c r="O330" s="106"/>
      <c r="P330" s="164" t="str">
        <f>IF($G330&lt;&gt;"",VLOOKUP($G330,'MASTER TOKO BALI'!$B$2:$W$740,7,FALSE),"")</f>
        <v/>
      </c>
    </row>
    <row r="331" spans="1:19" x14ac:dyDescent="0.2">
      <c r="A331" s="106"/>
      <c r="B331" s="107"/>
      <c r="C331" s="107"/>
      <c r="D331" s="111"/>
      <c r="E331" s="114"/>
      <c r="F331" s="126"/>
      <c r="G331" s="144"/>
      <c r="H331" s="111" t="str">
        <f>IF($G331&lt;&gt;"",VLOOKUP($G331,'MASTER TOKO BALI'!$B$2:$W$744,2,FALSE),"")</f>
        <v/>
      </c>
      <c r="I331" s="237" t="str">
        <f>IF($G331&lt;&gt;"",VLOOKUP($G331,'MASTER TOKO BALI'!$B$2:$W$744,4,FALSE),"")</f>
        <v/>
      </c>
      <c r="J331" s="119"/>
      <c r="K331" s="111" t="str">
        <f>IF($G331&lt;&gt;"",VLOOKUP($G331,'MASTER TOKO BALI'!$B$2:$W$744,12,FALSE),"")</f>
        <v/>
      </c>
      <c r="L331" s="111" t="str">
        <f>IF($G331&lt;&gt;"",VLOOKUP($G331,'MASTER TOKO BALI'!$B$2:$W$744,5,FALSE),"")</f>
        <v/>
      </c>
      <c r="M331" s="106"/>
      <c r="N331" s="111" t="str">
        <f>IF($G331&lt;&gt;"",VLOOKUP($G331,'MASTER TOKO BALI'!$B$2:$W$744,21,FALSE),"")</f>
        <v/>
      </c>
      <c r="O331" s="106"/>
      <c r="P331" s="164" t="str">
        <f>IF($G331&lt;&gt;"",VLOOKUP($G331,'MASTER TOKO BALI'!$B$2:$W$740,7,FALSE),"")</f>
        <v/>
      </c>
    </row>
    <row r="332" spans="1:19" ht="14.4" x14ac:dyDescent="0.2">
      <c r="A332" s="106">
        <f>A330+1</f>
        <v>309</v>
      </c>
      <c r="B332" s="107" t="s">
        <v>2034</v>
      </c>
      <c r="C332" s="107" t="s">
        <v>2035</v>
      </c>
      <c r="D332" s="108" t="s">
        <v>2036</v>
      </c>
      <c r="E332" s="109" t="s">
        <v>2074</v>
      </c>
      <c r="F332" s="126"/>
      <c r="G332" s="60"/>
      <c r="H332" s="111" t="str">
        <f>IF($G332&lt;&gt;"",VLOOKUP($G332,'MASTER TOKO BALI'!$B$2:$W$744,2,FALSE),"")</f>
        <v/>
      </c>
      <c r="I332" s="237" t="str">
        <f>IF($G332&lt;&gt;"",VLOOKUP($G332,'MASTER TOKO BALI'!$B$2:$W$744,4,FALSE),"")</f>
        <v/>
      </c>
      <c r="J332" s="112">
        <v>46280</v>
      </c>
      <c r="K332" s="111" t="str">
        <f>IF($G332&lt;&gt;"",VLOOKUP($G332,'MASTER TOKO BALI'!$B$2:$W$744,12,FALSE),"")</f>
        <v/>
      </c>
      <c r="L332" s="111" t="str">
        <f>IF($G332&lt;&gt;"",VLOOKUP($G332,'MASTER TOKO BALI'!$B$2:$W$744,5,FALSE),"")</f>
        <v/>
      </c>
      <c r="M332" s="106"/>
      <c r="N332" s="111" t="str">
        <f>IF($G332&lt;&gt;"",VLOOKUP($G332,'MASTER TOKO BALI'!$B$2:$W$744,21,FALSE),"")</f>
        <v/>
      </c>
      <c r="O332" s="106"/>
      <c r="P332" s="164" t="str">
        <f>IF($G332&lt;&gt;"",VLOOKUP($G332,'MASTER TOKO BALI'!$B$2:$W$740,7,FALSE),"")</f>
        <v/>
      </c>
    </row>
    <row r="333" spans="1:19" ht="14.4" x14ac:dyDescent="0.2">
      <c r="A333" s="106">
        <f t="shared" ref="A333:A355" si="13">A332+1</f>
        <v>310</v>
      </c>
      <c r="B333" s="107" t="s">
        <v>2038</v>
      </c>
      <c r="C333" s="107" t="s">
        <v>2035</v>
      </c>
      <c r="D333" s="113" t="s">
        <v>2039</v>
      </c>
      <c r="E333" s="109" t="s">
        <v>2074</v>
      </c>
      <c r="F333" s="126"/>
      <c r="G333" s="60"/>
      <c r="H333" s="111" t="str">
        <f>IF($G333&lt;&gt;"",VLOOKUP($G333,'MASTER TOKO BALI'!$B$2:$W$744,2,FALSE),"")</f>
        <v/>
      </c>
      <c r="I333" s="237" t="str">
        <f>IF($G333&lt;&gt;"",VLOOKUP($G333,'MASTER TOKO BALI'!$B$2:$W$744,4,FALSE),"")</f>
        <v/>
      </c>
      <c r="J333" s="112">
        <v>46280</v>
      </c>
      <c r="K333" s="111" t="str">
        <f>IF($G333&lt;&gt;"",VLOOKUP($G333,'MASTER TOKO BALI'!$B$2:$W$744,12,FALSE),"")</f>
        <v/>
      </c>
      <c r="L333" s="111" t="str">
        <f>IF($G333&lt;&gt;"",VLOOKUP($G333,'MASTER TOKO BALI'!$B$2:$W$744,5,FALSE),"")</f>
        <v/>
      </c>
      <c r="M333" s="106"/>
      <c r="N333" s="111" t="str">
        <f>IF($G333&lt;&gt;"",VLOOKUP($G333,'MASTER TOKO BALI'!$B$2:$W$744,21,FALSE),"")</f>
        <v/>
      </c>
      <c r="O333" s="106"/>
      <c r="P333" s="164" t="str">
        <f>IF($G333&lt;&gt;"",VLOOKUP($G333,'MASTER TOKO BALI'!$B$2:$W$740,7,FALSE),"")</f>
        <v/>
      </c>
    </row>
    <row r="334" spans="1:19" ht="14.4" x14ac:dyDescent="0.2">
      <c r="A334" s="106">
        <f t="shared" si="13"/>
        <v>311</v>
      </c>
      <c r="B334" s="107" t="s">
        <v>2040</v>
      </c>
      <c r="C334" s="107" t="s">
        <v>2035</v>
      </c>
      <c r="D334" s="108" t="s">
        <v>2041</v>
      </c>
      <c r="E334" s="109" t="s">
        <v>2074</v>
      </c>
      <c r="F334" s="126"/>
      <c r="G334" s="60"/>
      <c r="H334" s="111" t="str">
        <f>IF($G334&lt;&gt;"",VLOOKUP($G334,'MASTER TOKO BALI'!$B$2:$W$744,2,FALSE),"")</f>
        <v/>
      </c>
      <c r="I334" s="237" t="str">
        <f>IF($G334&lt;&gt;"",VLOOKUP($G334,'MASTER TOKO BALI'!$B$2:$W$744,4,FALSE),"")</f>
        <v/>
      </c>
      <c r="J334" s="112">
        <v>46280</v>
      </c>
      <c r="K334" s="111" t="str">
        <f>IF($G334&lt;&gt;"",VLOOKUP($G334,'MASTER TOKO BALI'!$B$2:$W$744,12,FALSE),"")</f>
        <v/>
      </c>
      <c r="L334" s="111" t="str">
        <f>IF($G334&lt;&gt;"",VLOOKUP($G334,'MASTER TOKO BALI'!$B$2:$W$744,5,FALSE),"")</f>
        <v/>
      </c>
      <c r="M334" s="106"/>
      <c r="N334" s="111" t="str">
        <f>IF($G334&lt;&gt;"",VLOOKUP($G334,'MASTER TOKO BALI'!$B$2:$W$744,21,FALSE),"")</f>
        <v/>
      </c>
      <c r="O334" s="106"/>
      <c r="P334" s="164" t="str">
        <f>IF($G334&lt;&gt;"",VLOOKUP($G334,'MASTER TOKO BALI'!$B$2:$W$740,7,FALSE),"")</f>
        <v/>
      </c>
    </row>
    <row r="335" spans="1:19" x14ac:dyDescent="0.2">
      <c r="A335" s="106">
        <f t="shared" si="13"/>
        <v>312</v>
      </c>
      <c r="B335" s="107" t="s">
        <v>2038</v>
      </c>
      <c r="C335" s="107" t="s">
        <v>2035</v>
      </c>
      <c r="D335" s="113" t="s">
        <v>2039</v>
      </c>
      <c r="E335" s="109" t="s">
        <v>2074</v>
      </c>
      <c r="F335" s="124"/>
      <c r="G335" s="144"/>
      <c r="H335" s="111" t="str">
        <f>IF($G335&lt;&gt;"",VLOOKUP($G335,'MASTER TOKO BALI'!$B$2:$W$744,2,FALSE),"")</f>
        <v/>
      </c>
      <c r="I335" s="237" t="str">
        <f>IF($G335&lt;&gt;"",VLOOKUP($G335,'MASTER TOKO BALI'!$B$2:$W$744,4,FALSE),"")</f>
        <v/>
      </c>
      <c r="J335" s="112">
        <v>46280</v>
      </c>
      <c r="K335" s="111" t="str">
        <f>IF($G335&lt;&gt;"",VLOOKUP($G335,'MASTER TOKO BALI'!$B$2:$W$744,12,FALSE),"")</f>
        <v/>
      </c>
      <c r="L335" s="111" t="str">
        <f>IF($G335&lt;&gt;"",VLOOKUP($G335,'MASTER TOKO BALI'!$B$2:$W$744,5,FALSE),"")</f>
        <v/>
      </c>
      <c r="M335" s="106"/>
      <c r="N335" s="111" t="str">
        <f>IF($G335&lt;&gt;"",VLOOKUP($G335,'MASTER TOKO BALI'!$B$2:$W$744,21,FALSE),"")</f>
        <v/>
      </c>
      <c r="O335" s="106"/>
      <c r="P335" s="164" t="str">
        <f>IF($G335&lt;&gt;"",VLOOKUP($G335,'MASTER TOKO BALI'!$B$2:$W$740,7,FALSE),"")</f>
        <v/>
      </c>
    </row>
    <row r="336" spans="1:19" ht="14.4" x14ac:dyDescent="0.2">
      <c r="A336" s="106">
        <f t="shared" si="13"/>
        <v>313</v>
      </c>
      <c r="B336" s="107" t="s">
        <v>2042</v>
      </c>
      <c r="C336" s="107" t="s">
        <v>2043</v>
      </c>
      <c r="D336" s="108" t="s">
        <v>2044</v>
      </c>
      <c r="E336" s="109" t="s">
        <v>2074</v>
      </c>
      <c r="F336" s="110"/>
      <c r="G336" s="60"/>
      <c r="H336" s="111" t="str">
        <f>IF($G336&lt;&gt;"",VLOOKUP($G336,'MASTER TOKO BALI'!$B$2:$W$744,2,FALSE),"")</f>
        <v/>
      </c>
      <c r="I336" s="237" t="str">
        <f>IF($G336&lt;&gt;"",VLOOKUP($G336,'MASTER TOKO BALI'!$B$2:$W$744,4,FALSE),"")</f>
        <v/>
      </c>
      <c r="J336" s="112">
        <v>46280</v>
      </c>
      <c r="K336" s="111" t="str">
        <f>IF($G336&lt;&gt;"",VLOOKUP($G336,'MASTER TOKO BALI'!$B$2:$W$744,12,FALSE),"")</f>
        <v/>
      </c>
      <c r="L336" s="111" t="str">
        <f>IF($G336&lt;&gt;"",VLOOKUP($G336,'MASTER TOKO BALI'!$B$2:$W$744,5,FALSE),"")</f>
        <v/>
      </c>
      <c r="M336" s="106"/>
      <c r="N336" s="111" t="str">
        <f>IF($G336&lt;&gt;"",VLOOKUP($G336,'MASTER TOKO BALI'!$B$2:$W$744,21,FALSE),"")</f>
        <v/>
      </c>
      <c r="O336" s="106"/>
      <c r="P336" s="164" t="str">
        <f>IF($G336&lt;&gt;"",VLOOKUP($G336,'MASTER TOKO BALI'!$B$2:$W$740,7,FALSE),"")</f>
        <v/>
      </c>
    </row>
    <row r="337" spans="1:16" x14ac:dyDescent="0.2">
      <c r="A337" s="106">
        <f t="shared" si="13"/>
        <v>314</v>
      </c>
      <c r="B337" s="107" t="s">
        <v>2038</v>
      </c>
      <c r="C337" s="107" t="s">
        <v>2043</v>
      </c>
      <c r="D337" s="113" t="s">
        <v>2045</v>
      </c>
      <c r="E337" s="109" t="s">
        <v>2074</v>
      </c>
      <c r="F337" s="129"/>
      <c r="G337" s="145"/>
      <c r="H337" s="111" t="str">
        <f>IF($G337&lt;&gt;"",VLOOKUP($G337,'MASTER TOKO BALI'!$B$2:$W$744,2,FALSE),"")</f>
        <v/>
      </c>
      <c r="I337" s="237" t="str">
        <f>IF($G337&lt;&gt;"",VLOOKUP($G337,'MASTER TOKO BALI'!$B$2:$W$744,4,FALSE),"")</f>
        <v/>
      </c>
      <c r="J337" s="112">
        <v>46280</v>
      </c>
      <c r="K337" s="111" t="str">
        <f>IF($G337&lt;&gt;"",VLOOKUP($G337,'MASTER TOKO BALI'!$B$2:$W$744,12,FALSE),"")</f>
        <v/>
      </c>
      <c r="L337" s="111" t="str">
        <f>IF($G337&lt;&gt;"",VLOOKUP($G337,'MASTER TOKO BALI'!$B$2:$W$744,5,FALSE),"")</f>
        <v/>
      </c>
      <c r="M337" s="106"/>
      <c r="N337" s="111" t="str">
        <f>IF($G337&lt;&gt;"",VLOOKUP($G337,'MASTER TOKO BALI'!$B$2:$W$744,21,FALSE),"")</f>
        <v/>
      </c>
      <c r="O337" s="106"/>
      <c r="P337" s="164" t="str">
        <f>IF($G337&lt;&gt;"",VLOOKUP($G337,'MASTER TOKO BALI'!$B$2:$W$740,7,FALSE),"")</f>
        <v/>
      </c>
    </row>
    <row r="338" spans="1:16" ht="14.4" x14ac:dyDescent="0.2">
      <c r="A338" s="106">
        <f t="shared" si="13"/>
        <v>315</v>
      </c>
      <c r="B338" s="107" t="s">
        <v>2046</v>
      </c>
      <c r="C338" s="107" t="s">
        <v>2043</v>
      </c>
      <c r="D338" s="108" t="s">
        <v>2047</v>
      </c>
      <c r="E338" s="109" t="s">
        <v>2074</v>
      </c>
      <c r="F338" s="110"/>
      <c r="G338" s="60"/>
      <c r="H338" s="111" t="str">
        <f>IF($G338&lt;&gt;"",VLOOKUP($G338,'MASTER TOKO BALI'!$B$2:$W$744,2,FALSE),"")</f>
        <v/>
      </c>
      <c r="I338" s="237" t="str">
        <f>IF($G338&lt;&gt;"",VLOOKUP($G338,'MASTER TOKO BALI'!$B$2:$W$744,4,FALSE),"")</f>
        <v/>
      </c>
      <c r="J338" s="112">
        <v>46280</v>
      </c>
      <c r="K338" s="111" t="str">
        <f>IF($G338&lt;&gt;"",VLOOKUP($G338,'MASTER TOKO BALI'!$B$2:$W$744,12,FALSE),"")</f>
        <v/>
      </c>
      <c r="L338" s="111" t="str">
        <f>IF($G338&lt;&gt;"",VLOOKUP($G338,'MASTER TOKO BALI'!$B$2:$W$744,5,FALSE),"")</f>
        <v/>
      </c>
      <c r="M338" s="106"/>
      <c r="N338" s="111" t="str">
        <f>IF($G338&lt;&gt;"",VLOOKUP($G338,'MASTER TOKO BALI'!$B$2:$W$744,21,FALSE),"")</f>
        <v/>
      </c>
      <c r="O338" s="106"/>
      <c r="P338" s="164" t="str">
        <f>IF($G338&lt;&gt;"",VLOOKUP($G338,'MASTER TOKO BALI'!$B$2:$W$740,7,FALSE),"")</f>
        <v/>
      </c>
    </row>
    <row r="339" spans="1:16" ht="14.4" x14ac:dyDescent="0.2">
      <c r="A339" s="106">
        <f t="shared" si="13"/>
        <v>316</v>
      </c>
      <c r="B339" s="107" t="s">
        <v>2038</v>
      </c>
      <c r="C339" s="107" t="s">
        <v>2043</v>
      </c>
      <c r="D339" s="113" t="s">
        <v>2045</v>
      </c>
      <c r="E339" s="109" t="s">
        <v>2074</v>
      </c>
      <c r="F339" s="126"/>
      <c r="G339" s="60"/>
      <c r="H339" s="111" t="str">
        <f>IF($G339&lt;&gt;"",VLOOKUP($G339,'MASTER TOKO BALI'!$B$2:$W$744,2,FALSE),"")</f>
        <v/>
      </c>
      <c r="I339" s="237" t="str">
        <f>IF($G339&lt;&gt;"",VLOOKUP($G339,'MASTER TOKO BALI'!$B$2:$W$744,4,FALSE),"")</f>
        <v/>
      </c>
      <c r="J339" s="112">
        <v>46280</v>
      </c>
      <c r="K339" s="111" t="str">
        <f>IF($G339&lt;&gt;"",VLOOKUP($G339,'MASTER TOKO BALI'!$B$2:$W$744,12,FALSE),"")</f>
        <v/>
      </c>
      <c r="L339" s="111" t="str">
        <f>IF($G339&lt;&gt;"",VLOOKUP($G339,'MASTER TOKO BALI'!$B$2:$W$744,5,FALSE),"")</f>
        <v/>
      </c>
      <c r="M339" s="106"/>
      <c r="N339" s="111" t="str">
        <f>IF($G339&lt;&gt;"",VLOOKUP($G339,'MASTER TOKO BALI'!$B$2:$W$744,21,FALSE),"")</f>
        <v/>
      </c>
      <c r="O339" s="106"/>
      <c r="P339" s="164" t="str">
        <f>IF($G339&lt;&gt;"",VLOOKUP($G339,'MASTER TOKO BALI'!$B$2:$W$740,7,FALSE),"")</f>
        <v/>
      </c>
    </row>
    <row r="340" spans="1:16" ht="14.4" x14ac:dyDescent="0.2">
      <c r="A340" s="106">
        <f t="shared" si="13"/>
        <v>317</v>
      </c>
      <c r="B340" s="107" t="s">
        <v>2048</v>
      </c>
      <c r="C340" s="107" t="s">
        <v>2049</v>
      </c>
      <c r="D340" s="108" t="s">
        <v>2050</v>
      </c>
      <c r="E340" s="109" t="s">
        <v>2074</v>
      </c>
      <c r="F340" s="126"/>
      <c r="G340" s="60"/>
      <c r="H340" s="111" t="str">
        <f>IF($G340&lt;&gt;"",VLOOKUP($G340,'MASTER TOKO BALI'!$B$2:$W$744,2,FALSE),"")</f>
        <v/>
      </c>
      <c r="I340" s="237" t="str">
        <f>IF($G340&lt;&gt;"",VLOOKUP($G340,'MASTER TOKO BALI'!$B$2:$W$744,4,FALSE),"")</f>
        <v/>
      </c>
      <c r="J340" s="112">
        <v>46280</v>
      </c>
      <c r="K340" s="111" t="str">
        <f>IF($G340&lt;&gt;"",VLOOKUP($G340,'MASTER TOKO BALI'!$B$2:$W$744,12,FALSE),"")</f>
        <v/>
      </c>
      <c r="L340" s="111" t="str">
        <f>IF($G340&lt;&gt;"",VLOOKUP($G340,'MASTER TOKO BALI'!$B$2:$W$744,5,FALSE),"")</f>
        <v/>
      </c>
      <c r="M340" s="106"/>
      <c r="N340" s="111" t="str">
        <f>IF($G340&lt;&gt;"",VLOOKUP($G340,'MASTER TOKO BALI'!$B$2:$W$744,21,FALSE),"")</f>
        <v/>
      </c>
      <c r="O340" s="106"/>
      <c r="P340" s="164" t="str">
        <f>IF($G340&lt;&gt;"",VLOOKUP($G340,'MASTER TOKO BALI'!$B$2:$W$740,7,FALSE),"")</f>
        <v/>
      </c>
    </row>
    <row r="341" spans="1:16" ht="14.4" x14ac:dyDescent="0.2">
      <c r="A341" s="106">
        <f t="shared" si="13"/>
        <v>318</v>
      </c>
      <c r="B341" s="107" t="s">
        <v>2038</v>
      </c>
      <c r="C341" s="107" t="s">
        <v>2049</v>
      </c>
      <c r="D341" s="115" t="s">
        <v>2051</v>
      </c>
      <c r="E341" s="109" t="s">
        <v>2074</v>
      </c>
      <c r="F341" s="126"/>
      <c r="G341" s="60"/>
      <c r="H341" s="111" t="str">
        <f>IF($G341&lt;&gt;"",VLOOKUP($G341,'MASTER TOKO BALI'!$B$2:$W$744,2,FALSE),"")</f>
        <v/>
      </c>
      <c r="I341" s="237" t="str">
        <f>IF($G341&lt;&gt;"",VLOOKUP($G341,'MASTER TOKO BALI'!$B$2:$W$744,4,FALSE),"")</f>
        <v/>
      </c>
      <c r="J341" s="112">
        <v>46280</v>
      </c>
      <c r="K341" s="111" t="str">
        <f>IF($G341&lt;&gt;"",VLOOKUP($G341,'MASTER TOKO BALI'!$B$2:$W$744,12,FALSE),"")</f>
        <v/>
      </c>
      <c r="L341" s="111" t="str">
        <f>IF($G341&lt;&gt;"",VLOOKUP($G341,'MASTER TOKO BALI'!$B$2:$W$744,5,FALSE),"")</f>
        <v/>
      </c>
      <c r="M341" s="106"/>
      <c r="N341" s="111" t="str">
        <f>IF($G341&lt;&gt;"",VLOOKUP($G341,'MASTER TOKO BALI'!$B$2:$W$744,21,FALSE),"")</f>
        <v/>
      </c>
      <c r="O341" s="106"/>
      <c r="P341" s="164" t="str">
        <f>IF($G341&lt;&gt;"",VLOOKUP($G341,'MASTER TOKO BALI'!$B$2:$W$740,7,FALSE),"")</f>
        <v/>
      </c>
    </row>
    <row r="342" spans="1:16" ht="14.4" x14ac:dyDescent="0.2">
      <c r="A342" s="106"/>
      <c r="B342" s="107" t="s">
        <v>2052</v>
      </c>
      <c r="C342" s="107" t="s">
        <v>2049</v>
      </c>
      <c r="D342" s="108" t="s">
        <v>2053</v>
      </c>
      <c r="E342" s="109" t="s">
        <v>2074</v>
      </c>
      <c r="F342" s="126"/>
      <c r="G342" s="60"/>
      <c r="H342" s="111" t="str">
        <f>IF($G342&lt;&gt;"",VLOOKUP($G342,'MASTER TOKO BALI'!$B$2:$W$744,2,FALSE),"")</f>
        <v/>
      </c>
      <c r="I342" s="237" t="str">
        <f>IF($G342&lt;&gt;"",VLOOKUP($G342,'MASTER TOKO BALI'!$B$2:$W$744,4,FALSE),"")</f>
        <v/>
      </c>
      <c r="J342" s="112">
        <v>46280</v>
      </c>
      <c r="K342" s="111" t="str">
        <f>IF($G342&lt;&gt;"",VLOOKUP($G342,'MASTER TOKO BALI'!$B$2:$W$744,12,FALSE),"")</f>
        <v/>
      </c>
      <c r="L342" s="111" t="str">
        <f>IF($G342&lt;&gt;"",VLOOKUP($G342,'MASTER TOKO BALI'!$B$2:$W$744,5,FALSE),"")</f>
        <v/>
      </c>
      <c r="M342" s="106"/>
      <c r="N342" s="111" t="str">
        <f>IF($G342&lt;&gt;"",VLOOKUP($G342,'MASTER TOKO BALI'!$B$2:$W$744,21,FALSE),"")</f>
        <v/>
      </c>
      <c r="O342" s="106"/>
      <c r="P342" s="164" t="str">
        <f>IF($G342&lt;&gt;"",VLOOKUP($G342,'MASTER TOKO BALI'!$B$2:$W$740,7,FALSE),"")</f>
        <v/>
      </c>
    </row>
    <row r="343" spans="1:16" ht="14.4" x14ac:dyDescent="0.2">
      <c r="A343" s="106">
        <f>A341+1</f>
        <v>319</v>
      </c>
      <c r="B343" s="107" t="s">
        <v>2038</v>
      </c>
      <c r="C343" s="107" t="s">
        <v>2049</v>
      </c>
      <c r="D343" s="113" t="s">
        <v>2051</v>
      </c>
      <c r="E343" s="109" t="s">
        <v>2074</v>
      </c>
      <c r="F343" s="126"/>
      <c r="G343" s="60"/>
      <c r="H343" s="111" t="str">
        <f>IF($G343&lt;&gt;"",VLOOKUP($G343,'MASTER TOKO BALI'!$B$2:$W$744,2,FALSE),"")</f>
        <v/>
      </c>
      <c r="I343" s="237" t="str">
        <f>IF($G343&lt;&gt;"",VLOOKUP($G343,'MASTER TOKO BALI'!$B$2:$W$744,4,FALSE),"")</f>
        <v/>
      </c>
      <c r="J343" s="112">
        <v>46280</v>
      </c>
      <c r="K343" s="111" t="str">
        <f>IF($G343&lt;&gt;"",VLOOKUP($G343,'MASTER TOKO BALI'!$B$2:$W$744,12,FALSE),"")</f>
        <v/>
      </c>
      <c r="L343" s="111" t="str">
        <f>IF($G343&lt;&gt;"",VLOOKUP($G343,'MASTER TOKO BALI'!$B$2:$W$744,5,FALSE),"")</f>
        <v/>
      </c>
      <c r="M343" s="106"/>
      <c r="N343" s="111" t="str">
        <f>IF($G343&lt;&gt;"",VLOOKUP($G343,'MASTER TOKO BALI'!$B$2:$W$744,21,FALSE),"")</f>
        <v/>
      </c>
      <c r="O343" s="106"/>
      <c r="P343" s="164" t="str">
        <f>IF($G343&lt;&gt;"",VLOOKUP($G343,'MASTER TOKO BALI'!$B$2:$W$740,7,FALSE),"")</f>
        <v/>
      </c>
    </row>
    <row r="344" spans="1:16" ht="14.4" x14ac:dyDescent="0.2">
      <c r="A344" s="106">
        <f t="shared" si="13"/>
        <v>320</v>
      </c>
      <c r="B344" s="107" t="s">
        <v>2054</v>
      </c>
      <c r="C344" s="116" t="s">
        <v>2055</v>
      </c>
      <c r="D344" s="108" t="s">
        <v>2056</v>
      </c>
      <c r="E344" s="109" t="s">
        <v>2074</v>
      </c>
      <c r="F344" s="126"/>
      <c r="G344" s="60"/>
      <c r="H344" s="111" t="str">
        <f>IF($G344&lt;&gt;"",VLOOKUP($G344,'MASTER TOKO BALI'!$B$2:$W$744,2,FALSE),"")</f>
        <v/>
      </c>
      <c r="I344" s="237" t="str">
        <f>IF($G344&lt;&gt;"",VLOOKUP($G344,'MASTER TOKO BALI'!$B$2:$W$744,4,FALSE),"")</f>
        <v/>
      </c>
      <c r="J344" s="112">
        <v>46280</v>
      </c>
      <c r="K344" s="111" t="str">
        <f>IF($G344&lt;&gt;"",VLOOKUP($G344,'MASTER TOKO BALI'!$B$2:$W$744,12,FALSE),"")</f>
        <v/>
      </c>
      <c r="L344" s="111" t="str">
        <f>IF($G344&lt;&gt;"",VLOOKUP($G344,'MASTER TOKO BALI'!$B$2:$W$744,5,FALSE),"")</f>
        <v/>
      </c>
      <c r="M344" s="106"/>
      <c r="N344" s="111" t="str">
        <f>IF($G344&lt;&gt;"",VLOOKUP($G344,'MASTER TOKO BALI'!$B$2:$W$744,21,FALSE),"")</f>
        <v/>
      </c>
      <c r="O344" s="106"/>
      <c r="P344" s="164" t="str">
        <f>IF($G344&lt;&gt;"",VLOOKUP($G344,'MASTER TOKO BALI'!$B$2:$W$740,7,FALSE),"")</f>
        <v/>
      </c>
    </row>
    <row r="345" spans="1:16" ht="14.4" x14ac:dyDescent="0.2">
      <c r="A345" s="106">
        <f t="shared" si="13"/>
        <v>321</v>
      </c>
      <c r="B345" s="107" t="s">
        <v>2038</v>
      </c>
      <c r="C345" s="116" t="s">
        <v>2055</v>
      </c>
      <c r="D345" s="113" t="s">
        <v>2057</v>
      </c>
      <c r="E345" s="109" t="s">
        <v>2074</v>
      </c>
      <c r="F345" s="126"/>
      <c r="G345" s="60"/>
      <c r="H345" s="111" t="str">
        <f>IF($G345&lt;&gt;"",VLOOKUP($G345,'MASTER TOKO BALI'!$B$2:$W$744,2,FALSE),"")</f>
        <v/>
      </c>
      <c r="I345" s="237" t="str">
        <f>IF($G345&lt;&gt;"",VLOOKUP($G345,'MASTER TOKO BALI'!$B$2:$W$744,4,FALSE),"")</f>
        <v/>
      </c>
      <c r="J345" s="112">
        <v>46280</v>
      </c>
      <c r="K345" s="111" t="str">
        <f>IF($G345&lt;&gt;"",VLOOKUP($G345,'MASTER TOKO BALI'!$B$2:$W$744,12,FALSE),"")</f>
        <v/>
      </c>
      <c r="L345" s="111" t="str">
        <f>IF($G345&lt;&gt;"",VLOOKUP($G345,'MASTER TOKO BALI'!$B$2:$W$744,5,FALSE),"")</f>
        <v/>
      </c>
      <c r="M345" s="106"/>
      <c r="N345" s="111" t="str">
        <f>IF($G345&lt;&gt;"",VLOOKUP($G345,'MASTER TOKO BALI'!$B$2:$W$744,21,FALSE),"")</f>
        <v/>
      </c>
      <c r="O345" s="106"/>
      <c r="P345" s="164" t="str">
        <f>IF($G345&lt;&gt;"",VLOOKUP($G345,'MASTER TOKO BALI'!$B$2:$W$740,7,FALSE),"")</f>
        <v/>
      </c>
    </row>
    <row r="346" spans="1:16" ht="14.4" x14ac:dyDescent="0.2">
      <c r="A346" s="106">
        <f t="shared" si="13"/>
        <v>322</v>
      </c>
      <c r="B346" s="107" t="s">
        <v>2058</v>
      </c>
      <c r="C346" s="116" t="s">
        <v>2055</v>
      </c>
      <c r="D346" s="108" t="s">
        <v>2059</v>
      </c>
      <c r="E346" s="109" t="s">
        <v>2074</v>
      </c>
      <c r="F346" s="124"/>
      <c r="G346" s="60"/>
      <c r="H346" s="111" t="str">
        <f>IF($G346&lt;&gt;"",VLOOKUP($G346,'MASTER TOKO BALI'!$B$2:$W$744,2,FALSE),"")</f>
        <v/>
      </c>
      <c r="I346" s="237" t="str">
        <f>IF($G346&lt;&gt;"",VLOOKUP($G346,'MASTER TOKO BALI'!$B$2:$W$744,4,FALSE),"")</f>
        <v/>
      </c>
      <c r="J346" s="112">
        <v>46280</v>
      </c>
      <c r="K346" s="111" t="str">
        <f>IF($G346&lt;&gt;"",VLOOKUP($G346,'MASTER TOKO BALI'!$B$2:$W$744,12,FALSE),"")</f>
        <v/>
      </c>
      <c r="L346" s="111" t="str">
        <f>IF($G346&lt;&gt;"",VLOOKUP($G346,'MASTER TOKO BALI'!$B$2:$W$744,5,FALSE),"")</f>
        <v/>
      </c>
      <c r="M346" s="106"/>
      <c r="N346" s="111" t="str">
        <f>IF($G346&lt;&gt;"",VLOOKUP($G346,'MASTER TOKO BALI'!$B$2:$W$744,21,FALSE),"")</f>
        <v/>
      </c>
      <c r="O346" s="106"/>
      <c r="P346" s="164" t="str">
        <f>IF($G346&lt;&gt;"",VLOOKUP($G346,'MASTER TOKO BALI'!$B$2:$W$740,7,FALSE),"")</f>
        <v/>
      </c>
    </row>
    <row r="347" spans="1:16" x14ac:dyDescent="0.2">
      <c r="A347" s="106">
        <f t="shared" si="13"/>
        <v>323</v>
      </c>
      <c r="B347" s="107" t="s">
        <v>2038</v>
      </c>
      <c r="C347" s="116" t="s">
        <v>2055</v>
      </c>
      <c r="D347" s="113" t="s">
        <v>2057</v>
      </c>
      <c r="E347" s="109" t="s">
        <v>2074</v>
      </c>
      <c r="F347" s="124"/>
      <c r="G347" s="144"/>
      <c r="H347" s="111" t="str">
        <f>IF($G347&lt;&gt;"",VLOOKUP($G347,'MASTER TOKO BALI'!$B$2:$W$744,2,FALSE),"")</f>
        <v/>
      </c>
      <c r="I347" s="237" t="str">
        <f>IF($G347&lt;&gt;"",VLOOKUP($G347,'MASTER TOKO BALI'!$B$2:$W$744,4,FALSE),"")</f>
        <v/>
      </c>
      <c r="J347" s="112">
        <v>46280</v>
      </c>
      <c r="K347" s="111" t="str">
        <f>IF($G347&lt;&gt;"",VLOOKUP($G347,'MASTER TOKO BALI'!$B$2:$W$744,12,FALSE),"")</f>
        <v/>
      </c>
      <c r="L347" s="111" t="str">
        <f>IF($G347&lt;&gt;"",VLOOKUP($G347,'MASTER TOKO BALI'!$B$2:$W$744,5,FALSE),"")</f>
        <v/>
      </c>
      <c r="M347" s="106"/>
      <c r="N347" s="111" t="str">
        <f>IF($G347&lt;&gt;"",VLOOKUP($G347,'MASTER TOKO BALI'!$B$2:$W$744,21,FALSE),"")</f>
        <v/>
      </c>
      <c r="O347" s="106"/>
      <c r="P347" s="164" t="str">
        <f>IF($G347&lt;&gt;"",VLOOKUP($G347,'MASTER TOKO BALI'!$B$2:$W$740,7,FALSE),"")</f>
        <v/>
      </c>
    </row>
    <row r="348" spans="1:16" ht="14.4" x14ac:dyDescent="0.2">
      <c r="A348" s="106">
        <f t="shared" si="13"/>
        <v>324</v>
      </c>
      <c r="B348" s="107" t="s">
        <v>2060</v>
      </c>
      <c r="C348" s="116" t="s">
        <v>2061</v>
      </c>
      <c r="D348" s="108" t="s">
        <v>2062</v>
      </c>
      <c r="E348" s="109" t="s">
        <v>2074</v>
      </c>
      <c r="F348" s="126"/>
      <c r="G348" s="60"/>
      <c r="H348" s="111" t="str">
        <f>IF($G348&lt;&gt;"",VLOOKUP($G348,'MASTER TOKO BALI'!$B$2:$W$744,2,FALSE),"")</f>
        <v/>
      </c>
      <c r="I348" s="237" t="str">
        <f>IF($G348&lt;&gt;"",VLOOKUP($G348,'MASTER TOKO BALI'!$B$2:$W$744,4,FALSE),"")</f>
        <v/>
      </c>
      <c r="J348" s="112">
        <v>46280</v>
      </c>
      <c r="K348" s="111" t="str">
        <f>IF($G348&lt;&gt;"",VLOOKUP($G348,'MASTER TOKO BALI'!$B$2:$W$744,12,FALSE),"")</f>
        <v/>
      </c>
      <c r="L348" s="111" t="str">
        <f>IF($G348&lt;&gt;"",VLOOKUP($G348,'MASTER TOKO BALI'!$B$2:$W$744,5,FALSE),"")</f>
        <v/>
      </c>
      <c r="M348" s="106"/>
      <c r="N348" s="111" t="str">
        <f>IF($G348&lt;&gt;"",VLOOKUP($G348,'MASTER TOKO BALI'!$B$2:$W$744,21,FALSE),"")</f>
        <v/>
      </c>
      <c r="O348" s="106"/>
      <c r="P348" s="164" t="str">
        <f>IF($G348&lt;&gt;"",VLOOKUP($G348,'MASTER TOKO BALI'!$B$2:$W$740,7,FALSE),"")</f>
        <v/>
      </c>
    </row>
    <row r="349" spans="1:16" ht="14.4" x14ac:dyDescent="0.3">
      <c r="A349" s="106">
        <f t="shared" si="13"/>
        <v>325</v>
      </c>
      <c r="B349" s="107" t="s">
        <v>2038</v>
      </c>
      <c r="C349" s="116" t="s">
        <v>2061</v>
      </c>
      <c r="D349" s="113" t="s">
        <v>2063</v>
      </c>
      <c r="E349" s="109" t="s">
        <v>2074</v>
      </c>
      <c r="F349" s="126"/>
      <c r="G349" s="153"/>
      <c r="H349" s="111" t="str">
        <f>IF($G349&lt;&gt;"",VLOOKUP($G349,'MASTER TOKO BALI'!$B$2:$W$744,2,FALSE),"")</f>
        <v/>
      </c>
      <c r="I349" s="237" t="str">
        <f>IF($G349&lt;&gt;"",VLOOKUP($G349,'MASTER TOKO BALI'!$B$2:$W$744,4,FALSE),"")</f>
        <v/>
      </c>
      <c r="J349" s="112">
        <v>46280</v>
      </c>
      <c r="K349" s="111" t="str">
        <f>IF($G349&lt;&gt;"",VLOOKUP($G349,'MASTER TOKO BALI'!$B$2:$W$744,12,FALSE),"")</f>
        <v/>
      </c>
      <c r="L349" s="111" t="str">
        <f>IF($G349&lt;&gt;"",VLOOKUP($G349,'MASTER TOKO BALI'!$B$2:$W$744,5,FALSE),"")</f>
        <v/>
      </c>
      <c r="M349" s="106"/>
      <c r="N349" s="111" t="str">
        <f>IF($G349&lt;&gt;"",VLOOKUP($G349,'MASTER TOKO BALI'!$B$2:$W$744,21,FALSE),"")</f>
        <v/>
      </c>
      <c r="O349" s="106"/>
      <c r="P349" s="164" t="str">
        <f>IF($G349&lt;&gt;"",VLOOKUP($G349,'MASTER TOKO BALI'!$B$2:$W$740,7,FALSE),"")</f>
        <v/>
      </c>
    </row>
    <row r="350" spans="1:16" ht="14.4" x14ac:dyDescent="0.2">
      <c r="A350" s="106">
        <f t="shared" si="13"/>
        <v>326</v>
      </c>
      <c r="B350" s="107" t="s">
        <v>2064</v>
      </c>
      <c r="C350" s="116" t="s">
        <v>2061</v>
      </c>
      <c r="D350" s="108" t="s">
        <v>2065</v>
      </c>
      <c r="E350" s="109" t="s">
        <v>2074</v>
      </c>
      <c r="F350" s="124"/>
      <c r="G350" s="60"/>
      <c r="H350" s="111" t="str">
        <f>IF($G350&lt;&gt;"",VLOOKUP($G350,'MASTER TOKO BALI'!$B$2:$W$744,2,FALSE),"")</f>
        <v/>
      </c>
      <c r="I350" s="237" t="str">
        <f>IF($G350&lt;&gt;"",VLOOKUP($G350,'MASTER TOKO BALI'!$B$2:$W$744,4,FALSE),"")</f>
        <v/>
      </c>
      <c r="J350" s="112">
        <v>46280</v>
      </c>
      <c r="K350" s="111" t="str">
        <f>IF($G350&lt;&gt;"",VLOOKUP($G350,'MASTER TOKO BALI'!$B$2:$W$744,12,FALSE),"")</f>
        <v/>
      </c>
      <c r="L350" s="111" t="str">
        <f>IF($G350&lt;&gt;"",VLOOKUP($G350,'MASTER TOKO BALI'!$B$2:$W$744,5,FALSE),"")</f>
        <v/>
      </c>
      <c r="M350" s="106"/>
      <c r="N350" s="111" t="str">
        <f>IF($G350&lt;&gt;"",VLOOKUP($G350,'MASTER TOKO BALI'!$B$2:$W$744,21,FALSE),"")</f>
        <v/>
      </c>
      <c r="O350" s="106"/>
      <c r="P350" s="164" t="str">
        <f>IF($G350&lt;&gt;"",VLOOKUP($G350,'MASTER TOKO BALI'!$B$2:$W$740,7,FALSE),"")</f>
        <v/>
      </c>
    </row>
    <row r="351" spans="1:16" ht="14.4" x14ac:dyDescent="0.2">
      <c r="A351" s="106">
        <f t="shared" si="13"/>
        <v>327</v>
      </c>
      <c r="B351" s="107" t="s">
        <v>2066</v>
      </c>
      <c r="C351" s="116" t="s">
        <v>2061</v>
      </c>
      <c r="D351" s="113" t="s">
        <v>2063</v>
      </c>
      <c r="E351" s="109" t="s">
        <v>2074</v>
      </c>
      <c r="F351" s="124"/>
      <c r="G351" s="60"/>
      <c r="H351" s="111" t="str">
        <f>IF($G351&lt;&gt;"",VLOOKUP($G351,'MASTER TOKO BALI'!$B$2:$W$744,2,FALSE),"")</f>
        <v/>
      </c>
      <c r="I351" s="237" t="str">
        <f>IF($G351&lt;&gt;"",VLOOKUP($G351,'MASTER TOKO BALI'!$B$2:$W$744,4,FALSE),"")</f>
        <v/>
      </c>
      <c r="J351" s="112">
        <v>46280</v>
      </c>
      <c r="K351" s="111" t="str">
        <f>IF($G351&lt;&gt;"",VLOOKUP($G351,'MASTER TOKO BALI'!$B$2:$W$744,12,FALSE),"")</f>
        <v/>
      </c>
      <c r="L351" s="111" t="str">
        <f>IF($G351&lt;&gt;"",VLOOKUP($G351,'MASTER TOKO BALI'!$B$2:$W$744,5,FALSE),"")</f>
        <v/>
      </c>
      <c r="M351" s="106"/>
      <c r="N351" s="111" t="str">
        <f>IF($G351&lt;&gt;"",VLOOKUP($G351,'MASTER TOKO BALI'!$B$2:$W$744,21,FALSE),"")</f>
        <v/>
      </c>
      <c r="O351" s="106"/>
      <c r="P351" s="164" t="str">
        <f>IF($G351&lt;&gt;"",VLOOKUP($G351,'MASTER TOKO BALI'!$B$2:$W$740,7,FALSE),"")</f>
        <v/>
      </c>
    </row>
    <row r="352" spans="1:16" ht="14.4" x14ac:dyDescent="0.2">
      <c r="A352" s="106">
        <f t="shared" si="13"/>
        <v>328</v>
      </c>
      <c r="B352" s="107" t="s">
        <v>2067</v>
      </c>
      <c r="C352" s="107" t="s">
        <v>2068</v>
      </c>
      <c r="D352" s="108" t="s">
        <v>2069</v>
      </c>
      <c r="E352" s="109" t="s">
        <v>2074</v>
      </c>
      <c r="F352" s="124"/>
      <c r="G352" s="60"/>
      <c r="H352" s="111" t="str">
        <f>IF($G352&lt;&gt;"",VLOOKUP($G352,'MASTER TOKO BALI'!$B$2:$W$744,2,FALSE),"")</f>
        <v/>
      </c>
      <c r="I352" s="237" t="str">
        <f>IF($G352&lt;&gt;"",VLOOKUP($G352,'MASTER TOKO BALI'!$B$2:$W$744,4,FALSE),"")</f>
        <v/>
      </c>
      <c r="J352" s="112">
        <v>46280</v>
      </c>
      <c r="K352" s="111" t="str">
        <f>IF($G352&lt;&gt;"",VLOOKUP($G352,'MASTER TOKO BALI'!$B$2:$W$744,12,FALSE),"")</f>
        <v/>
      </c>
      <c r="L352" s="111" t="str">
        <f>IF($G352&lt;&gt;"",VLOOKUP($G352,'MASTER TOKO BALI'!$B$2:$W$744,5,FALSE),"")</f>
        <v/>
      </c>
      <c r="M352" s="106"/>
      <c r="N352" s="111" t="str">
        <f>IF($G352&lt;&gt;"",VLOOKUP($G352,'MASTER TOKO BALI'!$B$2:$W$744,21,FALSE),"")</f>
        <v/>
      </c>
      <c r="O352" s="106"/>
      <c r="P352" s="164" t="str">
        <f>IF($G352&lt;&gt;"",VLOOKUP($G352,'MASTER TOKO BALI'!$B$2:$W$740,7,FALSE),"")</f>
        <v/>
      </c>
    </row>
    <row r="353" spans="1:18" ht="14.4" x14ac:dyDescent="0.2">
      <c r="A353" s="106">
        <f t="shared" si="13"/>
        <v>329</v>
      </c>
      <c r="B353" s="107" t="s">
        <v>2066</v>
      </c>
      <c r="C353" s="107" t="s">
        <v>2068</v>
      </c>
      <c r="D353" s="117" t="s">
        <v>2070</v>
      </c>
      <c r="E353" s="109" t="s">
        <v>2074</v>
      </c>
      <c r="F353" s="126"/>
      <c r="G353" s="60"/>
      <c r="H353" s="111" t="str">
        <f>IF($G353&lt;&gt;"",VLOOKUP($G353,'MASTER TOKO BALI'!$B$2:$W$744,2,FALSE),"")</f>
        <v/>
      </c>
      <c r="I353" s="237" t="str">
        <f>IF($G353&lt;&gt;"",VLOOKUP($G353,'MASTER TOKO BALI'!$B$2:$W$744,4,FALSE),"")</f>
        <v/>
      </c>
      <c r="J353" s="112">
        <v>46280</v>
      </c>
      <c r="K353" s="111" t="str">
        <f>IF($G353&lt;&gt;"",VLOOKUP($G353,'MASTER TOKO BALI'!$B$2:$W$744,12,FALSE),"")</f>
        <v/>
      </c>
      <c r="L353" s="111" t="str">
        <f>IF($G353&lt;&gt;"",VLOOKUP($G353,'MASTER TOKO BALI'!$B$2:$W$744,5,FALSE),"")</f>
        <v/>
      </c>
      <c r="M353" s="106"/>
      <c r="N353" s="111" t="str">
        <f>IF($G353&lt;&gt;"",VLOOKUP($G353,'MASTER TOKO BALI'!$B$2:$W$744,21,FALSE),"")</f>
        <v/>
      </c>
      <c r="O353" s="106"/>
      <c r="P353" s="164" t="str">
        <f>IF($G353&lt;&gt;"",VLOOKUP($G353,'MASTER TOKO BALI'!$B$2:$W$740,7,FALSE),"")</f>
        <v/>
      </c>
    </row>
    <row r="354" spans="1:18" ht="14.4" x14ac:dyDescent="0.2">
      <c r="A354" s="106">
        <f t="shared" si="13"/>
        <v>330</v>
      </c>
      <c r="B354" s="107" t="s">
        <v>2071</v>
      </c>
      <c r="C354" s="107" t="s">
        <v>2068</v>
      </c>
      <c r="D354" s="116" t="s">
        <v>2003</v>
      </c>
      <c r="E354" s="109" t="s">
        <v>2074</v>
      </c>
      <c r="F354" s="124"/>
      <c r="G354" s="60"/>
      <c r="H354" s="111" t="str">
        <f>IF($G354&lt;&gt;"",VLOOKUP($G354,'MASTER TOKO BALI'!$B$2:$W$744,2,FALSE),"")</f>
        <v/>
      </c>
      <c r="I354" s="237" t="str">
        <f>IF($G354&lt;&gt;"",VLOOKUP($G354,'MASTER TOKO BALI'!$B$2:$W$744,4,FALSE),"")</f>
        <v/>
      </c>
      <c r="J354" s="112">
        <v>46280</v>
      </c>
      <c r="K354" s="111" t="str">
        <f>IF($G354&lt;&gt;"",VLOOKUP($G354,'MASTER TOKO BALI'!$B$2:$W$744,12,FALSE),"")</f>
        <v/>
      </c>
      <c r="L354" s="111" t="str">
        <f>IF($G354&lt;&gt;"",VLOOKUP($G354,'MASTER TOKO BALI'!$B$2:$W$744,5,FALSE),"")</f>
        <v/>
      </c>
      <c r="M354" s="106"/>
      <c r="N354" s="111" t="str">
        <f>IF($G354&lt;&gt;"",VLOOKUP($G354,'MASTER TOKO BALI'!$B$2:$W$744,21,FALSE),"")</f>
        <v/>
      </c>
      <c r="O354" s="106"/>
      <c r="P354" s="164" t="str">
        <f>IF($G354&lt;&gt;"",VLOOKUP($G354,'MASTER TOKO BALI'!$B$2:$W$740,7,FALSE),"")</f>
        <v/>
      </c>
    </row>
    <row r="355" spans="1:18" ht="14.4" x14ac:dyDescent="0.3">
      <c r="A355" s="106">
        <f t="shared" si="13"/>
        <v>331</v>
      </c>
      <c r="B355" s="107" t="s">
        <v>2066</v>
      </c>
      <c r="C355" s="107" t="s">
        <v>2068</v>
      </c>
      <c r="D355" s="117" t="s">
        <v>2070</v>
      </c>
      <c r="E355" s="109" t="s">
        <v>2074</v>
      </c>
      <c r="F355" s="126"/>
      <c r="G355" s="65"/>
      <c r="H355" s="111" t="str">
        <f>IF($G355&lt;&gt;"",VLOOKUP($G355,'MASTER TOKO BALI'!$B$2:$W$744,2,FALSE),"")</f>
        <v/>
      </c>
      <c r="I355" s="237" t="str">
        <f>IF($G355&lt;&gt;"",VLOOKUP($G355,'MASTER TOKO BALI'!$B$2:$W$744,4,FALSE),"")</f>
        <v/>
      </c>
      <c r="J355" s="112">
        <v>46280</v>
      </c>
      <c r="K355" s="111" t="str">
        <f>IF($G355&lt;&gt;"",VLOOKUP($G355,'MASTER TOKO BALI'!$B$2:$W$744,12,FALSE),"")</f>
        <v/>
      </c>
      <c r="L355" s="111" t="str">
        <f>IF($G355&lt;&gt;"",VLOOKUP($G355,'MASTER TOKO BALI'!$B$2:$W$744,5,FALSE),"")</f>
        <v/>
      </c>
      <c r="M355" s="106"/>
      <c r="N355" s="111" t="str">
        <f>IF($G355&lt;&gt;"",VLOOKUP($G355,'MASTER TOKO BALI'!$B$2:$W$744,21,FALSE),"")</f>
        <v/>
      </c>
      <c r="O355" s="106"/>
      <c r="P355" s="164" t="str">
        <f>IF($G355&lt;&gt;"",VLOOKUP($G355,'MASTER TOKO BALI'!$B$2:$W$740,7,FALSE),"")</f>
        <v/>
      </c>
    </row>
    <row r="356" spans="1:18" x14ac:dyDescent="0.2">
      <c r="A356" s="106"/>
      <c r="B356" s="107"/>
      <c r="C356" s="107"/>
      <c r="D356" s="111"/>
      <c r="E356" s="114"/>
      <c r="F356" s="126"/>
      <c r="G356" s="144"/>
      <c r="H356" s="111" t="str">
        <f>IF($G356&lt;&gt;"",VLOOKUP($G356,'MASTER TOKO BALI'!$B$2:$W$744,2,FALSE),"")</f>
        <v/>
      </c>
      <c r="I356" s="237" t="str">
        <f>IF($G356&lt;&gt;"",VLOOKUP($G356,'MASTER TOKO BALI'!$B$2:$W$744,4,FALSE),"")</f>
        <v/>
      </c>
      <c r="J356" s="119"/>
      <c r="K356" s="111" t="str">
        <f>IF($G356&lt;&gt;"",VLOOKUP($G356,'MASTER TOKO BALI'!$B$2:$W$744,12,FALSE),"")</f>
        <v/>
      </c>
      <c r="L356" s="111" t="str">
        <f>IF($G356&lt;&gt;"",VLOOKUP($G356,'MASTER TOKO BALI'!$B$2:$W$744,5,FALSE),"")</f>
        <v/>
      </c>
      <c r="M356" s="106"/>
      <c r="N356" s="111" t="str">
        <f>IF($G356&lt;&gt;"",VLOOKUP($G356,'MASTER TOKO BALI'!$B$2:$W$744,21,FALSE),"")</f>
        <v/>
      </c>
      <c r="O356" s="106"/>
      <c r="P356" s="164" t="str">
        <f>IF($G356&lt;&gt;"",VLOOKUP($G356,'MASTER TOKO BALI'!$B$2:$W$740,7,FALSE),"")</f>
        <v/>
      </c>
    </row>
    <row r="357" spans="1:18" ht="14.4" x14ac:dyDescent="0.2">
      <c r="A357" s="106">
        <f>A355+1</f>
        <v>332</v>
      </c>
      <c r="B357" s="107" t="s">
        <v>2034</v>
      </c>
      <c r="C357" s="107" t="s">
        <v>2035</v>
      </c>
      <c r="D357" s="108" t="s">
        <v>2036</v>
      </c>
      <c r="E357" s="109" t="s">
        <v>2075</v>
      </c>
      <c r="F357" s="126"/>
      <c r="G357" s="60"/>
      <c r="H357" s="111" t="str">
        <f>IF($G357&lt;&gt;"",VLOOKUP($G357,'MASTER TOKO BALI'!$B$2:$W$744,2,FALSE),"")</f>
        <v/>
      </c>
      <c r="I357" s="237" t="str">
        <f>IF($G357&lt;&gt;"",VLOOKUP($G357,'MASTER TOKO BALI'!$B$2:$W$744,4,FALSE),"")</f>
        <v/>
      </c>
      <c r="J357" s="112">
        <v>46281</v>
      </c>
      <c r="K357" s="111" t="str">
        <f>IF($G357&lt;&gt;"",VLOOKUP($G357,'MASTER TOKO BALI'!$B$2:$W$744,12,FALSE),"")</f>
        <v/>
      </c>
      <c r="L357" s="111" t="str">
        <f>IF($G357&lt;&gt;"",VLOOKUP($G357,'MASTER TOKO BALI'!$B$2:$W$744,5,FALSE),"")</f>
        <v/>
      </c>
      <c r="M357" s="106"/>
      <c r="N357" s="111" t="str">
        <f>IF($G357&lt;&gt;"",VLOOKUP($G357,'MASTER TOKO BALI'!$B$2:$W$744,21,FALSE),"")</f>
        <v/>
      </c>
      <c r="O357" s="106"/>
      <c r="P357" s="164" t="str">
        <f>IF($G357&lt;&gt;"",VLOOKUP($G357,'MASTER TOKO BALI'!$B$2:$W$740,7,FALSE),"")</f>
        <v/>
      </c>
    </row>
    <row r="358" spans="1:18" x14ac:dyDescent="0.2">
      <c r="A358" s="106">
        <f t="shared" ref="A358:A380" si="14">A357+1</f>
        <v>333</v>
      </c>
      <c r="B358" s="107" t="s">
        <v>2038</v>
      </c>
      <c r="C358" s="107" t="s">
        <v>2035</v>
      </c>
      <c r="D358" s="113" t="s">
        <v>2039</v>
      </c>
      <c r="E358" s="109" t="s">
        <v>2075</v>
      </c>
      <c r="F358" s="126"/>
      <c r="G358" s="144"/>
      <c r="H358" s="111" t="str">
        <f>IF($G358&lt;&gt;"",VLOOKUP($G358,'MASTER TOKO BALI'!$B$2:$W$744,2,FALSE),"")</f>
        <v/>
      </c>
      <c r="I358" s="237" t="str">
        <f>IF($G358&lt;&gt;"",VLOOKUP($G358,'MASTER TOKO BALI'!$B$2:$W$744,4,FALSE),"")</f>
        <v/>
      </c>
      <c r="J358" s="112">
        <v>46281</v>
      </c>
      <c r="K358" s="111" t="str">
        <f>IF($G358&lt;&gt;"",VLOOKUP($G358,'MASTER TOKO BALI'!$B$2:$W$744,12,FALSE),"")</f>
        <v/>
      </c>
      <c r="L358" s="111" t="str">
        <f>IF($G358&lt;&gt;"",VLOOKUP($G358,'MASTER TOKO BALI'!$B$2:$W$744,5,FALSE),"")</f>
        <v/>
      </c>
      <c r="M358" s="106"/>
      <c r="N358" s="111" t="str">
        <f>IF($G358&lt;&gt;"",VLOOKUP($G358,'MASTER TOKO BALI'!$B$2:$W$744,21,FALSE),"")</f>
        <v/>
      </c>
      <c r="O358" s="106"/>
      <c r="P358" s="164" t="str">
        <f>IF($G358&lt;&gt;"",VLOOKUP($G358,'MASTER TOKO BALI'!$B$2:$W$740,7,FALSE),"")</f>
        <v/>
      </c>
    </row>
    <row r="359" spans="1:18" ht="14.4" x14ac:dyDescent="0.2">
      <c r="A359" s="106">
        <f t="shared" si="14"/>
        <v>334</v>
      </c>
      <c r="B359" s="107" t="s">
        <v>2040</v>
      </c>
      <c r="C359" s="107" t="s">
        <v>2035</v>
      </c>
      <c r="D359" s="108" t="s">
        <v>2041</v>
      </c>
      <c r="E359" s="109" t="s">
        <v>2075</v>
      </c>
      <c r="F359" s="126"/>
      <c r="G359" s="60"/>
      <c r="H359" s="111" t="str">
        <f>IF($G359&lt;&gt;"",VLOOKUP($G359,'MASTER TOKO BALI'!$B$2:$W$744,2,FALSE),"")</f>
        <v/>
      </c>
      <c r="I359" s="237" t="str">
        <f>IF($G359&lt;&gt;"",VLOOKUP($G359,'MASTER TOKO BALI'!$B$2:$W$744,4,FALSE),"")</f>
        <v/>
      </c>
      <c r="J359" s="112">
        <v>46281</v>
      </c>
      <c r="K359" s="111" t="str">
        <f>IF($G359&lt;&gt;"",VLOOKUP($G359,'MASTER TOKO BALI'!$B$2:$W$744,12,FALSE),"")</f>
        <v/>
      </c>
      <c r="L359" s="111" t="str">
        <f>IF($G359&lt;&gt;"",VLOOKUP($G359,'MASTER TOKO BALI'!$B$2:$W$744,5,FALSE),"")</f>
        <v/>
      </c>
      <c r="M359" s="106"/>
      <c r="N359" s="111" t="str">
        <f>IF($G359&lt;&gt;"",VLOOKUP($G359,'MASTER TOKO BALI'!$B$2:$W$744,21,FALSE),"")</f>
        <v/>
      </c>
      <c r="O359" s="106"/>
      <c r="P359" s="164" t="str">
        <f>IF($G359&lt;&gt;"",VLOOKUP($G359,'MASTER TOKO BALI'!$B$2:$W$740,7,FALSE),"")</f>
        <v/>
      </c>
    </row>
    <row r="360" spans="1:18" x14ac:dyDescent="0.2">
      <c r="A360" s="106">
        <f t="shared" si="14"/>
        <v>335</v>
      </c>
      <c r="B360" s="107" t="s">
        <v>2038</v>
      </c>
      <c r="C360" s="107" t="s">
        <v>2035</v>
      </c>
      <c r="D360" s="113" t="s">
        <v>2039</v>
      </c>
      <c r="E360" s="109" t="s">
        <v>2075</v>
      </c>
      <c r="F360" s="126"/>
      <c r="G360" s="144"/>
      <c r="H360" s="111" t="str">
        <f>IF($G360&lt;&gt;"",VLOOKUP($G360,'MASTER TOKO BALI'!$B$2:$W$744,2,FALSE),"")</f>
        <v/>
      </c>
      <c r="I360" s="237" t="str">
        <f>IF($G360&lt;&gt;"",VLOOKUP($G360,'MASTER TOKO BALI'!$B$2:$W$744,4,FALSE),"")</f>
        <v/>
      </c>
      <c r="J360" s="112">
        <v>46281</v>
      </c>
      <c r="K360" s="111" t="str">
        <f>IF($G360&lt;&gt;"",VLOOKUP($G360,'MASTER TOKO BALI'!$B$2:$W$744,12,FALSE),"")</f>
        <v/>
      </c>
      <c r="L360" s="111" t="str">
        <f>IF($G360&lt;&gt;"",VLOOKUP($G360,'MASTER TOKO BALI'!$B$2:$W$744,5,FALSE),"")</f>
        <v/>
      </c>
      <c r="M360" s="106"/>
      <c r="N360" s="111" t="str">
        <f>IF($G360&lt;&gt;"",VLOOKUP($G360,'MASTER TOKO BALI'!$B$2:$W$744,21,FALSE),"")</f>
        <v/>
      </c>
      <c r="O360" s="106"/>
      <c r="P360" s="164" t="str">
        <f>IF($G360&lt;&gt;"",VLOOKUP($G360,'MASTER TOKO BALI'!$B$2:$W$740,7,FALSE),"")</f>
        <v/>
      </c>
    </row>
    <row r="361" spans="1:18" ht="14.4" x14ac:dyDescent="0.3">
      <c r="A361" s="106">
        <f t="shared" si="14"/>
        <v>336</v>
      </c>
      <c r="B361" s="107" t="s">
        <v>2042</v>
      </c>
      <c r="C361" s="107" t="s">
        <v>2043</v>
      </c>
      <c r="D361" s="108" t="s">
        <v>2044</v>
      </c>
      <c r="E361" s="109" t="s">
        <v>2075</v>
      </c>
      <c r="F361" s="110"/>
      <c r="G361" s="60"/>
      <c r="H361" s="111" t="str">
        <f>IF($G361&lt;&gt;"",VLOOKUP($G361,'MASTER TOKO BALI'!$B$2:$W$744,2,FALSE),"")</f>
        <v/>
      </c>
      <c r="I361" s="237" t="str">
        <f>IF($G361&lt;&gt;"",VLOOKUP($G361,'MASTER TOKO BALI'!$B$2:$W$744,4,FALSE),"")</f>
        <v/>
      </c>
      <c r="J361" s="112">
        <v>46281</v>
      </c>
      <c r="K361" s="111" t="str">
        <f>IF($G361&lt;&gt;"",VLOOKUP($G361,'MASTER TOKO BALI'!$B$2:$W$744,12,FALSE),"")</f>
        <v/>
      </c>
      <c r="L361" s="111" t="str">
        <f>IF($G361&lt;&gt;"",VLOOKUP($G361,'MASTER TOKO BALI'!$B$2:$W$744,5,FALSE),"")</f>
        <v/>
      </c>
      <c r="M361" s="137"/>
      <c r="N361" s="111" t="str">
        <f>IF($G361&lt;&gt;"",VLOOKUP($G361,'MASTER TOKO BALI'!$B$2:$W$744,21,FALSE),"")</f>
        <v/>
      </c>
      <c r="O361" s="137"/>
      <c r="P361" s="164" t="str">
        <f>IF($G361&lt;&gt;"",VLOOKUP($G361,'MASTER TOKO BALI'!$B$2:$W$740,7,FALSE),"")</f>
        <v/>
      </c>
      <c r="Q361" s="68"/>
      <c r="R361" s="69"/>
    </row>
    <row r="362" spans="1:18" x14ac:dyDescent="0.2">
      <c r="A362" s="106">
        <f t="shared" si="14"/>
        <v>337</v>
      </c>
      <c r="B362" s="107" t="s">
        <v>2038</v>
      </c>
      <c r="C362" s="107" t="s">
        <v>2043</v>
      </c>
      <c r="D362" s="113" t="s">
        <v>2045</v>
      </c>
      <c r="E362" s="109" t="s">
        <v>2075</v>
      </c>
      <c r="F362" s="123"/>
      <c r="G362" s="144"/>
      <c r="H362" s="111" t="str">
        <f>IF($G362&lt;&gt;"",VLOOKUP($G362,'MASTER TOKO BALI'!$B$2:$W$744,2,FALSE),"")</f>
        <v/>
      </c>
      <c r="I362" s="237" t="str">
        <f>IF($G362&lt;&gt;"",VLOOKUP($G362,'MASTER TOKO BALI'!$B$2:$W$744,4,FALSE),"")</f>
        <v/>
      </c>
      <c r="J362" s="112">
        <v>46281</v>
      </c>
      <c r="K362" s="111" t="str">
        <f>IF($G362&lt;&gt;"",VLOOKUP($G362,'MASTER TOKO BALI'!$B$2:$W$744,12,FALSE),"")</f>
        <v/>
      </c>
      <c r="L362" s="111" t="str">
        <f>IF($G362&lt;&gt;"",VLOOKUP($G362,'MASTER TOKO BALI'!$B$2:$W$744,5,FALSE),"")</f>
        <v/>
      </c>
      <c r="M362" s="106"/>
      <c r="N362" s="111" t="str">
        <f>IF($G362&lt;&gt;"",VLOOKUP($G362,'MASTER TOKO BALI'!$B$2:$W$744,21,FALSE),"")</f>
        <v/>
      </c>
      <c r="O362" s="106"/>
      <c r="P362" s="164" t="str">
        <f>IF($G362&lt;&gt;"",VLOOKUP($G362,'MASTER TOKO BALI'!$B$2:$W$740,7,FALSE),"")</f>
        <v/>
      </c>
    </row>
    <row r="363" spans="1:18" ht="14.4" x14ac:dyDescent="0.2">
      <c r="A363" s="106">
        <f t="shared" si="14"/>
        <v>338</v>
      </c>
      <c r="B363" s="107" t="s">
        <v>2046</v>
      </c>
      <c r="C363" s="107" t="s">
        <v>2043</v>
      </c>
      <c r="D363" s="108" t="s">
        <v>2047</v>
      </c>
      <c r="E363" s="109" t="s">
        <v>2075</v>
      </c>
      <c r="F363" s="126"/>
      <c r="G363" s="60"/>
      <c r="H363" s="111" t="str">
        <f>IF($G363&lt;&gt;"",VLOOKUP($G363,'MASTER TOKO BALI'!$B$2:$W$744,2,FALSE),"")</f>
        <v/>
      </c>
      <c r="I363" s="237" t="str">
        <f>IF($G363&lt;&gt;"",VLOOKUP($G363,'MASTER TOKO BALI'!$B$2:$W$744,4,FALSE),"")</f>
        <v/>
      </c>
      <c r="J363" s="112">
        <v>46281</v>
      </c>
      <c r="K363" s="111" t="str">
        <f>IF($G363&lt;&gt;"",VLOOKUP($G363,'MASTER TOKO BALI'!$B$2:$W$744,12,FALSE),"")</f>
        <v/>
      </c>
      <c r="L363" s="111" t="str">
        <f>IF($G363&lt;&gt;"",VLOOKUP($G363,'MASTER TOKO BALI'!$B$2:$W$744,5,FALSE),"")</f>
        <v/>
      </c>
      <c r="M363" s="106"/>
      <c r="N363" s="111" t="str">
        <f>IF($G363&lt;&gt;"",VLOOKUP($G363,'MASTER TOKO BALI'!$B$2:$W$744,21,FALSE),"")</f>
        <v/>
      </c>
      <c r="O363" s="106"/>
      <c r="P363" s="164" t="str">
        <f>IF($G363&lt;&gt;"",VLOOKUP($G363,'MASTER TOKO BALI'!$B$2:$W$740,7,FALSE),"")</f>
        <v/>
      </c>
    </row>
    <row r="364" spans="1:18" x14ac:dyDescent="0.2">
      <c r="A364" s="106">
        <f t="shared" si="14"/>
        <v>339</v>
      </c>
      <c r="B364" s="107" t="s">
        <v>2038</v>
      </c>
      <c r="C364" s="107" t="s">
        <v>2043</v>
      </c>
      <c r="D364" s="113" t="s">
        <v>2045</v>
      </c>
      <c r="E364" s="109" t="s">
        <v>2075</v>
      </c>
      <c r="F364" s="126"/>
      <c r="G364" s="146"/>
      <c r="H364" s="111" t="str">
        <f>IF($G364&lt;&gt;"",VLOOKUP($G364,'MASTER TOKO BALI'!$B$2:$W$744,2,FALSE),"")</f>
        <v/>
      </c>
      <c r="I364" s="237" t="str">
        <f>IF($G364&lt;&gt;"",VLOOKUP($G364,'MASTER TOKO BALI'!$B$2:$W$744,4,FALSE),"")</f>
        <v/>
      </c>
      <c r="J364" s="112">
        <v>46281</v>
      </c>
      <c r="K364" s="111" t="str">
        <f>IF($G364&lt;&gt;"",VLOOKUP($G364,'MASTER TOKO BALI'!$B$2:$W$744,12,FALSE),"")</f>
        <v/>
      </c>
      <c r="L364" s="111" t="str">
        <f>IF($G364&lt;&gt;"",VLOOKUP($G364,'MASTER TOKO BALI'!$B$2:$W$744,5,FALSE),"")</f>
        <v/>
      </c>
      <c r="M364" s="106"/>
      <c r="N364" s="111" t="str">
        <f>IF($G364&lt;&gt;"",VLOOKUP($G364,'MASTER TOKO BALI'!$B$2:$W$744,21,FALSE),"")</f>
        <v/>
      </c>
      <c r="O364" s="106"/>
      <c r="P364" s="164" t="str">
        <f>IF($G364&lt;&gt;"",VLOOKUP($G364,'MASTER TOKO BALI'!$B$2:$W$740,7,FALSE),"")</f>
        <v/>
      </c>
    </row>
    <row r="365" spans="1:18" ht="14.4" x14ac:dyDescent="0.2">
      <c r="A365" s="106"/>
      <c r="B365" s="107" t="s">
        <v>2048</v>
      </c>
      <c r="C365" s="107" t="s">
        <v>2049</v>
      </c>
      <c r="D365" s="108" t="s">
        <v>2050</v>
      </c>
      <c r="E365" s="109" t="s">
        <v>2075</v>
      </c>
      <c r="F365" s="126"/>
      <c r="G365" s="60"/>
      <c r="H365" s="111" t="str">
        <f>IF($G365&lt;&gt;"",VLOOKUP($G365,'MASTER TOKO BALI'!$B$2:$W$744,2,FALSE),"")</f>
        <v/>
      </c>
      <c r="I365" s="237" t="str">
        <f>IF($G365&lt;&gt;"",VLOOKUP($G365,'MASTER TOKO BALI'!$B$2:$W$744,4,FALSE),"")</f>
        <v/>
      </c>
      <c r="J365" s="112">
        <v>46281</v>
      </c>
      <c r="K365" s="111" t="str">
        <f>IF($G365&lt;&gt;"",VLOOKUP($G365,'MASTER TOKO BALI'!$B$2:$W$744,12,FALSE),"")</f>
        <v/>
      </c>
      <c r="L365" s="111" t="str">
        <f>IF($G365&lt;&gt;"",VLOOKUP($G365,'MASTER TOKO BALI'!$B$2:$W$744,5,FALSE),"")</f>
        <v/>
      </c>
      <c r="M365" s="106"/>
      <c r="N365" s="111" t="str">
        <f>IF($G365&lt;&gt;"",VLOOKUP($G365,'MASTER TOKO BALI'!$B$2:$W$744,21,FALSE),"")</f>
        <v/>
      </c>
      <c r="O365" s="106"/>
      <c r="P365" s="164" t="str">
        <f>IF($G365&lt;&gt;"",VLOOKUP($G365,'MASTER TOKO BALI'!$B$2:$W$740,7,FALSE),"")</f>
        <v/>
      </c>
    </row>
    <row r="366" spans="1:18" x14ac:dyDescent="0.2">
      <c r="A366" s="106">
        <f>A364+1</f>
        <v>340</v>
      </c>
      <c r="B366" s="107" t="s">
        <v>2038</v>
      </c>
      <c r="C366" s="107" t="s">
        <v>2049</v>
      </c>
      <c r="D366" s="115" t="s">
        <v>2051</v>
      </c>
      <c r="E366" s="109" t="s">
        <v>2075</v>
      </c>
      <c r="F366" s="127"/>
      <c r="G366" s="149"/>
      <c r="H366" s="111" t="str">
        <f>IF($G366&lt;&gt;"",VLOOKUP($G366,'MASTER TOKO BALI'!$B$2:$W$744,2,FALSE),"")</f>
        <v/>
      </c>
      <c r="I366" s="237" t="str">
        <f>IF($G366&lt;&gt;"",VLOOKUP($G366,'MASTER TOKO BALI'!$B$2:$W$744,4,FALSE),"")</f>
        <v/>
      </c>
      <c r="J366" s="112">
        <v>46281</v>
      </c>
      <c r="K366" s="111" t="str">
        <f>IF($G366&lt;&gt;"",VLOOKUP($G366,'MASTER TOKO BALI'!$B$2:$W$744,12,FALSE),"")</f>
        <v/>
      </c>
      <c r="L366" s="111" t="str">
        <f>IF($G366&lt;&gt;"",VLOOKUP($G366,'MASTER TOKO BALI'!$B$2:$W$744,5,FALSE),"")</f>
        <v/>
      </c>
      <c r="M366" s="106"/>
      <c r="N366" s="111" t="str">
        <f>IF($G366&lt;&gt;"",VLOOKUP($G366,'MASTER TOKO BALI'!$B$2:$W$744,21,FALSE),"")</f>
        <v/>
      </c>
      <c r="O366" s="106"/>
      <c r="P366" s="164" t="str">
        <f>IF($G366&lt;&gt;"",VLOOKUP($G366,'MASTER TOKO BALI'!$B$2:$W$740,7,FALSE),"")</f>
        <v/>
      </c>
    </row>
    <row r="367" spans="1:18" ht="14.4" x14ac:dyDescent="0.2">
      <c r="A367" s="106">
        <f t="shared" si="14"/>
        <v>341</v>
      </c>
      <c r="B367" s="107" t="s">
        <v>2052</v>
      </c>
      <c r="C367" s="107" t="s">
        <v>2049</v>
      </c>
      <c r="D367" s="108" t="s">
        <v>2053</v>
      </c>
      <c r="E367" s="109" t="s">
        <v>2075</v>
      </c>
      <c r="F367" s="60"/>
      <c r="G367" s="60"/>
      <c r="H367" s="111" t="str">
        <f>IF($G367&lt;&gt;"",VLOOKUP($G367,'MASTER TOKO BALI'!$B$2:$W$744,2,FALSE),"")</f>
        <v/>
      </c>
      <c r="I367" s="237" t="str">
        <f>IF($G367&lt;&gt;"",VLOOKUP($G367,'MASTER TOKO BALI'!$B$2:$W$744,4,FALSE),"")</f>
        <v/>
      </c>
      <c r="J367" s="112">
        <v>46281</v>
      </c>
      <c r="K367" s="111" t="str">
        <f>IF($G367&lt;&gt;"",VLOOKUP($G367,'MASTER TOKO BALI'!$B$2:$W$744,12,FALSE),"")</f>
        <v/>
      </c>
      <c r="L367" s="111" t="str">
        <f>IF($G367&lt;&gt;"",VLOOKUP($G367,'MASTER TOKO BALI'!$B$2:$W$744,5,FALSE),"")</f>
        <v/>
      </c>
      <c r="M367" s="106"/>
      <c r="N367" s="111" t="str">
        <f>IF($G367&lt;&gt;"",VLOOKUP($G367,'MASTER TOKO BALI'!$B$2:$W$744,21,FALSE),"")</f>
        <v/>
      </c>
      <c r="O367" s="106"/>
      <c r="P367" s="164" t="str">
        <f>IF($G367&lt;&gt;"",VLOOKUP($G367,'MASTER TOKO BALI'!$B$2:$W$740,7,FALSE),"")</f>
        <v/>
      </c>
    </row>
    <row r="368" spans="1:18" x14ac:dyDescent="0.2">
      <c r="A368" s="106">
        <f t="shared" si="14"/>
        <v>342</v>
      </c>
      <c r="B368" s="107" t="s">
        <v>2038</v>
      </c>
      <c r="C368" s="107" t="s">
        <v>2049</v>
      </c>
      <c r="D368" s="113" t="s">
        <v>2051</v>
      </c>
      <c r="E368" s="109" t="s">
        <v>2075</v>
      </c>
      <c r="F368" s="126"/>
      <c r="G368" s="149"/>
      <c r="H368" s="111" t="str">
        <f>IF($G368&lt;&gt;"",VLOOKUP($G368,'MASTER TOKO BALI'!$B$2:$W$744,2,FALSE),"")</f>
        <v/>
      </c>
      <c r="I368" s="237" t="str">
        <f>IF($G368&lt;&gt;"",VLOOKUP($G368,'MASTER TOKO BALI'!$B$2:$W$744,4,FALSE),"")</f>
        <v/>
      </c>
      <c r="J368" s="112">
        <v>46281</v>
      </c>
      <c r="K368" s="111" t="str">
        <f>IF($G368&lt;&gt;"",VLOOKUP($G368,'MASTER TOKO BALI'!$B$2:$W$744,12,FALSE),"")</f>
        <v/>
      </c>
      <c r="L368" s="111" t="str">
        <f>IF($G368&lt;&gt;"",VLOOKUP($G368,'MASTER TOKO BALI'!$B$2:$W$744,5,FALSE),"")</f>
        <v/>
      </c>
      <c r="M368" s="106"/>
      <c r="N368" s="111" t="str">
        <f>IF($G368&lt;&gt;"",VLOOKUP($G368,'MASTER TOKO BALI'!$B$2:$W$744,21,FALSE),"")</f>
        <v/>
      </c>
      <c r="O368" s="106"/>
      <c r="P368" s="164" t="str">
        <f>IF($G368&lt;&gt;"",VLOOKUP($G368,'MASTER TOKO BALI'!$B$2:$W$740,7,FALSE),"")</f>
        <v/>
      </c>
    </row>
    <row r="369" spans="1:16" ht="14.4" x14ac:dyDescent="0.2">
      <c r="A369" s="106">
        <f t="shared" si="14"/>
        <v>343</v>
      </c>
      <c r="B369" s="107" t="s">
        <v>2054</v>
      </c>
      <c r="C369" s="116" t="s">
        <v>2055</v>
      </c>
      <c r="D369" s="108" t="s">
        <v>2056</v>
      </c>
      <c r="E369" s="109" t="s">
        <v>2075</v>
      </c>
      <c r="F369" s="126"/>
      <c r="G369" s="60"/>
      <c r="H369" s="111" t="str">
        <f>IF($G369&lt;&gt;"",VLOOKUP($G369,'MASTER TOKO BALI'!$B$2:$W$744,2,FALSE),"")</f>
        <v/>
      </c>
      <c r="I369" s="237" t="str">
        <f>IF($G369&lt;&gt;"",VLOOKUP($G369,'MASTER TOKO BALI'!$B$2:$W$744,4,FALSE),"")</f>
        <v/>
      </c>
      <c r="J369" s="112">
        <v>46281</v>
      </c>
      <c r="K369" s="111" t="str">
        <f>IF($G369&lt;&gt;"",VLOOKUP($G369,'MASTER TOKO BALI'!$B$2:$W$744,12,FALSE),"")</f>
        <v/>
      </c>
      <c r="L369" s="111" t="str">
        <f>IF($G369&lt;&gt;"",VLOOKUP($G369,'MASTER TOKO BALI'!$B$2:$W$744,5,FALSE),"")</f>
        <v/>
      </c>
      <c r="M369" s="106"/>
      <c r="N369" s="111" t="str">
        <f>IF($G369&lt;&gt;"",VLOOKUP($G369,'MASTER TOKO BALI'!$B$2:$W$744,21,FALSE),"")</f>
        <v/>
      </c>
      <c r="O369" s="106"/>
      <c r="P369" s="164" t="str">
        <f>IF($G369&lt;&gt;"",VLOOKUP($G369,'MASTER TOKO BALI'!$B$2:$W$740,7,FALSE),"")</f>
        <v/>
      </c>
    </row>
    <row r="370" spans="1:16" x14ac:dyDescent="0.2">
      <c r="A370" s="106">
        <f t="shared" si="14"/>
        <v>344</v>
      </c>
      <c r="B370" s="107" t="s">
        <v>2038</v>
      </c>
      <c r="C370" s="116" t="s">
        <v>2055</v>
      </c>
      <c r="D370" s="113" t="s">
        <v>2057</v>
      </c>
      <c r="E370" s="109" t="s">
        <v>2075</v>
      </c>
      <c r="F370" s="126"/>
      <c r="G370" s="144"/>
      <c r="H370" s="111" t="str">
        <f>IF($G370&lt;&gt;"",VLOOKUP($G370,'MASTER TOKO BALI'!$B$2:$W$744,2,FALSE),"")</f>
        <v/>
      </c>
      <c r="I370" s="237" t="str">
        <f>IF($G370&lt;&gt;"",VLOOKUP($G370,'MASTER TOKO BALI'!$B$2:$W$744,4,FALSE),"")</f>
        <v/>
      </c>
      <c r="J370" s="112">
        <v>46281</v>
      </c>
      <c r="K370" s="111" t="str">
        <f>IF($G370&lt;&gt;"",VLOOKUP($G370,'MASTER TOKO BALI'!$B$2:$W$744,12,FALSE),"")</f>
        <v/>
      </c>
      <c r="L370" s="111" t="str">
        <f>IF($G370&lt;&gt;"",VLOOKUP($G370,'MASTER TOKO BALI'!$B$2:$W$744,5,FALSE),"")</f>
        <v/>
      </c>
      <c r="M370" s="106"/>
      <c r="N370" s="111" t="str">
        <f>IF($G370&lt;&gt;"",VLOOKUP($G370,'MASTER TOKO BALI'!$B$2:$W$744,21,FALSE),"")</f>
        <v/>
      </c>
      <c r="O370" s="106"/>
      <c r="P370" s="164" t="str">
        <f>IF($G370&lt;&gt;"",VLOOKUP($G370,'MASTER TOKO BALI'!$B$2:$W$740,7,FALSE),"")</f>
        <v/>
      </c>
    </row>
    <row r="371" spans="1:16" ht="14.4" x14ac:dyDescent="0.2">
      <c r="A371" s="106">
        <f t="shared" si="14"/>
        <v>345</v>
      </c>
      <c r="B371" s="107" t="s">
        <v>2058</v>
      </c>
      <c r="C371" s="116" t="s">
        <v>2055</v>
      </c>
      <c r="D371" s="108" t="s">
        <v>2059</v>
      </c>
      <c r="E371" s="109" t="s">
        <v>2075</v>
      </c>
      <c r="F371" s="126"/>
      <c r="G371" s="60"/>
      <c r="H371" s="111" t="str">
        <f>IF($G371&lt;&gt;"",VLOOKUP($G371,'MASTER TOKO BALI'!$B$2:$W$744,2,FALSE),"")</f>
        <v/>
      </c>
      <c r="I371" s="237" t="str">
        <f>IF($G371&lt;&gt;"",VLOOKUP($G371,'MASTER TOKO BALI'!$B$2:$W$744,4,FALSE),"")</f>
        <v/>
      </c>
      <c r="J371" s="112">
        <v>46281</v>
      </c>
      <c r="K371" s="111" t="str">
        <f>IF($G371&lt;&gt;"",VLOOKUP($G371,'MASTER TOKO BALI'!$B$2:$W$744,12,FALSE),"")</f>
        <v/>
      </c>
      <c r="L371" s="111" t="str">
        <f>IF($G371&lt;&gt;"",VLOOKUP($G371,'MASTER TOKO BALI'!$B$2:$W$744,5,FALSE),"")</f>
        <v/>
      </c>
      <c r="M371" s="106"/>
      <c r="N371" s="111" t="str">
        <f>IF($G371&lt;&gt;"",VLOOKUP($G371,'MASTER TOKO BALI'!$B$2:$W$744,21,FALSE),"")</f>
        <v/>
      </c>
      <c r="O371" s="106"/>
      <c r="P371" s="164" t="str">
        <f>IF($G371&lt;&gt;"",VLOOKUP($G371,'MASTER TOKO BALI'!$B$2:$W$740,7,FALSE),"")</f>
        <v/>
      </c>
    </row>
    <row r="372" spans="1:16" x14ac:dyDescent="0.2">
      <c r="A372" s="106">
        <f t="shared" si="14"/>
        <v>346</v>
      </c>
      <c r="B372" s="107" t="s">
        <v>2038</v>
      </c>
      <c r="C372" s="116" t="s">
        <v>2055</v>
      </c>
      <c r="D372" s="113" t="s">
        <v>2057</v>
      </c>
      <c r="E372" s="109" t="s">
        <v>2075</v>
      </c>
      <c r="F372" s="126"/>
      <c r="G372" s="144"/>
      <c r="H372" s="111" t="str">
        <f>IF($G372&lt;&gt;"",VLOOKUP($G372,'MASTER TOKO BALI'!$B$2:$W$744,2,FALSE),"")</f>
        <v/>
      </c>
      <c r="I372" s="237" t="str">
        <f>IF($G372&lt;&gt;"",VLOOKUP($G372,'MASTER TOKO BALI'!$B$2:$W$744,4,FALSE),"")</f>
        <v/>
      </c>
      <c r="J372" s="112">
        <v>46281</v>
      </c>
      <c r="K372" s="111" t="str">
        <f>IF($G372&lt;&gt;"",VLOOKUP($G372,'MASTER TOKO BALI'!$B$2:$W$744,12,FALSE),"")</f>
        <v/>
      </c>
      <c r="L372" s="111" t="str">
        <f>IF($G372&lt;&gt;"",VLOOKUP($G372,'MASTER TOKO BALI'!$B$2:$W$744,5,FALSE),"")</f>
        <v/>
      </c>
      <c r="M372" s="106"/>
      <c r="N372" s="111" t="str">
        <f>IF($G372&lt;&gt;"",VLOOKUP($G372,'MASTER TOKO BALI'!$B$2:$W$744,21,FALSE),"")</f>
        <v/>
      </c>
      <c r="O372" s="106"/>
      <c r="P372" s="164" t="str">
        <f>IF($G372&lt;&gt;"",VLOOKUP($G372,'MASTER TOKO BALI'!$B$2:$W$740,7,FALSE),"")</f>
        <v/>
      </c>
    </row>
    <row r="373" spans="1:16" ht="14.4" x14ac:dyDescent="0.2">
      <c r="A373" s="106">
        <f t="shared" si="14"/>
        <v>347</v>
      </c>
      <c r="B373" s="107" t="s">
        <v>2060</v>
      </c>
      <c r="C373" s="116" t="s">
        <v>2061</v>
      </c>
      <c r="D373" s="108" t="s">
        <v>2062</v>
      </c>
      <c r="E373" s="109" t="s">
        <v>2075</v>
      </c>
      <c r="F373" s="60"/>
      <c r="G373" s="60"/>
      <c r="H373" s="111" t="str">
        <f>IF($G373&lt;&gt;"",VLOOKUP($G373,'MASTER TOKO BALI'!$B$2:$W$744,2,FALSE),"")</f>
        <v/>
      </c>
      <c r="I373" s="237" t="str">
        <f>IF($G373&lt;&gt;"",VLOOKUP($G373,'MASTER TOKO BALI'!$B$2:$W$744,4,FALSE),"")</f>
        <v/>
      </c>
      <c r="J373" s="112">
        <v>46281</v>
      </c>
      <c r="K373" s="111" t="str">
        <f>IF($G373&lt;&gt;"",VLOOKUP($G373,'MASTER TOKO BALI'!$B$2:$W$744,12,FALSE),"")</f>
        <v/>
      </c>
      <c r="L373" s="111" t="str">
        <f>IF($G373&lt;&gt;"",VLOOKUP($G373,'MASTER TOKO BALI'!$B$2:$W$744,5,FALSE),"")</f>
        <v/>
      </c>
      <c r="M373" s="106"/>
      <c r="N373" s="111" t="str">
        <f>IF($G373&lt;&gt;"",VLOOKUP($G373,'MASTER TOKO BALI'!$B$2:$W$744,21,FALSE),"")</f>
        <v/>
      </c>
      <c r="O373" s="106"/>
      <c r="P373" s="164" t="str">
        <f>IF($G373&lt;&gt;"",VLOOKUP($G373,'MASTER TOKO BALI'!$B$2:$W$740,7,FALSE),"")</f>
        <v/>
      </c>
    </row>
    <row r="374" spans="1:16" x14ac:dyDescent="0.2">
      <c r="A374" s="106">
        <f t="shared" si="14"/>
        <v>348</v>
      </c>
      <c r="B374" s="107" t="s">
        <v>2038</v>
      </c>
      <c r="C374" s="116" t="s">
        <v>2061</v>
      </c>
      <c r="D374" s="113" t="s">
        <v>2063</v>
      </c>
      <c r="E374" s="109" t="s">
        <v>2075</v>
      </c>
      <c r="F374" s="127"/>
      <c r="G374" s="149"/>
      <c r="H374" s="111" t="str">
        <f>IF($G374&lt;&gt;"",VLOOKUP($G374,'MASTER TOKO BALI'!$B$2:$W$744,2,FALSE),"")</f>
        <v/>
      </c>
      <c r="I374" s="237" t="str">
        <f>IF($G374&lt;&gt;"",VLOOKUP($G374,'MASTER TOKO BALI'!$B$2:$W$744,4,FALSE),"")</f>
        <v/>
      </c>
      <c r="J374" s="112">
        <v>46281</v>
      </c>
      <c r="K374" s="111" t="str">
        <f>IF($G374&lt;&gt;"",VLOOKUP($G374,'MASTER TOKO BALI'!$B$2:$W$744,12,FALSE),"")</f>
        <v/>
      </c>
      <c r="L374" s="111" t="str">
        <f>IF($G374&lt;&gt;"",VLOOKUP($G374,'MASTER TOKO BALI'!$B$2:$W$744,5,FALSE),"")</f>
        <v/>
      </c>
      <c r="M374" s="106"/>
      <c r="N374" s="111" t="str">
        <f>IF($G374&lt;&gt;"",VLOOKUP($G374,'MASTER TOKO BALI'!$B$2:$W$744,21,FALSE),"")</f>
        <v/>
      </c>
      <c r="O374" s="106"/>
      <c r="P374" s="164" t="str">
        <f>IF($G374&lt;&gt;"",VLOOKUP($G374,'MASTER TOKO BALI'!$B$2:$W$740,7,FALSE),"")</f>
        <v/>
      </c>
    </row>
    <row r="375" spans="1:16" ht="14.4" x14ac:dyDescent="0.2">
      <c r="A375" s="106">
        <f t="shared" si="14"/>
        <v>349</v>
      </c>
      <c r="B375" s="107" t="s">
        <v>2064</v>
      </c>
      <c r="C375" s="116" t="s">
        <v>2061</v>
      </c>
      <c r="D375" s="108" t="s">
        <v>2065</v>
      </c>
      <c r="E375" s="109" t="s">
        <v>2075</v>
      </c>
      <c r="F375" s="126"/>
      <c r="G375" s="60"/>
      <c r="H375" s="111" t="str">
        <f>IF($G375&lt;&gt;"",VLOOKUP($G375,'MASTER TOKO BALI'!$B$2:$W$744,2,FALSE),"")</f>
        <v/>
      </c>
      <c r="I375" s="237" t="str">
        <f>IF($G375&lt;&gt;"",VLOOKUP($G375,'MASTER TOKO BALI'!$B$2:$W$744,4,FALSE),"")</f>
        <v/>
      </c>
      <c r="J375" s="112">
        <v>46281</v>
      </c>
      <c r="K375" s="111" t="str">
        <f>IF($G375&lt;&gt;"",VLOOKUP($G375,'MASTER TOKO BALI'!$B$2:$W$744,12,FALSE),"")</f>
        <v/>
      </c>
      <c r="L375" s="111" t="str">
        <f>IF($G375&lt;&gt;"",VLOOKUP($G375,'MASTER TOKO BALI'!$B$2:$W$744,5,FALSE),"")</f>
        <v/>
      </c>
      <c r="M375" s="106"/>
      <c r="N375" s="111" t="str">
        <f>IF($G375&lt;&gt;"",VLOOKUP($G375,'MASTER TOKO BALI'!$B$2:$W$744,21,FALSE),"")</f>
        <v/>
      </c>
      <c r="O375" s="106"/>
      <c r="P375" s="164" t="str">
        <f>IF($G375&lt;&gt;"",VLOOKUP($G375,'MASTER TOKO BALI'!$B$2:$W$740,7,FALSE),"")</f>
        <v/>
      </c>
    </row>
    <row r="376" spans="1:16" x14ac:dyDescent="0.2">
      <c r="A376" s="106">
        <f t="shared" si="14"/>
        <v>350</v>
      </c>
      <c r="B376" s="107" t="s">
        <v>2066</v>
      </c>
      <c r="C376" s="116" t="s">
        <v>2061</v>
      </c>
      <c r="D376" s="113" t="s">
        <v>2063</v>
      </c>
      <c r="E376" s="109" t="s">
        <v>2075</v>
      </c>
      <c r="F376" s="138"/>
      <c r="G376" s="149"/>
      <c r="H376" s="111" t="str">
        <f>IF($G376&lt;&gt;"",VLOOKUP($G376,'MASTER TOKO BALI'!$B$2:$W$744,2,FALSE),"")</f>
        <v/>
      </c>
      <c r="I376" s="237" t="str">
        <f>IF($G376&lt;&gt;"",VLOOKUP($G376,'MASTER TOKO BALI'!$B$2:$W$744,4,FALSE),"")</f>
        <v/>
      </c>
      <c r="J376" s="112">
        <v>46281</v>
      </c>
      <c r="K376" s="111" t="str">
        <f>IF($G376&lt;&gt;"",VLOOKUP($G376,'MASTER TOKO BALI'!$B$2:$W$744,12,FALSE),"")</f>
        <v/>
      </c>
      <c r="L376" s="111" t="str">
        <f>IF($G376&lt;&gt;"",VLOOKUP($G376,'MASTER TOKO BALI'!$B$2:$W$744,5,FALSE),"")</f>
        <v/>
      </c>
      <c r="M376" s="106"/>
      <c r="N376" s="111" t="str">
        <f>IF($G376&lt;&gt;"",VLOOKUP($G376,'MASTER TOKO BALI'!$B$2:$W$744,21,FALSE),"")</f>
        <v/>
      </c>
      <c r="O376" s="106"/>
      <c r="P376" s="164" t="str">
        <f>IF($G376&lt;&gt;"",VLOOKUP($G376,'MASTER TOKO BALI'!$B$2:$W$740,7,FALSE),"")</f>
        <v/>
      </c>
    </row>
    <row r="377" spans="1:16" ht="14.4" x14ac:dyDescent="0.2">
      <c r="A377" s="106">
        <f t="shared" si="14"/>
        <v>351</v>
      </c>
      <c r="B377" s="107" t="s">
        <v>2067</v>
      </c>
      <c r="C377" s="107" t="s">
        <v>2068</v>
      </c>
      <c r="D377" s="108" t="s">
        <v>2069</v>
      </c>
      <c r="E377" s="109" t="s">
        <v>2075</v>
      </c>
      <c r="F377" s="60"/>
      <c r="G377" s="60"/>
      <c r="H377" s="111" t="str">
        <f>IF($G377&lt;&gt;"",VLOOKUP($G377,'MASTER TOKO BALI'!$B$2:$W$744,2,FALSE),"")</f>
        <v/>
      </c>
      <c r="I377" s="237" t="str">
        <f>IF($G377&lt;&gt;"",VLOOKUP($G377,'MASTER TOKO BALI'!$B$2:$W$744,4,FALSE),"")</f>
        <v/>
      </c>
      <c r="J377" s="112">
        <v>46281</v>
      </c>
      <c r="K377" s="111" t="str">
        <f>IF($G377&lt;&gt;"",VLOOKUP($G377,'MASTER TOKO BALI'!$B$2:$W$744,12,FALSE),"")</f>
        <v/>
      </c>
      <c r="L377" s="111" t="str">
        <f>IF($G377&lt;&gt;"",VLOOKUP($G377,'MASTER TOKO BALI'!$B$2:$W$744,5,FALSE),"")</f>
        <v/>
      </c>
      <c r="M377" s="106"/>
      <c r="N377" s="111" t="str">
        <f>IF($G377&lt;&gt;"",VLOOKUP($G377,'MASTER TOKO BALI'!$B$2:$W$744,21,FALSE),"")</f>
        <v/>
      </c>
      <c r="O377" s="106"/>
      <c r="P377" s="164" t="str">
        <f>IF($G377&lt;&gt;"",VLOOKUP($G377,'MASTER TOKO BALI'!$B$2:$W$740,7,FALSE),"")</f>
        <v/>
      </c>
    </row>
    <row r="378" spans="1:16" x14ac:dyDescent="0.2">
      <c r="A378" s="106">
        <f t="shared" si="14"/>
        <v>352</v>
      </c>
      <c r="B378" s="107" t="s">
        <v>2066</v>
      </c>
      <c r="C378" s="107" t="s">
        <v>2068</v>
      </c>
      <c r="D378" s="117" t="s">
        <v>2070</v>
      </c>
      <c r="E378" s="109" t="s">
        <v>2075</v>
      </c>
      <c r="F378" s="139"/>
      <c r="G378" s="144"/>
      <c r="H378" s="111" t="str">
        <f>IF($G378&lt;&gt;"",VLOOKUP($G378,'MASTER TOKO BALI'!$B$2:$W$744,2,FALSE),"")</f>
        <v/>
      </c>
      <c r="I378" s="237" t="str">
        <f>IF($G378&lt;&gt;"",VLOOKUP($G378,'MASTER TOKO BALI'!$B$2:$W$744,4,FALSE),"")</f>
        <v/>
      </c>
      <c r="J378" s="112">
        <v>46281</v>
      </c>
      <c r="K378" s="111" t="str">
        <f>IF($G378&lt;&gt;"",VLOOKUP($G378,'MASTER TOKO BALI'!$B$2:$W$744,12,FALSE),"")</f>
        <v/>
      </c>
      <c r="L378" s="111" t="str">
        <f>IF($G378&lt;&gt;"",VLOOKUP($G378,'MASTER TOKO BALI'!$B$2:$W$744,5,FALSE),"")</f>
        <v/>
      </c>
      <c r="M378" s="106"/>
      <c r="N378" s="111" t="str">
        <f>IF($G378&lt;&gt;"",VLOOKUP($G378,'MASTER TOKO BALI'!$B$2:$W$744,21,FALSE),"")</f>
        <v/>
      </c>
      <c r="O378" s="106"/>
      <c r="P378" s="164" t="str">
        <f>IF($G378&lt;&gt;"",VLOOKUP($G378,'MASTER TOKO BALI'!$B$2:$W$740,7,FALSE),"")</f>
        <v/>
      </c>
    </row>
    <row r="379" spans="1:16" x14ac:dyDescent="0.2">
      <c r="A379" s="106">
        <f t="shared" si="14"/>
        <v>353</v>
      </c>
      <c r="B379" s="107" t="s">
        <v>2071</v>
      </c>
      <c r="C379" s="107" t="s">
        <v>2068</v>
      </c>
      <c r="D379" s="116" t="s">
        <v>2003</v>
      </c>
      <c r="E379" s="109" t="s">
        <v>2075</v>
      </c>
      <c r="F379" s="126"/>
      <c r="G379" s="139"/>
      <c r="H379" s="111" t="str">
        <f>IF($G379&lt;&gt;"",VLOOKUP($G379,'MASTER TOKO BALI'!$B$2:$W$744,2,FALSE),"")</f>
        <v/>
      </c>
      <c r="I379" s="237" t="str">
        <f>IF($G379&lt;&gt;"",VLOOKUP($G379,'MASTER TOKO BALI'!$B$2:$W$744,4,FALSE),"")</f>
        <v/>
      </c>
      <c r="J379" s="112">
        <v>46281</v>
      </c>
      <c r="K379" s="111" t="str">
        <f>IF($G379&lt;&gt;"",VLOOKUP($G379,'MASTER TOKO BALI'!$B$2:$W$744,12,FALSE),"")</f>
        <v/>
      </c>
      <c r="L379" s="111" t="str">
        <f>IF($G379&lt;&gt;"",VLOOKUP($G379,'MASTER TOKO BALI'!$B$2:$W$744,5,FALSE),"")</f>
        <v/>
      </c>
      <c r="M379" s="106"/>
      <c r="N379" s="111" t="str">
        <f>IF($G379&lt;&gt;"",VLOOKUP($G379,'MASTER TOKO BALI'!$B$2:$W$744,21,FALSE),"")</f>
        <v/>
      </c>
      <c r="O379" s="106"/>
      <c r="P379" s="164" t="str">
        <f>IF($G379&lt;&gt;"",VLOOKUP($G379,'MASTER TOKO BALI'!$B$2:$W$740,7,FALSE),"")</f>
        <v/>
      </c>
    </row>
    <row r="380" spans="1:16" x14ac:dyDescent="0.2">
      <c r="A380" s="106">
        <f t="shared" si="14"/>
        <v>354</v>
      </c>
      <c r="B380" s="107" t="s">
        <v>2066</v>
      </c>
      <c r="C380" s="107" t="s">
        <v>2068</v>
      </c>
      <c r="D380" s="117" t="s">
        <v>2070</v>
      </c>
      <c r="E380" s="109" t="s">
        <v>2075</v>
      </c>
      <c r="F380" s="126"/>
      <c r="G380" s="144"/>
      <c r="H380" s="111" t="str">
        <f>IF($G380&lt;&gt;"",VLOOKUP($G380,'MASTER TOKO BALI'!$B$2:$W$744,2,FALSE),"")</f>
        <v/>
      </c>
      <c r="I380" s="237" t="str">
        <f>IF($G380&lt;&gt;"",VLOOKUP($G380,'MASTER TOKO BALI'!$B$2:$W$744,4,FALSE),"")</f>
        <v/>
      </c>
      <c r="J380" s="112">
        <v>46281</v>
      </c>
      <c r="K380" s="111" t="str">
        <f>IF($G380&lt;&gt;"",VLOOKUP($G380,'MASTER TOKO BALI'!$B$2:$W$744,12,FALSE),"")</f>
        <v/>
      </c>
      <c r="L380" s="111" t="str">
        <f>IF($G380&lt;&gt;"",VLOOKUP($G380,'MASTER TOKO BALI'!$B$2:$W$744,5,FALSE),"")</f>
        <v/>
      </c>
      <c r="M380" s="106"/>
      <c r="N380" s="111" t="str">
        <f>IF($G380&lt;&gt;"",VLOOKUP($G380,'MASTER TOKO BALI'!$B$2:$W$744,21,FALSE),"")</f>
        <v/>
      </c>
      <c r="O380" s="106"/>
      <c r="P380" s="164" t="str">
        <f>IF($G380&lt;&gt;"",VLOOKUP($G380,'MASTER TOKO BALI'!$B$2:$W$740,7,FALSE),"")</f>
        <v/>
      </c>
    </row>
    <row r="381" spans="1:16" x14ac:dyDescent="0.2">
      <c r="A381" s="106"/>
      <c r="B381" s="107"/>
      <c r="C381" s="107"/>
      <c r="D381" s="111"/>
      <c r="E381" s="114"/>
      <c r="F381" s="126"/>
      <c r="G381" s="144"/>
      <c r="H381" s="111" t="str">
        <f>IF($G381&lt;&gt;"",VLOOKUP($G381,'MASTER TOKO BALI'!$B$2:$W$744,2,FALSE),"")</f>
        <v/>
      </c>
      <c r="I381" s="237" t="str">
        <f>IF($G381&lt;&gt;"",VLOOKUP($G381,'MASTER TOKO BALI'!$B$2:$W$744,4,FALSE),"")</f>
        <v/>
      </c>
      <c r="J381" s="119"/>
      <c r="K381" s="111" t="str">
        <f>IF($G381&lt;&gt;"",VLOOKUP($G381,'MASTER TOKO BALI'!$B$2:$W$744,12,FALSE),"")</f>
        <v/>
      </c>
      <c r="L381" s="111" t="str">
        <f>IF($G381&lt;&gt;"",VLOOKUP($G381,'MASTER TOKO BALI'!$B$2:$W$744,5,FALSE),"")</f>
        <v/>
      </c>
      <c r="M381" s="106"/>
      <c r="N381" s="111" t="str">
        <f>IF($G381&lt;&gt;"",VLOOKUP($G381,'MASTER TOKO BALI'!$B$2:$W$744,21,FALSE),"")</f>
        <v/>
      </c>
      <c r="O381" s="106"/>
      <c r="P381" s="164" t="str">
        <f>IF($G381&lt;&gt;"",VLOOKUP($G381,'MASTER TOKO BALI'!$B$2:$W$740,7,FALSE),"")</f>
        <v/>
      </c>
    </row>
    <row r="382" spans="1:16" x14ac:dyDescent="0.2">
      <c r="A382" s="106">
        <f>A380+1</f>
        <v>355</v>
      </c>
      <c r="B382" s="107" t="s">
        <v>2034</v>
      </c>
      <c r="C382" s="107" t="s">
        <v>2035</v>
      </c>
      <c r="D382" s="108" t="s">
        <v>2036</v>
      </c>
      <c r="E382" s="120" t="s">
        <v>2076</v>
      </c>
      <c r="F382" s="126"/>
      <c r="G382" s="144"/>
      <c r="H382" s="111" t="str">
        <f>IF($G382&lt;&gt;"",VLOOKUP($G382,'MASTER TOKO BALI'!$B$2:$W$744,2,FALSE),"")</f>
        <v/>
      </c>
      <c r="I382" s="237" t="str">
        <f>IF($G382&lt;&gt;"",VLOOKUP($G382,'MASTER TOKO BALI'!$B$2:$W$744,4,FALSE),"")</f>
        <v/>
      </c>
      <c r="J382" s="140">
        <v>46282</v>
      </c>
      <c r="K382" s="111" t="str">
        <f>IF($G382&lt;&gt;"",VLOOKUP($G382,'MASTER TOKO BALI'!$B$2:$W$744,12,FALSE),"")</f>
        <v/>
      </c>
      <c r="L382" s="111" t="str">
        <f>IF($G382&lt;&gt;"",VLOOKUP($G382,'MASTER TOKO BALI'!$B$2:$W$744,5,FALSE),"")</f>
        <v/>
      </c>
      <c r="M382" s="106"/>
      <c r="N382" s="111" t="str">
        <f>IF($G382&lt;&gt;"",VLOOKUP($G382,'MASTER TOKO BALI'!$B$2:$W$744,21,FALSE),"")</f>
        <v/>
      </c>
      <c r="O382" s="106"/>
      <c r="P382" s="164" t="str">
        <f>IF($G382&lt;&gt;"",VLOOKUP($G382,'MASTER TOKO BALI'!$B$2:$W$740,7,FALSE),"")</f>
        <v/>
      </c>
    </row>
    <row r="383" spans="1:16" x14ac:dyDescent="0.2">
      <c r="A383" s="106">
        <f t="shared" ref="A383:A405" si="15">A382+1</f>
        <v>356</v>
      </c>
      <c r="B383" s="107" t="s">
        <v>2038</v>
      </c>
      <c r="C383" s="107" t="s">
        <v>2035</v>
      </c>
      <c r="D383" s="113" t="s">
        <v>2039</v>
      </c>
      <c r="E383" s="120" t="s">
        <v>2076</v>
      </c>
      <c r="F383" s="126"/>
      <c r="G383" s="144"/>
      <c r="H383" s="111" t="str">
        <f>IF($G383&lt;&gt;"",VLOOKUP($G383,'MASTER TOKO BALI'!$B$2:$W$744,2,FALSE),"")</f>
        <v/>
      </c>
      <c r="I383" s="237" t="str">
        <f>IF($G383&lt;&gt;"",VLOOKUP($G383,'MASTER TOKO BALI'!$B$2:$W$744,4,FALSE),"")</f>
        <v/>
      </c>
      <c r="J383" s="140">
        <v>46282</v>
      </c>
      <c r="K383" s="111" t="str">
        <f>IF($G383&lt;&gt;"",VLOOKUP($G383,'MASTER TOKO BALI'!$B$2:$W$744,12,FALSE),"")</f>
        <v/>
      </c>
      <c r="L383" s="111" t="str">
        <f>IF($G383&lt;&gt;"",VLOOKUP($G383,'MASTER TOKO BALI'!$B$2:$W$744,5,FALSE),"")</f>
        <v/>
      </c>
      <c r="M383" s="106"/>
      <c r="N383" s="111" t="str">
        <f>IF($G383&lt;&gt;"",VLOOKUP($G383,'MASTER TOKO BALI'!$B$2:$W$744,21,FALSE),"")</f>
        <v/>
      </c>
      <c r="O383" s="106"/>
      <c r="P383" s="164" t="str">
        <f>IF($G383&lt;&gt;"",VLOOKUP($G383,'MASTER TOKO BALI'!$B$2:$W$740,7,FALSE),"")</f>
        <v/>
      </c>
    </row>
    <row r="384" spans="1:16" x14ac:dyDescent="0.2">
      <c r="A384" s="106">
        <f t="shared" si="15"/>
        <v>357</v>
      </c>
      <c r="B384" s="107" t="s">
        <v>2040</v>
      </c>
      <c r="C384" s="107" t="s">
        <v>2035</v>
      </c>
      <c r="D384" s="108" t="s">
        <v>2041</v>
      </c>
      <c r="E384" s="120" t="s">
        <v>2076</v>
      </c>
      <c r="F384" s="126"/>
      <c r="G384" s="144"/>
      <c r="H384" s="111" t="str">
        <f>IF($G384&lt;&gt;"",VLOOKUP($G384,'MASTER TOKO BALI'!$B$2:$W$744,2,FALSE),"")</f>
        <v/>
      </c>
      <c r="I384" s="237" t="str">
        <f>IF($G384&lt;&gt;"",VLOOKUP($G384,'MASTER TOKO BALI'!$B$2:$W$744,4,FALSE),"")</f>
        <v/>
      </c>
      <c r="J384" s="140">
        <v>46282</v>
      </c>
      <c r="K384" s="111" t="str">
        <f>IF($G384&lt;&gt;"",VLOOKUP($G384,'MASTER TOKO BALI'!$B$2:$W$744,12,FALSE),"")</f>
        <v/>
      </c>
      <c r="L384" s="111" t="str">
        <f>IF($G384&lt;&gt;"",VLOOKUP($G384,'MASTER TOKO BALI'!$B$2:$W$744,5,FALSE),"")</f>
        <v/>
      </c>
      <c r="M384" s="106"/>
      <c r="N384" s="111" t="str">
        <f>IF($G384&lt;&gt;"",VLOOKUP($G384,'MASTER TOKO BALI'!$B$2:$W$744,21,FALSE),"")</f>
        <v/>
      </c>
      <c r="O384" s="106"/>
      <c r="P384" s="164" t="str">
        <f>IF($G384&lt;&gt;"",VLOOKUP($G384,'MASTER TOKO BALI'!$B$2:$W$740,7,FALSE),"")</f>
        <v/>
      </c>
    </row>
    <row r="385" spans="1:16" x14ac:dyDescent="0.2">
      <c r="A385" s="106">
        <f t="shared" si="15"/>
        <v>358</v>
      </c>
      <c r="B385" s="107" t="s">
        <v>2038</v>
      </c>
      <c r="C385" s="107" t="s">
        <v>2035</v>
      </c>
      <c r="D385" s="113" t="s">
        <v>2039</v>
      </c>
      <c r="E385" s="120" t="s">
        <v>2076</v>
      </c>
      <c r="F385" s="126"/>
      <c r="G385" s="144"/>
      <c r="H385" s="111" t="str">
        <f>IF($G385&lt;&gt;"",VLOOKUP($G385,'MASTER TOKO BALI'!$B$2:$W$744,2,FALSE),"")</f>
        <v/>
      </c>
      <c r="I385" s="237" t="str">
        <f>IF($G385&lt;&gt;"",VLOOKUP($G385,'MASTER TOKO BALI'!$B$2:$W$744,4,FALSE),"")</f>
        <v/>
      </c>
      <c r="J385" s="140">
        <v>46282</v>
      </c>
      <c r="K385" s="111" t="str">
        <f>IF($G385&lt;&gt;"",VLOOKUP($G385,'MASTER TOKO BALI'!$B$2:$W$744,12,FALSE),"")</f>
        <v/>
      </c>
      <c r="L385" s="111" t="str">
        <f>IF($G385&lt;&gt;"",VLOOKUP($G385,'MASTER TOKO BALI'!$B$2:$W$744,5,FALSE),"")</f>
        <v/>
      </c>
      <c r="M385" s="106"/>
      <c r="N385" s="111" t="str">
        <f>IF($G385&lt;&gt;"",VLOOKUP($G385,'MASTER TOKO BALI'!$B$2:$W$744,21,FALSE),"")</f>
        <v/>
      </c>
      <c r="O385" s="106"/>
      <c r="P385" s="164" t="str">
        <f>IF($G385&lt;&gt;"",VLOOKUP($G385,'MASTER TOKO BALI'!$B$2:$W$740,7,FALSE),"")</f>
        <v/>
      </c>
    </row>
    <row r="386" spans="1:16" x14ac:dyDescent="0.2">
      <c r="A386" s="106">
        <f t="shared" si="15"/>
        <v>359</v>
      </c>
      <c r="B386" s="107" t="s">
        <v>2042</v>
      </c>
      <c r="C386" s="107" t="s">
        <v>2043</v>
      </c>
      <c r="D386" s="108" t="s">
        <v>2044</v>
      </c>
      <c r="E386" s="120" t="s">
        <v>2076</v>
      </c>
      <c r="F386" s="110"/>
      <c r="G386" s="145"/>
      <c r="H386" s="111" t="str">
        <f>IF($G386&lt;&gt;"",VLOOKUP($G386,'MASTER TOKO BALI'!$B$2:$W$744,2,FALSE),"")</f>
        <v/>
      </c>
      <c r="I386" s="237" t="str">
        <f>IF($G386&lt;&gt;"",VLOOKUP($G386,'MASTER TOKO BALI'!$B$2:$W$744,4,FALSE),"")</f>
        <v/>
      </c>
      <c r="J386" s="140">
        <v>46282</v>
      </c>
      <c r="K386" s="111" t="str">
        <f>IF($G386&lt;&gt;"",VLOOKUP($G386,'MASTER TOKO BALI'!$B$2:$W$744,12,FALSE),"")</f>
        <v/>
      </c>
      <c r="L386" s="111" t="str">
        <f>IF($G386&lt;&gt;"",VLOOKUP($G386,'MASTER TOKO BALI'!$B$2:$W$744,5,FALSE),"")</f>
        <v/>
      </c>
      <c r="M386" s="106"/>
      <c r="N386" s="111" t="str">
        <f>IF($G386&lt;&gt;"",VLOOKUP($G386,'MASTER TOKO BALI'!$B$2:$W$744,21,FALSE),"")</f>
        <v/>
      </c>
      <c r="O386" s="106"/>
      <c r="P386" s="164" t="str">
        <f>IF($G386&lt;&gt;"",VLOOKUP($G386,'MASTER TOKO BALI'!$B$2:$W$740,7,FALSE),"")</f>
        <v/>
      </c>
    </row>
    <row r="387" spans="1:16" x14ac:dyDescent="0.2">
      <c r="A387" s="106">
        <f t="shared" si="15"/>
        <v>360</v>
      </c>
      <c r="B387" s="107" t="s">
        <v>2038</v>
      </c>
      <c r="C387" s="107" t="s">
        <v>2043</v>
      </c>
      <c r="D387" s="113" t="s">
        <v>2045</v>
      </c>
      <c r="E387" s="120" t="s">
        <v>2076</v>
      </c>
      <c r="F387" s="124"/>
      <c r="G387" s="145"/>
      <c r="H387" s="111" t="str">
        <f>IF($G387&lt;&gt;"",VLOOKUP($G387,'MASTER TOKO BALI'!$B$2:$W$744,2,FALSE),"")</f>
        <v/>
      </c>
      <c r="I387" s="237" t="str">
        <f>IF($G387&lt;&gt;"",VLOOKUP($G387,'MASTER TOKO BALI'!$B$2:$W$744,4,FALSE),"")</f>
        <v/>
      </c>
      <c r="J387" s="140">
        <v>46282</v>
      </c>
      <c r="K387" s="111" t="str">
        <f>IF($G387&lt;&gt;"",VLOOKUP($G387,'MASTER TOKO BALI'!$B$2:$W$744,12,FALSE),"")</f>
        <v/>
      </c>
      <c r="L387" s="111" t="str">
        <f>IF($G387&lt;&gt;"",VLOOKUP($G387,'MASTER TOKO BALI'!$B$2:$W$744,5,FALSE),"")</f>
        <v/>
      </c>
      <c r="M387" s="106"/>
      <c r="N387" s="111" t="str">
        <f>IF($G387&lt;&gt;"",VLOOKUP($G387,'MASTER TOKO BALI'!$B$2:$W$744,21,FALSE),"")</f>
        <v/>
      </c>
      <c r="O387" s="106"/>
      <c r="P387" s="164" t="str">
        <f>IF($G387&lt;&gt;"",VLOOKUP($G387,'MASTER TOKO BALI'!$B$2:$W$740,7,FALSE),"")</f>
        <v/>
      </c>
    </row>
    <row r="388" spans="1:16" x14ac:dyDescent="0.2">
      <c r="A388" s="106"/>
      <c r="B388" s="107" t="s">
        <v>2046</v>
      </c>
      <c r="C388" s="107" t="s">
        <v>2043</v>
      </c>
      <c r="D388" s="108" t="s">
        <v>2047</v>
      </c>
      <c r="E388" s="120" t="s">
        <v>2076</v>
      </c>
      <c r="F388" s="110"/>
      <c r="G388" s="146"/>
      <c r="H388" s="111" t="str">
        <f>IF($G388&lt;&gt;"",VLOOKUP($G388,'MASTER TOKO BALI'!$B$2:$W$744,2,FALSE),"")</f>
        <v/>
      </c>
      <c r="I388" s="237" t="str">
        <f>IF($G388&lt;&gt;"",VLOOKUP($G388,'MASTER TOKO BALI'!$B$2:$W$744,4,FALSE),"")</f>
        <v/>
      </c>
      <c r="J388" s="140">
        <v>46282</v>
      </c>
      <c r="K388" s="111" t="str">
        <f>IF($G388&lt;&gt;"",VLOOKUP($G388,'MASTER TOKO BALI'!$B$2:$W$744,12,FALSE),"")</f>
        <v/>
      </c>
      <c r="L388" s="111" t="str">
        <f>IF($G388&lt;&gt;"",VLOOKUP($G388,'MASTER TOKO BALI'!$B$2:$W$744,5,FALSE),"")</f>
        <v/>
      </c>
      <c r="M388" s="106"/>
      <c r="N388" s="111" t="str">
        <f>IF($G388&lt;&gt;"",VLOOKUP($G388,'MASTER TOKO BALI'!$B$2:$W$744,21,FALSE),"")</f>
        <v/>
      </c>
      <c r="O388" s="106"/>
      <c r="P388" s="164" t="str">
        <f>IF($G388&lt;&gt;"",VLOOKUP($G388,'MASTER TOKO BALI'!$B$2:$W$740,7,FALSE),"")</f>
        <v/>
      </c>
    </row>
    <row r="389" spans="1:16" x14ac:dyDescent="0.2">
      <c r="A389" s="106">
        <f>A387+1</f>
        <v>361</v>
      </c>
      <c r="B389" s="107" t="s">
        <v>2038</v>
      </c>
      <c r="C389" s="107" t="s">
        <v>2043</v>
      </c>
      <c r="D389" s="113" t="s">
        <v>2045</v>
      </c>
      <c r="E389" s="120" t="s">
        <v>2076</v>
      </c>
      <c r="F389" s="124"/>
      <c r="G389" s="145"/>
      <c r="H389" s="111" t="str">
        <f>IF($G389&lt;&gt;"",VLOOKUP($G389,'MASTER TOKO BALI'!$B$2:$W$744,2,FALSE),"")</f>
        <v/>
      </c>
      <c r="I389" s="237" t="str">
        <f>IF($G389&lt;&gt;"",VLOOKUP($G389,'MASTER TOKO BALI'!$B$2:$W$744,4,FALSE),"")</f>
        <v/>
      </c>
      <c r="J389" s="140">
        <v>46282</v>
      </c>
      <c r="K389" s="111" t="str">
        <f>IF($G389&lt;&gt;"",VLOOKUP($G389,'MASTER TOKO BALI'!$B$2:$W$744,12,FALSE),"")</f>
        <v/>
      </c>
      <c r="L389" s="111" t="str">
        <f>IF($G389&lt;&gt;"",VLOOKUP($G389,'MASTER TOKO BALI'!$B$2:$W$744,5,FALSE),"")</f>
        <v/>
      </c>
      <c r="M389" s="106"/>
      <c r="N389" s="111" t="str">
        <f>IF($G389&lt;&gt;"",VLOOKUP($G389,'MASTER TOKO BALI'!$B$2:$W$744,21,FALSE),"")</f>
        <v/>
      </c>
      <c r="O389" s="106"/>
      <c r="P389" s="164" t="str">
        <f>IF($G389&lt;&gt;"",VLOOKUP($G389,'MASTER TOKO BALI'!$B$2:$W$740,7,FALSE),"")</f>
        <v/>
      </c>
    </row>
    <row r="390" spans="1:16" x14ac:dyDescent="0.2">
      <c r="A390" s="106">
        <f t="shared" si="15"/>
        <v>362</v>
      </c>
      <c r="B390" s="107" t="s">
        <v>2048</v>
      </c>
      <c r="C390" s="107" t="s">
        <v>2049</v>
      </c>
      <c r="D390" s="108" t="s">
        <v>2050</v>
      </c>
      <c r="E390" s="120" t="s">
        <v>2076</v>
      </c>
      <c r="F390" s="126"/>
      <c r="G390" s="144"/>
      <c r="H390" s="111" t="str">
        <f>IF($G390&lt;&gt;"",VLOOKUP($G390,'MASTER TOKO BALI'!$B$2:$W$744,2,FALSE),"")</f>
        <v/>
      </c>
      <c r="I390" s="237" t="str">
        <f>IF($G390&lt;&gt;"",VLOOKUP($G390,'MASTER TOKO BALI'!$B$2:$W$744,4,FALSE),"")</f>
        <v/>
      </c>
      <c r="J390" s="140">
        <v>46282</v>
      </c>
      <c r="K390" s="111" t="str">
        <f>IF($G390&lt;&gt;"",VLOOKUP($G390,'MASTER TOKO BALI'!$B$2:$W$744,12,FALSE),"")</f>
        <v/>
      </c>
      <c r="L390" s="111" t="str">
        <f>IF($G390&lt;&gt;"",VLOOKUP($G390,'MASTER TOKO BALI'!$B$2:$W$744,5,FALSE),"")</f>
        <v/>
      </c>
      <c r="M390" s="106"/>
      <c r="N390" s="111" t="str">
        <f>IF($G390&lt;&gt;"",VLOOKUP($G390,'MASTER TOKO BALI'!$B$2:$W$744,21,FALSE),"")</f>
        <v/>
      </c>
      <c r="O390" s="106"/>
      <c r="P390" s="164" t="str">
        <f>IF($G390&lt;&gt;"",VLOOKUP($G390,'MASTER TOKO BALI'!$B$2:$W$740,7,FALSE),"")</f>
        <v/>
      </c>
    </row>
    <row r="391" spans="1:16" x14ac:dyDescent="0.2">
      <c r="A391" s="106">
        <f t="shared" si="15"/>
        <v>363</v>
      </c>
      <c r="B391" s="107" t="s">
        <v>2038</v>
      </c>
      <c r="C391" s="107" t="s">
        <v>2049</v>
      </c>
      <c r="D391" s="115" t="s">
        <v>2051</v>
      </c>
      <c r="E391" s="120" t="s">
        <v>2076</v>
      </c>
      <c r="F391" s="127"/>
      <c r="G391" s="149"/>
      <c r="H391" s="111" t="str">
        <f>IF($G391&lt;&gt;"",VLOOKUP($G391,'MASTER TOKO BALI'!$B$2:$W$744,2,FALSE),"")</f>
        <v/>
      </c>
      <c r="I391" s="237" t="str">
        <f>IF($G391&lt;&gt;"",VLOOKUP($G391,'MASTER TOKO BALI'!$B$2:$W$744,4,FALSE),"")</f>
        <v/>
      </c>
      <c r="J391" s="140">
        <v>46282</v>
      </c>
      <c r="K391" s="111" t="str">
        <f>IF($G391&lt;&gt;"",VLOOKUP($G391,'MASTER TOKO BALI'!$B$2:$W$744,12,FALSE),"")</f>
        <v/>
      </c>
      <c r="L391" s="111" t="str">
        <f>IF($G391&lt;&gt;"",VLOOKUP($G391,'MASTER TOKO BALI'!$B$2:$W$744,5,FALSE),"")</f>
        <v/>
      </c>
      <c r="M391" s="106"/>
      <c r="N391" s="111" t="str">
        <f>IF($G391&lt;&gt;"",VLOOKUP($G391,'MASTER TOKO BALI'!$B$2:$W$744,21,FALSE),"")</f>
        <v/>
      </c>
      <c r="O391" s="106"/>
      <c r="P391" s="164" t="str">
        <f>IF($G391&lt;&gt;"",VLOOKUP($G391,'MASTER TOKO BALI'!$B$2:$W$740,7,FALSE),"")</f>
        <v/>
      </c>
    </row>
    <row r="392" spans="1:16" x14ac:dyDescent="0.2">
      <c r="A392" s="106">
        <f t="shared" si="15"/>
        <v>364</v>
      </c>
      <c r="B392" s="107" t="s">
        <v>2052</v>
      </c>
      <c r="C392" s="107" t="s">
        <v>2049</v>
      </c>
      <c r="D392" s="108" t="s">
        <v>2053</v>
      </c>
      <c r="E392" s="120" t="s">
        <v>2076</v>
      </c>
      <c r="F392" s="126"/>
      <c r="G392" s="146"/>
      <c r="H392" s="111" t="str">
        <f>IF($G392&lt;&gt;"",VLOOKUP($G392,'MASTER TOKO BALI'!$B$2:$W$744,2,FALSE),"")</f>
        <v/>
      </c>
      <c r="I392" s="237" t="str">
        <f>IF($G392&lt;&gt;"",VLOOKUP($G392,'MASTER TOKO BALI'!$B$2:$W$744,4,FALSE),"")</f>
        <v/>
      </c>
      <c r="J392" s="140">
        <v>46282</v>
      </c>
      <c r="K392" s="111" t="str">
        <f>IF($G392&lt;&gt;"",VLOOKUP($G392,'MASTER TOKO BALI'!$B$2:$W$744,12,FALSE),"")</f>
        <v/>
      </c>
      <c r="L392" s="111" t="str">
        <f>IF($G392&lt;&gt;"",VLOOKUP($G392,'MASTER TOKO BALI'!$B$2:$W$744,5,FALSE),"")</f>
        <v/>
      </c>
      <c r="M392" s="106"/>
      <c r="N392" s="111" t="str">
        <f>IF($G392&lt;&gt;"",VLOOKUP($G392,'MASTER TOKO BALI'!$B$2:$W$744,21,FALSE),"")</f>
        <v/>
      </c>
      <c r="O392" s="106"/>
      <c r="P392" s="164" t="str">
        <f>IF($G392&lt;&gt;"",VLOOKUP($G392,'MASTER TOKO BALI'!$B$2:$W$740,7,FALSE),"")</f>
        <v/>
      </c>
    </row>
    <row r="393" spans="1:16" x14ac:dyDescent="0.2">
      <c r="A393" s="106">
        <f t="shared" si="15"/>
        <v>365</v>
      </c>
      <c r="B393" s="107" t="s">
        <v>2038</v>
      </c>
      <c r="C393" s="107" t="s">
        <v>2049</v>
      </c>
      <c r="D393" s="113" t="s">
        <v>2051</v>
      </c>
      <c r="E393" s="120" t="s">
        <v>2076</v>
      </c>
      <c r="F393" s="110"/>
      <c r="G393" s="145"/>
      <c r="H393" s="111" t="str">
        <f>IF($G393&lt;&gt;"",VLOOKUP($G393,'MASTER TOKO BALI'!$B$2:$W$744,2,FALSE),"")</f>
        <v/>
      </c>
      <c r="I393" s="237" t="str">
        <f>IF($G393&lt;&gt;"",VLOOKUP($G393,'MASTER TOKO BALI'!$B$2:$W$744,4,FALSE),"")</f>
        <v/>
      </c>
      <c r="J393" s="140">
        <v>46282</v>
      </c>
      <c r="K393" s="111" t="str">
        <f>IF($G393&lt;&gt;"",VLOOKUP($G393,'MASTER TOKO BALI'!$B$2:$W$744,12,FALSE),"")</f>
        <v/>
      </c>
      <c r="L393" s="111" t="str">
        <f>IF($G393&lt;&gt;"",VLOOKUP($G393,'MASTER TOKO BALI'!$B$2:$W$744,5,FALSE),"")</f>
        <v/>
      </c>
      <c r="M393" s="106"/>
      <c r="N393" s="111" t="str">
        <f>IF($G393&lt;&gt;"",VLOOKUP($G393,'MASTER TOKO BALI'!$B$2:$W$744,21,FALSE),"")</f>
        <v/>
      </c>
      <c r="O393" s="106"/>
      <c r="P393" s="164" t="str">
        <f>IF($G393&lt;&gt;"",VLOOKUP($G393,'MASTER TOKO BALI'!$B$2:$W$740,7,FALSE),"")</f>
        <v/>
      </c>
    </row>
    <row r="394" spans="1:16" x14ac:dyDescent="0.2">
      <c r="A394" s="106">
        <f t="shared" si="15"/>
        <v>366</v>
      </c>
      <c r="B394" s="107" t="s">
        <v>2054</v>
      </c>
      <c r="C394" s="116" t="s">
        <v>2055</v>
      </c>
      <c r="D394" s="108" t="s">
        <v>2056</v>
      </c>
      <c r="E394" s="120" t="s">
        <v>2076</v>
      </c>
      <c r="F394" s="126"/>
      <c r="G394" s="144"/>
      <c r="H394" s="111" t="str">
        <f>IF($G394&lt;&gt;"",VLOOKUP($G394,'MASTER TOKO BALI'!$B$2:$W$744,2,FALSE),"")</f>
        <v/>
      </c>
      <c r="I394" s="237" t="str">
        <f>IF($G394&lt;&gt;"",VLOOKUP($G394,'MASTER TOKO BALI'!$B$2:$W$744,4,FALSE),"")</f>
        <v/>
      </c>
      <c r="J394" s="140">
        <v>46282</v>
      </c>
      <c r="K394" s="111" t="str">
        <f>IF($G394&lt;&gt;"",VLOOKUP($G394,'MASTER TOKO BALI'!$B$2:$W$744,12,FALSE),"")</f>
        <v/>
      </c>
      <c r="L394" s="111" t="str">
        <f>IF($G394&lt;&gt;"",VLOOKUP($G394,'MASTER TOKO BALI'!$B$2:$W$744,5,FALSE),"")</f>
        <v/>
      </c>
      <c r="M394" s="106"/>
      <c r="N394" s="111" t="str">
        <f>IF($G394&lt;&gt;"",VLOOKUP($G394,'MASTER TOKO BALI'!$B$2:$W$744,21,FALSE),"")</f>
        <v/>
      </c>
      <c r="O394" s="106"/>
      <c r="P394" s="164" t="str">
        <f>IF($G394&lt;&gt;"",VLOOKUP($G394,'MASTER TOKO BALI'!$B$2:$W$740,7,FALSE),"")</f>
        <v/>
      </c>
    </row>
    <row r="395" spans="1:16" x14ac:dyDescent="0.2">
      <c r="A395" s="106">
        <f t="shared" si="15"/>
        <v>367</v>
      </c>
      <c r="B395" s="107" t="s">
        <v>2038</v>
      </c>
      <c r="C395" s="116" t="s">
        <v>2055</v>
      </c>
      <c r="D395" s="113" t="s">
        <v>2057</v>
      </c>
      <c r="E395" s="120" t="s">
        <v>2076</v>
      </c>
      <c r="F395" s="127"/>
      <c r="G395" s="144"/>
      <c r="H395" s="111" t="str">
        <f>IF($G395&lt;&gt;"",VLOOKUP($G395,'MASTER TOKO BALI'!$B$2:$W$744,2,FALSE),"")</f>
        <v/>
      </c>
      <c r="I395" s="237" t="str">
        <f>IF($G395&lt;&gt;"",VLOOKUP($G395,'MASTER TOKO BALI'!$B$2:$W$744,4,FALSE),"")</f>
        <v/>
      </c>
      <c r="J395" s="140">
        <v>46282</v>
      </c>
      <c r="K395" s="111" t="str">
        <f>IF($G395&lt;&gt;"",VLOOKUP($G395,'MASTER TOKO BALI'!$B$2:$W$744,12,FALSE),"")</f>
        <v/>
      </c>
      <c r="L395" s="111" t="str">
        <f>IF($G395&lt;&gt;"",VLOOKUP($G395,'MASTER TOKO BALI'!$B$2:$W$744,5,FALSE),"")</f>
        <v/>
      </c>
      <c r="M395" s="106"/>
      <c r="N395" s="111" t="str">
        <f>IF($G395&lt;&gt;"",VLOOKUP($G395,'MASTER TOKO BALI'!$B$2:$W$744,21,FALSE),"")</f>
        <v/>
      </c>
      <c r="O395" s="106"/>
      <c r="P395" s="164" t="str">
        <f>IF($G395&lt;&gt;"",VLOOKUP($G395,'MASTER TOKO BALI'!$B$2:$W$740,7,FALSE),"")</f>
        <v/>
      </c>
    </row>
    <row r="396" spans="1:16" x14ac:dyDescent="0.2">
      <c r="A396" s="106">
        <f t="shared" si="15"/>
        <v>368</v>
      </c>
      <c r="B396" s="107" t="s">
        <v>2058</v>
      </c>
      <c r="C396" s="116" t="s">
        <v>2055</v>
      </c>
      <c r="D396" s="108" t="s">
        <v>2059</v>
      </c>
      <c r="E396" s="120" t="s">
        <v>2076</v>
      </c>
      <c r="F396" s="126"/>
      <c r="G396" s="144"/>
      <c r="H396" s="111" t="str">
        <f>IF($G396&lt;&gt;"",VLOOKUP($G396,'MASTER TOKO BALI'!$B$2:$W$744,2,FALSE),"")</f>
        <v/>
      </c>
      <c r="I396" s="237" t="str">
        <f>IF($G396&lt;&gt;"",VLOOKUP($G396,'MASTER TOKO BALI'!$B$2:$W$744,4,FALSE),"")</f>
        <v/>
      </c>
      <c r="J396" s="140">
        <v>46282</v>
      </c>
      <c r="K396" s="111" t="str">
        <f>IF($G396&lt;&gt;"",VLOOKUP($G396,'MASTER TOKO BALI'!$B$2:$W$744,12,FALSE),"")</f>
        <v/>
      </c>
      <c r="L396" s="111" t="str">
        <f>IF($G396&lt;&gt;"",VLOOKUP($G396,'MASTER TOKO BALI'!$B$2:$W$744,5,FALSE),"")</f>
        <v/>
      </c>
      <c r="M396" s="106"/>
      <c r="N396" s="111" t="str">
        <f>IF($G396&lt;&gt;"",VLOOKUP($G396,'MASTER TOKO BALI'!$B$2:$W$744,21,FALSE),"")</f>
        <v/>
      </c>
      <c r="O396" s="106"/>
      <c r="P396" s="164" t="str">
        <f>IF($G396&lt;&gt;"",VLOOKUP($G396,'MASTER TOKO BALI'!$B$2:$W$740,7,FALSE),"")</f>
        <v/>
      </c>
    </row>
    <row r="397" spans="1:16" x14ac:dyDescent="0.2">
      <c r="A397" s="106">
        <f t="shared" si="15"/>
        <v>369</v>
      </c>
      <c r="B397" s="107" t="s">
        <v>2038</v>
      </c>
      <c r="C397" s="116" t="s">
        <v>2055</v>
      </c>
      <c r="D397" s="113" t="s">
        <v>2057</v>
      </c>
      <c r="E397" s="120" t="s">
        <v>2076</v>
      </c>
      <c r="F397" s="127"/>
      <c r="G397" s="144"/>
      <c r="H397" s="111" t="str">
        <f>IF($G397&lt;&gt;"",VLOOKUP($G397,'MASTER TOKO BALI'!$B$2:$W$744,2,FALSE),"")</f>
        <v/>
      </c>
      <c r="I397" s="237" t="str">
        <f>IF($G397&lt;&gt;"",VLOOKUP($G397,'MASTER TOKO BALI'!$B$2:$W$744,4,FALSE),"")</f>
        <v/>
      </c>
      <c r="J397" s="140">
        <v>46282</v>
      </c>
      <c r="K397" s="111" t="str">
        <f>IF($G397&lt;&gt;"",VLOOKUP($G397,'MASTER TOKO BALI'!$B$2:$W$744,12,FALSE),"")</f>
        <v/>
      </c>
      <c r="L397" s="111" t="str">
        <f>IF($G397&lt;&gt;"",VLOOKUP($G397,'MASTER TOKO BALI'!$B$2:$W$744,5,FALSE),"")</f>
        <v/>
      </c>
      <c r="M397" s="106"/>
      <c r="N397" s="111" t="str">
        <f>IF($G397&lt;&gt;"",VLOOKUP($G397,'MASTER TOKO BALI'!$B$2:$W$744,21,FALSE),"")</f>
        <v/>
      </c>
      <c r="O397" s="106"/>
      <c r="P397" s="164" t="str">
        <f>IF($G397&lt;&gt;"",VLOOKUP($G397,'MASTER TOKO BALI'!$B$2:$W$740,7,FALSE),"")</f>
        <v/>
      </c>
    </row>
    <row r="398" spans="1:16" x14ac:dyDescent="0.2">
      <c r="A398" s="106">
        <f t="shared" si="15"/>
        <v>370</v>
      </c>
      <c r="B398" s="107" t="s">
        <v>2060</v>
      </c>
      <c r="C398" s="116" t="s">
        <v>2061</v>
      </c>
      <c r="D398" s="108" t="s">
        <v>2062</v>
      </c>
      <c r="E398" s="120" t="s">
        <v>2076</v>
      </c>
      <c r="F398" s="126"/>
      <c r="G398" s="144"/>
      <c r="H398" s="111" t="str">
        <f>IF($G398&lt;&gt;"",VLOOKUP($G398,'MASTER TOKO BALI'!$B$2:$W$744,2,FALSE),"")</f>
        <v/>
      </c>
      <c r="I398" s="237" t="str">
        <f>IF($G398&lt;&gt;"",VLOOKUP($G398,'MASTER TOKO BALI'!$B$2:$W$744,4,FALSE),"")</f>
        <v/>
      </c>
      <c r="J398" s="140">
        <v>46282</v>
      </c>
      <c r="K398" s="111" t="str">
        <f>IF($G398&lt;&gt;"",VLOOKUP($G398,'MASTER TOKO BALI'!$B$2:$W$744,12,FALSE),"")</f>
        <v/>
      </c>
      <c r="L398" s="111" t="str">
        <f>IF($G398&lt;&gt;"",VLOOKUP($G398,'MASTER TOKO BALI'!$B$2:$W$744,5,FALSE),"")</f>
        <v/>
      </c>
      <c r="M398" s="106"/>
      <c r="N398" s="111" t="str">
        <f>IF($G398&lt;&gt;"",VLOOKUP($G398,'MASTER TOKO BALI'!$B$2:$W$744,21,FALSE),"")</f>
        <v/>
      </c>
      <c r="O398" s="106"/>
      <c r="P398" s="164" t="str">
        <f>IF($G398&lt;&gt;"",VLOOKUP($G398,'MASTER TOKO BALI'!$B$2:$W$740,7,FALSE),"")</f>
        <v/>
      </c>
    </row>
    <row r="399" spans="1:16" x14ac:dyDescent="0.2">
      <c r="A399" s="106">
        <f t="shared" si="15"/>
        <v>371</v>
      </c>
      <c r="B399" s="107" t="s">
        <v>2038</v>
      </c>
      <c r="C399" s="116" t="s">
        <v>2061</v>
      </c>
      <c r="D399" s="113" t="s">
        <v>2063</v>
      </c>
      <c r="E399" s="120" t="s">
        <v>2076</v>
      </c>
      <c r="F399" s="126"/>
      <c r="G399" s="144"/>
      <c r="H399" s="111" t="str">
        <f>IF($G399&lt;&gt;"",VLOOKUP($G399,'MASTER TOKO BALI'!$B$2:$W$744,2,FALSE),"")</f>
        <v/>
      </c>
      <c r="I399" s="237" t="str">
        <f>IF($G399&lt;&gt;"",VLOOKUP($G399,'MASTER TOKO BALI'!$B$2:$W$744,4,FALSE),"")</f>
        <v/>
      </c>
      <c r="J399" s="140">
        <v>46282</v>
      </c>
      <c r="K399" s="111" t="str">
        <f>IF($G399&lt;&gt;"",VLOOKUP($G399,'MASTER TOKO BALI'!$B$2:$W$744,12,FALSE),"")</f>
        <v/>
      </c>
      <c r="L399" s="111" t="str">
        <f>IF($G399&lt;&gt;"",VLOOKUP($G399,'MASTER TOKO BALI'!$B$2:$W$744,5,FALSE),"")</f>
        <v/>
      </c>
      <c r="M399" s="106"/>
      <c r="N399" s="111" t="str">
        <f>IF($G399&lt;&gt;"",VLOOKUP($G399,'MASTER TOKO BALI'!$B$2:$W$744,21,FALSE),"")</f>
        <v/>
      </c>
      <c r="O399" s="106"/>
      <c r="P399" s="164" t="str">
        <f>IF($G399&lt;&gt;"",VLOOKUP($G399,'MASTER TOKO BALI'!$B$2:$W$740,7,FALSE),"")</f>
        <v/>
      </c>
    </row>
    <row r="400" spans="1:16" x14ac:dyDescent="0.2">
      <c r="A400" s="106">
        <f t="shared" si="15"/>
        <v>372</v>
      </c>
      <c r="B400" s="107" t="s">
        <v>2064</v>
      </c>
      <c r="C400" s="116" t="s">
        <v>2061</v>
      </c>
      <c r="D400" s="108" t="s">
        <v>2065</v>
      </c>
      <c r="E400" s="120" t="s">
        <v>2076</v>
      </c>
      <c r="F400" s="126"/>
      <c r="G400" s="144"/>
      <c r="H400" s="111" t="str">
        <f>IF($G400&lt;&gt;"",VLOOKUP($G400,'MASTER TOKO BALI'!$B$2:$W$744,2,FALSE),"")</f>
        <v/>
      </c>
      <c r="I400" s="237" t="str">
        <f>IF($G400&lt;&gt;"",VLOOKUP($G400,'MASTER TOKO BALI'!$B$2:$W$744,4,FALSE),"")</f>
        <v/>
      </c>
      <c r="J400" s="140">
        <v>46282</v>
      </c>
      <c r="K400" s="111" t="str">
        <f>IF($G400&lt;&gt;"",VLOOKUP($G400,'MASTER TOKO BALI'!$B$2:$W$744,12,FALSE),"")</f>
        <v/>
      </c>
      <c r="L400" s="111" t="str">
        <f>IF($G400&lt;&gt;"",VLOOKUP($G400,'MASTER TOKO BALI'!$B$2:$W$744,5,FALSE),"")</f>
        <v/>
      </c>
      <c r="M400" s="106"/>
      <c r="N400" s="111" t="str">
        <f>IF($G400&lt;&gt;"",VLOOKUP($G400,'MASTER TOKO BALI'!$B$2:$W$744,21,FALSE),"")</f>
        <v/>
      </c>
      <c r="O400" s="106"/>
      <c r="P400" s="164" t="str">
        <f>IF($G400&lt;&gt;"",VLOOKUP($G400,'MASTER TOKO BALI'!$B$2:$W$740,7,FALSE),"")</f>
        <v/>
      </c>
    </row>
    <row r="401" spans="1:16" x14ac:dyDescent="0.2">
      <c r="A401" s="106">
        <f t="shared" si="15"/>
        <v>373</v>
      </c>
      <c r="B401" s="107" t="s">
        <v>2066</v>
      </c>
      <c r="C401" s="116" t="s">
        <v>2061</v>
      </c>
      <c r="D401" s="113" t="s">
        <v>2063</v>
      </c>
      <c r="E401" s="120" t="s">
        <v>2076</v>
      </c>
      <c r="F401" s="126"/>
      <c r="G401" s="144"/>
      <c r="H401" s="111" t="str">
        <f>IF($G401&lt;&gt;"",VLOOKUP($G401,'MASTER TOKO BALI'!$B$2:$W$744,2,FALSE),"")</f>
        <v/>
      </c>
      <c r="I401" s="237" t="str">
        <f>IF($G401&lt;&gt;"",VLOOKUP($G401,'MASTER TOKO BALI'!$B$2:$W$744,4,FALSE),"")</f>
        <v/>
      </c>
      <c r="J401" s="140">
        <v>46282</v>
      </c>
      <c r="K401" s="111" t="str">
        <f>IF($G401&lt;&gt;"",VLOOKUP($G401,'MASTER TOKO BALI'!$B$2:$W$744,12,FALSE),"")</f>
        <v/>
      </c>
      <c r="L401" s="111" t="str">
        <f>IF($G401&lt;&gt;"",VLOOKUP($G401,'MASTER TOKO BALI'!$B$2:$W$744,5,FALSE),"")</f>
        <v/>
      </c>
      <c r="M401" s="106"/>
      <c r="N401" s="111" t="str">
        <f>IF($G401&lt;&gt;"",VLOOKUP($G401,'MASTER TOKO BALI'!$B$2:$W$744,21,FALSE),"")</f>
        <v/>
      </c>
      <c r="O401" s="106"/>
      <c r="P401" s="164" t="str">
        <f>IF($G401&lt;&gt;"",VLOOKUP($G401,'MASTER TOKO BALI'!$B$2:$W$740,7,FALSE),"")</f>
        <v/>
      </c>
    </row>
    <row r="402" spans="1:16" x14ac:dyDescent="0.2">
      <c r="A402" s="106">
        <f t="shared" si="15"/>
        <v>374</v>
      </c>
      <c r="B402" s="107" t="s">
        <v>2067</v>
      </c>
      <c r="C402" s="107" t="s">
        <v>2068</v>
      </c>
      <c r="D402" s="108" t="s">
        <v>2069</v>
      </c>
      <c r="E402" s="120" t="s">
        <v>2076</v>
      </c>
      <c r="F402" s="122"/>
      <c r="G402" s="145"/>
      <c r="H402" s="111" t="str">
        <f>IF($G402&lt;&gt;"",VLOOKUP($G402,'MASTER TOKO BALI'!$B$2:$W$744,2,FALSE),"")</f>
        <v/>
      </c>
      <c r="I402" s="237" t="str">
        <f>IF($G402&lt;&gt;"",VLOOKUP($G402,'MASTER TOKO BALI'!$B$2:$W$744,4,FALSE),"")</f>
        <v/>
      </c>
      <c r="J402" s="140">
        <v>46282</v>
      </c>
      <c r="K402" s="111" t="str">
        <f>IF($G402&lt;&gt;"",VLOOKUP($G402,'MASTER TOKO BALI'!$B$2:$W$744,12,FALSE),"")</f>
        <v/>
      </c>
      <c r="L402" s="111" t="str">
        <f>IF($G402&lt;&gt;"",VLOOKUP($G402,'MASTER TOKO BALI'!$B$2:$W$744,5,FALSE),"")</f>
        <v/>
      </c>
      <c r="M402" s="106"/>
      <c r="N402" s="111" t="str">
        <f>IF($G402&lt;&gt;"",VLOOKUP($G402,'MASTER TOKO BALI'!$B$2:$W$744,21,FALSE),"")</f>
        <v/>
      </c>
      <c r="O402" s="106"/>
      <c r="P402" s="164" t="str">
        <f>IF($G402&lt;&gt;"",VLOOKUP($G402,'MASTER TOKO BALI'!$B$2:$W$740,7,FALSE),"")</f>
        <v/>
      </c>
    </row>
    <row r="403" spans="1:16" x14ac:dyDescent="0.2">
      <c r="A403" s="106">
        <f t="shared" si="15"/>
        <v>375</v>
      </c>
      <c r="B403" s="107" t="s">
        <v>2066</v>
      </c>
      <c r="C403" s="107" t="s">
        <v>2068</v>
      </c>
      <c r="D403" s="117" t="s">
        <v>2070</v>
      </c>
      <c r="E403" s="120" t="s">
        <v>2076</v>
      </c>
      <c r="F403" s="122"/>
      <c r="G403" s="145"/>
      <c r="H403" s="111" t="str">
        <f>IF($G403&lt;&gt;"",VLOOKUP($G403,'MASTER TOKO BALI'!$B$2:$W$744,2,FALSE),"")</f>
        <v/>
      </c>
      <c r="I403" s="237" t="str">
        <f>IF($G403&lt;&gt;"",VLOOKUP($G403,'MASTER TOKO BALI'!$B$2:$W$744,4,FALSE),"")</f>
        <v/>
      </c>
      <c r="J403" s="140">
        <v>46282</v>
      </c>
      <c r="K403" s="111" t="str">
        <f>IF($G403&lt;&gt;"",VLOOKUP($G403,'MASTER TOKO BALI'!$B$2:$W$744,12,FALSE),"")</f>
        <v/>
      </c>
      <c r="L403" s="111" t="str">
        <f>IF($G403&lt;&gt;"",VLOOKUP($G403,'MASTER TOKO BALI'!$B$2:$W$744,5,FALSE),"")</f>
        <v/>
      </c>
      <c r="M403" s="106"/>
      <c r="N403" s="111" t="str">
        <f>IF($G403&lt;&gt;"",VLOOKUP($G403,'MASTER TOKO BALI'!$B$2:$W$744,21,FALSE),"")</f>
        <v/>
      </c>
      <c r="O403" s="106"/>
      <c r="P403" s="164" t="str">
        <f>IF($G403&lt;&gt;"",VLOOKUP($G403,'MASTER TOKO BALI'!$B$2:$W$740,7,FALSE),"")</f>
        <v/>
      </c>
    </row>
    <row r="404" spans="1:16" x14ac:dyDescent="0.2">
      <c r="A404" s="106">
        <f t="shared" si="15"/>
        <v>376</v>
      </c>
      <c r="B404" s="107" t="s">
        <v>2071</v>
      </c>
      <c r="C404" s="107" t="s">
        <v>2068</v>
      </c>
      <c r="D404" s="116" t="s">
        <v>2003</v>
      </c>
      <c r="E404" s="120" t="s">
        <v>2076</v>
      </c>
      <c r="F404" s="126"/>
      <c r="G404" s="145"/>
      <c r="H404" s="111" t="str">
        <f>IF($G404&lt;&gt;"",VLOOKUP($G404,'MASTER TOKO BALI'!$B$2:$W$744,2,FALSE),"")</f>
        <v/>
      </c>
      <c r="I404" s="237" t="str">
        <f>IF($G404&lt;&gt;"",VLOOKUP($G404,'MASTER TOKO BALI'!$B$2:$W$744,4,FALSE),"")</f>
        <v/>
      </c>
      <c r="J404" s="140">
        <v>46282</v>
      </c>
      <c r="K404" s="111" t="str">
        <f>IF($G404&lt;&gt;"",VLOOKUP($G404,'MASTER TOKO BALI'!$B$2:$W$744,12,FALSE),"")</f>
        <v/>
      </c>
      <c r="L404" s="111" t="str">
        <f>IF($G404&lt;&gt;"",VLOOKUP($G404,'MASTER TOKO BALI'!$B$2:$W$744,5,FALSE),"")</f>
        <v/>
      </c>
      <c r="M404" s="106"/>
      <c r="N404" s="111" t="str">
        <f>IF($G404&lt;&gt;"",VLOOKUP($G404,'MASTER TOKO BALI'!$B$2:$W$744,21,FALSE),"")</f>
        <v/>
      </c>
      <c r="O404" s="106"/>
      <c r="P404" s="164" t="str">
        <f>IF($G404&lt;&gt;"",VLOOKUP($G404,'MASTER TOKO BALI'!$B$2:$W$740,7,FALSE),"")</f>
        <v/>
      </c>
    </row>
    <row r="405" spans="1:16" x14ac:dyDescent="0.2">
      <c r="A405" s="106">
        <f t="shared" si="15"/>
        <v>377</v>
      </c>
      <c r="B405" s="107" t="s">
        <v>2066</v>
      </c>
      <c r="C405" s="107" t="s">
        <v>2068</v>
      </c>
      <c r="D405" s="117" t="s">
        <v>2070</v>
      </c>
      <c r="E405" s="120" t="s">
        <v>2076</v>
      </c>
      <c r="F405" s="127"/>
      <c r="G405" s="149"/>
      <c r="H405" s="111" t="str">
        <f>IF($G405&lt;&gt;"",VLOOKUP($G405,'MASTER TOKO BALI'!$B$2:$W$744,2,FALSE),"")</f>
        <v/>
      </c>
      <c r="I405" s="237" t="str">
        <f>IF($G405&lt;&gt;"",VLOOKUP($G405,'MASTER TOKO BALI'!$B$2:$W$744,4,FALSE),"")</f>
        <v/>
      </c>
      <c r="J405" s="140">
        <v>46282</v>
      </c>
      <c r="K405" s="111" t="str">
        <f>IF($G405&lt;&gt;"",VLOOKUP($G405,'MASTER TOKO BALI'!$B$2:$W$744,12,FALSE),"")</f>
        <v/>
      </c>
      <c r="L405" s="111" t="str">
        <f>IF($G405&lt;&gt;"",VLOOKUP($G405,'MASTER TOKO BALI'!$B$2:$W$744,5,FALSE),"")</f>
        <v/>
      </c>
      <c r="M405" s="106"/>
      <c r="N405" s="111" t="str">
        <f>IF($G405&lt;&gt;"",VLOOKUP($G405,'MASTER TOKO BALI'!$B$2:$W$744,21,FALSE),"")</f>
        <v/>
      </c>
      <c r="O405" s="106"/>
      <c r="P405" s="164" t="str">
        <f>IF($G405&lt;&gt;"",VLOOKUP($G405,'MASTER TOKO BALI'!$B$2:$W$740,7,FALSE),"")</f>
        <v/>
      </c>
    </row>
    <row r="406" spans="1:16" x14ac:dyDescent="0.2">
      <c r="A406" s="106"/>
      <c r="B406" s="107"/>
      <c r="C406" s="107"/>
      <c r="D406" s="111"/>
      <c r="E406" s="114"/>
      <c r="F406" s="126"/>
      <c r="G406" s="144"/>
      <c r="H406" s="111" t="str">
        <f>IF($G406&lt;&gt;"",VLOOKUP($G406,'MASTER TOKO BALI'!$B$2:$W$744,2,FALSE),"")</f>
        <v/>
      </c>
      <c r="I406" s="237" t="str">
        <f>IF($G406&lt;&gt;"",VLOOKUP($G406,'MASTER TOKO BALI'!$B$2:$W$744,4,FALSE),"")</f>
        <v/>
      </c>
      <c r="J406" s="140">
        <v>46282</v>
      </c>
      <c r="K406" s="111" t="str">
        <f>IF($G406&lt;&gt;"",VLOOKUP($G406,'MASTER TOKO BALI'!$B$2:$W$744,12,FALSE),"")</f>
        <v/>
      </c>
      <c r="L406" s="111" t="str">
        <f>IF($G406&lt;&gt;"",VLOOKUP($G406,'MASTER TOKO BALI'!$B$2:$W$744,5,FALSE),"")</f>
        <v/>
      </c>
      <c r="M406" s="106"/>
      <c r="N406" s="111" t="str">
        <f>IF($G406&lt;&gt;"",VLOOKUP($G406,'MASTER TOKO BALI'!$B$2:$W$744,21,FALSE),"")</f>
        <v/>
      </c>
      <c r="O406" s="106"/>
      <c r="P406" s="164" t="str">
        <f>IF($G406&lt;&gt;"",VLOOKUP($G406,'MASTER TOKO BALI'!$B$2:$W$740,7,FALSE),"")</f>
        <v/>
      </c>
    </row>
    <row r="407" spans="1:16" x14ac:dyDescent="0.2">
      <c r="A407" s="106">
        <f>A405+1</f>
        <v>378</v>
      </c>
      <c r="B407" s="107" t="s">
        <v>2034</v>
      </c>
      <c r="C407" s="107" t="s">
        <v>2035</v>
      </c>
      <c r="D407" s="108" t="s">
        <v>2036</v>
      </c>
      <c r="E407" s="120" t="s">
        <v>2077</v>
      </c>
      <c r="F407" s="126"/>
      <c r="G407" s="144"/>
      <c r="H407" s="111" t="str">
        <f>IF($G407&lt;&gt;"",VLOOKUP($G407,'MASTER TOKO BALI'!$B$2:$W$744,2,FALSE),"")</f>
        <v/>
      </c>
      <c r="I407" s="237" t="str">
        <f>IF($G407&lt;&gt;"",VLOOKUP($G407,'MASTER TOKO BALI'!$B$2:$W$744,4,FALSE),"")</f>
        <v/>
      </c>
      <c r="J407" s="140"/>
      <c r="K407" s="111" t="str">
        <f>IF($G407&lt;&gt;"",VLOOKUP($G407,'MASTER TOKO BALI'!$B$2:$W$744,12,FALSE),"")</f>
        <v/>
      </c>
      <c r="L407" s="111" t="str">
        <f>IF($G407&lt;&gt;"",VLOOKUP($G407,'MASTER TOKO BALI'!$B$2:$W$744,5,FALSE),"")</f>
        <v/>
      </c>
      <c r="M407" s="106"/>
      <c r="N407" s="111" t="str">
        <f>IF($G407&lt;&gt;"",VLOOKUP($G407,'MASTER TOKO BALI'!$B$2:$W$744,21,FALSE),"")</f>
        <v/>
      </c>
      <c r="O407" s="106"/>
      <c r="P407" s="164" t="str">
        <f>IF($G407&lt;&gt;"",VLOOKUP($G407,'MASTER TOKO BALI'!$B$2:$W$740,7,FALSE),"")</f>
        <v/>
      </c>
    </row>
    <row r="408" spans="1:16" x14ac:dyDescent="0.2">
      <c r="A408" s="106">
        <f t="shared" ref="A408:A430" si="16">A407+1</f>
        <v>379</v>
      </c>
      <c r="B408" s="107" t="s">
        <v>2038</v>
      </c>
      <c r="C408" s="107" t="s">
        <v>2035</v>
      </c>
      <c r="D408" s="113" t="s">
        <v>2039</v>
      </c>
      <c r="E408" s="120" t="s">
        <v>2077</v>
      </c>
      <c r="F408" s="126"/>
      <c r="G408" s="144"/>
      <c r="H408" s="111" t="str">
        <f>IF($G408&lt;&gt;"",VLOOKUP($G408,'MASTER TOKO BALI'!$B$2:$W$744,2,FALSE),"")</f>
        <v/>
      </c>
      <c r="I408" s="237" t="str">
        <f>IF($G408&lt;&gt;"",VLOOKUP($G408,'MASTER TOKO BALI'!$B$2:$W$744,4,FALSE),"")</f>
        <v/>
      </c>
      <c r="J408" s="140">
        <v>46283</v>
      </c>
      <c r="K408" s="111" t="str">
        <f>IF($G408&lt;&gt;"",VLOOKUP($G408,'MASTER TOKO BALI'!$B$2:$W$744,12,FALSE),"")</f>
        <v/>
      </c>
      <c r="L408" s="111" t="str">
        <f>IF($G408&lt;&gt;"",VLOOKUP($G408,'MASTER TOKO BALI'!$B$2:$W$744,5,FALSE),"")</f>
        <v/>
      </c>
      <c r="M408" s="106"/>
      <c r="N408" s="111" t="str">
        <f>IF($G408&lt;&gt;"",VLOOKUP($G408,'MASTER TOKO BALI'!$B$2:$W$744,21,FALSE),"")</f>
        <v/>
      </c>
      <c r="O408" s="106"/>
      <c r="P408" s="164" t="str">
        <f>IF($G408&lt;&gt;"",VLOOKUP($G408,'MASTER TOKO BALI'!$B$2:$W$740,7,FALSE),"")</f>
        <v/>
      </c>
    </row>
    <row r="409" spans="1:16" x14ac:dyDescent="0.2">
      <c r="A409" s="106">
        <f t="shared" si="16"/>
        <v>380</v>
      </c>
      <c r="B409" s="107" t="s">
        <v>2040</v>
      </c>
      <c r="C409" s="107" t="s">
        <v>2035</v>
      </c>
      <c r="D409" s="108" t="s">
        <v>2041</v>
      </c>
      <c r="E409" s="120" t="s">
        <v>2077</v>
      </c>
      <c r="F409" s="126"/>
      <c r="G409" s="144"/>
      <c r="H409" s="111" t="str">
        <f>IF($G409&lt;&gt;"",VLOOKUP($G409,'MASTER TOKO BALI'!$B$2:$W$744,2,FALSE),"")</f>
        <v/>
      </c>
      <c r="I409" s="237" t="str">
        <f>IF($G409&lt;&gt;"",VLOOKUP($G409,'MASTER TOKO BALI'!$B$2:$W$744,4,FALSE),"")</f>
        <v/>
      </c>
      <c r="J409" s="140">
        <v>46283</v>
      </c>
      <c r="K409" s="111" t="str">
        <f>IF($G409&lt;&gt;"",VLOOKUP($G409,'MASTER TOKO BALI'!$B$2:$W$744,12,FALSE),"")</f>
        <v/>
      </c>
      <c r="L409" s="111" t="str">
        <f>IF($G409&lt;&gt;"",VLOOKUP($G409,'MASTER TOKO BALI'!$B$2:$W$744,5,FALSE),"")</f>
        <v/>
      </c>
      <c r="M409" s="106"/>
      <c r="N409" s="111" t="str">
        <f>IF($G409&lt;&gt;"",VLOOKUP($G409,'MASTER TOKO BALI'!$B$2:$W$744,21,FALSE),"")</f>
        <v/>
      </c>
      <c r="O409" s="106"/>
      <c r="P409" s="164" t="str">
        <f>IF($G409&lt;&gt;"",VLOOKUP($G409,'MASTER TOKO BALI'!$B$2:$W$740,7,FALSE),"")</f>
        <v/>
      </c>
    </row>
    <row r="410" spans="1:16" x14ac:dyDescent="0.2">
      <c r="A410" s="106"/>
      <c r="B410" s="107" t="s">
        <v>2038</v>
      </c>
      <c r="C410" s="107" t="s">
        <v>2035</v>
      </c>
      <c r="D410" s="113" t="s">
        <v>2039</v>
      </c>
      <c r="E410" s="120" t="s">
        <v>2077</v>
      </c>
      <c r="F410" s="126"/>
      <c r="G410" s="144"/>
      <c r="H410" s="111" t="str">
        <f>IF($G410&lt;&gt;"",VLOOKUP($G410,'MASTER TOKO BALI'!$B$2:$W$744,2,FALSE),"")</f>
        <v/>
      </c>
      <c r="I410" s="237" t="str">
        <f>IF($G410&lt;&gt;"",VLOOKUP($G410,'MASTER TOKO BALI'!$B$2:$W$744,4,FALSE),"")</f>
        <v/>
      </c>
      <c r="J410" s="140">
        <v>46283</v>
      </c>
      <c r="K410" s="111" t="str">
        <f>IF($G410&lt;&gt;"",VLOOKUP($G410,'MASTER TOKO BALI'!$B$2:$W$744,12,FALSE),"")</f>
        <v/>
      </c>
      <c r="L410" s="111" t="str">
        <f>IF($G410&lt;&gt;"",VLOOKUP($G410,'MASTER TOKO BALI'!$B$2:$W$744,5,FALSE),"")</f>
        <v/>
      </c>
      <c r="M410" s="106"/>
      <c r="N410" s="111" t="str">
        <f>IF($G410&lt;&gt;"",VLOOKUP($G410,'MASTER TOKO BALI'!$B$2:$W$744,21,FALSE),"")</f>
        <v/>
      </c>
      <c r="O410" s="106"/>
      <c r="P410" s="164" t="str">
        <f>IF($G410&lt;&gt;"",VLOOKUP($G410,'MASTER TOKO BALI'!$B$2:$W$740,7,FALSE),"")</f>
        <v/>
      </c>
    </row>
    <row r="411" spans="1:16" x14ac:dyDescent="0.2">
      <c r="A411" s="106">
        <f>A409+1</f>
        <v>381</v>
      </c>
      <c r="B411" s="107" t="s">
        <v>2042</v>
      </c>
      <c r="C411" s="107" t="s">
        <v>2043</v>
      </c>
      <c r="D411" s="108" t="s">
        <v>2044</v>
      </c>
      <c r="E411" s="120" t="s">
        <v>2077</v>
      </c>
      <c r="F411" s="126"/>
      <c r="G411" s="148"/>
      <c r="H411" s="111" t="str">
        <f>IF($G411&lt;&gt;"",VLOOKUP($G411,'MASTER TOKO BALI'!$B$2:$W$744,2,FALSE),"")</f>
        <v/>
      </c>
      <c r="I411" s="237" t="str">
        <f>IF($G411&lt;&gt;"",VLOOKUP($G411,'MASTER TOKO BALI'!$B$2:$W$744,4,FALSE),"")</f>
        <v/>
      </c>
      <c r="J411" s="140">
        <v>46283</v>
      </c>
      <c r="K411" s="111" t="str">
        <f>IF($G411&lt;&gt;"",VLOOKUP($G411,'MASTER TOKO BALI'!$B$2:$W$744,12,FALSE),"")</f>
        <v/>
      </c>
      <c r="L411" s="111" t="str">
        <f>IF($G411&lt;&gt;"",VLOOKUP($G411,'MASTER TOKO BALI'!$B$2:$W$744,5,FALSE),"")</f>
        <v/>
      </c>
      <c r="M411" s="106"/>
      <c r="N411" s="111" t="str">
        <f>IF($G411&lt;&gt;"",VLOOKUP($G411,'MASTER TOKO BALI'!$B$2:$W$744,21,FALSE),"")</f>
        <v/>
      </c>
      <c r="O411" s="106"/>
      <c r="P411" s="164" t="str">
        <f>IF($G411&lt;&gt;"",VLOOKUP($G411,'MASTER TOKO BALI'!$B$2:$W$740,7,FALSE),"")</f>
        <v/>
      </c>
    </row>
    <row r="412" spans="1:16" x14ac:dyDescent="0.2">
      <c r="A412" s="106">
        <f t="shared" si="16"/>
        <v>382</v>
      </c>
      <c r="B412" s="107" t="s">
        <v>2038</v>
      </c>
      <c r="C412" s="107" t="s">
        <v>2043</v>
      </c>
      <c r="D412" s="113" t="s">
        <v>2045</v>
      </c>
      <c r="E412" s="120" t="s">
        <v>2077</v>
      </c>
      <c r="F412" s="129"/>
      <c r="G412" s="148"/>
      <c r="H412" s="111" t="str">
        <f>IF($G412&lt;&gt;"",VLOOKUP($G412,'MASTER TOKO BALI'!$B$2:$W$744,2,FALSE),"")</f>
        <v/>
      </c>
      <c r="I412" s="237" t="str">
        <f>IF($G412&lt;&gt;"",VLOOKUP($G412,'MASTER TOKO BALI'!$B$2:$W$744,4,FALSE),"")</f>
        <v/>
      </c>
      <c r="J412" s="140">
        <v>46283</v>
      </c>
      <c r="K412" s="111" t="str">
        <f>IF($G412&lt;&gt;"",VLOOKUP($G412,'MASTER TOKO BALI'!$B$2:$W$744,12,FALSE),"")</f>
        <v/>
      </c>
      <c r="L412" s="111" t="str">
        <f>IF($G412&lt;&gt;"",VLOOKUP($G412,'MASTER TOKO BALI'!$B$2:$W$744,5,FALSE),"")</f>
        <v/>
      </c>
      <c r="M412" s="106"/>
      <c r="N412" s="111" t="str">
        <f>IF($G412&lt;&gt;"",VLOOKUP($G412,'MASTER TOKO BALI'!$B$2:$W$744,21,FALSE),"")</f>
        <v/>
      </c>
      <c r="O412" s="106"/>
      <c r="P412" s="164" t="str">
        <f>IF($G412&lt;&gt;"",VLOOKUP($G412,'MASTER TOKO BALI'!$B$2:$W$740,7,FALSE),"")</f>
        <v/>
      </c>
    </row>
    <row r="413" spans="1:16" x14ac:dyDescent="0.2">
      <c r="A413" s="106">
        <f t="shared" si="16"/>
        <v>383</v>
      </c>
      <c r="B413" s="107" t="s">
        <v>2046</v>
      </c>
      <c r="C413" s="107" t="s">
        <v>2043</v>
      </c>
      <c r="D413" s="108" t="s">
        <v>2047</v>
      </c>
      <c r="E413" s="120" t="s">
        <v>2077</v>
      </c>
      <c r="F413" s="126"/>
      <c r="G413" s="145"/>
      <c r="H413" s="111" t="str">
        <f>IF($G413&lt;&gt;"",VLOOKUP($G413,'MASTER TOKO BALI'!$B$2:$W$744,2,FALSE),"")</f>
        <v/>
      </c>
      <c r="I413" s="237" t="str">
        <f>IF($G413&lt;&gt;"",VLOOKUP($G413,'MASTER TOKO BALI'!$B$2:$W$744,4,FALSE),"")</f>
        <v/>
      </c>
      <c r="J413" s="140">
        <v>46283</v>
      </c>
      <c r="K413" s="111" t="str">
        <f>IF($G413&lt;&gt;"",VLOOKUP($G413,'MASTER TOKO BALI'!$B$2:$W$744,12,FALSE),"")</f>
        <v/>
      </c>
      <c r="L413" s="111" t="str">
        <f>IF($G413&lt;&gt;"",VLOOKUP($G413,'MASTER TOKO BALI'!$B$2:$W$744,5,FALSE),"")</f>
        <v/>
      </c>
      <c r="M413" s="106"/>
      <c r="N413" s="111" t="str">
        <f>IF($G413&lt;&gt;"",VLOOKUP($G413,'MASTER TOKO BALI'!$B$2:$W$744,21,FALSE),"")</f>
        <v/>
      </c>
      <c r="O413" s="106"/>
      <c r="P413" s="164" t="str">
        <f>IF($G413&lt;&gt;"",VLOOKUP($G413,'MASTER TOKO BALI'!$B$2:$W$740,7,FALSE),"")</f>
        <v/>
      </c>
    </row>
    <row r="414" spans="1:16" x14ac:dyDescent="0.2">
      <c r="A414" s="106">
        <f t="shared" si="16"/>
        <v>384</v>
      </c>
      <c r="B414" s="107" t="s">
        <v>2038</v>
      </c>
      <c r="C414" s="107" t="s">
        <v>2043</v>
      </c>
      <c r="D414" s="113" t="s">
        <v>2045</v>
      </c>
      <c r="E414" s="120" t="s">
        <v>2077</v>
      </c>
      <c r="F414" s="127"/>
      <c r="G414" s="146"/>
      <c r="H414" s="111" t="str">
        <f>IF($G414&lt;&gt;"",VLOOKUP($G414,'MASTER TOKO BALI'!$B$2:$W$744,2,FALSE),"")</f>
        <v/>
      </c>
      <c r="I414" s="237" t="str">
        <f>IF($G414&lt;&gt;"",VLOOKUP($G414,'MASTER TOKO BALI'!$B$2:$W$744,4,FALSE),"")</f>
        <v/>
      </c>
      <c r="J414" s="140">
        <v>46283</v>
      </c>
      <c r="K414" s="111" t="str">
        <f>IF($G414&lt;&gt;"",VLOOKUP($G414,'MASTER TOKO BALI'!$B$2:$W$744,12,FALSE),"")</f>
        <v/>
      </c>
      <c r="L414" s="111" t="str">
        <f>IF($G414&lt;&gt;"",VLOOKUP($G414,'MASTER TOKO BALI'!$B$2:$W$744,5,FALSE),"")</f>
        <v/>
      </c>
      <c r="M414" s="106"/>
      <c r="N414" s="111" t="str">
        <f>IF($G414&lt;&gt;"",VLOOKUP($G414,'MASTER TOKO BALI'!$B$2:$W$744,21,FALSE),"")</f>
        <v/>
      </c>
      <c r="O414" s="106"/>
      <c r="P414" s="164" t="str">
        <f>IF($G414&lt;&gt;"",VLOOKUP($G414,'MASTER TOKO BALI'!$B$2:$W$740,7,FALSE),"")</f>
        <v/>
      </c>
    </row>
    <row r="415" spans="1:16" x14ac:dyDescent="0.2">
      <c r="A415" s="106">
        <f t="shared" si="16"/>
        <v>385</v>
      </c>
      <c r="B415" s="107" t="s">
        <v>2048</v>
      </c>
      <c r="C415" s="107" t="s">
        <v>2049</v>
      </c>
      <c r="D415" s="108" t="s">
        <v>2050</v>
      </c>
      <c r="E415" s="120" t="s">
        <v>2077</v>
      </c>
      <c r="F415" s="126"/>
      <c r="G415" s="144"/>
      <c r="H415" s="111" t="str">
        <f>IF($G415&lt;&gt;"",VLOOKUP($G415,'MASTER TOKO BALI'!$B$2:$W$744,2,FALSE),"")</f>
        <v/>
      </c>
      <c r="I415" s="237" t="str">
        <f>IF($G415&lt;&gt;"",VLOOKUP($G415,'MASTER TOKO BALI'!$B$2:$W$744,4,FALSE),"")</f>
        <v/>
      </c>
      <c r="J415" s="140">
        <v>46283</v>
      </c>
      <c r="K415" s="111" t="str">
        <f>IF($G415&lt;&gt;"",VLOOKUP($G415,'MASTER TOKO BALI'!$B$2:$W$744,12,FALSE),"")</f>
        <v/>
      </c>
      <c r="L415" s="111" t="str">
        <f>IF($G415&lt;&gt;"",VLOOKUP($G415,'MASTER TOKO BALI'!$B$2:$W$744,5,FALSE),"")</f>
        <v/>
      </c>
      <c r="M415" s="106"/>
      <c r="N415" s="111" t="str">
        <f>IF($G415&lt;&gt;"",VLOOKUP($G415,'MASTER TOKO BALI'!$B$2:$W$744,21,FALSE),"")</f>
        <v/>
      </c>
      <c r="O415" s="106"/>
      <c r="P415" s="164" t="str">
        <f>IF($G415&lt;&gt;"",VLOOKUP($G415,'MASTER TOKO BALI'!$B$2:$W$740,7,FALSE),"")</f>
        <v/>
      </c>
    </row>
    <row r="416" spans="1:16" x14ac:dyDescent="0.2">
      <c r="A416" s="106">
        <f t="shared" si="16"/>
        <v>386</v>
      </c>
      <c r="B416" s="107" t="s">
        <v>2038</v>
      </c>
      <c r="C416" s="107" t="s">
        <v>2049</v>
      </c>
      <c r="D416" s="115" t="s">
        <v>2051</v>
      </c>
      <c r="E416" s="120" t="s">
        <v>2077</v>
      </c>
      <c r="F416" s="126"/>
      <c r="G416" s="144"/>
      <c r="H416" s="111" t="str">
        <f>IF($G416&lt;&gt;"",VLOOKUP($G416,'MASTER TOKO BALI'!$B$2:$W$744,2,FALSE),"")</f>
        <v/>
      </c>
      <c r="I416" s="237" t="str">
        <f>IF($G416&lt;&gt;"",VLOOKUP($G416,'MASTER TOKO BALI'!$B$2:$W$744,4,FALSE),"")</f>
        <v/>
      </c>
      <c r="J416" s="140">
        <v>46283</v>
      </c>
      <c r="K416" s="111" t="str">
        <f>IF($G416&lt;&gt;"",VLOOKUP($G416,'MASTER TOKO BALI'!$B$2:$W$744,12,FALSE),"")</f>
        <v/>
      </c>
      <c r="L416" s="111" t="str">
        <f>IF($G416&lt;&gt;"",VLOOKUP($G416,'MASTER TOKO BALI'!$B$2:$W$744,5,FALSE),"")</f>
        <v/>
      </c>
      <c r="M416" s="106"/>
      <c r="N416" s="111" t="str">
        <f>IF($G416&lt;&gt;"",VLOOKUP($G416,'MASTER TOKO BALI'!$B$2:$W$744,21,FALSE),"")</f>
        <v/>
      </c>
      <c r="O416" s="106"/>
      <c r="P416" s="164" t="str">
        <f>IF($G416&lt;&gt;"",VLOOKUP($G416,'MASTER TOKO BALI'!$B$2:$W$740,7,FALSE),"")</f>
        <v/>
      </c>
    </row>
    <row r="417" spans="1:19" x14ac:dyDescent="0.2">
      <c r="A417" s="106"/>
      <c r="B417" s="107" t="s">
        <v>2052</v>
      </c>
      <c r="C417" s="107" t="s">
        <v>2049</v>
      </c>
      <c r="D417" s="108" t="s">
        <v>2053</v>
      </c>
      <c r="E417" s="120" t="s">
        <v>2077</v>
      </c>
      <c r="F417" s="126"/>
      <c r="G417" s="144"/>
      <c r="H417" s="111" t="str">
        <f>IF($G417&lt;&gt;"",VLOOKUP($G417,'MASTER TOKO BALI'!$B$2:$W$744,2,FALSE),"")</f>
        <v/>
      </c>
      <c r="I417" s="237" t="str">
        <f>IF($G417&lt;&gt;"",VLOOKUP($G417,'MASTER TOKO BALI'!$B$2:$W$744,4,FALSE),"")</f>
        <v/>
      </c>
      <c r="J417" s="140">
        <v>46283</v>
      </c>
      <c r="K417" s="111" t="str">
        <f>IF($G417&lt;&gt;"",VLOOKUP($G417,'MASTER TOKO BALI'!$B$2:$W$744,12,FALSE),"")</f>
        <v/>
      </c>
      <c r="L417" s="111" t="str">
        <f>IF($G417&lt;&gt;"",VLOOKUP($G417,'MASTER TOKO BALI'!$B$2:$W$744,5,FALSE),"")</f>
        <v/>
      </c>
      <c r="M417" s="106"/>
      <c r="N417" s="111" t="str">
        <f>IF($G417&lt;&gt;"",VLOOKUP($G417,'MASTER TOKO BALI'!$B$2:$W$744,21,FALSE),"")</f>
        <v/>
      </c>
      <c r="O417" s="106"/>
      <c r="P417" s="164" t="str">
        <f>IF($G417&lt;&gt;"",VLOOKUP($G417,'MASTER TOKO BALI'!$B$2:$W$740,7,FALSE),"")</f>
        <v/>
      </c>
    </row>
    <row r="418" spans="1:19" x14ac:dyDescent="0.2">
      <c r="A418" s="106">
        <f>A416+1</f>
        <v>387</v>
      </c>
      <c r="B418" s="107" t="s">
        <v>2038</v>
      </c>
      <c r="C418" s="107" t="s">
        <v>2049</v>
      </c>
      <c r="D418" s="113" t="s">
        <v>2051</v>
      </c>
      <c r="E418" s="120" t="s">
        <v>2077</v>
      </c>
      <c r="F418" s="126"/>
      <c r="G418" s="144"/>
      <c r="H418" s="111" t="str">
        <f>IF($G418&lt;&gt;"",VLOOKUP($G418,'MASTER TOKO BALI'!$B$2:$W$744,2,FALSE),"")</f>
        <v/>
      </c>
      <c r="I418" s="237" t="str">
        <f>IF($G418&lt;&gt;"",VLOOKUP($G418,'MASTER TOKO BALI'!$B$2:$W$744,4,FALSE),"")</f>
        <v/>
      </c>
      <c r="J418" s="140">
        <v>46283</v>
      </c>
      <c r="K418" s="111" t="str">
        <f>IF($G418&lt;&gt;"",VLOOKUP($G418,'MASTER TOKO BALI'!$B$2:$W$744,12,FALSE),"")</f>
        <v/>
      </c>
      <c r="L418" s="111" t="str">
        <f>IF($G418&lt;&gt;"",VLOOKUP($G418,'MASTER TOKO BALI'!$B$2:$W$744,5,FALSE),"")</f>
        <v/>
      </c>
      <c r="M418" s="106"/>
      <c r="N418" s="111" t="str">
        <f>IF($G418&lt;&gt;"",VLOOKUP($G418,'MASTER TOKO BALI'!$B$2:$W$744,21,FALSE),"")</f>
        <v/>
      </c>
      <c r="O418" s="106"/>
      <c r="P418" s="164" t="str">
        <f>IF($G418&lt;&gt;"",VLOOKUP($G418,'MASTER TOKO BALI'!$B$2:$W$740,7,FALSE),"")</f>
        <v/>
      </c>
    </row>
    <row r="419" spans="1:19" x14ac:dyDescent="0.2">
      <c r="A419" s="106">
        <f t="shared" si="16"/>
        <v>388</v>
      </c>
      <c r="B419" s="107" t="s">
        <v>2054</v>
      </c>
      <c r="C419" s="116" t="s">
        <v>2055</v>
      </c>
      <c r="D419" s="108" t="s">
        <v>2056</v>
      </c>
      <c r="E419" s="120" t="s">
        <v>2077</v>
      </c>
      <c r="F419" s="126"/>
      <c r="G419" s="144"/>
      <c r="H419" s="111" t="str">
        <f>IF($G419&lt;&gt;"",VLOOKUP($G419,'MASTER TOKO BALI'!$B$2:$W$744,2,FALSE),"")</f>
        <v/>
      </c>
      <c r="I419" s="237" t="str">
        <f>IF($G419&lt;&gt;"",VLOOKUP($G419,'MASTER TOKO BALI'!$B$2:$W$744,4,FALSE),"")</f>
        <v/>
      </c>
      <c r="J419" s="140">
        <v>46283</v>
      </c>
      <c r="K419" s="111" t="str">
        <f>IF($G419&lt;&gt;"",VLOOKUP($G419,'MASTER TOKO BALI'!$B$2:$W$744,12,FALSE),"")</f>
        <v/>
      </c>
      <c r="L419" s="111" t="str">
        <f>IF($G419&lt;&gt;"",VLOOKUP($G419,'MASTER TOKO BALI'!$B$2:$W$744,5,FALSE),"")</f>
        <v/>
      </c>
      <c r="M419" s="106"/>
      <c r="N419" s="111" t="str">
        <f>IF($G419&lt;&gt;"",VLOOKUP($G419,'MASTER TOKO BALI'!$B$2:$W$744,21,FALSE),"")</f>
        <v/>
      </c>
      <c r="O419" s="106"/>
      <c r="P419" s="164" t="str">
        <f>IF($G419&lt;&gt;"",VLOOKUP($G419,'MASTER TOKO BALI'!$B$2:$W$740,7,FALSE),"")</f>
        <v/>
      </c>
    </row>
    <row r="420" spans="1:19" x14ac:dyDescent="0.2">
      <c r="A420" s="106">
        <f t="shared" si="16"/>
        <v>389</v>
      </c>
      <c r="B420" s="107" t="s">
        <v>2038</v>
      </c>
      <c r="C420" s="116" t="s">
        <v>2055</v>
      </c>
      <c r="D420" s="113" t="s">
        <v>2057</v>
      </c>
      <c r="E420" s="120" t="s">
        <v>2077</v>
      </c>
      <c r="F420" s="126"/>
      <c r="G420" s="144"/>
      <c r="H420" s="111" t="str">
        <f>IF($G420&lt;&gt;"",VLOOKUP($G420,'MASTER TOKO BALI'!$B$2:$W$744,2,FALSE),"")</f>
        <v/>
      </c>
      <c r="I420" s="237" t="str">
        <f>IF($G420&lt;&gt;"",VLOOKUP($G420,'MASTER TOKO BALI'!$B$2:$W$744,4,FALSE),"")</f>
        <v/>
      </c>
      <c r="J420" s="140">
        <v>46283</v>
      </c>
      <c r="K420" s="111" t="str">
        <f>IF($G420&lt;&gt;"",VLOOKUP($G420,'MASTER TOKO BALI'!$B$2:$W$744,12,FALSE),"")</f>
        <v/>
      </c>
      <c r="L420" s="111" t="str">
        <f>IF($G420&lt;&gt;"",VLOOKUP($G420,'MASTER TOKO BALI'!$B$2:$W$744,5,FALSE),"")</f>
        <v/>
      </c>
      <c r="M420" s="106"/>
      <c r="N420" s="111" t="str">
        <f>IF($G420&lt;&gt;"",VLOOKUP($G420,'MASTER TOKO BALI'!$B$2:$W$744,21,FALSE),"")</f>
        <v/>
      </c>
      <c r="O420" s="106"/>
      <c r="P420" s="164" t="str">
        <f>IF($G420&lt;&gt;"",VLOOKUP($G420,'MASTER TOKO BALI'!$B$2:$W$740,7,FALSE),"")</f>
        <v/>
      </c>
    </row>
    <row r="421" spans="1:19" x14ac:dyDescent="0.2">
      <c r="A421" s="106">
        <f t="shared" si="16"/>
        <v>390</v>
      </c>
      <c r="B421" s="107" t="s">
        <v>2058</v>
      </c>
      <c r="C421" s="116" t="s">
        <v>2055</v>
      </c>
      <c r="D421" s="108" t="s">
        <v>2059</v>
      </c>
      <c r="E421" s="120" t="s">
        <v>2077</v>
      </c>
      <c r="F421" s="126"/>
      <c r="G421" s="144"/>
      <c r="H421" s="111" t="str">
        <f>IF($G421&lt;&gt;"",VLOOKUP($G421,'MASTER TOKO BALI'!$B$2:$W$744,2,FALSE),"")</f>
        <v/>
      </c>
      <c r="I421" s="237" t="str">
        <f>IF($G421&lt;&gt;"",VLOOKUP($G421,'MASTER TOKO BALI'!$B$2:$W$744,4,FALSE),"")</f>
        <v/>
      </c>
      <c r="J421" s="140">
        <v>46283</v>
      </c>
      <c r="K421" s="111" t="str">
        <f>IF($G421&lt;&gt;"",VLOOKUP($G421,'MASTER TOKO BALI'!$B$2:$W$744,12,FALSE),"")</f>
        <v/>
      </c>
      <c r="L421" s="111" t="str">
        <f>IF($G421&lt;&gt;"",VLOOKUP($G421,'MASTER TOKO BALI'!$B$2:$W$744,5,FALSE),"")</f>
        <v/>
      </c>
      <c r="M421" s="106"/>
      <c r="N421" s="111" t="str">
        <f>IF($G421&lt;&gt;"",VLOOKUP($G421,'MASTER TOKO BALI'!$B$2:$W$744,21,FALSE),"")</f>
        <v/>
      </c>
      <c r="O421" s="106"/>
      <c r="P421" s="164" t="str">
        <f>IF($G421&lt;&gt;"",VLOOKUP($G421,'MASTER TOKO BALI'!$B$2:$W$740,7,FALSE),"")</f>
        <v/>
      </c>
    </row>
    <row r="422" spans="1:19" x14ac:dyDescent="0.2">
      <c r="A422" s="106">
        <f t="shared" si="16"/>
        <v>391</v>
      </c>
      <c r="B422" s="107" t="s">
        <v>2038</v>
      </c>
      <c r="C422" s="116" t="s">
        <v>2055</v>
      </c>
      <c r="D422" s="113" t="s">
        <v>2057</v>
      </c>
      <c r="E422" s="120" t="s">
        <v>2077</v>
      </c>
      <c r="F422" s="126"/>
      <c r="G422" s="144"/>
      <c r="H422" s="111" t="str">
        <f>IF($G422&lt;&gt;"",VLOOKUP($G422,'MASTER TOKO BALI'!$B$2:$W$744,2,FALSE),"")</f>
        <v/>
      </c>
      <c r="I422" s="237" t="str">
        <f>IF($G422&lt;&gt;"",VLOOKUP($G422,'MASTER TOKO BALI'!$B$2:$W$744,4,FALSE),"")</f>
        <v/>
      </c>
      <c r="J422" s="140">
        <v>46283</v>
      </c>
      <c r="K422" s="111" t="str">
        <f>IF($G422&lt;&gt;"",VLOOKUP($G422,'MASTER TOKO BALI'!$B$2:$W$744,12,FALSE),"")</f>
        <v/>
      </c>
      <c r="L422" s="111" t="str">
        <f>IF($G422&lt;&gt;"",VLOOKUP($G422,'MASTER TOKO BALI'!$B$2:$W$744,5,FALSE),"")</f>
        <v/>
      </c>
      <c r="M422" s="106"/>
      <c r="N422" s="111" t="str">
        <f>IF($G422&lt;&gt;"",VLOOKUP($G422,'MASTER TOKO BALI'!$B$2:$W$744,21,FALSE),"")</f>
        <v/>
      </c>
      <c r="O422" s="106"/>
      <c r="P422" s="164" t="str">
        <f>IF($G422&lt;&gt;"",VLOOKUP($G422,'MASTER TOKO BALI'!$B$2:$W$740,7,FALSE),"")</f>
        <v/>
      </c>
    </row>
    <row r="423" spans="1:19" x14ac:dyDescent="0.2">
      <c r="A423" s="106">
        <f t="shared" si="16"/>
        <v>392</v>
      </c>
      <c r="B423" s="107" t="s">
        <v>2060</v>
      </c>
      <c r="C423" s="116" t="s">
        <v>2061</v>
      </c>
      <c r="D423" s="108" t="s">
        <v>2062</v>
      </c>
      <c r="E423" s="120" t="s">
        <v>2077</v>
      </c>
      <c r="F423" s="126"/>
      <c r="G423" s="144"/>
      <c r="H423" s="111" t="str">
        <f>IF($G423&lt;&gt;"",VLOOKUP($G423,'MASTER TOKO BALI'!$B$2:$W$744,2,FALSE),"")</f>
        <v/>
      </c>
      <c r="I423" s="237" t="str">
        <f>IF($G423&lt;&gt;"",VLOOKUP($G423,'MASTER TOKO BALI'!$B$2:$W$744,4,FALSE),"")</f>
        <v/>
      </c>
      <c r="J423" s="140">
        <v>46283</v>
      </c>
      <c r="K423" s="111" t="str">
        <f>IF($G423&lt;&gt;"",VLOOKUP($G423,'MASTER TOKO BALI'!$B$2:$W$744,12,FALSE),"")</f>
        <v/>
      </c>
      <c r="L423" s="111" t="str">
        <f>IF($G423&lt;&gt;"",VLOOKUP($G423,'MASTER TOKO BALI'!$B$2:$W$744,5,FALSE),"")</f>
        <v/>
      </c>
      <c r="M423" s="106"/>
      <c r="N423" s="111" t="str">
        <f>IF($G423&lt;&gt;"",VLOOKUP($G423,'MASTER TOKO BALI'!$B$2:$W$744,21,FALSE),"")</f>
        <v/>
      </c>
      <c r="O423" s="106"/>
      <c r="P423" s="164" t="str">
        <f>IF($G423&lt;&gt;"",VLOOKUP($G423,'MASTER TOKO BALI'!$B$2:$W$740,7,FALSE),"")</f>
        <v/>
      </c>
    </row>
    <row r="424" spans="1:19" x14ac:dyDescent="0.2">
      <c r="A424" s="106">
        <f t="shared" si="16"/>
        <v>393</v>
      </c>
      <c r="B424" s="107" t="s">
        <v>2038</v>
      </c>
      <c r="C424" s="116" t="s">
        <v>2061</v>
      </c>
      <c r="D424" s="113" t="s">
        <v>2063</v>
      </c>
      <c r="E424" s="120" t="s">
        <v>2077</v>
      </c>
      <c r="F424" s="126"/>
      <c r="G424" s="144"/>
      <c r="H424" s="111" t="str">
        <f>IF($G424&lt;&gt;"",VLOOKUP($G424,'MASTER TOKO BALI'!$B$2:$W$744,2,FALSE),"")</f>
        <v/>
      </c>
      <c r="I424" s="237" t="str">
        <f>IF($G424&lt;&gt;"",VLOOKUP($G424,'MASTER TOKO BALI'!$B$2:$W$744,4,FALSE),"")</f>
        <v/>
      </c>
      <c r="J424" s="140">
        <v>46283</v>
      </c>
      <c r="K424" s="111" t="str">
        <f>IF($G424&lt;&gt;"",VLOOKUP($G424,'MASTER TOKO BALI'!$B$2:$W$744,12,FALSE),"")</f>
        <v/>
      </c>
      <c r="L424" s="111" t="str">
        <f>IF($G424&lt;&gt;"",VLOOKUP($G424,'MASTER TOKO BALI'!$B$2:$W$744,5,FALSE),"")</f>
        <v/>
      </c>
      <c r="M424" s="106"/>
      <c r="N424" s="111" t="str">
        <f>IF($G424&lt;&gt;"",VLOOKUP($G424,'MASTER TOKO BALI'!$B$2:$W$744,21,FALSE),"")</f>
        <v/>
      </c>
      <c r="O424" s="106"/>
      <c r="P424" s="164" t="str">
        <f>IF($G424&lt;&gt;"",VLOOKUP($G424,'MASTER TOKO BALI'!$B$2:$W$740,7,FALSE),"")</f>
        <v/>
      </c>
    </row>
    <row r="425" spans="1:19" x14ac:dyDescent="0.2">
      <c r="A425" s="106">
        <f t="shared" si="16"/>
        <v>394</v>
      </c>
      <c r="B425" s="107" t="s">
        <v>2064</v>
      </c>
      <c r="C425" s="116" t="s">
        <v>2061</v>
      </c>
      <c r="D425" s="108" t="s">
        <v>2065</v>
      </c>
      <c r="E425" s="120" t="s">
        <v>2077</v>
      </c>
      <c r="F425" s="126"/>
      <c r="G425" s="144"/>
      <c r="H425" s="111" t="str">
        <f>IF($G425&lt;&gt;"",VLOOKUP($G425,'MASTER TOKO BALI'!$B$2:$W$744,2,FALSE),"")</f>
        <v/>
      </c>
      <c r="I425" s="237" t="str">
        <f>IF($G425&lt;&gt;"",VLOOKUP($G425,'MASTER TOKO BALI'!$B$2:$W$744,4,FALSE),"")</f>
        <v/>
      </c>
      <c r="J425" s="140">
        <v>46283</v>
      </c>
      <c r="K425" s="111" t="str">
        <f>IF($G425&lt;&gt;"",VLOOKUP($G425,'MASTER TOKO BALI'!$B$2:$W$744,12,FALSE),"")</f>
        <v/>
      </c>
      <c r="L425" s="111" t="str">
        <f>IF($G425&lt;&gt;"",VLOOKUP($G425,'MASTER TOKO BALI'!$B$2:$W$744,5,FALSE),"")</f>
        <v/>
      </c>
      <c r="M425" s="106"/>
      <c r="N425" s="111" t="str">
        <f>IF($G425&lt;&gt;"",VLOOKUP($G425,'MASTER TOKO BALI'!$B$2:$W$744,21,FALSE),"")</f>
        <v/>
      </c>
      <c r="O425" s="106"/>
      <c r="P425" s="164" t="str">
        <f>IF($G425&lt;&gt;"",VLOOKUP($G425,'MASTER TOKO BALI'!$B$2:$W$740,7,FALSE),"")</f>
        <v/>
      </c>
    </row>
    <row r="426" spans="1:19" x14ac:dyDescent="0.2">
      <c r="A426" s="106">
        <f t="shared" si="16"/>
        <v>395</v>
      </c>
      <c r="B426" s="107" t="s">
        <v>2066</v>
      </c>
      <c r="C426" s="116" t="s">
        <v>2061</v>
      </c>
      <c r="D426" s="113" t="s">
        <v>2063</v>
      </c>
      <c r="E426" s="120" t="s">
        <v>2077</v>
      </c>
      <c r="F426" s="127"/>
      <c r="G426" s="144"/>
      <c r="H426" s="111" t="str">
        <f>IF($G426&lt;&gt;"",VLOOKUP($G426,'MASTER TOKO BALI'!$B$2:$W$744,2,FALSE),"")</f>
        <v/>
      </c>
      <c r="I426" s="237" t="str">
        <f>IF($G426&lt;&gt;"",VLOOKUP($G426,'MASTER TOKO BALI'!$B$2:$W$744,4,FALSE),"")</f>
        <v/>
      </c>
      <c r="J426" s="140">
        <v>46283</v>
      </c>
      <c r="K426" s="111" t="str">
        <f>IF($G426&lt;&gt;"",VLOOKUP($G426,'MASTER TOKO BALI'!$B$2:$W$744,12,FALSE),"")</f>
        <v/>
      </c>
      <c r="L426" s="111" t="str">
        <f>IF($G426&lt;&gt;"",VLOOKUP($G426,'MASTER TOKO BALI'!$B$2:$W$744,5,FALSE),"")</f>
        <v/>
      </c>
      <c r="M426" s="106"/>
      <c r="N426" s="111" t="str">
        <f>IF($G426&lt;&gt;"",VLOOKUP($G426,'MASTER TOKO BALI'!$B$2:$W$744,21,FALSE),"")</f>
        <v/>
      </c>
      <c r="O426" s="106"/>
      <c r="P426" s="164" t="str">
        <f>IF($G426&lt;&gt;"",VLOOKUP($G426,'MASTER TOKO BALI'!$B$2:$W$740,7,FALSE),"")</f>
        <v/>
      </c>
    </row>
    <row r="427" spans="1:19" x14ac:dyDescent="0.2">
      <c r="A427" s="106">
        <f t="shared" si="16"/>
        <v>396</v>
      </c>
      <c r="B427" s="107" t="s">
        <v>2067</v>
      </c>
      <c r="C427" s="107" t="s">
        <v>2068</v>
      </c>
      <c r="D427" s="108" t="s">
        <v>2069</v>
      </c>
      <c r="E427" s="120" t="s">
        <v>2077</v>
      </c>
      <c r="F427" s="126"/>
      <c r="G427" s="144"/>
      <c r="H427" s="111" t="str">
        <f>IF($G427&lt;&gt;"",VLOOKUP($G427,'MASTER TOKO BALI'!$B$2:$W$744,2,FALSE),"")</f>
        <v/>
      </c>
      <c r="I427" s="237" t="str">
        <f>IF($G427&lt;&gt;"",VLOOKUP($G427,'MASTER TOKO BALI'!$B$2:$W$744,4,FALSE),"")</f>
        <v/>
      </c>
      <c r="J427" s="140">
        <v>46283</v>
      </c>
      <c r="K427" s="111" t="str">
        <f>IF($G427&lt;&gt;"",VLOOKUP($G427,'MASTER TOKO BALI'!$B$2:$W$744,12,FALSE),"")</f>
        <v/>
      </c>
      <c r="L427" s="111" t="str">
        <f>IF($G427&lt;&gt;"",VLOOKUP($G427,'MASTER TOKO BALI'!$B$2:$W$744,5,FALSE),"")</f>
        <v/>
      </c>
      <c r="M427" s="106"/>
      <c r="N427" s="111" t="str">
        <f>IF($G427&lt;&gt;"",VLOOKUP($G427,'MASTER TOKO BALI'!$B$2:$W$744,21,FALSE),"")</f>
        <v/>
      </c>
      <c r="O427" s="106"/>
      <c r="P427" s="164" t="str">
        <f>IF($G427&lt;&gt;"",VLOOKUP($G427,'MASTER TOKO BALI'!$B$2:$W$740,7,FALSE),"")</f>
        <v/>
      </c>
    </row>
    <row r="428" spans="1:19" x14ac:dyDescent="0.2">
      <c r="A428" s="106">
        <f t="shared" si="16"/>
        <v>397</v>
      </c>
      <c r="B428" s="107" t="s">
        <v>2066</v>
      </c>
      <c r="C428" s="107" t="s">
        <v>2068</v>
      </c>
      <c r="D428" s="117" t="s">
        <v>2070</v>
      </c>
      <c r="E428" s="120" t="s">
        <v>2077</v>
      </c>
      <c r="F428" s="126"/>
      <c r="G428" s="144"/>
      <c r="H428" s="111" t="str">
        <f>IF($G428&lt;&gt;"",VLOOKUP($G428,'MASTER TOKO BALI'!$B$2:$W$744,2,FALSE),"")</f>
        <v/>
      </c>
      <c r="I428" s="237" t="str">
        <f>IF($G428&lt;&gt;"",VLOOKUP($G428,'MASTER TOKO BALI'!$B$2:$W$744,4,FALSE),"")</f>
        <v/>
      </c>
      <c r="J428" s="140">
        <v>46283</v>
      </c>
      <c r="K428" s="111" t="str">
        <f>IF($G428&lt;&gt;"",VLOOKUP($G428,'MASTER TOKO BALI'!$B$2:$W$744,12,FALSE),"")</f>
        <v/>
      </c>
      <c r="L428" s="111" t="str">
        <f>IF($G428&lt;&gt;"",VLOOKUP($G428,'MASTER TOKO BALI'!$B$2:$W$744,5,FALSE),"")</f>
        <v/>
      </c>
      <c r="M428" s="106"/>
      <c r="N428" s="111" t="str">
        <f>IF($G428&lt;&gt;"",VLOOKUP($G428,'MASTER TOKO BALI'!$B$2:$W$744,21,FALSE),"")</f>
        <v/>
      </c>
      <c r="O428" s="106"/>
      <c r="P428" s="164" t="str">
        <f>IF($G428&lt;&gt;"",VLOOKUP($G428,'MASTER TOKO BALI'!$B$2:$W$740,7,FALSE),"")</f>
        <v/>
      </c>
    </row>
    <row r="429" spans="1:19" x14ac:dyDescent="0.2">
      <c r="A429" s="106">
        <f t="shared" si="16"/>
        <v>398</v>
      </c>
      <c r="B429" s="107" t="s">
        <v>2071</v>
      </c>
      <c r="C429" s="107" t="s">
        <v>2068</v>
      </c>
      <c r="D429" s="116" t="s">
        <v>2003</v>
      </c>
      <c r="E429" s="120" t="s">
        <v>2077</v>
      </c>
      <c r="F429" s="126"/>
      <c r="G429" s="144"/>
      <c r="H429" s="111" t="str">
        <f>IF($G429&lt;&gt;"",VLOOKUP($G429,'MASTER TOKO BALI'!$B$2:$W$744,2,FALSE),"")</f>
        <v/>
      </c>
      <c r="I429" s="237" t="str">
        <f>IF($G429&lt;&gt;"",VLOOKUP($G429,'MASTER TOKO BALI'!$B$2:$W$744,4,FALSE),"")</f>
        <v/>
      </c>
      <c r="J429" s="140">
        <v>46283</v>
      </c>
      <c r="K429" s="111" t="str">
        <f>IF($G429&lt;&gt;"",VLOOKUP($G429,'MASTER TOKO BALI'!$B$2:$W$744,12,FALSE),"")</f>
        <v/>
      </c>
      <c r="L429" s="111" t="str">
        <f>IF($G429&lt;&gt;"",VLOOKUP($G429,'MASTER TOKO BALI'!$B$2:$W$744,5,FALSE),"")</f>
        <v/>
      </c>
      <c r="M429" s="106"/>
      <c r="N429" s="111" t="str">
        <f>IF($G429&lt;&gt;"",VLOOKUP($G429,'MASTER TOKO BALI'!$B$2:$W$744,21,FALSE),"")</f>
        <v/>
      </c>
      <c r="O429" s="106"/>
      <c r="P429" s="164" t="str">
        <f>IF($G429&lt;&gt;"",VLOOKUP($G429,'MASTER TOKO BALI'!$B$2:$W$740,7,FALSE),"")</f>
        <v/>
      </c>
    </row>
    <row r="430" spans="1:19" x14ac:dyDescent="0.2">
      <c r="A430" s="106">
        <f t="shared" si="16"/>
        <v>399</v>
      </c>
      <c r="B430" s="107" t="s">
        <v>2066</v>
      </c>
      <c r="C430" s="107" t="s">
        <v>2068</v>
      </c>
      <c r="D430" s="117" t="s">
        <v>2070</v>
      </c>
      <c r="E430" s="120" t="s">
        <v>2077</v>
      </c>
      <c r="F430" s="126"/>
      <c r="G430" s="144"/>
      <c r="H430" s="111" t="str">
        <f>IF($G430&lt;&gt;"",VLOOKUP($G430,'MASTER TOKO BALI'!$B$2:$W$744,2,FALSE),"")</f>
        <v/>
      </c>
      <c r="I430" s="237" t="str">
        <f>IF($G430&lt;&gt;"",VLOOKUP($G430,'MASTER TOKO BALI'!$B$2:$W$744,4,FALSE),"")</f>
        <v/>
      </c>
      <c r="J430" s="140">
        <v>46283</v>
      </c>
      <c r="K430" s="111" t="str">
        <f>IF($G430&lt;&gt;"",VLOOKUP($G430,'MASTER TOKO BALI'!$B$2:$W$744,12,FALSE),"")</f>
        <v/>
      </c>
      <c r="L430" s="111" t="str">
        <f>IF($G430&lt;&gt;"",VLOOKUP($G430,'MASTER TOKO BALI'!$B$2:$W$744,5,FALSE),"")</f>
        <v/>
      </c>
      <c r="M430" s="106"/>
      <c r="N430" s="111" t="str">
        <f>IF($G430&lt;&gt;"",VLOOKUP($G430,'MASTER TOKO BALI'!$B$2:$W$744,21,FALSE),"")</f>
        <v/>
      </c>
      <c r="O430" s="106"/>
      <c r="P430" s="164" t="str">
        <f>IF($G430&lt;&gt;"",VLOOKUP($G430,'MASTER TOKO BALI'!$B$2:$W$740,7,FALSE),"")</f>
        <v/>
      </c>
    </row>
    <row r="431" spans="1:19" x14ac:dyDescent="0.2">
      <c r="A431" s="106"/>
      <c r="B431" s="107"/>
      <c r="C431" s="107"/>
      <c r="D431" s="111"/>
      <c r="E431" s="114"/>
      <c r="F431" s="126"/>
      <c r="G431" s="144"/>
      <c r="H431" s="111" t="str">
        <f>IF($G431&lt;&gt;"",VLOOKUP($G431,'MASTER TOKO BALI'!$B$2:$W$744,2,FALSE),"")</f>
        <v/>
      </c>
      <c r="I431" s="237" t="str">
        <f>IF($G431&lt;&gt;"",VLOOKUP($G431,'MASTER TOKO BALI'!$B$2:$W$744,4,FALSE),"")</f>
        <v/>
      </c>
      <c r="J431" s="119"/>
      <c r="K431" s="111" t="str">
        <f>IF($G431&lt;&gt;"",VLOOKUP($G431,'MASTER TOKO BALI'!$B$2:$W$744,12,FALSE),"")</f>
        <v/>
      </c>
      <c r="L431" s="111" t="str">
        <f>IF($G431&lt;&gt;"",VLOOKUP($G431,'MASTER TOKO BALI'!$B$2:$W$744,5,FALSE),"")</f>
        <v/>
      </c>
      <c r="M431" s="106"/>
      <c r="N431" s="111" t="str">
        <f>IF($G431&lt;&gt;"",VLOOKUP($G431,'MASTER TOKO BALI'!$B$2:$W$744,21,FALSE),"")</f>
        <v/>
      </c>
      <c r="O431" s="106"/>
      <c r="P431" s="164" t="str">
        <f>IF($G431&lt;&gt;"",VLOOKUP($G431,'MASTER TOKO BALI'!$B$2:$W$740,7,FALSE),"")</f>
        <v/>
      </c>
    </row>
    <row r="432" spans="1:19" s="48" customFormat="1" ht="14.4" x14ac:dyDescent="0.2">
      <c r="A432" s="106">
        <v>390</v>
      </c>
      <c r="B432" s="107" t="s">
        <v>2034</v>
      </c>
      <c r="C432" s="107" t="s">
        <v>2035</v>
      </c>
      <c r="D432" s="108" t="s">
        <v>2036</v>
      </c>
      <c r="E432" s="109" t="s">
        <v>2037</v>
      </c>
      <c r="F432" s="126"/>
      <c r="G432" s="60"/>
      <c r="H432" s="111" t="str">
        <f>IF($G432&lt;&gt;"",VLOOKUP($G432,'MASTER TOKO BALI'!$B$2:$W$744,2,FALSE),"")</f>
        <v/>
      </c>
      <c r="I432" s="237" t="str">
        <f>IF($G432&lt;&gt;"",VLOOKUP($G432,'MASTER TOKO BALI'!$B$2:$W$744,4,FALSE),"")</f>
        <v/>
      </c>
      <c r="J432" s="112">
        <v>46284</v>
      </c>
      <c r="K432" s="111" t="str">
        <f>IF($G432&lt;&gt;"",VLOOKUP($G432,'MASTER TOKO BALI'!$B$2:$W$744,12,FALSE),"")</f>
        <v/>
      </c>
      <c r="L432" s="111" t="str">
        <f>IF($G432&lt;&gt;"",VLOOKUP($G432,'MASTER TOKO BALI'!$B$2:$W$744,5,FALSE),"")</f>
        <v/>
      </c>
      <c r="M432" s="106"/>
      <c r="N432" s="111" t="str">
        <f>IF($G432&lt;&gt;"",VLOOKUP($G432,'MASTER TOKO BALI'!$B$2:$W$744,21,FALSE),"")</f>
        <v/>
      </c>
      <c r="O432" s="108"/>
      <c r="P432" s="164" t="str">
        <f>IF($G432&lt;&gt;"",VLOOKUP($G432,'MASTER TOKO BALI'!$B$2:$W$740,7,FALSE),"")</f>
        <v/>
      </c>
      <c r="S432" s="70"/>
    </row>
    <row r="433" spans="1:19" s="48" customFormat="1" ht="14.4" x14ac:dyDescent="0.2">
      <c r="A433" s="106">
        <f t="shared" ref="A433:A455" si="17">A432+1</f>
        <v>391</v>
      </c>
      <c r="B433" s="107" t="s">
        <v>2038</v>
      </c>
      <c r="C433" s="107" t="s">
        <v>2035</v>
      </c>
      <c r="D433" s="113" t="s">
        <v>2039</v>
      </c>
      <c r="E433" s="109" t="s">
        <v>2037</v>
      </c>
      <c r="F433" s="126"/>
      <c r="G433" s="60"/>
      <c r="H433" s="111" t="str">
        <f>IF($G433&lt;&gt;"",VLOOKUP($G433,'MASTER TOKO BALI'!$B$2:$W$744,2,FALSE),"")</f>
        <v/>
      </c>
      <c r="I433" s="237" t="str">
        <f>IF($G433&lt;&gt;"",VLOOKUP($G433,'MASTER TOKO BALI'!$B$2:$W$744,4,FALSE),"")</f>
        <v/>
      </c>
      <c r="J433" s="112">
        <v>46284</v>
      </c>
      <c r="K433" s="111" t="str">
        <f>IF($G433&lt;&gt;"",VLOOKUP($G433,'MASTER TOKO BALI'!$B$2:$W$744,12,FALSE),"")</f>
        <v/>
      </c>
      <c r="L433" s="111" t="str">
        <f>IF($G433&lt;&gt;"",VLOOKUP($G433,'MASTER TOKO BALI'!$B$2:$W$744,5,FALSE),"")</f>
        <v/>
      </c>
      <c r="M433" s="106"/>
      <c r="N433" s="111" t="str">
        <f>IF($G433&lt;&gt;"",VLOOKUP($G433,'MASTER TOKO BALI'!$B$2:$W$744,21,FALSE),"")</f>
        <v/>
      </c>
      <c r="O433" s="108"/>
      <c r="P433" s="164" t="str">
        <f>IF($G433&lt;&gt;"",VLOOKUP($G433,'MASTER TOKO BALI'!$B$2:$W$740,7,FALSE),"")</f>
        <v/>
      </c>
      <c r="S433" s="70"/>
    </row>
    <row r="434" spans="1:19" s="48" customFormat="1" ht="14.4" x14ac:dyDescent="0.2">
      <c r="A434" s="106">
        <f t="shared" si="17"/>
        <v>392</v>
      </c>
      <c r="B434" s="107" t="s">
        <v>2040</v>
      </c>
      <c r="C434" s="107" t="s">
        <v>2035</v>
      </c>
      <c r="D434" s="108" t="s">
        <v>2041</v>
      </c>
      <c r="E434" s="109" t="s">
        <v>2037</v>
      </c>
      <c r="F434" s="126"/>
      <c r="G434" s="60"/>
      <c r="H434" s="111" t="str">
        <f>IF($G434&lt;&gt;"",VLOOKUP($G434,'MASTER TOKO BALI'!$B$2:$W$744,2,FALSE),"")</f>
        <v/>
      </c>
      <c r="I434" s="237" t="str">
        <f>IF($G434&lt;&gt;"",VLOOKUP($G434,'MASTER TOKO BALI'!$B$2:$W$744,4,FALSE),"")</f>
        <v/>
      </c>
      <c r="J434" s="112">
        <v>46284</v>
      </c>
      <c r="K434" s="111" t="str">
        <f>IF($G434&lt;&gt;"",VLOOKUP($G434,'MASTER TOKO BALI'!$B$2:$W$744,12,FALSE),"")</f>
        <v/>
      </c>
      <c r="L434" s="111" t="str">
        <f>IF($G434&lt;&gt;"",VLOOKUP($G434,'MASTER TOKO BALI'!$B$2:$W$744,5,FALSE),"")</f>
        <v/>
      </c>
      <c r="M434" s="106"/>
      <c r="N434" s="111" t="str">
        <f>IF($G434&lt;&gt;"",VLOOKUP($G434,'MASTER TOKO BALI'!$B$2:$W$744,21,FALSE),"")</f>
        <v/>
      </c>
      <c r="O434" s="108"/>
      <c r="P434" s="164" t="str">
        <f>IF($G434&lt;&gt;"",VLOOKUP($G434,'MASTER TOKO BALI'!$B$2:$W$740,7,FALSE),"")</f>
        <v/>
      </c>
      <c r="S434" s="70"/>
    </row>
    <row r="435" spans="1:19" s="48" customFormat="1" x14ac:dyDescent="0.2">
      <c r="A435" s="106">
        <f t="shared" si="17"/>
        <v>393</v>
      </c>
      <c r="B435" s="107" t="s">
        <v>2038</v>
      </c>
      <c r="C435" s="107" t="s">
        <v>2035</v>
      </c>
      <c r="D435" s="113" t="s">
        <v>2039</v>
      </c>
      <c r="E435" s="109" t="s">
        <v>2037</v>
      </c>
      <c r="F435" s="126"/>
      <c r="G435" s="144"/>
      <c r="H435" s="111" t="str">
        <f>IF($G435&lt;&gt;"",VLOOKUP($G435,'MASTER TOKO BALI'!$B$2:$W$744,2,FALSE),"")</f>
        <v/>
      </c>
      <c r="I435" s="237" t="str">
        <f>IF($G435&lt;&gt;"",VLOOKUP($G435,'MASTER TOKO BALI'!$B$2:$W$744,4,FALSE),"")</f>
        <v/>
      </c>
      <c r="J435" s="112">
        <v>46284</v>
      </c>
      <c r="K435" s="111" t="str">
        <f>IF($G435&lt;&gt;"",VLOOKUP($G435,'MASTER TOKO BALI'!$B$2:$W$744,12,FALSE),"")</f>
        <v/>
      </c>
      <c r="L435" s="111" t="str">
        <f>IF($G435&lt;&gt;"",VLOOKUP($G435,'MASTER TOKO BALI'!$B$2:$W$744,5,FALSE),"")</f>
        <v/>
      </c>
      <c r="M435" s="106"/>
      <c r="N435" s="111" t="str">
        <f>IF($G435&lt;&gt;"",VLOOKUP($G435,'MASTER TOKO BALI'!$B$2:$W$744,21,FALSE),"")</f>
        <v/>
      </c>
      <c r="O435" s="108"/>
      <c r="P435" s="164" t="str">
        <f>IF($G435&lt;&gt;"",VLOOKUP($G435,'MASTER TOKO BALI'!$B$2:$W$740,7,FALSE),"")</f>
        <v/>
      </c>
      <c r="S435" s="70"/>
    </row>
    <row r="436" spans="1:19" s="48" customFormat="1" ht="14.4" x14ac:dyDescent="0.2">
      <c r="A436" s="106">
        <f t="shared" si="17"/>
        <v>394</v>
      </c>
      <c r="B436" s="107" t="s">
        <v>2042</v>
      </c>
      <c r="C436" s="107" t="s">
        <v>2043</v>
      </c>
      <c r="D436" s="108" t="s">
        <v>2044</v>
      </c>
      <c r="E436" s="109" t="s">
        <v>2037</v>
      </c>
      <c r="F436" s="126"/>
      <c r="G436" s="60"/>
      <c r="H436" s="111" t="str">
        <f>IF($G436&lt;&gt;"",VLOOKUP($G436,'MASTER TOKO BALI'!$B$2:$W$744,2,FALSE),"")</f>
        <v/>
      </c>
      <c r="I436" s="237" t="str">
        <f>IF($G436&lt;&gt;"",VLOOKUP($G436,'MASTER TOKO BALI'!$B$2:$W$744,4,FALSE),"")</f>
        <v/>
      </c>
      <c r="J436" s="112">
        <v>46284</v>
      </c>
      <c r="K436" s="111" t="str">
        <f>IF($G436&lt;&gt;"",VLOOKUP($G436,'MASTER TOKO BALI'!$B$2:$W$744,12,FALSE),"")</f>
        <v/>
      </c>
      <c r="L436" s="111" t="str">
        <f>IF($G436&lt;&gt;"",VLOOKUP($G436,'MASTER TOKO BALI'!$B$2:$W$744,5,FALSE),"")</f>
        <v/>
      </c>
      <c r="M436" s="106"/>
      <c r="N436" s="111" t="str">
        <f>IF($G436&lt;&gt;"",VLOOKUP($G436,'MASTER TOKO BALI'!$B$2:$W$744,21,FALSE),"")</f>
        <v/>
      </c>
      <c r="O436" s="108"/>
      <c r="P436" s="164" t="str">
        <f>IF($G436&lt;&gt;"",VLOOKUP($G436,'MASTER TOKO BALI'!$B$2:$W$740,7,FALSE),"")</f>
        <v/>
      </c>
      <c r="S436" s="70"/>
    </row>
    <row r="437" spans="1:19" s="48" customFormat="1" x14ac:dyDescent="0.2">
      <c r="A437" s="106">
        <f t="shared" si="17"/>
        <v>395</v>
      </c>
      <c r="B437" s="107" t="s">
        <v>2038</v>
      </c>
      <c r="C437" s="107" t="s">
        <v>2043</v>
      </c>
      <c r="D437" s="113" t="s">
        <v>2045</v>
      </c>
      <c r="E437" s="109" t="s">
        <v>2037</v>
      </c>
      <c r="F437" s="110"/>
      <c r="G437" s="145"/>
      <c r="H437" s="111" t="str">
        <f>IF($G437&lt;&gt;"",VLOOKUP($G437,'MASTER TOKO BALI'!$B$2:$W$744,2,FALSE),"")</f>
        <v/>
      </c>
      <c r="I437" s="237" t="str">
        <f>IF($G437&lt;&gt;"",VLOOKUP($G437,'MASTER TOKO BALI'!$B$2:$W$744,4,FALSE),"")</f>
        <v/>
      </c>
      <c r="J437" s="112">
        <v>46284</v>
      </c>
      <c r="K437" s="111" t="str">
        <f>IF($G437&lt;&gt;"",VLOOKUP($G437,'MASTER TOKO BALI'!$B$2:$W$744,12,FALSE),"")</f>
        <v/>
      </c>
      <c r="L437" s="111" t="str">
        <f>IF($G437&lt;&gt;"",VLOOKUP($G437,'MASTER TOKO BALI'!$B$2:$W$744,5,FALSE),"")</f>
        <v/>
      </c>
      <c r="M437" s="106"/>
      <c r="N437" s="111" t="str">
        <f>IF($G437&lt;&gt;"",VLOOKUP($G437,'MASTER TOKO BALI'!$B$2:$W$744,21,FALSE),"")</f>
        <v/>
      </c>
      <c r="O437" s="108"/>
      <c r="P437" s="164" t="str">
        <f>IF($G437&lt;&gt;"",VLOOKUP($G437,'MASTER TOKO BALI'!$B$2:$W$740,7,FALSE),"")</f>
        <v/>
      </c>
      <c r="S437" s="70"/>
    </row>
    <row r="438" spans="1:19" s="48" customFormat="1" ht="14.4" x14ac:dyDescent="0.2">
      <c r="A438" s="106">
        <f t="shared" si="17"/>
        <v>396</v>
      </c>
      <c r="B438" s="107" t="s">
        <v>2046</v>
      </c>
      <c r="C438" s="107" t="s">
        <v>2043</v>
      </c>
      <c r="D438" s="108" t="s">
        <v>2047</v>
      </c>
      <c r="E438" s="109" t="s">
        <v>2037</v>
      </c>
      <c r="F438" s="60"/>
      <c r="G438" s="60"/>
      <c r="H438" s="111" t="str">
        <f>IF($G438&lt;&gt;"",VLOOKUP($G438,'MASTER TOKO BALI'!$B$2:$W$744,2,FALSE),"")</f>
        <v/>
      </c>
      <c r="I438" s="237" t="str">
        <f>IF($G438&lt;&gt;"",VLOOKUP($G438,'MASTER TOKO BALI'!$B$2:$W$744,4,FALSE),"")</f>
        <v/>
      </c>
      <c r="J438" s="112">
        <v>46284</v>
      </c>
      <c r="K438" s="111" t="str">
        <f>IF($G438&lt;&gt;"",VLOOKUP($G438,'MASTER TOKO BALI'!$B$2:$W$744,12,FALSE),"")</f>
        <v/>
      </c>
      <c r="L438" s="111" t="str">
        <f>IF($G438&lt;&gt;"",VLOOKUP($G438,'MASTER TOKO BALI'!$B$2:$W$744,5,FALSE),"")</f>
        <v/>
      </c>
      <c r="M438" s="106"/>
      <c r="N438" s="111" t="str">
        <f>IF($G438&lt;&gt;"",VLOOKUP($G438,'MASTER TOKO BALI'!$B$2:$W$744,21,FALSE),"")</f>
        <v/>
      </c>
      <c r="O438" s="108"/>
      <c r="P438" s="164" t="str">
        <f>IF($G438&lt;&gt;"",VLOOKUP($G438,'MASTER TOKO BALI'!$B$2:$W$740,7,FALSE),"")</f>
        <v/>
      </c>
      <c r="S438" s="70"/>
    </row>
    <row r="439" spans="1:19" s="48" customFormat="1" ht="14.4" x14ac:dyDescent="0.2">
      <c r="A439" s="106">
        <f t="shared" si="17"/>
        <v>397</v>
      </c>
      <c r="B439" s="107" t="s">
        <v>2038</v>
      </c>
      <c r="C439" s="107" t="s">
        <v>2043</v>
      </c>
      <c r="D439" s="113" t="s">
        <v>2045</v>
      </c>
      <c r="E439" s="109" t="s">
        <v>2037</v>
      </c>
      <c r="F439" s="60"/>
      <c r="G439" s="60"/>
      <c r="H439" s="111" t="str">
        <f>IF($G439&lt;&gt;"",VLOOKUP($G439,'MASTER TOKO BALI'!$B$2:$W$744,2,FALSE),"")</f>
        <v/>
      </c>
      <c r="I439" s="237" t="str">
        <f>IF($G439&lt;&gt;"",VLOOKUP($G439,'MASTER TOKO BALI'!$B$2:$W$744,4,FALSE),"")</f>
        <v/>
      </c>
      <c r="J439" s="112">
        <v>46284</v>
      </c>
      <c r="K439" s="111" t="str">
        <f>IF($G439&lt;&gt;"",VLOOKUP($G439,'MASTER TOKO BALI'!$B$2:$W$744,12,FALSE),"")</f>
        <v/>
      </c>
      <c r="L439" s="111" t="str">
        <f>IF($G439&lt;&gt;"",VLOOKUP($G439,'MASTER TOKO BALI'!$B$2:$W$744,5,FALSE),"")</f>
        <v/>
      </c>
      <c r="M439" s="106"/>
      <c r="N439" s="111" t="str">
        <f>IF($G439&lt;&gt;"",VLOOKUP($G439,'MASTER TOKO BALI'!$B$2:$W$744,21,FALSE),"")</f>
        <v/>
      </c>
      <c r="O439" s="108"/>
      <c r="P439" s="164" t="str">
        <f>IF($G439&lt;&gt;"",VLOOKUP($G439,'MASTER TOKO BALI'!$B$2:$W$740,7,FALSE),"")</f>
        <v/>
      </c>
      <c r="S439" s="70"/>
    </row>
    <row r="440" spans="1:19" s="48" customFormat="1" ht="14.4" x14ac:dyDescent="0.2">
      <c r="A440" s="106">
        <f t="shared" si="17"/>
        <v>398</v>
      </c>
      <c r="B440" s="107" t="s">
        <v>2048</v>
      </c>
      <c r="C440" s="107" t="s">
        <v>2049</v>
      </c>
      <c r="D440" s="108" t="s">
        <v>2050</v>
      </c>
      <c r="E440" s="109" t="s">
        <v>2037</v>
      </c>
      <c r="F440" s="126"/>
      <c r="G440" s="152"/>
      <c r="H440" s="111" t="str">
        <f>IF($G440&lt;&gt;"",VLOOKUP($G440,'MASTER TOKO BALI'!$B$2:$W$744,2,FALSE),"")</f>
        <v/>
      </c>
      <c r="I440" s="237" t="str">
        <f>IF($G440&lt;&gt;"",VLOOKUP($G440,'MASTER TOKO BALI'!$B$2:$W$744,4,FALSE),"")</f>
        <v/>
      </c>
      <c r="J440" s="112">
        <v>46284</v>
      </c>
      <c r="K440" s="111" t="str">
        <f>IF($G440&lt;&gt;"",VLOOKUP($G440,'MASTER TOKO BALI'!$B$2:$W$744,12,FALSE),"")</f>
        <v/>
      </c>
      <c r="L440" s="111" t="str">
        <f>IF($G440&lt;&gt;"",VLOOKUP($G440,'MASTER TOKO BALI'!$B$2:$W$744,5,FALSE),"")</f>
        <v/>
      </c>
      <c r="M440" s="106"/>
      <c r="N440" s="111" t="str">
        <f>IF($G440&lt;&gt;"",VLOOKUP($G440,'MASTER TOKO BALI'!$B$2:$W$744,21,FALSE),"")</f>
        <v/>
      </c>
      <c r="O440" s="108"/>
      <c r="P440" s="164" t="str">
        <f>IF($G440&lt;&gt;"",VLOOKUP($G440,'MASTER TOKO BALI'!$B$2:$W$740,7,FALSE),"")</f>
        <v/>
      </c>
      <c r="S440" s="70"/>
    </row>
    <row r="441" spans="1:19" s="48" customFormat="1" x14ac:dyDescent="0.2">
      <c r="A441" s="106">
        <f t="shared" si="17"/>
        <v>399</v>
      </c>
      <c r="B441" s="107" t="s">
        <v>2038</v>
      </c>
      <c r="C441" s="107" t="s">
        <v>2049</v>
      </c>
      <c r="D441" s="115" t="s">
        <v>2051</v>
      </c>
      <c r="E441" s="109" t="s">
        <v>2037</v>
      </c>
      <c r="F441" s="126"/>
      <c r="G441" s="144"/>
      <c r="H441" s="111" t="str">
        <f>IF($G441&lt;&gt;"",VLOOKUP($G441,'MASTER TOKO BALI'!$B$2:$W$744,2,FALSE),"")</f>
        <v/>
      </c>
      <c r="I441" s="237" t="str">
        <f>IF($G441&lt;&gt;"",VLOOKUP($G441,'MASTER TOKO BALI'!$B$2:$W$744,4,FALSE),"")</f>
        <v/>
      </c>
      <c r="J441" s="112">
        <v>46284</v>
      </c>
      <c r="K441" s="111" t="str">
        <f>IF($G441&lt;&gt;"",VLOOKUP($G441,'MASTER TOKO BALI'!$B$2:$W$744,12,FALSE),"")</f>
        <v/>
      </c>
      <c r="L441" s="111" t="str">
        <f>IF($G441&lt;&gt;"",VLOOKUP($G441,'MASTER TOKO BALI'!$B$2:$W$744,5,FALSE),"")</f>
        <v/>
      </c>
      <c r="M441" s="106"/>
      <c r="N441" s="111" t="str">
        <f>IF($G441&lt;&gt;"",VLOOKUP($G441,'MASTER TOKO BALI'!$B$2:$W$744,21,FALSE),"")</f>
        <v/>
      </c>
      <c r="O441" s="108"/>
      <c r="P441" s="164" t="str">
        <f>IF($G441&lt;&gt;"",VLOOKUP($G441,'MASTER TOKO BALI'!$B$2:$W$740,7,FALSE),"")</f>
        <v/>
      </c>
      <c r="S441" s="70"/>
    </row>
    <row r="442" spans="1:19" s="48" customFormat="1" ht="14.4" x14ac:dyDescent="0.2">
      <c r="A442" s="106"/>
      <c r="B442" s="107" t="s">
        <v>2052</v>
      </c>
      <c r="C442" s="107" t="s">
        <v>2049</v>
      </c>
      <c r="D442" s="108" t="s">
        <v>2053</v>
      </c>
      <c r="E442" s="109" t="s">
        <v>2037</v>
      </c>
      <c r="F442" s="126"/>
      <c r="G442" s="60"/>
      <c r="H442" s="111" t="str">
        <f>IF($G442&lt;&gt;"",VLOOKUP($G442,'MASTER TOKO BALI'!$B$2:$W$744,2,FALSE),"")</f>
        <v/>
      </c>
      <c r="I442" s="237" t="str">
        <f>IF($G442&lt;&gt;"",VLOOKUP($G442,'MASTER TOKO BALI'!$B$2:$W$744,4,FALSE),"")</f>
        <v/>
      </c>
      <c r="J442" s="112">
        <v>46284</v>
      </c>
      <c r="K442" s="111" t="str">
        <f>IF($G442&lt;&gt;"",VLOOKUP($G442,'MASTER TOKO BALI'!$B$2:$W$744,12,FALSE),"")</f>
        <v/>
      </c>
      <c r="L442" s="111" t="str">
        <f>IF($G442&lt;&gt;"",VLOOKUP($G442,'MASTER TOKO BALI'!$B$2:$W$744,5,FALSE),"")</f>
        <v/>
      </c>
      <c r="M442" s="106"/>
      <c r="N442" s="111" t="str">
        <f>IF($G442&lt;&gt;"",VLOOKUP($G442,'MASTER TOKO BALI'!$B$2:$W$744,21,FALSE),"")</f>
        <v/>
      </c>
      <c r="O442" s="108"/>
      <c r="P442" s="164" t="str">
        <f>IF($G442&lt;&gt;"",VLOOKUP($G442,'MASTER TOKO BALI'!$B$2:$W$740,7,FALSE),"")</f>
        <v/>
      </c>
      <c r="S442" s="70"/>
    </row>
    <row r="443" spans="1:19" s="48" customFormat="1" ht="14.4" x14ac:dyDescent="0.2">
      <c r="A443" s="106">
        <f>A441+1</f>
        <v>400</v>
      </c>
      <c r="B443" s="107" t="s">
        <v>2038</v>
      </c>
      <c r="C443" s="107" t="s">
        <v>2049</v>
      </c>
      <c r="D443" s="113" t="s">
        <v>2051</v>
      </c>
      <c r="E443" s="109" t="s">
        <v>2037</v>
      </c>
      <c r="F443" s="126"/>
      <c r="G443" s="154"/>
      <c r="H443" s="111" t="str">
        <f>IF($G443&lt;&gt;"",VLOOKUP($G443,'MASTER TOKO BALI'!$B$2:$W$744,2,FALSE),"")</f>
        <v/>
      </c>
      <c r="I443" s="237" t="str">
        <f>IF($G443&lt;&gt;"",VLOOKUP($G443,'MASTER TOKO BALI'!$B$2:$W$744,4,FALSE),"")</f>
        <v/>
      </c>
      <c r="J443" s="112">
        <v>46284</v>
      </c>
      <c r="K443" s="111" t="str">
        <f>IF($G443&lt;&gt;"",VLOOKUP($G443,'MASTER TOKO BALI'!$B$2:$W$744,12,FALSE),"")</f>
        <v/>
      </c>
      <c r="L443" s="111" t="str">
        <f>IF($G443&lt;&gt;"",VLOOKUP($G443,'MASTER TOKO BALI'!$B$2:$W$744,5,FALSE),"")</f>
        <v/>
      </c>
      <c r="M443" s="106"/>
      <c r="N443" s="111" t="str">
        <f>IF($G443&lt;&gt;"",VLOOKUP($G443,'MASTER TOKO BALI'!$B$2:$W$744,21,FALSE),"")</f>
        <v/>
      </c>
      <c r="O443" s="108"/>
      <c r="P443" s="164" t="str">
        <f>IF($G443&lt;&gt;"",VLOOKUP($G443,'MASTER TOKO BALI'!$B$2:$W$740,7,FALSE),"")</f>
        <v/>
      </c>
      <c r="S443" s="70"/>
    </row>
    <row r="444" spans="1:19" s="48" customFormat="1" ht="14.4" x14ac:dyDescent="0.2">
      <c r="A444" s="106">
        <f t="shared" si="17"/>
        <v>401</v>
      </c>
      <c r="B444" s="107" t="s">
        <v>2054</v>
      </c>
      <c r="C444" s="116" t="s">
        <v>2055</v>
      </c>
      <c r="D444" s="108" t="s">
        <v>2056</v>
      </c>
      <c r="E444" s="109" t="s">
        <v>2037</v>
      </c>
      <c r="F444" s="60"/>
      <c r="G444" s="60"/>
      <c r="H444" s="111" t="str">
        <f>IF($G444&lt;&gt;"",VLOOKUP($G444,'MASTER TOKO BALI'!$B$2:$W$744,2,FALSE),"")</f>
        <v/>
      </c>
      <c r="I444" s="237" t="str">
        <f>IF($G444&lt;&gt;"",VLOOKUP($G444,'MASTER TOKO BALI'!$B$2:$W$744,4,FALSE),"")</f>
        <v/>
      </c>
      <c r="J444" s="112">
        <v>46284</v>
      </c>
      <c r="K444" s="111" t="str">
        <f>IF($G444&lt;&gt;"",VLOOKUP($G444,'MASTER TOKO BALI'!$B$2:$W$744,12,FALSE),"")</f>
        <v/>
      </c>
      <c r="L444" s="111" t="str">
        <f>IF($G444&lt;&gt;"",VLOOKUP($G444,'MASTER TOKO BALI'!$B$2:$W$744,5,FALSE),"")</f>
        <v/>
      </c>
      <c r="M444" s="106"/>
      <c r="N444" s="111" t="str">
        <f>IF($G444&lt;&gt;"",VLOOKUP($G444,'MASTER TOKO BALI'!$B$2:$W$744,21,FALSE),"")</f>
        <v/>
      </c>
      <c r="O444" s="108"/>
      <c r="P444" s="164" t="str">
        <f>IF($G444&lt;&gt;"",VLOOKUP($G444,'MASTER TOKO BALI'!$B$2:$W$740,7,FALSE),"")</f>
        <v/>
      </c>
      <c r="S444" s="70"/>
    </row>
    <row r="445" spans="1:19" s="48" customFormat="1" x14ac:dyDescent="0.2">
      <c r="A445" s="106">
        <f t="shared" si="17"/>
        <v>402</v>
      </c>
      <c r="B445" s="107" t="s">
        <v>2038</v>
      </c>
      <c r="C445" s="116" t="s">
        <v>2055</v>
      </c>
      <c r="D445" s="113" t="s">
        <v>2057</v>
      </c>
      <c r="E445" s="109" t="s">
        <v>2037</v>
      </c>
      <c r="F445" s="126"/>
      <c r="G445" s="144"/>
      <c r="H445" s="111" t="str">
        <f>IF($G445&lt;&gt;"",VLOOKUP($G445,'MASTER TOKO BALI'!$B$2:$W$744,2,FALSE),"")</f>
        <v/>
      </c>
      <c r="I445" s="237" t="str">
        <f>IF($G445&lt;&gt;"",VLOOKUP($G445,'MASTER TOKO BALI'!$B$2:$W$744,4,FALSE),"")</f>
        <v/>
      </c>
      <c r="J445" s="112">
        <v>46284</v>
      </c>
      <c r="K445" s="111" t="str">
        <f>IF($G445&lt;&gt;"",VLOOKUP($G445,'MASTER TOKO BALI'!$B$2:$W$744,12,FALSE),"")</f>
        <v/>
      </c>
      <c r="L445" s="111" t="str">
        <f>IF($G445&lt;&gt;"",VLOOKUP($G445,'MASTER TOKO BALI'!$B$2:$W$744,5,FALSE),"")</f>
        <v/>
      </c>
      <c r="M445" s="106"/>
      <c r="N445" s="111" t="str">
        <f>IF($G445&lt;&gt;"",VLOOKUP($G445,'MASTER TOKO BALI'!$B$2:$W$744,21,FALSE),"")</f>
        <v/>
      </c>
      <c r="O445" s="108"/>
      <c r="P445" s="164" t="str">
        <f>IF($G445&lt;&gt;"",VLOOKUP($G445,'MASTER TOKO BALI'!$B$2:$W$740,7,FALSE),"")</f>
        <v/>
      </c>
      <c r="S445" s="70"/>
    </row>
    <row r="446" spans="1:19" s="48" customFormat="1" ht="14.4" x14ac:dyDescent="0.2">
      <c r="A446" s="106">
        <f t="shared" si="17"/>
        <v>403</v>
      </c>
      <c r="B446" s="107" t="s">
        <v>2058</v>
      </c>
      <c r="C446" s="116" t="s">
        <v>2055</v>
      </c>
      <c r="D446" s="108" t="s">
        <v>2059</v>
      </c>
      <c r="E446" s="109" t="s">
        <v>2037</v>
      </c>
      <c r="F446" s="126"/>
      <c r="G446" s="60"/>
      <c r="H446" s="111" t="str">
        <f>IF($G446&lt;&gt;"",VLOOKUP($G446,'MASTER TOKO BALI'!$B$2:$W$744,2,FALSE),"")</f>
        <v/>
      </c>
      <c r="I446" s="237" t="str">
        <f>IF($G446&lt;&gt;"",VLOOKUP($G446,'MASTER TOKO BALI'!$B$2:$W$744,4,FALSE),"")</f>
        <v/>
      </c>
      <c r="J446" s="112">
        <v>46284</v>
      </c>
      <c r="K446" s="111" t="str">
        <f>IF($G446&lt;&gt;"",VLOOKUP($G446,'MASTER TOKO BALI'!$B$2:$W$744,12,FALSE),"")</f>
        <v/>
      </c>
      <c r="L446" s="111" t="str">
        <f>IF($G446&lt;&gt;"",VLOOKUP($G446,'MASTER TOKO BALI'!$B$2:$W$744,5,FALSE),"")</f>
        <v/>
      </c>
      <c r="M446" s="106"/>
      <c r="N446" s="111" t="str">
        <f>IF($G446&lt;&gt;"",VLOOKUP($G446,'MASTER TOKO BALI'!$B$2:$W$744,21,FALSE),"")</f>
        <v/>
      </c>
      <c r="O446" s="108"/>
      <c r="P446" s="164" t="str">
        <f>IF($G446&lt;&gt;"",VLOOKUP($G446,'MASTER TOKO BALI'!$B$2:$W$740,7,FALSE),"")</f>
        <v/>
      </c>
      <c r="S446" s="70"/>
    </row>
    <row r="447" spans="1:19" s="48" customFormat="1" ht="14.4" x14ac:dyDescent="0.2">
      <c r="A447" s="106">
        <f t="shared" si="17"/>
        <v>404</v>
      </c>
      <c r="B447" s="107" t="s">
        <v>2038</v>
      </c>
      <c r="C447" s="116" t="s">
        <v>2055</v>
      </c>
      <c r="D447" s="113" t="s">
        <v>2057</v>
      </c>
      <c r="E447" s="109" t="s">
        <v>2037</v>
      </c>
      <c r="F447" s="127"/>
      <c r="G447" s="60"/>
      <c r="H447" s="111" t="str">
        <f>IF($G447&lt;&gt;"",VLOOKUP($G447,'MASTER TOKO BALI'!$B$2:$W$744,2,FALSE),"")</f>
        <v/>
      </c>
      <c r="I447" s="237" t="str">
        <f>IF($G447&lt;&gt;"",VLOOKUP($G447,'MASTER TOKO BALI'!$B$2:$W$744,4,FALSE),"")</f>
        <v/>
      </c>
      <c r="J447" s="112">
        <v>46284</v>
      </c>
      <c r="K447" s="111" t="str">
        <f>IF($G447&lt;&gt;"",VLOOKUP($G447,'MASTER TOKO BALI'!$B$2:$W$744,12,FALSE),"")</f>
        <v/>
      </c>
      <c r="L447" s="111" t="str">
        <f>IF($G447&lt;&gt;"",VLOOKUP($G447,'MASTER TOKO BALI'!$B$2:$W$744,5,FALSE),"")</f>
        <v/>
      </c>
      <c r="M447" s="106"/>
      <c r="N447" s="111" t="str">
        <f>IF($G447&lt;&gt;"",VLOOKUP($G447,'MASTER TOKO BALI'!$B$2:$W$744,21,FALSE),"")</f>
        <v/>
      </c>
      <c r="O447" s="108"/>
      <c r="P447" s="164" t="str">
        <f>IF($G447&lt;&gt;"",VLOOKUP($G447,'MASTER TOKO BALI'!$B$2:$W$740,7,FALSE),"")</f>
        <v/>
      </c>
      <c r="S447" s="70"/>
    </row>
    <row r="448" spans="1:19" s="48" customFormat="1" ht="14.4" x14ac:dyDescent="0.2">
      <c r="A448" s="106">
        <f t="shared" si="17"/>
        <v>405</v>
      </c>
      <c r="B448" s="107" t="s">
        <v>2060</v>
      </c>
      <c r="C448" s="116" t="s">
        <v>2061</v>
      </c>
      <c r="D448" s="108" t="s">
        <v>2062</v>
      </c>
      <c r="E448" s="109" t="s">
        <v>2037</v>
      </c>
      <c r="F448" s="126"/>
      <c r="G448" s="60"/>
      <c r="H448" s="111" t="str">
        <f>IF($G448&lt;&gt;"",VLOOKUP($G448,'MASTER TOKO BALI'!$B$2:$W$744,2,FALSE),"")</f>
        <v/>
      </c>
      <c r="I448" s="237" t="str">
        <f>IF($G448&lt;&gt;"",VLOOKUP($G448,'MASTER TOKO BALI'!$B$2:$W$744,4,FALSE),"")</f>
        <v/>
      </c>
      <c r="J448" s="112">
        <v>46284</v>
      </c>
      <c r="K448" s="111" t="str">
        <f>IF($G448&lt;&gt;"",VLOOKUP($G448,'MASTER TOKO BALI'!$B$2:$W$744,12,FALSE),"")</f>
        <v/>
      </c>
      <c r="L448" s="111" t="str">
        <f>IF($G448&lt;&gt;"",VLOOKUP($G448,'MASTER TOKO BALI'!$B$2:$W$744,5,FALSE),"")</f>
        <v/>
      </c>
      <c r="M448" s="106"/>
      <c r="N448" s="111" t="str">
        <f>IF($G448&lt;&gt;"",VLOOKUP($G448,'MASTER TOKO BALI'!$B$2:$W$744,21,FALSE),"")</f>
        <v/>
      </c>
      <c r="O448" s="108"/>
      <c r="P448" s="164" t="str">
        <f>IF($G448&lt;&gt;"",VLOOKUP($G448,'MASTER TOKO BALI'!$B$2:$W$740,7,FALSE),"")</f>
        <v/>
      </c>
      <c r="S448" s="70"/>
    </row>
    <row r="449" spans="1:19" s="48" customFormat="1" ht="14.4" x14ac:dyDescent="0.2">
      <c r="A449" s="106">
        <f t="shared" si="17"/>
        <v>406</v>
      </c>
      <c r="B449" s="107" t="s">
        <v>2038</v>
      </c>
      <c r="C449" s="116" t="s">
        <v>2061</v>
      </c>
      <c r="D449" s="113" t="s">
        <v>2063</v>
      </c>
      <c r="E449" s="109" t="s">
        <v>2037</v>
      </c>
      <c r="F449" s="126"/>
      <c r="G449" s="60"/>
      <c r="H449" s="111" t="str">
        <f>IF($G449&lt;&gt;"",VLOOKUP($G449,'MASTER TOKO BALI'!$B$2:$W$744,2,FALSE),"")</f>
        <v/>
      </c>
      <c r="I449" s="237" t="str">
        <f>IF($G449&lt;&gt;"",VLOOKUP($G449,'MASTER TOKO BALI'!$B$2:$W$744,4,FALSE),"")</f>
        <v/>
      </c>
      <c r="J449" s="112">
        <v>46284</v>
      </c>
      <c r="K449" s="111" t="str">
        <f>IF($G449&lt;&gt;"",VLOOKUP($G449,'MASTER TOKO BALI'!$B$2:$W$744,12,FALSE),"")</f>
        <v/>
      </c>
      <c r="L449" s="111" t="str">
        <f>IF($G449&lt;&gt;"",VLOOKUP($G449,'MASTER TOKO BALI'!$B$2:$W$744,5,FALSE),"")</f>
        <v/>
      </c>
      <c r="M449" s="106"/>
      <c r="N449" s="111" t="str">
        <f>IF($G449&lt;&gt;"",VLOOKUP($G449,'MASTER TOKO BALI'!$B$2:$W$744,21,FALSE),"")</f>
        <v/>
      </c>
      <c r="O449" s="106"/>
      <c r="P449" s="164" t="str">
        <f>IF($G449&lt;&gt;"",VLOOKUP($G449,'MASTER TOKO BALI'!$B$2:$W$740,7,FALSE),"")</f>
        <v/>
      </c>
      <c r="S449" s="70"/>
    </row>
    <row r="450" spans="1:19" s="48" customFormat="1" ht="14.4" x14ac:dyDescent="0.2">
      <c r="A450" s="106">
        <f t="shared" si="17"/>
        <v>407</v>
      </c>
      <c r="B450" s="107" t="s">
        <v>2064</v>
      </c>
      <c r="C450" s="116" t="s">
        <v>2061</v>
      </c>
      <c r="D450" s="108" t="s">
        <v>2065</v>
      </c>
      <c r="E450" s="109" t="s">
        <v>2037</v>
      </c>
      <c r="F450" s="60"/>
      <c r="G450" s="60"/>
      <c r="H450" s="111" t="str">
        <f>IF($G450&lt;&gt;"",VLOOKUP($G450,'MASTER TOKO BALI'!$B$2:$W$744,2,FALSE),"")</f>
        <v/>
      </c>
      <c r="I450" s="237" t="str">
        <f>IF($G450&lt;&gt;"",VLOOKUP($G450,'MASTER TOKO BALI'!$B$2:$W$744,4,FALSE),"")</f>
        <v/>
      </c>
      <c r="J450" s="112">
        <v>46284</v>
      </c>
      <c r="K450" s="111" t="str">
        <f>IF($G450&lt;&gt;"",VLOOKUP($G450,'MASTER TOKO BALI'!$B$2:$W$744,12,FALSE),"")</f>
        <v/>
      </c>
      <c r="L450" s="111" t="str">
        <f>IF($G450&lt;&gt;"",VLOOKUP($G450,'MASTER TOKO BALI'!$B$2:$W$744,5,FALSE),"")</f>
        <v/>
      </c>
      <c r="M450" s="106"/>
      <c r="N450" s="111" t="str">
        <f>IF($G450&lt;&gt;"",VLOOKUP($G450,'MASTER TOKO BALI'!$B$2:$W$744,21,FALSE),"")</f>
        <v/>
      </c>
      <c r="O450" s="108"/>
      <c r="P450" s="164" t="str">
        <f>IF($G450&lt;&gt;"",VLOOKUP($G450,'MASTER TOKO BALI'!$B$2:$W$740,7,FALSE),"")</f>
        <v/>
      </c>
      <c r="S450" s="70"/>
    </row>
    <row r="451" spans="1:19" s="48" customFormat="1" ht="14.4" x14ac:dyDescent="0.2">
      <c r="A451" s="106">
        <f t="shared" si="17"/>
        <v>408</v>
      </c>
      <c r="B451" s="107" t="s">
        <v>2066</v>
      </c>
      <c r="C451" s="116" t="s">
        <v>2061</v>
      </c>
      <c r="D451" s="113" t="s">
        <v>2063</v>
      </c>
      <c r="E451" s="109" t="s">
        <v>2037</v>
      </c>
      <c r="F451" s="126"/>
      <c r="G451" s="60"/>
      <c r="H451" s="111" t="str">
        <f>IF($G451&lt;&gt;"",VLOOKUP($G451,'MASTER TOKO BALI'!$B$2:$W$744,2,FALSE),"")</f>
        <v/>
      </c>
      <c r="I451" s="237" t="str">
        <f>IF($G451&lt;&gt;"",VLOOKUP($G451,'MASTER TOKO BALI'!$B$2:$W$744,4,FALSE),"")</f>
        <v/>
      </c>
      <c r="J451" s="112">
        <v>46284</v>
      </c>
      <c r="K451" s="111" t="str">
        <f>IF($G451&lt;&gt;"",VLOOKUP($G451,'MASTER TOKO BALI'!$B$2:$W$744,12,FALSE),"")</f>
        <v/>
      </c>
      <c r="L451" s="111" t="str">
        <f>IF($G451&lt;&gt;"",VLOOKUP($G451,'MASTER TOKO BALI'!$B$2:$W$744,5,FALSE),"")</f>
        <v/>
      </c>
      <c r="M451" s="106"/>
      <c r="N451" s="111" t="str">
        <f>IF($G451&lt;&gt;"",VLOOKUP($G451,'MASTER TOKO BALI'!$B$2:$W$744,21,FALSE),"")</f>
        <v/>
      </c>
      <c r="O451" s="108"/>
      <c r="P451" s="164" t="str">
        <f>IF($G451&lt;&gt;"",VLOOKUP($G451,'MASTER TOKO BALI'!$B$2:$W$740,7,FALSE),"")</f>
        <v/>
      </c>
      <c r="S451" s="70"/>
    </row>
    <row r="452" spans="1:19" s="48" customFormat="1" ht="14.4" x14ac:dyDescent="0.2">
      <c r="A452" s="106">
        <f t="shared" si="17"/>
        <v>409</v>
      </c>
      <c r="B452" s="107" t="s">
        <v>2067</v>
      </c>
      <c r="C452" s="107" t="s">
        <v>2068</v>
      </c>
      <c r="D452" s="108" t="s">
        <v>2069</v>
      </c>
      <c r="E452" s="109" t="s">
        <v>2037</v>
      </c>
      <c r="F452" s="122"/>
      <c r="G452" s="60"/>
      <c r="H452" s="111" t="str">
        <f>IF($G452&lt;&gt;"",VLOOKUP($G452,'MASTER TOKO BALI'!$B$2:$W$744,2,FALSE),"")</f>
        <v/>
      </c>
      <c r="I452" s="237" t="str">
        <f>IF($G452&lt;&gt;"",VLOOKUP($G452,'MASTER TOKO BALI'!$B$2:$W$744,4,FALSE),"")</f>
        <v/>
      </c>
      <c r="J452" s="112">
        <v>46284</v>
      </c>
      <c r="K452" s="111" t="str">
        <f>IF($G452&lt;&gt;"",VLOOKUP($G452,'MASTER TOKO BALI'!$B$2:$W$744,12,FALSE),"")</f>
        <v/>
      </c>
      <c r="L452" s="111" t="str">
        <f>IF($G452&lt;&gt;"",VLOOKUP($G452,'MASTER TOKO BALI'!$B$2:$W$744,5,FALSE),"")</f>
        <v/>
      </c>
      <c r="M452" s="106"/>
      <c r="N452" s="111" t="str">
        <f>IF($G452&lt;&gt;"",VLOOKUP($G452,'MASTER TOKO BALI'!$B$2:$W$744,21,FALSE),"")</f>
        <v/>
      </c>
      <c r="O452" s="108"/>
      <c r="P452" s="164" t="str">
        <f>IF($G452&lt;&gt;"",VLOOKUP($G452,'MASTER TOKO BALI'!$B$2:$W$740,7,FALSE),"")</f>
        <v/>
      </c>
      <c r="S452" s="70"/>
    </row>
    <row r="453" spans="1:19" s="48" customFormat="1" ht="14.4" x14ac:dyDescent="0.2">
      <c r="A453" s="106">
        <f t="shared" si="17"/>
        <v>410</v>
      </c>
      <c r="B453" s="107" t="s">
        <v>2066</v>
      </c>
      <c r="C453" s="107" t="s">
        <v>2068</v>
      </c>
      <c r="D453" s="117" t="s">
        <v>2070</v>
      </c>
      <c r="E453" s="109" t="s">
        <v>2037</v>
      </c>
      <c r="F453" s="127"/>
      <c r="G453" s="60"/>
      <c r="H453" s="111" t="str">
        <f>IF($G453&lt;&gt;"",VLOOKUP($G453,'MASTER TOKO BALI'!$B$2:$W$744,2,FALSE),"")</f>
        <v/>
      </c>
      <c r="I453" s="237" t="str">
        <f>IF($G453&lt;&gt;"",VLOOKUP($G453,'MASTER TOKO BALI'!$B$2:$W$744,4,FALSE),"")</f>
        <v/>
      </c>
      <c r="J453" s="112">
        <v>46284</v>
      </c>
      <c r="K453" s="111" t="str">
        <f>IF($G453&lt;&gt;"",VLOOKUP($G453,'MASTER TOKO BALI'!$B$2:$W$744,12,FALSE),"")</f>
        <v/>
      </c>
      <c r="L453" s="111" t="str">
        <f>IF($G453&lt;&gt;"",VLOOKUP($G453,'MASTER TOKO BALI'!$B$2:$W$744,5,FALSE),"")</f>
        <v/>
      </c>
      <c r="M453" s="106"/>
      <c r="N453" s="111" t="str">
        <f>IF($G453&lt;&gt;"",VLOOKUP($G453,'MASTER TOKO BALI'!$B$2:$W$744,21,FALSE),"")</f>
        <v/>
      </c>
      <c r="O453" s="108"/>
      <c r="P453" s="164" t="str">
        <f>IF($G453&lt;&gt;"",VLOOKUP($G453,'MASTER TOKO BALI'!$B$2:$W$740,7,FALSE),"")</f>
        <v/>
      </c>
      <c r="S453" s="70"/>
    </row>
    <row r="454" spans="1:19" s="48" customFormat="1" ht="14.4" x14ac:dyDescent="0.2">
      <c r="A454" s="106">
        <f t="shared" si="17"/>
        <v>411</v>
      </c>
      <c r="B454" s="107" t="s">
        <v>2071</v>
      </c>
      <c r="C454" s="107" t="s">
        <v>2068</v>
      </c>
      <c r="D454" s="116" t="s">
        <v>2003</v>
      </c>
      <c r="E454" s="109" t="s">
        <v>2037</v>
      </c>
      <c r="F454" s="126"/>
      <c r="G454" s="60"/>
      <c r="H454" s="111" t="str">
        <f>IF($G454&lt;&gt;"",VLOOKUP($G454,'MASTER TOKO BALI'!$B$2:$W$744,2,FALSE),"")</f>
        <v/>
      </c>
      <c r="I454" s="237" t="str">
        <f>IF($G454&lt;&gt;"",VLOOKUP($G454,'MASTER TOKO BALI'!$B$2:$W$744,4,FALSE),"")</f>
        <v/>
      </c>
      <c r="J454" s="112">
        <v>46284</v>
      </c>
      <c r="K454" s="111" t="str">
        <f>IF($G454&lt;&gt;"",VLOOKUP($G454,'MASTER TOKO BALI'!$B$2:$W$744,12,FALSE),"")</f>
        <v/>
      </c>
      <c r="L454" s="111" t="str">
        <f>IF($G454&lt;&gt;"",VLOOKUP($G454,'MASTER TOKO BALI'!$B$2:$W$744,5,FALSE),"")</f>
        <v/>
      </c>
      <c r="M454" s="106"/>
      <c r="N454" s="111" t="str">
        <f>IF($G454&lt;&gt;"",VLOOKUP($G454,'MASTER TOKO BALI'!$B$2:$W$744,21,FALSE),"")</f>
        <v/>
      </c>
      <c r="O454" s="108"/>
      <c r="P454" s="164" t="str">
        <f>IF($G454&lt;&gt;"",VLOOKUP($G454,'MASTER TOKO BALI'!$B$2:$W$740,7,FALSE),"")</f>
        <v/>
      </c>
      <c r="S454" s="70"/>
    </row>
    <row r="455" spans="1:19" s="48" customFormat="1" ht="14.4" x14ac:dyDescent="0.2">
      <c r="A455" s="106">
        <f t="shared" si="17"/>
        <v>412</v>
      </c>
      <c r="B455" s="107" t="s">
        <v>2066</v>
      </c>
      <c r="C455" s="107" t="s">
        <v>2068</v>
      </c>
      <c r="D455" s="117" t="s">
        <v>2070</v>
      </c>
      <c r="E455" s="109" t="s">
        <v>2037</v>
      </c>
      <c r="F455" s="126"/>
      <c r="G455" s="60"/>
      <c r="H455" s="111" t="str">
        <f>IF($G455&lt;&gt;"",VLOOKUP($G455,'MASTER TOKO BALI'!$B$2:$W$744,2,FALSE),"")</f>
        <v/>
      </c>
      <c r="I455" s="237" t="str">
        <f>IF($G455&lt;&gt;"",VLOOKUP($G455,'MASTER TOKO BALI'!$B$2:$W$744,4,FALSE),"")</f>
        <v/>
      </c>
      <c r="J455" s="112">
        <v>46284</v>
      </c>
      <c r="K455" s="111" t="str">
        <f>IF($G455&lt;&gt;"",VLOOKUP($G455,'MASTER TOKO BALI'!$B$2:$W$744,12,FALSE),"")</f>
        <v/>
      </c>
      <c r="L455" s="111" t="str">
        <f>IF($G455&lt;&gt;"",VLOOKUP($G455,'MASTER TOKO BALI'!$B$2:$W$744,5,FALSE),"")</f>
        <v/>
      </c>
      <c r="M455" s="106"/>
      <c r="N455" s="111" t="str">
        <f>IF($G455&lt;&gt;"",VLOOKUP($G455,'MASTER TOKO BALI'!$B$2:$W$744,21,FALSE),"")</f>
        <v/>
      </c>
      <c r="O455" s="108"/>
      <c r="P455" s="164" t="str">
        <f>IF($G455&lt;&gt;"",VLOOKUP($G455,'MASTER TOKO BALI'!$B$2:$W$740,7,FALSE),"")</f>
        <v/>
      </c>
      <c r="S455" s="70"/>
    </row>
    <row r="456" spans="1:19" s="48" customFormat="1" x14ac:dyDescent="0.2">
      <c r="A456" s="106"/>
      <c r="B456" s="107"/>
      <c r="C456" s="107"/>
      <c r="D456" s="111"/>
      <c r="E456" s="114"/>
      <c r="F456" s="126"/>
      <c r="G456" s="144"/>
      <c r="H456" s="111" t="str">
        <f>IF($G456&lt;&gt;"",VLOOKUP($G456,'MASTER TOKO BALI'!$B$2:$W$744,2,FALSE),"")</f>
        <v/>
      </c>
      <c r="I456" s="237" t="str">
        <f>IF($G456&lt;&gt;"",VLOOKUP($G456,'MASTER TOKO BALI'!$B$2:$W$744,4,FALSE),"")</f>
        <v/>
      </c>
      <c r="J456" s="119"/>
      <c r="K456" s="111" t="str">
        <f>IF($G456&lt;&gt;"",VLOOKUP($G456,'MASTER TOKO BALI'!$B$2:$W$744,12,FALSE),"")</f>
        <v/>
      </c>
      <c r="L456" s="111" t="str">
        <f>IF($G456&lt;&gt;"",VLOOKUP($G456,'MASTER TOKO BALI'!$B$2:$W$744,5,FALSE),"")</f>
        <v/>
      </c>
      <c r="M456" s="108"/>
      <c r="N456" s="111" t="str">
        <f>IF($G456&lt;&gt;"",VLOOKUP($G456,'MASTER TOKO BALI'!$B$2:$W$744,21,FALSE),"")</f>
        <v/>
      </c>
      <c r="O456" s="108"/>
      <c r="P456" s="164" t="str">
        <f>IF($G456&lt;&gt;"",VLOOKUP($G456,'MASTER TOKO BALI'!$B$2:$W$740,7,FALSE),"")</f>
        <v/>
      </c>
      <c r="S456" s="70"/>
    </row>
    <row r="457" spans="1:19" ht="14.4" x14ac:dyDescent="0.2">
      <c r="A457" s="106">
        <f>A455+1</f>
        <v>413</v>
      </c>
      <c r="B457" s="107" t="s">
        <v>2034</v>
      </c>
      <c r="C457" s="107" t="s">
        <v>2035</v>
      </c>
      <c r="D457" s="108" t="s">
        <v>2036</v>
      </c>
      <c r="E457" s="109" t="s">
        <v>2073</v>
      </c>
      <c r="F457" s="126"/>
      <c r="G457" s="60"/>
      <c r="H457" s="111" t="str">
        <f>IF($G457&lt;&gt;"",VLOOKUP($G457,'MASTER TOKO BALI'!$B$2:$W$744,2,FALSE),"")</f>
        <v/>
      </c>
      <c r="I457" s="237" t="str">
        <f>IF($G457&lt;&gt;"",VLOOKUP($G457,'MASTER TOKO BALI'!$B$2:$W$744,4,FALSE),"")</f>
        <v/>
      </c>
      <c r="J457" s="112">
        <v>46286</v>
      </c>
      <c r="K457" s="111" t="str">
        <f>IF($G457&lt;&gt;"",VLOOKUP($G457,'MASTER TOKO BALI'!$B$2:$W$744,12,FALSE),"")</f>
        <v/>
      </c>
      <c r="L457" s="111" t="str">
        <f>IF($G457&lt;&gt;"",VLOOKUP($G457,'MASTER TOKO BALI'!$B$2:$W$744,5,FALSE),"")</f>
        <v/>
      </c>
      <c r="M457" s="106"/>
      <c r="N457" s="111" t="str">
        <f>IF($G457&lt;&gt;"",VLOOKUP($G457,'MASTER TOKO BALI'!$B$2:$W$744,21,FALSE),"")</f>
        <v/>
      </c>
      <c r="O457" s="106"/>
      <c r="P457" s="164" t="str">
        <f>IF($G457&lt;&gt;"",VLOOKUP($G457,'MASTER TOKO BALI'!$B$2:$W$740,7,FALSE),"")</f>
        <v/>
      </c>
    </row>
    <row r="458" spans="1:19" x14ac:dyDescent="0.2">
      <c r="A458" s="106">
        <f t="shared" ref="A458:A480" si="18">A457+1</f>
        <v>414</v>
      </c>
      <c r="B458" s="107" t="s">
        <v>2038</v>
      </c>
      <c r="C458" s="107" t="s">
        <v>2035</v>
      </c>
      <c r="D458" s="113" t="s">
        <v>2039</v>
      </c>
      <c r="E458" s="109" t="s">
        <v>2073</v>
      </c>
      <c r="F458" s="126"/>
      <c r="G458" s="144"/>
      <c r="H458" s="111" t="str">
        <f>IF($G458&lt;&gt;"",VLOOKUP($G458,'MASTER TOKO BALI'!$B$2:$W$744,2,FALSE),"")</f>
        <v/>
      </c>
      <c r="I458" s="237" t="str">
        <f>IF($G458&lt;&gt;"",VLOOKUP($G458,'MASTER TOKO BALI'!$B$2:$W$744,4,FALSE),"")</f>
        <v/>
      </c>
      <c r="J458" s="112">
        <v>46286</v>
      </c>
      <c r="K458" s="111" t="str">
        <f>IF($G458&lt;&gt;"",VLOOKUP($G458,'MASTER TOKO BALI'!$B$2:$W$744,12,FALSE),"")</f>
        <v/>
      </c>
      <c r="L458" s="111" t="str">
        <f>IF($G458&lt;&gt;"",VLOOKUP($G458,'MASTER TOKO BALI'!$B$2:$W$744,5,FALSE),"")</f>
        <v/>
      </c>
      <c r="M458" s="106"/>
      <c r="N458" s="111" t="str">
        <f>IF($G458&lt;&gt;"",VLOOKUP($G458,'MASTER TOKO BALI'!$B$2:$W$744,21,FALSE),"")</f>
        <v/>
      </c>
      <c r="O458" s="106"/>
      <c r="P458" s="164" t="str">
        <f>IF($G458&lt;&gt;"",VLOOKUP($G458,'MASTER TOKO BALI'!$B$2:$W$740,7,FALSE),"")</f>
        <v/>
      </c>
    </row>
    <row r="459" spans="1:19" ht="14.4" x14ac:dyDescent="0.2">
      <c r="A459" s="106">
        <f t="shared" si="18"/>
        <v>415</v>
      </c>
      <c r="B459" s="107" t="s">
        <v>2040</v>
      </c>
      <c r="C459" s="107" t="s">
        <v>2035</v>
      </c>
      <c r="D459" s="108" t="s">
        <v>2041</v>
      </c>
      <c r="E459" s="109" t="s">
        <v>2073</v>
      </c>
      <c r="F459" s="131"/>
      <c r="G459" s="60"/>
      <c r="H459" s="111" t="str">
        <f>IF($G459&lt;&gt;"",VLOOKUP($G459,'MASTER TOKO BALI'!$B$2:$W$744,2,FALSE),"")</f>
        <v/>
      </c>
      <c r="I459" s="237" t="str">
        <f>IF($G459&lt;&gt;"",VLOOKUP($G459,'MASTER TOKO BALI'!$B$2:$W$744,4,FALSE),"")</f>
        <v/>
      </c>
      <c r="J459" s="112">
        <v>46286</v>
      </c>
      <c r="K459" s="111" t="str">
        <f>IF($G459&lt;&gt;"",VLOOKUP($G459,'MASTER TOKO BALI'!$B$2:$W$744,12,FALSE),"")</f>
        <v/>
      </c>
      <c r="L459" s="111" t="str">
        <f>IF($G459&lt;&gt;"",VLOOKUP($G459,'MASTER TOKO BALI'!$B$2:$W$744,5,FALSE),"")</f>
        <v/>
      </c>
      <c r="M459" s="106"/>
      <c r="N459" s="111" t="str">
        <f>IF($G459&lt;&gt;"",VLOOKUP($G459,'MASTER TOKO BALI'!$B$2:$W$744,21,FALSE),"")</f>
        <v/>
      </c>
      <c r="O459" s="106"/>
      <c r="P459" s="164" t="str">
        <f>IF($G459&lt;&gt;"",VLOOKUP($G459,'MASTER TOKO BALI'!$B$2:$W$740,7,FALSE),"")</f>
        <v/>
      </c>
    </row>
    <row r="460" spans="1:19" ht="14.4" x14ac:dyDescent="0.2">
      <c r="A460" s="106">
        <f t="shared" si="18"/>
        <v>416</v>
      </c>
      <c r="B460" s="107" t="s">
        <v>2038</v>
      </c>
      <c r="C460" s="107" t="s">
        <v>2035</v>
      </c>
      <c r="D460" s="113" t="s">
        <v>2039</v>
      </c>
      <c r="E460" s="109" t="s">
        <v>2073</v>
      </c>
      <c r="F460" s="126"/>
      <c r="G460" s="60"/>
      <c r="H460" s="111" t="str">
        <f>IF($G460&lt;&gt;"",VLOOKUP($G460,'MASTER TOKO BALI'!$B$2:$W$744,2,FALSE),"")</f>
        <v/>
      </c>
      <c r="I460" s="237" t="str">
        <f>IF($G460&lt;&gt;"",VLOOKUP($G460,'MASTER TOKO BALI'!$B$2:$W$744,4,FALSE),"")</f>
        <v/>
      </c>
      <c r="J460" s="112">
        <v>46286</v>
      </c>
      <c r="K460" s="111" t="str">
        <f>IF($G460&lt;&gt;"",VLOOKUP($G460,'MASTER TOKO BALI'!$B$2:$W$744,12,FALSE),"")</f>
        <v/>
      </c>
      <c r="L460" s="111" t="str">
        <f>IF($G460&lt;&gt;"",VLOOKUP($G460,'MASTER TOKO BALI'!$B$2:$W$744,5,FALSE),"")</f>
        <v/>
      </c>
      <c r="M460" s="106"/>
      <c r="N460" s="111" t="str">
        <f>IF($G460&lt;&gt;"",VLOOKUP($G460,'MASTER TOKO BALI'!$B$2:$W$744,21,FALSE),"")</f>
        <v/>
      </c>
      <c r="O460" s="106"/>
      <c r="P460" s="164" t="str">
        <f>IF($G460&lt;&gt;"",VLOOKUP($G460,'MASTER TOKO BALI'!$B$2:$W$740,7,FALSE),"")</f>
        <v/>
      </c>
    </row>
    <row r="461" spans="1:19" ht="14.4" x14ac:dyDescent="0.2">
      <c r="A461" s="106">
        <f t="shared" si="18"/>
        <v>417</v>
      </c>
      <c r="B461" s="107" t="s">
        <v>2042</v>
      </c>
      <c r="C461" s="107" t="s">
        <v>2043</v>
      </c>
      <c r="D461" s="108" t="s">
        <v>2044</v>
      </c>
      <c r="E461" s="109" t="s">
        <v>2073</v>
      </c>
      <c r="F461" s="129"/>
      <c r="G461" s="60"/>
      <c r="H461" s="111" t="str">
        <f>IF($G461&lt;&gt;"",VLOOKUP($G461,'MASTER TOKO BALI'!$B$2:$W$744,2,FALSE),"")</f>
        <v/>
      </c>
      <c r="I461" s="237" t="str">
        <f>IF($G461&lt;&gt;"",VLOOKUP($G461,'MASTER TOKO BALI'!$B$2:$W$744,4,FALSE),"")</f>
        <v/>
      </c>
      <c r="J461" s="112">
        <v>46286</v>
      </c>
      <c r="K461" s="111" t="str">
        <f>IF($G461&lt;&gt;"",VLOOKUP($G461,'MASTER TOKO BALI'!$B$2:$W$744,12,FALSE),"")</f>
        <v/>
      </c>
      <c r="L461" s="111" t="str">
        <f>IF($G461&lt;&gt;"",VLOOKUP($G461,'MASTER TOKO BALI'!$B$2:$W$744,5,FALSE),"")</f>
        <v/>
      </c>
      <c r="M461" s="106"/>
      <c r="N461" s="111" t="str">
        <f>IF($G461&lt;&gt;"",VLOOKUP($G461,'MASTER TOKO BALI'!$B$2:$W$744,21,FALSE),"")</f>
        <v/>
      </c>
      <c r="O461" s="106"/>
      <c r="P461" s="164" t="str">
        <f>IF($G461&lt;&gt;"",VLOOKUP($G461,'MASTER TOKO BALI'!$B$2:$W$740,7,FALSE),"")</f>
        <v/>
      </c>
    </row>
    <row r="462" spans="1:19" x14ac:dyDescent="0.2">
      <c r="A462" s="106">
        <f t="shared" si="18"/>
        <v>418</v>
      </c>
      <c r="B462" s="107" t="s">
        <v>2038</v>
      </c>
      <c r="C462" s="107" t="s">
        <v>2043</v>
      </c>
      <c r="D462" s="113" t="s">
        <v>2045</v>
      </c>
      <c r="E462" s="109" t="s">
        <v>2073</v>
      </c>
      <c r="F462" s="126"/>
      <c r="G462" s="148"/>
      <c r="H462" s="111" t="str">
        <f>IF($G462&lt;&gt;"",VLOOKUP($G462,'MASTER TOKO BALI'!$B$2:$W$744,2,FALSE),"")</f>
        <v/>
      </c>
      <c r="I462" s="237" t="str">
        <f>IF($G462&lt;&gt;"",VLOOKUP($G462,'MASTER TOKO BALI'!$B$2:$W$744,4,FALSE),"")</f>
        <v/>
      </c>
      <c r="J462" s="112">
        <v>46286</v>
      </c>
      <c r="K462" s="111" t="str">
        <f>IF($G462&lt;&gt;"",VLOOKUP($G462,'MASTER TOKO BALI'!$B$2:$W$744,12,FALSE),"")</f>
        <v/>
      </c>
      <c r="L462" s="111" t="str">
        <f>IF($G462&lt;&gt;"",VLOOKUP($G462,'MASTER TOKO BALI'!$B$2:$W$744,5,FALSE),"")</f>
        <v/>
      </c>
      <c r="M462" s="106"/>
      <c r="N462" s="111" t="str">
        <f>IF($G462&lt;&gt;"",VLOOKUP($G462,'MASTER TOKO BALI'!$B$2:$W$744,21,FALSE),"")</f>
        <v/>
      </c>
      <c r="O462" s="106"/>
      <c r="P462" s="164" t="str">
        <f>IF($G462&lt;&gt;"",VLOOKUP($G462,'MASTER TOKO BALI'!$B$2:$W$740,7,FALSE),"")</f>
        <v/>
      </c>
    </row>
    <row r="463" spans="1:19" ht="14.4" x14ac:dyDescent="0.2">
      <c r="A463" s="106">
        <f t="shared" si="18"/>
        <v>419</v>
      </c>
      <c r="B463" s="107" t="s">
        <v>2046</v>
      </c>
      <c r="C463" s="107" t="s">
        <v>2043</v>
      </c>
      <c r="D463" s="108" t="s">
        <v>2047</v>
      </c>
      <c r="E463" s="109" t="s">
        <v>2073</v>
      </c>
      <c r="F463" s="126"/>
      <c r="G463" s="60"/>
      <c r="H463" s="111" t="str">
        <f>IF($G463&lt;&gt;"",VLOOKUP($G463,'MASTER TOKO BALI'!$B$2:$W$744,2,FALSE),"")</f>
        <v/>
      </c>
      <c r="I463" s="237" t="str">
        <f>IF($G463&lt;&gt;"",VLOOKUP($G463,'MASTER TOKO BALI'!$B$2:$W$744,4,FALSE),"")</f>
        <v/>
      </c>
      <c r="J463" s="112">
        <v>46286</v>
      </c>
      <c r="K463" s="111" t="str">
        <f>IF($G463&lt;&gt;"",VLOOKUP($G463,'MASTER TOKO BALI'!$B$2:$W$744,12,FALSE),"")</f>
        <v/>
      </c>
      <c r="L463" s="111" t="str">
        <f>IF($G463&lt;&gt;"",VLOOKUP($G463,'MASTER TOKO BALI'!$B$2:$W$744,5,FALSE),"")</f>
        <v/>
      </c>
      <c r="M463" s="106"/>
      <c r="N463" s="111" t="str">
        <f>IF($G463&lt;&gt;"",VLOOKUP($G463,'MASTER TOKO BALI'!$B$2:$W$744,21,FALSE),"")</f>
        <v/>
      </c>
      <c r="O463" s="106"/>
      <c r="P463" s="164" t="str">
        <f>IF($G463&lt;&gt;"",VLOOKUP($G463,'MASTER TOKO BALI'!$B$2:$W$740,7,FALSE),"")</f>
        <v/>
      </c>
    </row>
    <row r="464" spans="1:19" x14ac:dyDescent="0.2">
      <c r="A464" s="106"/>
      <c r="B464" s="107" t="s">
        <v>2038</v>
      </c>
      <c r="C464" s="107" t="s">
        <v>2043</v>
      </c>
      <c r="D464" s="113" t="s">
        <v>2045</v>
      </c>
      <c r="E464" s="109" t="s">
        <v>2073</v>
      </c>
      <c r="F464" s="126"/>
      <c r="G464" s="144"/>
      <c r="H464" s="111" t="str">
        <f>IF($G464&lt;&gt;"",VLOOKUP($G464,'MASTER TOKO BALI'!$B$2:$W$744,2,FALSE),"")</f>
        <v/>
      </c>
      <c r="I464" s="237" t="str">
        <f>IF($G464&lt;&gt;"",VLOOKUP($G464,'MASTER TOKO BALI'!$B$2:$W$744,4,FALSE),"")</f>
        <v/>
      </c>
      <c r="J464" s="112">
        <v>46286</v>
      </c>
      <c r="K464" s="111" t="str">
        <f>IF($G464&lt;&gt;"",VLOOKUP($G464,'MASTER TOKO BALI'!$B$2:$W$744,12,FALSE),"")</f>
        <v/>
      </c>
      <c r="L464" s="111" t="str">
        <f>IF($G464&lt;&gt;"",VLOOKUP($G464,'MASTER TOKO BALI'!$B$2:$W$744,5,FALSE),"")</f>
        <v/>
      </c>
      <c r="M464" s="106"/>
      <c r="N464" s="111" t="str">
        <f>IF($G464&lt;&gt;"",VLOOKUP($G464,'MASTER TOKO BALI'!$B$2:$W$744,21,FALSE),"")</f>
        <v/>
      </c>
      <c r="O464" s="106"/>
      <c r="P464" s="164" t="str">
        <f>IF($G464&lt;&gt;"",VLOOKUP($G464,'MASTER TOKO BALI'!$B$2:$W$740,7,FALSE),"")</f>
        <v/>
      </c>
    </row>
    <row r="465" spans="1:16" ht="14.4" x14ac:dyDescent="0.2">
      <c r="A465" s="106">
        <f>A463+1</f>
        <v>420</v>
      </c>
      <c r="B465" s="107" t="s">
        <v>2048</v>
      </c>
      <c r="C465" s="107" t="s">
        <v>2049</v>
      </c>
      <c r="D465" s="108" t="s">
        <v>2050</v>
      </c>
      <c r="E465" s="109" t="s">
        <v>2073</v>
      </c>
      <c r="F465" s="126"/>
      <c r="G465" s="60"/>
      <c r="H465" s="111" t="str">
        <f>IF($G465&lt;&gt;"",VLOOKUP($G465,'MASTER TOKO BALI'!$B$2:$W$744,2,FALSE),"")</f>
        <v/>
      </c>
      <c r="I465" s="237" t="str">
        <f>IF($G465&lt;&gt;"",VLOOKUP($G465,'MASTER TOKO BALI'!$B$2:$W$744,4,FALSE),"")</f>
        <v/>
      </c>
      <c r="J465" s="112">
        <v>46286</v>
      </c>
      <c r="K465" s="111" t="str">
        <f>IF($G465&lt;&gt;"",VLOOKUP($G465,'MASTER TOKO BALI'!$B$2:$W$744,12,FALSE),"")</f>
        <v/>
      </c>
      <c r="L465" s="111" t="str">
        <f>IF($G465&lt;&gt;"",VLOOKUP($G465,'MASTER TOKO BALI'!$B$2:$W$744,5,FALSE),"")</f>
        <v/>
      </c>
      <c r="M465" s="106"/>
      <c r="N465" s="111" t="str">
        <f>IF($G465&lt;&gt;"",VLOOKUP($G465,'MASTER TOKO BALI'!$B$2:$W$744,21,FALSE),"")</f>
        <v/>
      </c>
      <c r="O465" s="106"/>
      <c r="P465" s="164" t="str">
        <f>IF($G465&lt;&gt;"",VLOOKUP($G465,'MASTER TOKO BALI'!$B$2:$W$740,7,FALSE),"")</f>
        <v/>
      </c>
    </row>
    <row r="466" spans="1:16" x14ac:dyDescent="0.2">
      <c r="A466" s="106">
        <f t="shared" si="18"/>
        <v>421</v>
      </c>
      <c r="B466" s="107" t="s">
        <v>2038</v>
      </c>
      <c r="C466" s="107" t="s">
        <v>2049</v>
      </c>
      <c r="D466" s="115" t="s">
        <v>2051</v>
      </c>
      <c r="E466" s="109" t="s">
        <v>2073</v>
      </c>
      <c r="F466" s="126"/>
      <c r="G466" s="144"/>
      <c r="H466" s="111" t="str">
        <f>IF($G466&lt;&gt;"",VLOOKUP($G466,'MASTER TOKO BALI'!$B$2:$W$744,2,FALSE),"")</f>
        <v/>
      </c>
      <c r="I466" s="237" t="str">
        <f>IF($G466&lt;&gt;"",VLOOKUP($G466,'MASTER TOKO BALI'!$B$2:$W$744,4,FALSE),"")</f>
        <v/>
      </c>
      <c r="J466" s="112">
        <v>46286</v>
      </c>
      <c r="K466" s="111" t="str">
        <f>IF($G466&lt;&gt;"",VLOOKUP($G466,'MASTER TOKO BALI'!$B$2:$W$744,12,FALSE),"")</f>
        <v/>
      </c>
      <c r="L466" s="111" t="str">
        <f>IF($G466&lt;&gt;"",VLOOKUP($G466,'MASTER TOKO BALI'!$B$2:$W$744,5,FALSE),"")</f>
        <v/>
      </c>
      <c r="M466" s="106"/>
      <c r="N466" s="111" t="str">
        <f>IF($G466&lt;&gt;"",VLOOKUP($G466,'MASTER TOKO BALI'!$B$2:$W$744,21,FALSE),"")</f>
        <v/>
      </c>
      <c r="O466" s="106"/>
      <c r="P466" s="164" t="str">
        <f>IF($G466&lt;&gt;"",VLOOKUP($G466,'MASTER TOKO BALI'!$B$2:$W$740,7,FALSE),"")</f>
        <v/>
      </c>
    </row>
    <row r="467" spans="1:16" ht="14.4" x14ac:dyDescent="0.2">
      <c r="A467" s="106">
        <f t="shared" si="18"/>
        <v>422</v>
      </c>
      <c r="B467" s="107" t="s">
        <v>2052</v>
      </c>
      <c r="C467" s="107" t="s">
        <v>2049</v>
      </c>
      <c r="D467" s="108" t="s">
        <v>2053</v>
      </c>
      <c r="E467" s="109" t="s">
        <v>2073</v>
      </c>
      <c r="F467" s="126"/>
      <c r="G467" s="60"/>
      <c r="H467" s="111" t="str">
        <f>IF($G467&lt;&gt;"",VLOOKUP($G467,'MASTER TOKO BALI'!$B$2:$W$744,2,FALSE),"")</f>
        <v/>
      </c>
      <c r="I467" s="237" t="str">
        <f>IF($G467&lt;&gt;"",VLOOKUP($G467,'MASTER TOKO BALI'!$B$2:$W$744,4,FALSE),"")</f>
        <v/>
      </c>
      <c r="J467" s="112">
        <v>46286</v>
      </c>
      <c r="K467" s="111" t="str">
        <f>IF($G467&lt;&gt;"",VLOOKUP($G467,'MASTER TOKO BALI'!$B$2:$W$744,12,FALSE),"")</f>
        <v/>
      </c>
      <c r="L467" s="111" t="str">
        <f>IF($G467&lt;&gt;"",VLOOKUP($G467,'MASTER TOKO BALI'!$B$2:$W$744,5,FALSE),"")</f>
        <v/>
      </c>
      <c r="M467" s="106"/>
      <c r="N467" s="111" t="str">
        <f>IF($G467&lt;&gt;"",VLOOKUP($G467,'MASTER TOKO BALI'!$B$2:$W$744,21,FALSE),"")</f>
        <v/>
      </c>
      <c r="O467" s="106"/>
      <c r="P467" s="164" t="str">
        <f>IF($G467&lt;&gt;"",VLOOKUP($G467,'MASTER TOKO BALI'!$B$2:$W$740,7,FALSE),"")</f>
        <v/>
      </c>
    </row>
    <row r="468" spans="1:16" ht="14.4" x14ac:dyDescent="0.2">
      <c r="A468" s="106">
        <f t="shared" si="18"/>
        <v>423</v>
      </c>
      <c r="B468" s="107" t="s">
        <v>2038</v>
      </c>
      <c r="C468" s="107" t="s">
        <v>2049</v>
      </c>
      <c r="D468" s="113" t="s">
        <v>2051</v>
      </c>
      <c r="E468" s="109" t="s">
        <v>2073</v>
      </c>
      <c r="F468" s="126"/>
      <c r="G468" s="60"/>
      <c r="H468" s="111" t="str">
        <f>IF($G468&lt;&gt;"",VLOOKUP($G468,'MASTER TOKO BALI'!$B$2:$W$744,2,FALSE),"")</f>
        <v/>
      </c>
      <c r="I468" s="237" t="str">
        <f>IF($G468&lt;&gt;"",VLOOKUP($G468,'MASTER TOKO BALI'!$B$2:$W$744,4,FALSE),"")</f>
        <v/>
      </c>
      <c r="J468" s="112">
        <v>46286</v>
      </c>
      <c r="K468" s="111" t="str">
        <f>IF($G468&lt;&gt;"",VLOOKUP($G468,'MASTER TOKO BALI'!$B$2:$W$744,12,FALSE),"")</f>
        <v/>
      </c>
      <c r="L468" s="111" t="str">
        <f>IF($G468&lt;&gt;"",VLOOKUP($G468,'MASTER TOKO BALI'!$B$2:$W$744,5,FALSE),"")</f>
        <v/>
      </c>
      <c r="M468" s="106"/>
      <c r="N468" s="111" t="str">
        <f>IF($G468&lt;&gt;"",VLOOKUP($G468,'MASTER TOKO BALI'!$B$2:$W$744,21,FALSE),"")</f>
        <v/>
      </c>
      <c r="O468" s="106"/>
      <c r="P468" s="164" t="str">
        <f>IF($G468&lt;&gt;"",VLOOKUP($G468,'MASTER TOKO BALI'!$B$2:$W$740,7,FALSE),"")</f>
        <v/>
      </c>
    </row>
    <row r="469" spans="1:16" ht="14.4" x14ac:dyDescent="0.2">
      <c r="A469" s="106">
        <f t="shared" si="18"/>
        <v>424</v>
      </c>
      <c r="B469" s="107" t="s">
        <v>2054</v>
      </c>
      <c r="C469" s="116" t="s">
        <v>2055</v>
      </c>
      <c r="D469" s="108" t="s">
        <v>2056</v>
      </c>
      <c r="E469" s="109" t="s">
        <v>2073</v>
      </c>
      <c r="F469" s="126"/>
      <c r="G469" s="60"/>
      <c r="H469" s="111" t="str">
        <f>IF($G469&lt;&gt;"",VLOOKUP($G469,'MASTER TOKO BALI'!$B$2:$W$744,2,FALSE),"")</f>
        <v/>
      </c>
      <c r="I469" s="237" t="str">
        <f>IF($G469&lt;&gt;"",VLOOKUP($G469,'MASTER TOKO BALI'!$B$2:$W$744,4,FALSE),"")</f>
        <v/>
      </c>
      <c r="J469" s="112">
        <v>46286</v>
      </c>
      <c r="K469" s="111" t="str">
        <f>IF($G469&lt;&gt;"",VLOOKUP($G469,'MASTER TOKO BALI'!$B$2:$W$744,12,FALSE),"")</f>
        <v/>
      </c>
      <c r="L469" s="111" t="str">
        <f>IF($G469&lt;&gt;"",VLOOKUP($G469,'MASTER TOKO BALI'!$B$2:$W$744,5,FALSE),"")</f>
        <v/>
      </c>
      <c r="M469" s="106"/>
      <c r="N469" s="111" t="str">
        <f>IF($G469&lt;&gt;"",VLOOKUP($G469,'MASTER TOKO BALI'!$B$2:$W$744,21,FALSE),"")</f>
        <v/>
      </c>
      <c r="O469" s="106"/>
      <c r="P469" s="164" t="str">
        <f>IF($G469&lt;&gt;"",VLOOKUP($G469,'MASTER TOKO BALI'!$B$2:$W$740,7,FALSE),"")</f>
        <v/>
      </c>
    </row>
    <row r="470" spans="1:16" x14ac:dyDescent="0.2">
      <c r="A470" s="106">
        <f t="shared" si="18"/>
        <v>425</v>
      </c>
      <c r="B470" s="107" t="s">
        <v>2038</v>
      </c>
      <c r="C470" s="116" t="s">
        <v>2055</v>
      </c>
      <c r="D470" s="113" t="s">
        <v>2057</v>
      </c>
      <c r="E470" s="109" t="s">
        <v>2073</v>
      </c>
      <c r="F470" s="126"/>
      <c r="G470" s="149"/>
      <c r="H470" s="111" t="str">
        <f>IF($G470&lt;&gt;"",VLOOKUP($G470,'MASTER TOKO BALI'!$B$2:$W$744,2,FALSE),"")</f>
        <v/>
      </c>
      <c r="I470" s="237" t="str">
        <f>IF($G470&lt;&gt;"",VLOOKUP($G470,'MASTER TOKO BALI'!$B$2:$W$744,4,FALSE),"")</f>
        <v/>
      </c>
      <c r="J470" s="112">
        <v>46286</v>
      </c>
      <c r="K470" s="111" t="str">
        <f>IF($G470&lt;&gt;"",VLOOKUP($G470,'MASTER TOKO BALI'!$B$2:$W$744,12,FALSE),"")</f>
        <v/>
      </c>
      <c r="L470" s="111" t="str">
        <f>IF($G470&lt;&gt;"",VLOOKUP($G470,'MASTER TOKO BALI'!$B$2:$W$744,5,FALSE),"")</f>
        <v/>
      </c>
      <c r="M470" s="106"/>
      <c r="N470" s="111" t="str">
        <f>IF($G470&lt;&gt;"",VLOOKUP($G470,'MASTER TOKO BALI'!$B$2:$W$744,21,FALSE),"")</f>
        <v/>
      </c>
      <c r="O470" s="106"/>
      <c r="P470" s="164" t="str">
        <f>IF($G470&lt;&gt;"",VLOOKUP($G470,'MASTER TOKO BALI'!$B$2:$W$740,7,FALSE),"")</f>
        <v/>
      </c>
    </row>
    <row r="471" spans="1:16" ht="14.4" x14ac:dyDescent="0.2">
      <c r="A471" s="106">
        <f t="shared" si="18"/>
        <v>426</v>
      </c>
      <c r="B471" s="107" t="s">
        <v>2058</v>
      </c>
      <c r="C471" s="116" t="s">
        <v>2055</v>
      </c>
      <c r="D471" s="108" t="s">
        <v>2059</v>
      </c>
      <c r="E471" s="109" t="s">
        <v>2073</v>
      </c>
      <c r="F471" s="126"/>
      <c r="G471" s="60"/>
      <c r="H471" s="111" t="str">
        <f>IF($G471&lt;&gt;"",VLOOKUP($G471,'MASTER TOKO BALI'!$B$2:$W$744,2,FALSE),"")</f>
        <v/>
      </c>
      <c r="I471" s="237" t="str">
        <f>IF($G471&lt;&gt;"",VLOOKUP($G471,'MASTER TOKO BALI'!$B$2:$W$744,4,FALSE),"")</f>
        <v/>
      </c>
      <c r="J471" s="112">
        <v>46286</v>
      </c>
      <c r="K471" s="111" t="str">
        <f>IF($G471&lt;&gt;"",VLOOKUP($G471,'MASTER TOKO BALI'!$B$2:$W$744,12,FALSE),"")</f>
        <v/>
      </c>
      <c r="L471" s="111" t="str">
        <f>IF($G471&lt;&gt;"",VLOOKUP($G471,'MASTER TOKO BALI'!$B$2:$W$744,5,FALSE),"")</f>
        <v/>
      </c>
      <c r="M471" s="106"/>
      <c r="N471" s="111" t="str">
        <f>IF($G471&lt;&gt;"",VLOOKUP($G471,'MASTER TOKO BALI'!$B$2:$W$744,21,FALSE),"")</f>
        <v/>
      </c>
      <c r="O471" s="106"/>
      <c r="P471" s="164" t="str">
        <f>IF($G471&lt;&gt;"",VLOOKUP($G471,'MASTER TOKO BALI'!$B$2:$W$740,7,FALSE),"")</f>
        <v/>
      </c>
    </row>
    <row r="472" spans="1:16" x14ac:dyDescent="0.2">
      <c r="A472" s="106">
        <f t="shared" si="18"/>
        <v>427</v>
      </c>
      <c r="B472" s="107" t="s">
        <v>2038</v>
      </c>
      <c r="C472" s="116" t="s">
        <v>2055</v>
      </c>
      <c r="D472" s="113" t="s">
        <v>2057</v>
      </c>
      <c r="E472" s="109" t="s">
        <v>2073</v>
      </c>
      <c r="F472" s="126"/>
      <c r="G472" s="144"/>
      <c r="H472" s="111" t="str">
        <f>IF($G472&lt;&gt;"",VLOOKUP($G472,'MASTER TOKO BALI'!$B$2:$W$744,2,FALSE),"")</f>
        <v/>
      </c>
      <c r="I472" s="237" t="str">
        <f>IF($G472&lt;&gt;"",VLOOKUP($G472,'MASTER TOKO BALI'!$B$2:$W$744,4,FALSE),"")</f>
        <v/>
      </c>
      <c r="J472" s="112">
        <v>46286</v>
      </c>
      <c r="K472" s="111" t="str">
        <f>IF($G472&lt;&gt;"",VLOOKUP($G472,'MASTER TOKO BALI'!$B$2:$W$744,12,FALSE),"")</f>
        <v/>
      </c>
      <c r="L472" s="111" t="str">
        <f>IF($G472&lt;&gt;"",VLOOKUP($G472,'MASTER TOKO BALI'!$B$2:$W$744,5,FALSE),"")</f>
        <v/>
      </c>
      <c r="M472" s="106"/>
      <c r="N472" s="111" t="str">
        <f>IF($G472&lt;&gt;"",VLOOKUP($G472,'MASTER TOKO BALI'!$B$2:$W$744,21,FALSE),"")</f>
        <v/>
      </c>
      <c r="O472" s="106"/>
      <c r="P472" s="164" t="str">
        <f>IF($G472&lt;&gt;"",VLOOKUP($G472,'MASTER TOKO BALI'!$B$2:$W$740,7,FALSE),"")</f>
        <v/>
      </c>
    </row>
    <row r="473" spans="1:16" ht="14.4" x14ac:dyDescent="0.2">
      <c r="A473" s="106">
        <f t="shared" si="18"/>
        <v>428</v>
      </c>
      <c r="B473" s="107" t="s">
        <v>2060</v>
      </c>
      <c r="C473" s="116" t="s">
        <v>2061</v>
      </c>
      <c r="D473" s="108" t="s">
        <v>2062</v>
      </c>
      <c r="E473" s="109" t="s">
        <v>2073</v>
      </c>
      <c r="F473" s="60"/>
      <c r="G473" s="60"/>
      <c r="H473" s="111" t="str">
        <f>IF($G473&lt;&gt;"",VLOOKUP($G473,'MASTER TOKO BALI'!$B$2:$W$744,2,FALSE),"")</f>
        <v/>
      </c>
      <c r="I473" s="237" t="str">
        <f>IF($G473&lt;&gt;"",VLOOKUP($G473,'MASTER TOKO BALI'!$B$2:$W$744,4,FALSE),"")</f>
        <v/>
      </c>
      <c r="J473" s="112">
        <v>46286</v>
      </c>
      <c r="K473" s="111" t="str">
        <f>IF($G473&lt;&gt;"",VLOOKUP($G473,'MASTER TOKO BALI'!$B$2:$W$744,12,FALSE),"")</f>
        <v/>
      </c>
      <c r="L473" s="111" t="str">
        <f>IF($G473&lt;&gt;"",VLOOKUP($G473,'MASTER TOKO BALI'!$B$2:$W$744,5,FALSE),"")</f>
        <v/>
      </c>
      <c r="M473" s="106"/>
      <c r="N473" s="111" t="str">
        <f>IF($G473&lt;&gt;"",VLOOKUP($G473,'MASTER TOKO BALI'!$B$2:$W$744,21,FALSE),"")</f>
        <v/>
      </c>
      <c r="O473" s="106"/>
      <c r="P473" s="164" t="str">
        <f>IF($G473&lt;&gt;"",VLOOKUP($G473,'MASTER TOKO BALI'!$B$2:$W$740,7,FALSE),"")</f>
        <v/>
      </c>
    </row>
    <row r="474" spans="1:16" x14ac:dyDescent="0.2">
      <c r="A474" s="106">
        <f t="shared" si="18"/>
        <v>429</v>
      </c>
      <c r="B474" s="107" t="s">
        <v>2038</v>
      </c>
      <c r="C474" s="116" t="s">
        <v>2061</v>
      </c>
      <c r="D474" s="113" t="s">
        <v>2063</v>
      </c>
      <c r="E474" s="109" t="s">
        <v>2073</v>
      </c>
      <c r="F474" s="126"/>
      <c r="G474" s="144"/>
      <c r="H474" s="111" t="str">
        <f>IF($G474&lt;&gt;"",VLOOKUP($G474,'MASTER TOKO BALI'!$B$2:$W$744,2,FALSE),"")</f>
        <v/>
      </c>
      <c r="I474" s="237" t="str">
        <f>IF($G474&lt;&gt;"",VLOOKUP($G474,'MASTER TOKO BALI'!$B$2:$W$744,4,FALSE),"")</f>
        <v/>
      </c>
      <c r="J474" s="112">
        <v>46286</v>
      </c>
      <c r="K474" s="111" t="str">
        <f>IF($G474&lt;&gt;"",VLOOKUP($G474,'MASTER TOKO BALI'!$B$2:$W$744,12,FALSE),"")</f>
        <v/>
      </c>
      <c r="L474" s="111" t="str">
        <f>IF($G474&lt;&gt;"",VLOOKUP($G474,'MASTER TOKO BALI'!$B$2:$W$744,5,FALSE),"")</f>
        <v/>
      </c>
      <c r="M474" s="106"/>
      <c r="N474" s="111" t="str">
        <f>IF($G474&lt;&gt;"",VLOOKUP($G474,'MASTER TOKO BALI'!$B$2:$W$744,21,FALSE),"")</f>
        <v/>
      </c>
      <c r="O474" s="106"/>
      <c r="P474" s="164" t="str">
        <f>IF($G474&lt;&gt;"",VLOOKUP($G474,'MASTER TOKO BALI'!$B$2:$W$740,7,FALSE),"")</f>
        <v/>
      </c>
    </row>
    <row r="475" spans="1:16" ht="14.4" x14ac:dyDescent="0.2">
      <c r="A475" s="106">
        <f t="shared" si="18"/>
        <v>430</v>
      </c>
      <c r="B475" s="107" t="s">
        <v>2064</v>
      </c>
      <c r="C475" s="116" t="s">
        <v>2061</v>
      </c>
      <c r="D475" s="108" t="s">
        <v>2065</v>
      </c>
      <c r="E475" s="109" t="s">
        <v>2073</v>
      </c>
      <c r="F475" s="126"/>
      <c r="G475" s="60"/>
      <c r="H475" s="111" t="str">
        <f>IF($G475&lt;&gt;"",VLOOKUP($G475,'MASTER TOKO BALI'!$B$2:$W$744,2,FALSE),"")</f>
        <v/>
      </c>
      <c r="I475" s="237" t="str">
        <f>IF($G475&lt;&gt;"",VLOOKUP($G475,'MASTER TOKO BALI'!$B$2:$W$744,4,FALSE),"")</f>
        <v/>
      </c>
      <c r="J475" s="112">
        <v>46286</v>
      </c>
      <c r="K475" s="111" t="str">
        <f>IF($G475&lt;&gt;"",VLOOKUP($G475,'MASTER TOKO BALI'!$B$2:$W$744,12,FALSE),"")</f>
        <v/>
      </c>
      <c r="L475" s="111" t="str">
        <f>IF($G475&lt;&gt;"",VLOOKUP($G475,'MASTER TOKO BALI'!$B$2:$W$744,5,FALSE),"")</f>
        <v/>
      </c>
      <c r="M475" s="106"/>
      <c r="N475" s="111" t="str">
        <f>IF($G475&lt;&gt;"",VLOOKUP($G475,'MASTER TOKO BALI'!$B$2:$W$744,21,FALSE),"")</f>
        <v/>
      </c>
      <c r="O475" s="106"/>
      <c r="P475" s="164" t="str">
        <f>IF($G475&lt;&gt;"",VLOOKUP($G475,'MASTER TOKO BALI'!$B$2:$W$740,7,FALSE),"")</f>
        <v/>
      </c>
    </row>
    <row r="476" spans="1:16" ht="14.4" x14ac:dyDescent="0.2">
      <c r="A476" s="106">
        <f t="shared" si="18"/>
        <v>431</v>
      </c>
      <c r="B476" s="107" t="s">
        <v>2066</v>
      </c>
      <c r="C476" s="116" t="s">
        <v>2061</v>
      </c>
      <c r="D476" s="113" t="s">
        <v>2063</v>
      </c>
      <c r="E476" s="109" t="s">
        <v>2073</v>
      </c>
      <c r="F476" s="126"/>
      <c r="G476" s="60"/>
      <c r="H476" s="111" t="str">
        <f>IF($G476&lt;&gt;"",VLOOKUP($G476,'MASTER TOKO BALI'!$B$2:$W$744,2,FALSE),"")</f>
        <v/>
      </c>
      <c r="I476" s="237" t="str">
        <f>IF($G476&lt;&gt;"",VLOOKUP($G476,'MASTER TOKO BALI'!$B$2:$W$744,4,FALSE),"")</f>
        <v/>
      </c>
      <c r="J476" s="112">
        <v>46286</v>
      </c>
      <c r="K476" s="111" t="str">
        <f>IF($G476&lt;&gt;"",VLOOKUP($G476,'MASTER TOKO BALI'!$B$2:$W$744,12,FALSE),"")</f>
        <v/>
      </c>
      <c r="L476" s="111" t="str">
        <f>IF($G476&lt;&gt;"",VLOOKUP($G476,'MASTER TOKO BALI'!$B$2:$W$744,5,FALSE),"")</f>
        <v/>
      </c>
      <c r="M476" s="106"/>
      <c r="N476" s="111" t="str">
        <f>IF($G476&lt;&gt;"",VLOOKUP($G476,'MASTER TOKO BALI'!$B$2:$W$744,21,FALSE),"")</f>
        <v/>
      </c>
      <c r="O476" s="106"/>
      <c r="P476" s="164" t="str">
        <f>IF($G476&lt;&gt;"",VLOOKUP($G476,'MASTER TOKO BALI'!$B$2:$W$740,7,FALSE),"")</f>
        <v/>
      </c>
    </row>
    <row r="477" spans="1:16" ht="14.4" x14ac:dyDescent="0.2">
      <c r="A477" s="106">
        <f t="shared" si="18"/>
        <v>432</v>
      </c>
      <c r="B477" s="107" t="s">
        <v>2067</v>
      </c>
      <c r="C477" s="107" t="s">
        <v>2068</v>
      </c>
      <c r="D477" s="108" t="s">
        <v>2069</v>
      </c>
      <c r="E477" s="109" t="s">
        <v>2073</v>
      </c>
      <c r="F477" s="126"/>
      <c r="G477" s="60"/>
      <c r="H477" s="111" t="str">
        <f>IF($G477&lt;&gt;"",VLOOKUP($G477,'MASTER TOKO BALI'!$B$2:$W$744,2,FALSE),"")</f>
        <v/>
      </c>
      <c r="I477" s="237" t="str">
        <f>IF($G477&lt;&gt;"",VLOOKUP($G477,'MASTER TOKO BALI'!$B$2:$W$744,4,FALSE),"")</f>
        <v/>
      </c>
      <c r="J477" s="112">
        <v>46286</v>
      </c>
      <c r="K477" s="111" t="str">
        <f>IF($G477&lt;&gt;"",VLOOKUP($G477,'MASTER TOKO BALI'!$B$2:$W$744,12,FALSE),"")</f>
        <v/>
      </c>
      <c r="L477" s="111" t="str">
        <f>IF($G477&lt;&gt;"",VLOOKUP($G477,'MASTER TOKO BALI'!$B$2:$W$744,5,FALSE),"")</f>
        <v/>
      </c>
      <c r="M477" s="106"/>
      <c r="N477" s="111" t="str">
        <f>IF($G477&lt;&gt;"",VLOOKUP($G477,'MASTER TOKO BALI'!$B$2:$W$744,21,FALSE),"")</f>
        <v/>
      </c>
      <c r="O477" s="106"/>
      <c r="P477" s="164" t="str">
        <f>IF($G477&lt;&gt;"",VLOOKUP($G477,'MASTER TOKO BALI'!$B$2:$W$740,7,FALSE),"")</f>
        <v/>
      </c>
    </row>
    <row r="478" spans="1:16" ht="14.4" x14ac:dyDescent="0.2">
      <c r="A478" s="106">
        <f t="shared" si="18"/>
        <v>433</v>
      </c>
      <c r="B478" s="107" t="s">
        <v>2066</v>
      </c>
      <c r="C478" s="107" t="s">
        <v>2068</v>
      </c>
      <c r="D478" s="117" t="s">
        <v>2070</v>
      </c>
      <c r="E478" s="109" t="s">
        <v>2073</v>
      </c>
      <c r="F478" s="127"/>
      <c r="G478" s="60"/>
      <c r="H478" s="111" t="str">
        <f>IF($G478&lt;&gt;"",VLOOKUP($G478,'MASTER TOKO BALI'!$B$2:$W$744,2,FALSE),"")</f>
        <v/>
      </c>
      <c r="I478" s="237" t="str">
        <f>IF($G478&lt;&gt;"",VLOOKUP($G478,'MASTER TOKO BALI'!$B$2:$W$744,4,FALSE),"")</f>
        <v/>
      </c>
      <c r="J478" s="112">
        <v>46286</v>
      </c>
      <c r="K478" s="111" t="str">
        <f>IF($G478&lt;&gt;"",VLOOKUP($G478,'MASTER TOKO BALI'!$B$2:$W$744,12,FALSE),"")</f>
        <v/>
      </c>
      <c r="L478" s="111" t="str">
        <f>IF($G478&lt;&gt;"",VLOOKUP($G478,'MASTER TOKO BALI'!$B$2:$W$744,5,FALSE),"")</f>
        <v/>
      </c>
      <c r="M478" s="106"/>
      <c r="N478" s="111" t="str">
        <f>IF($G478&lt;&gt;"",VLOOKUP($G478,'MASTER TOKO BALI'!$B$2:$W$744,21,FALSE),"")</f>
        <v/>
      </c>
      <c r="O478" s="106"/>
      <c r="P478" s="164" t="str">
        <f>IF($G478&lt;&gt;"",VLOOKUP($G478,'MASTER TOKO BALI'!$B$2:$W$740,7,FALSE),"")</f>
        <v/>
      </c>
    </row>
    <row r="479" spans="1:16" ht="14.4" x14ac:dyDescent="0.2">
      <c r="A479" s="106">
        <f t="shared" si="18"/>
        <v>434</v>
      </c>
      <c r="B479" s="107" t="s">
        <v>2071</v>
      </c>
      <c r="C479" s="107" t="s">
        <v>2068</v>
      </c>
      <c r="D479" s="116" t="s">
        <v>2003</v>
      </c>
      <c r="E479" s="109" t="s">
        <v>2073</v>
      </c>
      <c r="F479" s="126"/>
      <c r="G479" s="60"/>
      <c r="H479" s="111" t="str">
        <f>IF($G479&lt;&gt;"",VLOOKUP($G479,'MASTER TOKO BALI'!$B$2:$W$744,2,FALSE),"")</f>
        <v/>
      </c>
      <c r="I479" s="237" t="str">
        <f>IF($G479&lt;&gt;"",VLOOKUP($G479,'MASTER TOKO BALI'!$B$2:$W$744,4,FALSE),"")</f>
        <v/>
      </c>
      <c r="J479" s="112">
        <v>46286</v>
      </c>
      <c r="K479" s="111" t="str">
        <f>IF($G479&lt;&gt;"",VLOOKUP($G479,'MASTER TOKO BALI'!$B$2:$W$744,12,FALSE),"")</f>
        <v/>
      </c>
      <c r="L479" s="111" t="str">
        <f>IF($G479&lt;&gt;"",VLOOKUP($G479,'MASTER TOKO BALI'!$B$2:$W$744,5,FALSE),"")</f>
        <v/>
      </c>
      <c r="M479" s="106"/>
      <c r="N479" s="111" t="str">
        <f>IF($G479&lt;&gt;"",VLOOKUP($G479,'MASTER TOKO BALI'!$B$2:$W$744,21,FALSE),"")</f>
        <v/>
      </c>
      <c r="O479" s="106"/>
      <c r="P479" s="164" t="str">
        <f>IF($G479&lt;&gt;"",VLOOKUP($G479,'MASTER TOKO BALI'!$B$2:$W$740,7,FALSE),"")</f>
        <v/>
      </c>
    </row>
    <row r="480" spans="1:16" ht="14.4" x14ac:dyDescent="0.2">
      <c r="A480" s="106">
        <f t="shared" si="18"/>
        <v>435</v>
      </c>
      <c r="B480" s="107" t="s">
        <v>2066</v>
      </c>
      <c r="C480" s="107" t="s">
        <v>2068</v>
      </c>
      <c r="D480" s="117" t="s">
        <v>2070</v>
      </c>
      <c r="E480" s="109" t="s">
        <v>2073</v>
      </c>
      <c r="F480" s="126"/>
      <c r="G480" s="60"/>
      <c r="H480" s="111" t="str">
        <f>IF($G480&lt;&gt;"",VLOOKUP($G480,'MASTER TOKO BALI'!$B$2:$W$744,2,FALSE),"")</f>
        <v/>
      </c>
      <c r="I480" s="237" t="str">
        <f>IF($G480&lt;&gt;"",VLOOKUP($G480,'MASTER TOKO BALI'!$B$2:$W$744,4,FALSE),"")</f>
        <v/>
      </c>
      <c r="J480" s="112">
        <v>46286</v>
      </c>
      <c r="K480" s="111" t="str">
        <f>IF($G480&lt;&gt;"",VLOOKUP($G480,'MASTER TOKO BALI'!$B$2:$W$744,12,FALSE),"")</f>
        <v/>
      </c>
      <c r="L480" s="111" t="str">
        <f>IF($G480&lt;&gt;"",VLOOKUP($G480,'MASTER TOKO BALI'!$B$2:$W$744,5,FALSE),"")</f>
        <v/>
      </c>
      <c r="M480" s="106"/>
      <c r="N480" s="111" t="str">
        <f>IF($G480&lt;&gt;"",VLOOKUP($G480,'MASTER TOKO BALI'!$B$2:$W$744,21,FALSE),"")</f>
        <v/>
      </c>
      <c r="O480" s="106"/>
      <c r="P480" s="164" t="str">
        <f>IF($G480&lt;&gt;"",VLOOKUP($G480,'MASTER TOKO BALI'!$B$2:$W$740,7,FALSE),"")</f>
        <v/>
      </c>
    </row>
    <row r="481" spans="1:16" x14ac:dyDescent="0.2">
      <c r="A481" s="106"/>
      <c r="B481" s="107"/>
      <c r="C481" s="107"/>
      <c r="D481" s="111"/>
      <c r="E481" s="114"/>
      <c r="F481" s="129"/>
      <c r="G481" s="144"/>
      <c r="H481" s="111" t="str">
        <f>IF($G481&lt;&gt;"",VLOOKUP($G481,'MASTER TOKO BALI'!$B$2:$W$744,2,FALSE),"")</f>
        <v/>
      </c>
      <c r="I481" s="237" t="str">
        <f>IF($G481&lt;&gt;"",VLOOKUP($G481,'MASTER TOKO BALI'!$B$2:$W$744,4,FALSE),"")</f>
        <v/>
      </c>
      <c r="J481" s="119"/>
      <c r="K481" s="111" t="str">
        <f>IF($G481&lt;&gt;"",VLOOKUP($G481,'MASTER TOKO BALI'!$B$2:$W$744,12,FALSE),"")</f>
        <v/>
      </c>
      <c r="L481" s="111" t="str">
        <f>IF($G481&lt;&gt;"",VLOOKUP($G481,'MASTER TOKO BALI'!$B$2:$W$744,5,FALSE),"")</f>
        <v/>
      </c>
      <c r="M481" s="106"/>
      <c r="N481" s="111" t="str">
        <f>IF($G481&lt;&gt;"",VLOOKUP($G481,'MASTER TOKO BALI'!$B$2:$W$744,21,FALSE),"")</f>
        <v/>
      </c>
      <c r="O481" s="106"/>
      <c r="P481" s="164" t="str">
        <f>IF($G481&lt;&gt;"",VLOOKUP($G481,'MASTER TOKO BALI'!$B$2:$W$740,7,FALSE),"")</f>
        <v/>
      </c>
    </row>
    <row r="482" spans="1:16" ht="14.4" x14ac:dyDescent="0.2">
      <c r="A482" s="106">
        <f>A480+1</f>
        <v>436</v>
      </c>
      <c r="B482" s="107" t="s">
        <v>2034</v>
      </c>
      <c r="C482" s="107" t="s">
        <v>2035</v>
      </c>
      <c r="D482" s="108" t="s">
        <v>2036</v>
      </c>
      <c r="E482" s="114" t="s">
        <v>2074</v>
      </c>
      <c r="F482" s="126"/>
      <c r="G482" s="60"/>
      <c r="H482" s="111" t="str">
        <f>IF($G482&lt;&gt;"",VLOOKUP($G482,'MASTER TOKO BALI'!$B$2:$W$744,2,FALSE),"")</f>
        <v/>
      </c>
      <c r="I482" s="237" t="str">
        <f>IF($G482&lt;&gt;"",VLOOKUP($G482,'MASTER TOKO BALI'!$B$2:$W$744,4,FALSE),"")</f>
        <v/>
      </c>
      <c r="J482" s="119">
        <v>46287</v>
      </c>
      <c r="K482" s="111" t="str">
        <f>IF($G482&lt;&gt;"",VLOOKUP($G482,'MASTER TOKO BALI'!$B$2:$W$744,12,FALSE),"")</f>
        <v/>
      </c>
      <c r="L482" s="111" t="str">
        <f>IF($G482&lt;&gt;"",VLOOKUP($G482,'MASTER TOKO BALI'!$B$2:$W$744,5,FALSE),"")</f>
        <v/>
      </c>
      <c r="M482" s="106"/>
      <c r="N482" s="111" t="str">
        <f>IF($G482&lt;&gt;"",VLOOKUP($G482,'MASTER TOKO BALI'!$B$2:$W$744,21,FALSE),"")</f>
        <v/>
      </c>
      <c r="O482" s="106"/>
      <c r="P482" s="164" t="str">
        <f>IF($G482&lt;&gt;"",VLOOKUP($G482,'MASTER TOKO BALI'!$B$2:$W$740,7,FALSE),"")</f>
        <v/>
      </c>
    </row>
    <row r="483" spans="1:16" ht="14.4" x14ac:dyDescent="0.3">
      <c r="A483" s="106">
        <f t="shared" ref="A483:A505" si="19">A482+1</f>
        <v>437</v>
      </c>
      <c r="B483" s="107" t="s">
        <v>2038</v>
      </c>
      <c r="C483" s="107" t="s">
        <v>2035</v>
      </c>
      <c r="D483" s="113" t="s">
        <v>2039</v>
      </c>
      <c r="E483" s="114" t="s">
        <v>2074</v>
      </c>
      <c r="F483" s="126"/>
      <c r="G483" s="65"/>
      <c r="H483" s="111" t="str">
        <f>IF($G483&lt;&gt;"",VLOOKUP($G483,'MASTER TOKO BALI'!$B$2:$W$744,2,FALSE),"")</f>
        <v/>
      </c>
      <c r="I483" s="237" t="str">
        <f>IF($G483&lt;&gt;"",VLOOKUP($G483,'MASTER TOKO BALI'!$B$2:$W$744,4,FALSE),"")</f>
        <v/>
      </c>
      <c r="J483" s="119">
        <v>46287</v>
      </c>
      <c r="K483" s="111" t="str">
        <f>IF($G483&lt;&gt;"",VLOOKUP($G483,'MASTER TOKO BALI'!$B$2:$W$744,12,FALSE),"")</f>
        <v/>
      </c>
      <c r="L483" s="111" t="str">
        <f>IF($G483&lt;&gt;"",VLOOKUP($G483,'MASTER TOKO BALI'!$B$2:$W$744,5,FALSE),"")</f>
        <v/>
      </c>
      <c r="M483" s="106"/>
      <c r="N483" s="111" t="str">
        <f>IF($G483&lt;&gt;"",VLOOKUP($G483,'MASTER TOKO BALI'!$B$2:$W$744,21,FALSE),"")</f>
        <v/>
      </c>
      <c r="O483" s="106"/>
      <c r="P483" s="164" t="str">
        <f>IF($G483&lt;&gt;"",VLOOKUP($G483,'MASTER TOKO BALI'!$B$2:$W$740,7,FALSE),"")</f>
        <v/>
      </c>
    </row>
    <row r="484" spans="1:16" ht="14.4" x14ac:dyDescent="0.2">
      <c r="A484" s="106">
        <f t="shared" si="19"/>
        <v>438</v>
      </c>
      <c r="B484" s="107" t="s">
        <v>2040</v>
      </c>
      <c r="C484" s="107" t="s">
        <v>2035</v>
      </c>
      <c r="D484" s="108" t="s">
        <v>2041</v>
      </c>
      <c r="E484" s="114" t="s">
        <v>2074</v>
      </c>
      <c r="F484" s="126"/>
      <c r="G484" s="60"/>
      <c r="H484" s="111" t="str">
        <f>IF($G484&lt;&gt;"",VLOOKUP($G484,'MASTER TOKO BALI'!$B$2:$W$744,2,FALSE),"")</f>
        <v/>
      </c>
      <c r="I484" s="237" t="str">
        <f>IF($G484&lt;&gt;"",VLOOKUP($G484,'MASTER TOKO BALI'!$B$2:$W$744,4,FALSE),"")</f>
        <v/>
      </c>
      <c r="J484" s="119">
        <v>46287</v>
      </c>
      <c r="K484" s="111" t="str">
        <f>IF($G484&lt;&gt;"",VLOOKUP($G484,'MASTER TOKO BALI'!$B$2:$W$744,12,FALSE),"")</f>
        <v/>
      </c>
      <c r="L484" s="111" t="str">
        <f>IF($G484&lt;&gt;"",VLOOKUP($G484,'MASTER TOKO BALI'!$B$2:$W$744,5,FALSE),"")</f>
        <v/>
      </c>
      <c r="M484" s="106"/>
      <c r="N484" s="111" t="str">
        <f>IF($G484&lt;&gt;"",VLOOKUP($G484,'MASTER TOKO BALI'!$B$2:$W$744,21,FALSE),"")</f>
        <v/>
      </c>
      <c r="O484" s="106"/>
      <c r="P484" s="164" t="str">
        <f>IF($G484&lt;&gt;"",VLOOKUP($G484,'MASTER TOKO BALI'!$B$2:$W$740,7,FALSE),"")</f>
        <v/>
      </c>
    </row>
    <row r="485" spans="1:16" ht="14.4" x14ac:dyDescent="0.2">
      <c r="A485" s="106"/>
      <c r="B485" s="107" t="s">
        <v>2038</v>
      </c>
      <c r="C485" s="107" t="s">
        <v>2035</v>
      </c>
      <c r="D485" s="113" t="s">
        <v>2039</v>
      </c>
      <c r="E485" s="114" t="s">
        <v>2074</v>
      </c>
      <c r="F485" s="126"/>
      <c r="G485" s="60"/>
      <c r="H485" s="111" t="str">
        <f>IF($G485&lt;&gt;"",VLOOKUP($G485,'MASTER TOKO BALI'!$B$2:$W$744,2,FALSE),"")</f>
        <v/>
      </c>
      <c r="I485" s="237" t="str">
        <f>IF($G485&lt;&gt;"",VLOOKUP($G485,'MASTER TOKO BALI'!$B$2:$W$744,4,FALSE),"")</f>
        <v/>
      </c>
      <c r="J485" s="119">
        <v>46287</v>
      </c>
      <c r="K485" s="111" t="str">
        <f>IF($G485&lt;&gt;"",VLOOKUP($G485,'MASTER TOKO BALI'!$B$2:$W$744,12,FALSE),"")</f>
        <v/>
      </c>
      <c r="L485" s="111" t="str">
        <f>IF($G485&lt;&gt;"",VLOOKUP($G485,'MASTER TOKO BALI'!$B$2:$W$744,5,FALSE),"")</f>
        <v/>
      </c>
      <c r="M485" s="106"/>
      <c r="N485" s="111" t="str">
        <f>IF($G485&lt;&gt;"",VLOOKUP($G485,'MASTER TOKO BALI'!$B$2:$W$744,21,FALSE),"")</f>
        <v/>
      </c>
      <c r="O485" s="106"/>
      <c r="P485" s="164" t="str">
        <f>IF($G485&lt;&gt;"",VLOOKUP($G485,'MASTER TOKO BALI'!$B$2:$W$740,7,FALSE),"")</f>
        <v/>
      </c>
    </row>
    <row r="486" spans="1:16" ht="14.4" x14ac:dyDescent="0.2">
      <c r="A486" s="106">
        <f>A484+1</f>
        <v>439</v>
      </c>
      <c r="B486" s="107" t="s">
        <v>2042</v>
      </c>
      <c r="C486" s="107" t="s">
        <v>2043</v>
      </c>
      <c r="D486" s="108" t="s">
        <v>2044</v>
      </c>
      <c r="E486" s="114" t="s">
        <v>2074</v>
      </c>
      <c r="F486" s="126"/>
      <c r="G486" s="60"/>
      <c r="H486" s="111" t="str">
        <f>IF($G486&lt;&gt;"",VLOOKUP($G486,'MASTER TOKO BALI'!$B$2:$W$744,2,FALSE),"")</f>
        <v/>
      </c>
      <c r="I486" s="237" t="str">
        <f>IF($G486&lt;&gt;"",VLOOKUP($G486,'MASTER TOKO BALI'!$B$2:$W$744,4,FALSE),"")</f>
        <v/>
      </c>
      <c r="J486" s="119">
        <v>46287</v>
      </c>
      <c r="K486" s="111" t="str">
        <f>IF($G486&lt;&gt;"",VLOOKUP($G486,'MASTER TOKO BALI'!$B$2:$W$744,12,FALSE),"")</f>
        <v/>
      </c>
      <c r="L486" s="111" t="str">
        <f>IF($G486&lt;&gt;"",VLOOKUP($G486,'MASTER TOKO BALI'!$B$2:$W$744,5,FALSE),"")</f>
        <v/>
      </c>
      <c r="M486" s="106"/>
      <c r="N486" s="111" t="str">
        <f>IF($G486&lt;&gt;"",VLOOKUP($G486,'MASTER TOKO BALI'!$B$2:$W$744,21,FALSE),"")</f>
        <v/>
      </c>
      <c r="O486" s="106"/>
      <c r="P486" s="164" t="str">
        <f>IF($G486&lt;&gt;"",VLOOKUP($G486,'MASTER TOKO BALI'!$B$2:$W$740,7,FALSE),"")</f>
        <v/>
      </c>
    </row>
    <row r="487" spans="1:16" ht="14.4" x14ac:dyDescent="0.2">
      <c r="A487" s="106">
        <f t="shared" si="19"/>
        <v>440</v>
      </c>
      <c r="B487" s="107" t="s">
        <v>2038</v>
      </c>
      <c r="C487" s="107" t="s">
        <v>2043</v>
      </c>
      <c r="D487" s="113" t="s">
        <v>2045</v>
      </c>
      <c r="E487" s="114" t="s">
        <v>2074</v>
      </c>
      <c r="F487" s="126"/>
      <c r="G487" s="60"/>
      <c r="H487" s="111" t="str">
        <f>IF($G487&lt;&gt;"",VLOOKUP($G487,'MASTER TOKO BALI'!$B$2:$W$744,2,FALSE),"")</f>
        <v/>
      </c>
      <c r="I487" s="237" t="str">
        <f>IF($G487&lt;&gt;"",VLOOKUP($G487,'MASTER TOKO BALI'!$B$2:$W$744,4,FALSE),"")</f>
        <v/>
      </c>
      <c r="J487" s="119">
        <v>46287</v>
      </c>
      <c r="K487" s="111" t="str">
        <f>IF($G487&lt;&gt;"",VLOOKUP($G487,'MASTER TOKO BALI'!$B$2:$W$744,12,FALSE),"")</f>
        <v/>
      </c>
      <c r="L487" s="111" t="str">
        <f>IF($G487&lt;&gt;"",VLOOKUP($G487,'MASTER TOKO BALI'!$B$2:$W$744,5,FALSE),"")</f>
        <v/>
      </c>
      <c r="M487" s="106"/>
      <c r="N487" s="111" t="str">
        <f>IF($G487&lt;&gt;"",VLOOKUP($G487,'MASTER TOKO BALI'!$B$2:$W$744,21,FALSE),"")</f>
        <v/>
      </c>
      <c r="O487" s="106"/>
      <c r="P487" s="164" t="str">
        <f>IF($G487&lt;&gt;"",VLOOKUP($G487,'MASTER TOKO BALI'!$B$2:$W$740,7,FALSE),"")</f>
        <v/>
      </c>
    </row>
    <row r="488" spans="1:16" ht="14.4" x14ac:dyDescent="0.2">
      <c r="A488" s="106">
        <f t="shared" si="19"/>
        <v>441</v>
      </c>
      <c r="B488" s="107" t="s">
        <v>2046</v>
      </c>
      <c r="C488" s="107" t="s">
        <v>2043</v>
      </c>
      <c r="D488" s="108" t="s">
        <v>2047</v>
      </c>
      <c r="E488" s="114" t="s">
        <v>2074</v>
      </c>
      <c r="F488" s="126"/>
      <c r="G488" s="60"/>
      <c r="H488" s="111" t="str">
        <f>IF($G488&lt;&gt;"",VLOOKUP($G488,'MASTER TOKO BALI'!$B$2:$W$744,2,FALSE),"")</f>
        <v/>
      </c>
      <c r="I488" s="237" t="str">
        <f>IF($G488&lt;&gt;"",VLOOKUP($G488,'MASTER TOKO BALI'!$B$2:$W$744,4,FALSE),"")</f>
        <v/>
      </c>
      <c r="J488" s="119">
        <v>46287</v>
      </c>
      <c r="K488" s="111" t="str">
        <f>IF($G488&lt;&gt;"",VLOOKUP($G488,'MASTER TOKO BALI'!$B$2:$W$744,12,FALSE),"")</f>
        <v/>
      </c>
      <c r="L488" s="111" t="str">
        <f>IF($G488&lt;&gt;"",VLOOKUP($G488,'MASTER TOKO BALI'!$B$2:$W$744,5,FALSE),"")</f>
        <v/>
      </c>
      <c r="M488" s="106"/>
      <c r="N488" s="111" t="str">
        <f>IF($G488&lt;&gt;"",VLOOKUP($G488,'MASTER TOKO BALI'!$B$2:$W$744,21,FALSE),"")</f>
        <v/>
      </c>
      <c r="O488" s="106"/>
      <c r="P488" s="164" t="str">
        <f>IF($G488&lt;&gt;"",VLOOKUP($G488,'MASTER TOKO BALI'!$B$2:$W$740,7,FALSE),"")</f>
        <v/>
      </c>
    </row>
    <row r="489" spans="1:16" ht="14.4" x14ac:dyDescent="0.3">
      <c r="A489" s="106">
        <f t="shared" si="19"/>
        <v>442</v>
      </c>
      <c r="B489" s="107" t="s">
        <v>2038</v>
      </c>
      <c r="C489" s="107" t="s">
        <v>2043</v>
      </c>
      <c r="D489" s="113" t="s">
        <v>2045</v>
      </c>
      <c r="E489" s="114" t="s">
        <v>2074</v>
      </c>
      <c r="F489" s="127"/>
      <c r="G489" s="65"/>
      <c r="H489" s="111" t="str">
        <f>IF($G489&lt;&gt;"",VLOOKUP($G489,'MASTER TOKO BALI'!$B$2:$W$744,2,FALSE),"")</f>
        <v/>
      </c>
      <c r="I489" s="237" t="str">
        <f>IF($G489&lt;&gt;"",VLOOKUP($G489,'MASTER TOKO BALI'!$B$2:$W$744,4,FALSE),"")</f>
        <v/>
      </c>
      <c r="J489" s="119">
        <v>46287</v>
      </c>
      <c r="K489" s="111" t="str">
        <f>IF($G489&lt;&gt;"",VLOOKUP($G489,'MASTER TOKO BALI'!$B$2:$W$744,12,FALSE),"")</f>
        <v/>
      </c>
      <c r="L489" s="111" t="str">
        <f>IF($G489&lt;&gt;"",VLOOKUP($G489,'MASTER TOKO BALI'!$B$2:$W$744,5,FALSE),"")</f>
        <v/>
      </c>
      <c r="M489" s="106"/>
      <c r="N489" s="111" t="str">
        <f>IF($G489&lt;&gt;"",VLOOKUP($G489,'MASTER TOKO BALI'!$B$2:$W$744,21,FALSE),"")</f>
        <v/>
      </c>
      <c r="O489" s="106"/>
      <c r="P489" s="164" t="str">
        <f>IF($G489&lt;&gt;"",VLOOKUP($G489,'MASTER TOKO BALI'!$B$2:$W$740,7,FALSE),"")</f>
        <v/>
      </c>
    </row>
    <row r="490" spans="1:16" ht="14.4" x14ac:dyDescent="0.2">
      <c r="A490" s="106">
        <f t="shared" si="19"/>
        <v>443</v>
      </c>
      <c r="B490" s="107" t="s">
        <v>2048</v>
      </c>
      <c r="C490" s="107" t="s">
        <v>2049</v>
      </c>
      <c r="D490" s="108" t="s">
        <v>2050</v>
      </c>
      <c r="E490" s="114" t="s">
        <v>2074</v>
      </c>
      <c r="F490" s="126"/>
      <c r="G490" s="60"/>
      <c r="H490" s="111" t="str">
        <f>IF($G490&lt;&gt;"",VLOOKUP($G490,'MASTER TOKO BALI'!$B$2:$W$744,2,FALSE),"")</f>
        <v/>
      </c>
      <c r="I490" s="237" t="str">
        <f>IF($G490&lt;&gt;"",VLOOKUP($G490,'MASTER TOKO BALI'!$B$2:$W$744,4,FALSE),"")</f>
        <v/>
      </c>
      <c r="J490" s="119">
        <v>46287</v>
      </c>
      <c r="K490" s="111" t="str">
        <f>IF($G490&lt;&gt;"",VLOOKUP($G490,'MASTER TOKO BALI'!$B$2:$W$744,12,FALSE),"")</f>
        <v/>
      </c>
      <c r="L490" s="111" t="str">
        <f>IF($G490&lt;&gt;"",VLOOKUP($G490,'MASTER TOKO BALI'!$B$2:$W$744,5,FALSE),"")</f>
        <v/>
      </c>
      <c r="M490" s="106"/>
      <c r="N490" s="111" t="str">
        <f>IF($G490&lt;&gt;"",VLOOKUP($G490,'MASTER TOKO BALI'!$B$2:$W$744,21,FALSE),"")</f>
        <v/>
      </c>
      <c r="O490" s="106"/>
      <c r="P490" s="164" t="str">
        <f>IF($G490&lt;&gt;"",VLOOKUP($G490,'MASTER TOKO BALI'!$B$2:$W$740,7,FALSE),"")</f>
        <v/>
      </c>
    </row>
    <row r="491" spans="1:16" ht="14.4" x14ac:dyDescent="0.2">
      <c r="A491" s="106">
        <f t="shared" si="19"/>
        <v>444</v>
      </c>
      <c r="B491" s="107" t="s">
        <v>2038</v>
      </c>
      <c r="C491" s="107" t="s">
        <v>2049</v>
      </c>
      <c r="D491" s="115" t="s">
        <v>2051</v>
      </c>
      <c r="E491" s="114" t="s">
        <v>2074</v>
      </c>
      <c r="F491" s="126"/>
      <c r="G491" s="60"/>
      <c r="H491" s="111" t="str">
        <f>IF($G491&lt;&gt;"",VLOOKUP($G491,'MASTER TOKO BALI'!$B$2:$W$744,2,FALSE),"")</f>
        <v/>
      </c>
      <c r="I491" s="237" t="str">
        <f>IF($G491&lt;&gt;"",VLOOKUP($G491,'MASTER TOKO BALI'!$B$2:$W$744,4,FALSE),"")</f>
        <v/>
      </c>
      <c r="J491" s="119">
        <v>46287</v>
      </c>
      <c r="K491" s="111" t="str">
        <f>IF($G491&lt;&gt;"",VLOOKUP($G491,'MASTER TOKO BALI'!$B$2:$W$744,12,FALSE),"")</f>
        <v/>
      </c>
      <c r="L491" s="111" t="str">
        <f>IF($G491&lt;&gt;"",VLOOKUP($G491,'MASTER TOKO BALI'!$B$2:$W$744,5,FALSE),"")</f>
        <v/>
      </c>
      <c r="M491" s="106"/>
      <c r="N491" s="111" t="str">
        <f>IF($G491&lt;&gt;"",VLOOKUP($G491,'MASTER TOKO BALI'!$B$2:$W$744,21,FALSE),"")</f>
        <v/>
      </c>
      <c r="O491" s="106"/>
      <c r="P491" s="164" t="str">
        <f>IF($G491&lt;&gt;"",VLOOKUP($G491,'MASTER TOKO BALI'!$B$2:$W$740,7,FALSE),"")</f>
        <v/>
      </c>
    </row>
    <row r="492" spans="1:16" ht="14.4" x14ac:dyDescent="0.2">
      <c r="A492" s="106">
        <f t="shared" si="19"/>
        <v>445</v>
      </c>
      <c r="B492" s="107" t="s">
        <v>2052</v>
      </c>
      <c r="C492" s="107" t="s">
        <v>2049</v>
      </c>
      <c r="D492" s="108" t="s">
        <v>2053</v>
      </c>
      <c r="E492" s="114" t="s">
        <v>2074</v>
      </c>
      <c r="F492" s="126"/>
      <c r="G492" s="60"/>
      <c r="H492" s="111" t="str">
        <f>IF($G492&lt;&gt;"",VLOOKUP($G492,'MASTER TOKO BALI'!$B$2:$W$744,2,FALSE),"")</f>
        <v/>
      </c>
      <c r="I492" s="237" t="str">
        <f>IF($G492&lt;&gt;"",VLOOKUP($G492,'MASTER TOKO BALI'!$B$2:$W$744,4,FALSE),"")</f>
        <v/>
      </c>
      <c r="J492" s="119">
        <v>46287</v>
      </c>
      <c r="K492" s="111" t="str">
        <f>IF($G492&lt;&gt;"",VLOOKUP($G492,'MASTER TOKO BALI'!$B$2:$W$744,12,FALSE),"")</f>
        <v/>
      </c>
      <c r="L492" s="111" t="str">
        <f>IF($G492&lt;&gt;"",VLOOKUP($G492,'MASTER TOKO BALI'!$B$2:$W$744,5,FALSE),"")</f>
        <v/>
      </c>
      <c r="M492" s="106"/>
      <c r="N492" s="111" t="str">
        <f>IF($G492&lt;&gt;"",VLOOKUP($G492,'MASTER TOKO BALI'!$B$2:$W$744,21,FALSE),"")</f>
        <v/>
      </c>
      <c r="O492" s="106"/>
      <c r="P492" s="164" t="str">
        <f>IF($G492&lt;&gt;"",VLOOKUP($G492,'MASTER TOKO BALI'!$B$2:$W$740,7,FALSE),"")</f>
        <v/>
      </c>
    </row>
    <row r="493" spans="1:16" ht="14.4" x14ac:dyDescent="0.2">
      <c r="A493" s="106">
        <f t="shared" si="19"/>
        <v>446</v>
      </c>
      <c r="B493" s="107" t="s">
        <v>2038</v>
      </c>
      <c r="C493" s="107" t="s">
        <v>2049</v>
      </c>
      <c r="D493" s="113" t="s">
        <v>2051</v>
      </c>
      <c r="E493" s="114" t="s">
        <v>2074</v>
      </c>
      <c r="F493" s="126"/>
      <c r="G493" s="60"/>
      <c r="H493" s="111" t="str">
        <f>IF($G493&lt;&gt;"",VLOOKUP($G493,'MASTER TOKO BALI'!$B$2:$W$744,2,FALSE),"")</f>
        <v/>
      </c>
      <c r="I493" s="237" t="str">
        <f>IF($G493&lt;&gt;"",VLOOKUP($G493,'MASTER TOKO BALI'!$B$2:$W$744,4,FALSE),"")</f>
        <v/>
      </c>
      <c r="J493" s="119">
        <v>46287</v>
      </c>
      <c r="K493" s="111" t="str">
        <f>IF($G493&lt;&gt;"",VLOOKUP($G493,'MASTER TOKO BALI'!$B$2:$W$744,12,FALSE),"")</f>
        <v/>
      </c>
      <c r="L493" s="111" t="str">
        <f>IF($G493&lt;&gt;"",VLOOKUP($G493,'MASTER TOKO BALI'!$B$2:$W$744,5,FALSE),"")</f>
        <v/>
      </c>
      <c r="M493" s="106"/>
      <c r="N493" s="111" t="str">
        <f>IF($G493&lt;&gt;"",VLOOKUP($G493,'MASTER TOKO BALI'!$B$2:$W$744,21,FALSE),"")</f>
        <v/>
      </c>
      <c r="O493" s="106"/>
      <c r="P493" s="164" t="str">
        <f>IF($G493&lt;&gt;"",VLOOKUP($G493,'MASTER TOKO BALI'!$B$2:$W$740,7,FALSE),"")</f>
        <v/>
      </c>
    </row>
    <row r="494" spans="1:16" ht="14.4" x14ac:dyDescent="0.3">
      <c r="A494" s="106">
        <f t="shared" si="19"/>
        <v>447</v>
      </c>
      <c r="B494" s="107" t="s">
        <v>2054</v>
      </c>
      <c r="C494" s="116" t="s">
        <v>2055</v>
      </c>
      <c r="D494" s="108" t="s">
        <v>2056</v>
      </c>
      <c r="E494" s="114" t="s">
        <v>2074</v>
      </c>
      <c r="F494" s="126"/>
      <c r="G494" s="65"/>
      <c r="H494" s="111" t="str">
        <f>IF($G494&lt;&gt;"",VLOOKUP($G494,'MASTER TOKO BALI'!$B$2:$W$744,2,FALSE),"")</f>
        <v/>
      </c>
      <c r="I494" s="237" t="str">
        <f>IF($G494&lt;&gt;"",VLOOKUP($G494,'MASTER TOKO BALI'!$B$2:$W$744,4,FALSE),"")</f>
        <v/>
      </c>
      <c r="J494" s="119">
        <v>46287</v>
      </c>
      <c r="K494" s="111" t="str">
        <f>IF($G494&lt;&gt;"",VLOOKUP($G494,'MASTER TOKO BALI'!$B$2:$W$744,12,FALSE),"")</f>
        <v/>
      </c>
      <c r="L494" s="111" t="str">
        <f>IF($G494&lt;&gt;"",VLOOKUP($G494,'MASTER TOKO BALI'!$B$2:$W$744,5,FALSE),"")</f>
        <v/>
      </c>
      <c r="M494" s="106"/>
      <c r="N494" s="111" t="str">
        <f>IF($G494&lt;&gt;"",VLOOKUP($G494,'MASTER TOKO BALI'!$B$2:$W$744,21,FALSE),"")</f>
        <v/>
      </c>
      <c r="O494" s="106"/>
      <c r="P494" s="164" t="str">
        <f>IF($G494&lt;&gt;"",VLOOKUP($G494,'MASTER TOKO BALI'!$B$2:$W$740,7,FALSE),"")</f>
        <v/>
      </c>
    </row>
    <row r="495" spans="1:16" ht="14.4" x14ac:dyDescent="0.2">
      <c r="A495" s="106">
        <f t="shared" si="19"/>
        <v>448</v>
      </c>
      <c r="B495" s="107" t="s">
        <v>2038</v>
      </c>
      <c r="C495" s="116" t="s">
        <v>2055</v>
      </c>
      <c r="D495" s="113" t="s">
        <v>2057</v>
      </c>
      <c r="E495" s="114" t="s">
        <v>2074</v>
      </c>
      <c r="F495" s="126"/>
      <c r="G495" s="60"/>
      <c r="H495" s="111" t="str">
        <f>IF($G495&lt;&gt;"",VLOOKUP($G495,'MASTER TOKO BALI'!$B$2:$W$744,2,FALSE),"")</f>
        <v/>
      </c>
      <c r="I495" s="237" t="str">
        <f>IF($G495&lt;&gt;"",VLOOKUP($G495,'MASTER TOKO BALI'!$B$2:$W$744,4,FALSE),"")</f>
        <v/>
      </c>
      <c r="J495" s="119">
        <v>46287</v>
      </c>
      <c r="K495" s="111" t="str">
        <f>IF($G495&lt;&gt;"",VLOOKUP($G495,'MASTER TOKO BALI'!$B$2:$W$744,12,FALSE),"")</f>
        <v/>
      </c>
      <c r="L495" s="111" t="str">
        <f>IF($G495&lt;&gt;"",VLOOKUP($G495,'MASTER TOKO BALI'!$B$2:$W$744,5,FALSE),"")</f>
        <v/>
      </c>
      <c r="M495" s="106"/>
      <c r="N495" s="111" t="str">
        <f>IF($G495&lt;&gt;"",VLOOKUP($G495,'MASTER TOKO BALI'!$B$2:$W$744,21,FALSE),"")</f>
        <v/>
      </c>
      <c r="O495" s="106"/>
      <c r="P495" s="164" t="str">
        <f>IF($G495&lt;&gt;"",VLOOKUP($G495,'MASTER TOKO BALI'!$B$2:$W$740,7,FALSE),"")</f>
        <v/>
      </c>
    </row>
    <row r="496" spans="1:16" ht="14.4" x14ac:dyDescent="0.3">
      <c r="A496" s="106">
        <f t="shared" si="19"/>
        <v>449</v>
      </c>
      <c r="B496" s="107" t="s">
        <v>2058</v>
      </c>
      <c r="C496" s="116" t="s">
        <v>2055</v>
      </c>
      <c r="D496" s="108" t="s">
        <v>2059</v>
      </c>
      <c r="E496" s="114" t="s">
        <v>2074</v>
      </c>
      <c r="F496" s="126"/>
      <c r="G496" s="65"/>
      <c r="H496" s="111" t="str">
        <f>IF($G496&lt;&gt;"",VLOOKUP($G496,'MASTER TOKO BALI'!$B$2:$W$744,2,FALSE),"")</f>
        <v/>
      </c>
      <c r="I496" s="237" t="str">
        <f>IF($G496&lt;&gt;"",VLOOKUP($G496,'MASTER TOKO BALI'!$B$2:$W$744,4,FALSE),"")</f>
        <v/>
      </c>
      <c r="J496" s="119">
        <v>46287</v>
      </c>
      <c r="K496" s="111" t="str">
        <f>IF($G496&lt;&gt;"",VLOOKUP($G496,'MASTER TOKO BALI'!$B$2:$W$744,12,FALSE),"")</f>
        <v/>
      </c>
      <c r="L496" s="111" t="str">
        <f>IF($G496&lt;&gt;"",VLOOKUP($G496,'MASTER TOKO BALI'!$B$2:$W$744,5,FALSE),"")</f>
        <v/>
      </c>
      <c r="M496" s="106"/>
      <c r="N496" s="111" t="str">
        <f>IF($G496&lt;&gt;"",VLOOKUP($G496,'MASTER TOKO BALI'!$B$2:$W$744,21,FALSE),"")</f>
        <v/>
      </c>
      <c r="O496" s="106"/>
      <c r="P496" s="164" t="str">
        <f>IF($G496&lt;&gt;"",VLOOKUP($G496,'MASTER TOKO BALI'!$B$2:$W$740,7,FALSE),"")</f>
        <v/>
      </c>
    </row>
    <row r="497" spans="1:16" ht="14.4" x14ac:dyDescent="0.2">
      <c r="A497" s="106">
        <f t="shared" si="19"/>
        <v>450</v>
      </c>
      <c r="B497" s="107" t="s">
        <v>2038</v>
      </c>
      <c r="C497" s="116" t="s">
        <v>2055</v>
      </c>
      <c r="D497" s="113" t="s">
        <v>2057</v>
      </c>
      <c r="E497" s="114" t="s">
        <v>2074</v>
      </c>
      <c r="F497" s="126"/>
      <c r="G497" s="60"/>
      <c r="H497" s="111" t="str">
        <f>IF($G497&lt;&gt;"",VLOOKUP($G497,'MASTER TOKO BALI'!$B$2:$W$744,2,FALSE),"")</f>
        <v/>
      </c>
      <c r="I497" s="237" t="str">
        <f>IF($G497&lt;&gt;"",VLOOKUP($G497,'MASTER TOKO BALI'!$B$2:$W$744,4,FALSE),"")</f>
        <v/>
      </c>
      <c r="J497" s="119">
        <v>46287</v>
      </c>
      <c r="K497" s="111" t="str">
        <f>IF($G497&lt;&gt;"",VLOOKUP($G497,'MASTER TOKO BALI'!$B$2:$W$744,12,FALSE),"")</f>
        <v/>
      </c>
      <c r="L497" s="111" t="str">
        <f>IF($G497&lt;&gt;"",VLOOKUP($G497,'MASTER TOKO BALI'!$B$2:$W$744,5,FALSE),"")</f>
        <v/>
      </c>
      <c r="M497" s="106"/>
      <c r="N497" s="111" t="str">
        <f>IF($G497&lt;&gt;"",VLOOKUP($G497,'MASTER TOKO BALI'!$B$2:$W$744,21,FALSE),"")</f>
        <v/>
      </c>
      <c r="O497" s="106"/>
      <c r="P497" s="164" t="str">
        <f>IF($G497&lt;&gt;"",VLOOKUP($G497,'MASTER TOKO BALI'!$B$2:$W$740,7,FALSE),"")</f>
        <v/>
      </c>
    </row>
    <row r="498" spans="1:16" ht="14.4" x14ac:dyDescent="0.2">
      <c r="A498" s="106">
        <f t="shared" si="19"/>
        <v>451</v>
      </c>
      <c r="B498" s="107" t="s">
        <v>2060</v>
      </c>
      <c r="C498" s="116" t="s">
        <v>2061</v>
      </c>
      <c r="D498" s="108" t="s">
        <v>2062</v>
      </c>
      <c r="E498" s="114" t="s">
        <v>2074</v>
      </c>
      <c r="F498" s="126"/>
      <c r="G498" s="60"/>
      <c r="H498" s="111" t="str">
        <f>IF($G498&lt;&gt;"",VLOOKUP($G498,'MASTER TOKO BALI'!$B$2:$W$744,2,FALSE),"")</f>
        <v/>
      </c>
      <c r="I498" s="237" t="str">
        <f>IF($G498&lt;&gt;"",VLOOKUP($G498,'MASTER TOKO BALI'!$B$2:$W$744,4,FALSE),"")</f>
        <v/>
      </c>
      <c r="J498" s="119">
        <v>46287</v>
      </c>
      <c r="K498" s="111" t="str">
        <f>IF($G498&lt;&gt;"",VLOOKUP($G498,'MASTER TOKO BALI'!$B$2:$W$744,12,FALSE),"")</f>
        <v/>
      </c>
      <c r="L498" s="111" t="str">
        <f>IF($G498&lt;&gt;"",VLOOKUP($G498,'MASTER TOKO BALI'!$B$2:$W$744,5,FALSE),"")</f>
        <v/>
      </c>
      <c r="M498" s="106"/>
      <c r="N498" s="111" t="str">
        <f>IF($G498&lt;&gt;"",VLOOKUP($G498,'MASTER TOKO BALI'!$B$2:$W$744,21,FALSE),"")</f>
        <v/>
      </c>
      <c r="O498" s="106"/>
      <c r="P498" s="164" t="str">
        <f>IF($G498&lt;&gt;"",VLOOKUP($G498,'MASTER TOKO BALI'!$B$2:$W$740,7,FALSE),"")</f>
        <v/>
      </c>
    </row>
    <row r="499" spans="1:16" ht="14.4" x14ac:dyDescent="0.2">
      <c r="A499" s="106">
        <f t="shared" si="19"/>
        <v>452</v>
      </c>
      <c r="B499" s="107" t="s">
        <v>2038</v>
      </c>
      <c r="C499" s="116" t="s">
        <v>2061</v>
      </c>
      <c r="D499" s="113" t="s">
        <v>2063</v>
      </c>
      <c r="E499" s="114" t="s">
        <v>2074</v>
      </c>
      <c r="F499" s="126"/>
      <c r="G499" s="60"/>
      <c r="H499" s="111" t="str">
        <f>IF($G499&lt;&gt;"",VLOOKUP($G499,'MASTER TOKO BALI'!$B$2:$W$744,2,FALSE),"")</f>
        <v/>
      </c>
      <c r="I499" s="237" t="str">
        <f>IF($G499&lt;&gt;"",VLOOKUP($G499,'MASTER TOKO BALI'!$B$2:$W$744,4,FALSE),"")</f>
        <v/>
      </c>
      <c r="J499" s="119">
        <v>46287</v>
      </c>
      <c r="K499" s="111" t="str">
        <f>IF($G499&lt;&gt;"",VLOOKUP($G499,'MASTER TOKO BALI'!$B$2:$W$744,12,FALSE),"")</f>
        <v/>
      </c>
      <c r="L499" s="111" t="str">
        <f>IF($G499&lt;&gt;"",VLOOKUP($G499,'MASTER TOKO BALI'!$B$2:$W$744,5,FALSE),"")</f>
        <v/>
      </c>
      <c r="M499" s="106"/>
      <c r="N499" s="111" t="str">
        <f>IF($G499&lt;&gt;"",VLOOKUP($G499,'MASTER TOKO BALI'!$B$2:$W$744,21,FALSE),"")</f>
        <v/>
      </c>
      <c r="O499" s="106"/>
      <c r="P499" s="164" t="str">
        <f>IF($G499&lt;&gt;"",VLOOKUP($G499,'MASTER TOKO BALI'!$B$2:$W$740,7,FALSE),"")</f>
        <v/>
      </c>
    </row>
    <row r="500" spans="1:16" ht="14.4" x14ac:dyDescent="0.2">
      <c r="A500" s="106">
        <f t="shared" si="19"/>
        <v>453</v>
      </c>
      <c r="B500" s="107" t="s">
        <v>2064</v>
      </c>
      <c r="C500" s="116" t="s">
        <v>2061</v>
      </c>
      <c r="D500" s="108" t="s">
        <v>2065</v>
      </c>
      <c r="E500" s="114" t="s">
        <v>2074</v>
      </c>
      <c r="F500" s="126"/>
      <c r="G500" s="60"/>
      <c r="H500" s="111" t="str">
        <f>IF($G500&lt;&gt;"",VLOOKUP($G500,'MASTER TOKO BALI'!$B$2:$W$744,2,FALSE),"")</f>
        <v/>
      </c>
      <c r="I500" s="237" t="str">
        <f>IF($G500&lt;&gt;"",VLOOKUP($G500,'MASTER TOKO BALI'!$B$2:$W$744,4,FALSE),"")</f>
        <v/>
      </c>
      <c r="J500" s="119">
        <v>46287</v>
      </c>
      <c r="K500" s="111" t="str">
        <f>IF($G500&lt;&gt;"",VLOOKUP($G500,'MASTER TOKO BALI'!$B$2:$W$744,12,FALSE),"")</f>
        <v/>
      </c>
      <c r="L500" s="111" t="str">
        <f>IF($G500&lt;&gt;"",VLOOKUP($G500,'MASTER TOKO BALI'!$B$2:$W$744,5,FALSE),"")</f>
        <v/>
      </c>
      <c r="M500" s="106"/>
      <c r="N500" s="111" t="str">
        <f>IF($G500&lt;&gt;"",VLOOKUP($G500,'MASTER TOKO BALI'!$B$2:$W$744,21,FALSE),"")</f>
        <v/>
      </c>
      <c r="O500" s="106"/>
      <c r="P500" s="164" t="str">
        <f>IF($G500&lt;&gt;"",VLOOKUP($G500,'MASTER TOKO BALI'!$B$2:$W$740,7,FALSE),"")</f>
        <v/>
      </c>
    </row>
    <row r="501" spans="1:16" ht="14.4" x14ac:dyDescent="0.2">
      <c r="A501" s="106">
        <f t="shared" si="19"/>
        <v>454</v>
      </c>
      <c r="B501" s="107" t="s">
        <v>2066</v>
      </c>
      <c r="C501" s="116" t="s">
        <v>2061</v>
      </c>
      <c r="D501" s="113" t="s">
        <v>2063</v>
      </c>
      <c r="E501" s="114" t="s">
        <v>2074</v>
      </c>
      <c r="F501" s="126"/>
      <c r="G501" s="60"/>
      <c r="H501" s="111" t="str">
        <f>IF($G501&lt;&gt;"",VLOOKUP($G501,'MASTER TOKO BALI'!$B$2:$W$744,2,FALSE),"")</f>
        <v/>
      </c>
      <c r="I501" s="237" t="str">
        <f>IF($G501&lt;&gt;"",VLOOKUP($G501,'MASTER TOKO BALI'!$B$2:$W$744,4,FALSE),"")</f>
        <v/>
      </c>
      <c r="J501" s="119">
        <v>46287</v>
      </c>
      <c r="K501" s="111" t="str">
        <f>IF($G501&lt;&gt;"",VLOOKUP($G501,'MASTER TOKO BALI'!$B$2:$W$744,12,FALSE),"")</f>
        <v/>
      </c>
      <c r="L501" s="111" t="str">
        <f>IF($G501&lt;&gt;"",VLOOKUP($G501,'MASTER TOKO BALI'!$B$2:$W$744,5,FALSE),"")</f>
        <v/>
      </c>
      <c r="M501" s="106"/>
      <c r="N501" s="111" t="str">
        <f>IF($G501&lt;&gt;"",VLOOKUP($G501,'MASTER TOKO BALI'!$B$2:$W$744,21,FALSE),"")</f>
        <v/>
      </c>
      <c r="O501" s="106"/>
      <c r="P501" s="164" t="str">
        <f>IF($G501&lt;&gt;"",VLOOKUP($G501,'MASTER TOKO BALI'!$B$2:$W$740,7,FALSE),"")</f>
        <v/>
      </c>
    </row>
    <row r="502" spans="1:16" ht="14.4" x14ac:dyDescent="0.2">
      <c r="A502" s="106">
        <f t="shared" si="19"/>
        <v>455</v>
      </c>
      <c r="B502" s="107" t="s">
        <v>2067</v>
      </c>
      <c r="C502" s="107" t="s">
        <v>2068</v>
      </c>
      <c r="D502" s="108" t="s">
        <v>2069</v>
      </c>
      <c r="E502" s="114" t="s">
        <v>2074</v>
      </c>
      <c r="F502" s="126"/>
      <c r="G502" s="60"/>
      <c r="H502" s="111" t="str">
        <f>IF($G502&lt;&gt;"",VLOOKUP($G502,'MASTER TOKO BALI'!$B$2:$W$744,2,FALSE),"")</f>
        <v/>
      </c>
      <c r="I502" s="237" t="str">
        <f>IF($G502&lt;&gt;"",VLOOKUP($G502,'MASTER TOKO BALI'!$B$2:$W$744,4,FALSE),"")</f>
        <v/>
      </c>
      <c r="J502" s="119">
        <v>46287</v>
      </c>
      <c r="K502" s="111" t="str">
        <f>IF($G502&lt;&gt;"",VLOOKUP($G502,'MASTER TOKO BALI'!$B$2:$W$744,12,FALSE),"")</f>
        <v/>
      </c>
      <c r="L502" s="111" t="str">
        <f>IF($G502&lt;&gt;"",VLOOKUP($G502,'MASTER TOKO BALI'!$B$2:$W$744,5,FALSE),"")</f>
        <v/>
      </c>
      <c r="M502" s="106"/>
      <c r="N502" s="111" t="str">
        <f>IF($G502&lt;&gt;"",VLOOKUP($G502,'MASTER TOKO BALI'!$B$2:$W$744,21,FALSE),"")</f>
        <v/>
      </c>
      <c r="O502" s="106"/>
      <c r="P502" s="164" t="str">
        <f>IF($G502&lt;&gt;"",VLOOKUP($G502,'MASTER TOKO BALI'!$B$2:$W$740,7,FALSE),"")</f>
        <v/>
      </c>
    </row>
    <row r="503" spans="1:16" ht="14.4" x14ac:dyDescent="0.2">
      <c r="A503" s="106">
        <f t="shared" si="19"/>
        <v>456</v>
      </c>
      <c r="B503" s="107" t="s">
        <v>2066</v>
      </c>
      <c r="C503" s="107" t="s">
        <v>2068</v>
      </c>
      <c r="D503" s="117" t="s">
        <v>2070</v>
      </c>
      <c r="E503" s="114" t="s">
        <v>2074</v>
      </c>
      <c r="F503" s="126"/>
      <c r="G503" s="60"/>
      <c r="H503" s="111" t="str">
        <f>IF($G503&lt;&gt;"",VLOOKUP($G503,'MASTER TOKO BALI'!$B$2:$W$744,2,FALSE),"")</f>
        <v/>
      </c>
      <c r="I503" s="237" t="str">
        <f>IF($G503&lt;&gt;"",VLOOKUP($G503,'MASTER TOKO BALI'!$B$2:$W$744,4,FALSE),"")</f>
        <v/>
      </c>
      <c r="J503" s="119">
        <v>46287</v>
      </c>
      <c r="K503" s="111" t="str">
        <f>IF($G503&lt;&gt;"",VLOOKUP($G503,'MASTER TOKO BALI'!$B$2:$W$744,12,FALSE),"")</f>
        <v/>
      </c>
      <c r="L503" s="111" t="str">
        <f>IF($G503&lt;&gt;"",VLOOKUP($G503,'MASTER TOKO BALI'!$B$2:$W$744,5,FALSE),"")</f>
        <v/>
      </c>
      <c r="M503" s="106"/>
      <c r="N503" s="111" t="str">
        <f>IF($G503&lt;&gt;"",VLOOKUP($G503,'MASTER TOKO BALI'!$B$2:$W$744,21,FALSE),"")</f>
        <v/>
      </c>
      <c r="O503" s="106"/>
      <c r="P503" s="164" t="str">
        <f>IF($G503&lt;&gt;"",VLOOKUP($G503,'MASTER TOKO BALI'!$B$2:$W$740,7,FALSE),"")</f>
        <v/>
      </c>
    </row>
    <row r="504" spans="1:16" x14ac:dyDescent="0.2">
      <c r="A504" s="106">
        <f t="shared" si="19"/>
        <v>457</v>
      </c>
      <c r="B504" s="107" t="s">
        <v>2071</v>
      </c>
      <c r="C504" s="107" t="s">
        <v>2068</v>
      </c>
      <c r="D504" s="116" t="s">
        <v>2003</v>
      </c>
      <c r="E504" s="114" t="s">
        <v>2074</v>
      </c>
      <c r="F504" s="126"/>
      <c r="G504" s="144"/>
      <c r="H504" s="111" t="str">
        <f>IF($G504&lt;&gt;"",VLOOKUP($G504,'MASTER TOKO BALI'!$B$2:$W$744,2,FALSE),"")</f>
        <v/>
      </c>
      <c r="I504" s="237" t="str">
        <f>IF($G504&lt;&gt;"",VLOOKUP($G504,'MASTER TOKO BALI'!$B$2:$W$744,4,FALSE),"")</f>
        <v/>
      </c>
      <c r="J504" s="119">
        <v>46287</v>
      </c>
      <c r="K504" s="111" t="str">
        <f>IF($G504&lt;&gt;"",VLOOKUP($G504,'MASTER TOKO BALI'!$B$2:$W$744,12,FALSE),"")</f>
        <v/>
      </c>
      <c r="L504" s="111" t="str">
        <f>IF($G504&lt;&gt;"",VLOOKUP($G504,'MASTER TOKO BALI'!$B$2:$W$744,5,FALSE),"")</f>
        <v/>
      </c>
      <c r="M504" s="106"/>
      <c r="N504" s="111" t="str">
        <f>IF($G504&lt;&gt;"",VLOOKUP($G504,'MASTER TOKO BALI'!$B$2:$W$744,21,FALSE),"")</f>
        <v/>
      </c>
      <c r="O504" s="106"/>
      <c r="P504" s="164" t="str">
        <f>IF($G504&lt;&gt;"",VLOOKUP($G504,'MASTER TOKO BALI'!$B$2:$W$740,7,FALSE),"")</f>
        <v/>
      </c>
    </row>
    <row r="505" spans="1:16" ht="14.4" x14ac:dyDescent="0.2">
      <c r="A505" s="106">
        <f t="shared" si="19"/>
        <v>458</v>
      </c>
      <c r="B505" s="107" t="s">
        <v>2066</v>
      </c>
      <c r="C505" s="107" t="s">
        <v>2068</v>
      </c>
      <c r="D505" s="117" t="s">
        <v>2070</v>
      </c>
      <c r="E505" s="114" t="s">
        <v>2074</v>
      </c>
      <c r="F505" s="129"/>
      <c r="G505" s="60"/>
      <c r="H505" s="111" t="str">
        <f>IF($G505&lt;&gt;"",VLOOKUP($G505,'MASTER TOKO BALI'!$B$2:$W$744,2,FALSE),"")</f>
        <v/>
      </c>
      <c r="I505" s="237" t="str">
        <f>IF($G505&lt;&gt;"",VLOOKUP($G505,'MASTER TOKO BALI'!$B$2:$W$744,4,FALSE),"")</f>
        <v/>
      </c>
      <c r="J505" s="119">
        <v>46287</v>
      </c>
      <c r="K505" s="111" t="str">
        <f>IF($G505&lt;&gt;"",VLOOKUP($G505,'MASTER TOKO BALI'!$B$2:$W$744,12,FALSE),"")</f>
        <v/>
      </c>
      <c r="L505" s="111" t="str">
        <f>IF($G505&lt;&gt;"",VLOOKUP($G505,'MASTER TOKO BALI'!$B$2:$W$744,5,FALSE),"")</f>
        <v/>
      </c>
      <c r="M505" s="106"/>
      <c r="N505" s="111" t="str">
        <f>IF($G505&lt;&gt;"",VLOOKUP($G505,'MASTER TOKO BALI'!$B$2:$W$744,21,FALSE),"")</f>
        <v/>
      </c>
      <c r="O505" s="106"/>
      <c r="P505" s="164" t="str">
        <f>IF($G505&lt;&gt;"",VLOOKUP($G505,'MASTER TOKO BALI'!$B$2:$W$740,7,FALSE),"")</f>
        <v/>
      </c>
    </row>
    <row r="506" spans="1:16" x14ac:dyDescent="0.2">
      <c r="A506" s="106"/>
      <c r="B506" s="107"/>
      <c r="C506" s="107"/>
      <c r="D506" s="111"/>
      <c r="E506" s="114"/>
      <c r="F506" s="126"/>
      <c r="G506" s="144"/>
      <c r="H506" s="111" t="str">
        <f>IF($G506&lt;&gt;"",VLOOKUP($G506,'MASTER TOKO BALI'!$B$2:$W$744,2,FALSE),"")</f>
        <v/>
      </c>
      <c r="I506" s="237" t="str">
        <f>IF($G506&lt;&gt;"",VLOOKUP($G506,'MASTER TOKO BALI'!$B$2:$W$744,4,FALSE),"")</f>
        <v/>
      </c>
      <c r="J506" s="119"/>
      <c r="K506" s="111" t="str">
        <f>IF($G506&lt;&gt;"",VLOOKUP($G506,'MASTER TOKO BALI'!$B$2:$W$744,12,FALSE),"")</f>
        <v/>
      </c>
      <c r="L506" s="111" t="str">
        <f>IF($G506&lt;&gt;"",VLOOKUP($G506,'MASTER TOKO BALI'!$B$2:$W$744,5,FALSE),"")</f>
        <v/>
      </c>
      <c r="M506" s="106"/>
      <c r="N506" s="111" t="str">
        <f>IF($G506&lt;&gt;"",VLOOKUP($G506,'MASTER TOKO BALI'!$B$2:$W$744,21,FALSE),"")</f>
        <v/>
      </c>
      <c r="O506" s="106"/>
      <c r="P506" s="164" t="str">
        <f>IF($G506&lt;&gt;"",VLOOKUP($G506,'MASTER TOKO BALI'!$B$2:$W$740,7,FALSE),"")</f>
        <v/>
      </c>
    </row>
    <row r="507" spans="1:16" ht="14.4" x14ac:dyDescent="0.2">
      <c r="A507" s="106">
        <f>A505+1</f>
        <v>459</v>
      </c>
      <c r="B507" s="107" t="s">
        <v>2034</v>
      </c>
      <c r="C507" s="107" t="s">
        <v>2035</v>
      </c>
      <c r="D507" s="108" t="s">
        <v>2036</v>
      </c>
      <c r="E507" s="109" t="s">
        <v>2075</v>
      </c>
      <c r="F507" s="126"/>
      <c r="G507" s="60"/>
      <c r="H507" s="111" t="str">
        <f>IF($G507&lt;&gt;"",VLOOKUP($G507,'MASTER TOKO BALI'!$B$2:$W$744,2,FALSE),"")</f>
        <v/>
      </c>
      <c r="I507" s="237" t="str">
        <f>IF($G507&lt;&gt;"",VLOOKUP($G507,'MASTER TOKO BALI'!$B$2:$W$744,4,FALSE),"")</f>
        <v/>
      </c>
      <c r="J507" s="112">
        <v>46288</v>
      </c>
      <c r="K507" s="111" t="str">
        <f>IF($G507&lt;&gt;"",VLOOKUP($G507,'MASTER TOKO BALI'!$B$2:$W$744,12,FALSE),"")</f>
        <v/>
      </c>
      <c r="L507" s="111" t="str">
        <f>IF($G507&lt;&gt;"",VLOOKUP($G507,'MASTER TOKO BALI'!$B$2:$W$744,5,FALSE),"")</f>
        <v/>
      </c>
      <c r="M507" s="106"/>
      <c r="N507" s="111" t="str">
        <f>IF($G507&lt;&gt;"",VLOOKUP($G507,'MASTER TOKO BALI'!$B$2:$W$744,21,FALSE),"")</f>
        <v/>
      </c>
      <c r="O507" s="106"/>
      <c r="P507" s="164" t="str">
        <f>IF($G507&lt;&gt;"",VLOOKUP($G507,'MASTER TOKO BALI'!$B$2:$W$740,7,FALSE),"")</f>
        <v/>
      </c>
    </row>
    <row r="508" spans="1:16" x14ac:dyDescent="0.2">
      <c r="A508" s="106">
        <f t="shared" ref="A508:A530" si="20">A507+1</f>
        <v>460</v>
      </c>
      <c r="B508" s="107" t="s">
        <v>2038</v>
      </c>
      <c r="C508" s="107" t="s">
        <v>2035</v>
      </c>
      <c r="D508" s="113" t="s">
        <v>2039</v>
      </c>
      <c r="E508" s="109" t="s">
        <v>2075</v>
      </c>
      <c r="F508" s="126"/>
      <c r="G508" s="144"/>
      <c r="H508" s="111" t="str">
        <f>IF($G508&lt;&gt;"",VLOOKUP($G508,'MASTER TOKO BALI'!$B$2:$W$744,2,FALSE),"")</f>
        <v/>
      </c>
      <c r="I508" s="237" t="str">
        <f>IF($G508&lt;&gt;"",VLOOKUP($G508,'MASTER TOKO BALI'!$B$2:$W$744,4,FALSE),"")</f>
        <v/>
      </c>
      <c r="J508" s="112">
        <v>46288</v>
      </c>
      <c r="K508" s="111" t="str">
        <f>IF($G508&lt;&gt;"",VLOOKUP($G508,'MASTER TOKO BALI'!$B$2:$W$744,12,FALSE),"")</f>
        <v/>
      </c>
      <c r="L508" s="111" t="str">
        <f>IF($G508&lt;&gt;"",VLOOKUP($G508,'MASTER TOKO BALI'!$B$2:$W$744,5,FALSE),"")</f>
        <v/>
      </c>
      <c r="M508" s="106"/>
      <c r="N508" s="111" t="str">
        <f>IF($G508&lt;&gt;"",VLOOKUP($G508,'MASTER TOKO BALI'!$B$2:$W$744,21,FALSE),"")</f>
        <v/>
      </c>
      <c r="O508" s="106"/>
      <c r="P508" s="164" t="str">
        <f>IF($G508&lt;&gt;"",VLOOKUP($G508,'MASTER TOKO BALI'!$B$2:$W$740,7,FALSE),"")</f>
        <v/>
      </c>
    </row>
    <row r="509" spans="1:16" ht="14.4" x14ac:dyDescent="0.2">
      <c r="A509" s="106">
        <f t="shared" si="20"/>
        <v>461</v>
      </c>
      <c r="B509" s="107" t="s">
        <v>2040</v>
      </c>
      <c r="C509" s="107" t="s">
        <v>2035</v>
      </c>
      <c r="D509" s="108" t="s">
        <v>2041</v>
      </c>
      <c r="E509" s="109" t="s">
        <v>2075</v>
      </c>
      <c r="F509" s="126"/>
      <c r="G509" s="60"/>
      <c r="H509" s="111" t="str">
        <f>IF($G509&lt;&gt;"",VLOOKUP($G509,'MASTER TOKO BALI'!$B$2:$W$744,2,FALSE),"")</f>
        <v/>
      </c>
      <c r="I509" s="237" t="str">
        <f>IF($G509&lt;&gt;"",VLOOKUP($G509,'MASTER TOKO BALI'!$B$2:$W$744,4,FALSE),"")</f>
        <v/>
      </c>
      <c r="J509" s="112">
        <v>46288</v>
      </c>
      <c r="K509" s="111" t="str">
        <f>IF($G509&lt;&gt;"",VLOOKUP($G509,'MASTER TOKO BALI'!$B$2:$W$744,12,FALSE),"")</f>
        <v/>
      </c>
      <c r="L509" s="111" t="str">
        <f>IF($G509&lt;&gt;"",VLOOKUP($G509,'MASTER TOKO BALI'!$B$2:$W$744,5,FALSE),"")</f>
        <v/>
      </c>
      <c r="M509" s="106"/>
      <c r="N509" s="111" t="str">
        <f>IF($G509&lt;&gt;"",VLOOKUP($G509,'MASTER TOKO BALI'!$B$2:$W$744,21,FALSE),"")</f>
        <v/>
      </c>
      <c r="O509" s="106"/>
      <c r="P509" s="164" t="str">
        <f>IF($G509&lt;&gt;"",VLOOKUP($G509,'MASTER TOKO BALI'!$B$2:$W$740,7,FALSE),"")</f>
        <v/>
      </c>
    </row>
    <row r="510" spans="1:16" ht="14.4" x14ac:dyDescent="0.2">
      <c r="A510" s="106">
        <f t="shared" si="20"/>
        <v>462</v>
      </c>
      <c r="B510" s="107" t="s">
        <v>2038</v>
      </c>
      <c r="C510" s="107" t="s">
        <v>2035</v>
      </c>
      <c r="D510" s="113" t="s">
        <v>2039</v>
      </c>
      <c r="E510" s="109" t="s">
        <v>2075</v>
      </c>
      <c r="F510" s="126"/>
      <c r="G510" s="60"/>
      <c r="H510" s="111" t="str">
        <f>IF($G510&lt;&gt;"",VLOOKUP($G510,'MASTER TOKO BALI'!$B$2:$W$744,2,FALSE),"")</f>
        <v/>
      </c>
      <c r="I510" s="237" t="str">
        <f>IF($G510&lt;&gt;"",VLOOKUP($G510,'MASTER TOKO BALI'!$B$2:$W$744,4,FALSE),"")</f>
        <v/>
      </c>
      <c r="J510" s="112">
        <v>46288</v>
      </c>
      <c r="K510" s="111" t="str">
        <f>IF($G510&lt;&gt;"",VLOOKUP($G510,'MASTER TOKO BALI'!$B$2:$W$744,12,FALSE),"")</f>
        <v/>
      </c>
      <c r="L510" s="111" t="str">
        <f>IF($G510&lt;&gt;"",VLOOKUP($G510,'MASTER TOKO BALI'!$B$2:$W$744,5,FALSE),"")</f>
        <v/>
      </c>
      <c r="M510" s="106"/>
      <c r="N510" s="111" t="str">
        <f>IF($G510&lt;&gt;"",VLOOKUP($G510,'MASTER TOKO BALI'!$B$2:$W$744,21,FALSE),"")</f>
        <v/>
      </c>
      <c r="O510" s="106"/>
      <c r="P510" s="164" t="str">
        <f>IF($G510&lt;&gt;"",VLOOKUP($G510,'MASTER TOKO BALI'!$B$2:$W$740,7,FALSE),"")</f>
        <v/>
      </c>
    </row>
    <row r="511" spans="1:16" ht="14.4" x14ac:dyDescent="0.2">
      <c r="A511" s="106">
        <f t="shared" si="20"/>
        <v>463</v>
      </c>
      <c r="B511" s="107" t="s">
        <v>2042</v>
      </c>
      <c r="C511" s="107" t="s">
        <v>2043</v>
      </c>
      <c r="D511" s="108" t="s">
        <v>2044</v>
      </c>
      <c r="E511" s="109" t="s">
        <v>2075</v>
      </c>
      <c r="F511" s="126"/>
      <c r="G511" s="60"/>
      <c r="H511" s="111" t="str">
        <f>IF($G511&lt;&gt;"",VLOOKUP($G511,'MASTER TOKO BALI'!$B$2:$W$744,2,FALSE),"")</f>
        <v/>
      </c>
      <c r="I511" s="237" t="str">
        <f>IF($G511&lt;&gt;"",VLOOKUP($G511,'MASTER TOKO BALI'!$B$2:$W$744,4,FALSE),"")</f>
        <v/>
      </c>
      <c r="J511" s="112">
        <v>46288</v>
      </c>
      <c r="K511" s="111" t="str">
        <f>IF($G511&lt;&gt;"",VLOOKUP($G511,'MASTER TOKO BALI'!$B$2:$W$744,12,FALSE),"")</f>
        <v/>
      </c>
      <c r="L511" s="111" t="str">
        <f>IF($G511&lt;&gt;"",VLOOKUP($G511,'MASTER TOKO BALI'!$B$2:$W$744,5,FALSE),"")</f>
        <v/>
      </c>
      <c r="M511" s="106"/>
      <c r="N511" s="111" t="str">
        <f>IF($G511&lt;&gt;"",VLOOKUP($G511,'MASTER TOKO BALI'!$B$2:$W$744,21,FALSE),"")</f>
        <v/>
      </c>
      <c r="O511" s="106"/>
      <c r="P511" s="164" t="str">
        <f>IF($G511&lt;&gt;"",VLOOKUP($G511,'MASTER TOKO BALI'!$B$2:$W$740,7,FALSE),"")</f>
        <v/>
      </c>
    </row>
    <row r="512" spans="1:16" ht="14.4" x14ac:dyDescent="0.2">
      <c r="A512" s="106">
        <f t="shared" si="20"/>
        <v>464</v>
      </c>
      <c r="B512" s="107" t="s">
        <v>2038</v>
      </c>
      <c r="C512" s="107" t="s">
        <v>2043</v>
      </c>
      <c r="D512" s="113" t="s">
        <v>2045</v>
      </c>
      <c r="E512" s="109" t="s">
        <v>2075</v>
      </c>
      <c r="F512" s="126"/>
      <c r="G512" s="60"/>
      <c r="H512" s="111" t="str">
        <f>IF($G512&lt;&gt;"",VLOOKUP($G512,'MASTER TOKO BALI'!$B$2:$W$744,2,FALSE),"")</f>
        <v/>
      </c>
      <c r="I512" s="237" t="str">
        <f>IF($G512&lt;&gt;"",VLOOKUP($G512,'MASTER TOKO BALI'!$B$2:$W$744,4,FALSE),"")</f>
        <v/>
      </c>
      <c r="J512" s="112">
        <v>46288</v>
      </c>
      <c r="K512" s="111" t="str">
        <f>IF($G512&lt;&gt;"",VLOOKUP($G512,'MASTER TOKO BALI'!$B$2:$W$744,12,FALSE),"")</f>
        <v/>
      </c>
      <c r="L512" s="111" t="str">
        <f>IF($G512&lt;&gt;"",VLOOKUP($G512,'MASTER TOKO BALI'!$B$2:$W$744,5,FALSE),"")</f>
        <v/>
      </c>
      <c r="M512" s="106"/>
      <c r="N512" s="111" t="str">
        <f>IF($G512&lt;&gt;"",VLOOKUP($G512,'MASTER TOKO BALI'!$B$2:$W$744,21,FALSE),"")</f>
        <v/>
      </c>
      <c r="O512" s="106"/>
      <c r="P512" s="164" t="str">
        <f>IF($G512&lt;&gt;"",VLOOKUP($G512,'MASTER TOKO BALI'!$B$2:$W$740,7,FALSE),"")</f>
        <v/>
      </c>
    </row>
    <row r="513" spans="1:16" ht="14.4" x14ac:dyDescent="0.2">
      <c r="A513" s="106">
        <f t="shared" si="20"/>
        <v>465</v>
      </c>
      <c r="B513" s="107" t="s">
        <v>2046</v>
      </c>
      <c r="C513" s="107" t="s">
        <v>2043</v>
      </c>
      <c r="D513" s="108" t="s">
        <v>2047</v>
      </c>
      <c r="E513" s="109" t="s">
        <v>2075</v>
      </c>
      <c r="F513" s="126"/>
      <c r="G513" s="60"/>
      <c r="H513" s="111" t="str">
        <f>IF($G513&lt;&gt;"",VLOOKUP($G513,'MASTER TOKO BALI'!$B$2:$W$744,2,FALSE),"")</f>
        <v/>
      </c>
      <c r="I513" s="237" t="str">
        <f>IF($G513&lt;&gt;"",VLOOKUP($G513,'MASTER TOKO BALI'!$B$2:$W$744,4,FALSE),"")</f>
        <v/>
      </c>
      <c r="J513" s="112">
        <v>46288</v>
      </c>
      <c r="K513" s="111" t="str">
        <f>IF($G513&lt;&gt;"",VLOOKUP($G513,'MASTER TOKO BALI'!$B$2:$W$744,12,FALSE),"")</f>
        <v/>
      </c>
      <c r="L513" s="111" t="str">
        <f>IF($G513&lt;&gt;"",VLOOKUP($G513,'MASTER TOKO BALI'!$B$2:$W$744,5,FALSE),"")</f>
        <v/>
      </c>
      <c r="M513" s="106"/>
      <c r="N513" s="111" t="str">
        <f>IF($G513&lt;&gt;"",VLOOKUP($G513,'MASTER TOKO BALI'!$B$2:$W$744,21,FALSE),"")</f>
        <v/>
      </c>
      <c r="O513" s="106"/>
      <c r="P513" s="164" t="str">
        <f>IF($G513&lt;&gt;"",VLOOKUP($G513,'MASTER TOKO BALI'!$B$2:$W$740,7,FALSE),"")</f>
        <v/>
      </c>
    </row>
    <row r="514" spans="1:16" ht="14.4" x14ac:dyDescent="0.2">
      <c r="A514" s="106">
        <f t="shared" si="20"/>
        <v>466</v>
      </c>
      <c r="B514" s="107" t="s">
        <v>2038</v>
      </c>
      <c r="C514" s="107" t="s">
        <v>2043</v>
      </c>
      <c r="D514" s="113" t="s">
        <v>2045</v>
      </c>
      <c r="E514" s="109" t="s">
        <v>2075</v>
      </c>
      <c r="F514" s="126"/>
      <c r="G514" s="60"/>
      <c r="H514" s="111" t="str">
        <f>IF($G514&lt;&gt;"",VLOOKUP($G514,'MASTER TOKO BALI'!$B$2:$W$744,2,FALSE),"")</f>
        <v/>
      </c>
      <c r="I514" s="237" t="str">
        <f>IF($G514&lt;&gt;"",VLOOKUP($G514,'MASTER TOKO BALI'!$B$2:$W$744,4,FALSE),"")</f>
        <v/>
      </c>
      <c r="J514" s="112">
        <v>46288</v>
      </c>
      <c r="K514" s="111" t="str">
        <f>IF($G514&lt;&gt;"",VLOOKUP($G514,'MASTER TOKO BALI'!$B$2:$W$744,12,FALSE),"")</f>
        <v/>
      </c>
      <c r="L514" s="111" t="str">
        <f>IF($G514&lt;&gt;"",VLOOKUP($G514,'MASTER TOKO BALI'!$B$2:$W$744,5,FALSE),"")</f>
        <v/>
      </c>
      <c r="M514" s="106"/>
      <c r="N514" s="111" t="str">
        <f>IF($G514&lt;&gt;"",VLOOKUP($G514,'MASTER TOKO BALI'!$B$2:$W$744,21,FALSE),"")</f>
        <v/>
      </c>
      <c r="O514" s="106"/>
      <c r="P514" s="164" t="str">
        <f>IF($G514&lt;&gt;"",VLOOKUP($G514,'MASTER TOKO BALI'!$B$2:$W$740,7,FALSE),"")</f>
        <v/>
      </c>
    </row>
    <row r="515" spans="1:16" x14ac:dyDescent="0.2">
      <c r="A515" s="106">
        <f t="shared" si="20"/>
        <v>467</v>
      </c>
      <c r="B515" s="107" t="s">
        <v>2048</v>
      </c>
      <c r="C515" s="107" t="s">
        <v>2049</v>
      </c>
      <c r="D515" s="108" t="s">
        <v>2050</v>
      </c>
      <c r="E515" s="109" t="s">
        <v>2075</v>
      </c>
      <c r="F515" s="126"/>
      <c r="G515" s="144"/>
      <c r="H515" s="111" t="str">
        <f>IF($G515&lt;&gt;"",VLOOKUP($G515,'MASTER TOKO BALI'!$B$2:$W$744,2,FALSE),"")</f>
        <v/>
      </c>
      <c r="I515" s="237" t="str">
        <f>IF($G515&lt;&gt;"",VLOOKUP($G515,'MASTER TOKO BALI'!$B$2:$W$744,4,FALSE),"")</f>
        <v/>
      </c>
      <c r="J515" s="112">
        <v>46288</v>
      </c>
      <c r="K515" s="111" t="str">
        <f>IF($G515&lt;&gt;"",VLOOKUP($G515,'MASTER TOKO BALI'!$B$2:$W$744,12,FALSE),"")</f>
        <v/>
      </c>
      <c r="L515" s="111" t="str">
        <f>IF($G515&lt;&gt;"",VLOOKUP($G515,'MASTER TOKO BALI'!$B$2:$W$744,5,FALSE),"")</f>
        <v/>
      </c>
      <c r="M515" s="106"/>
      <c r="N515" s="111" t="str">
        <f>IF($G515&lt;&gt;"",VLOOKUP($G515,'MASTER TOKO BALI'!$B$2:$W$744,21,FALSE),"")</f>
        <v/>
      </c>
      <c r="O515" s="106"/>
      <c r="P515" s="164" t="str">
        <f>IF($G515&lt;&gt;"",VLOOKUP($G515,'MASTER TOKO BALI'!$B$2:$W$740,7,FALSE),"")</f>
        <v/>
      </c>
    </row>
    <row r="516" spans="1:16" x14ac:dyDescent="0.2">
      <c r="A516" s="106"/>
      <c r="B516" s="107" t="s">
        <v>2038</v>
      </c>
      <c r="C516" s="107" t="s">
        <v>2049</v>
      </c>
      <c r="D516" s="115" t="s">
        <v>2051</v>
      </c>
      <c r="E516" s="109" t="s">
        <v>2075</v>
      </c>
      <c r="F516" s="126"/>
      <c r="G516" s="144"/>
      <c r="H516" s="111" t="str">
        <f>IF($G516&lt;&gt;"",VLOOKUP($G516,'MASTER TOKO BALI'!$B$2:$W$744,2,FALSE),"")</f>
        <v/>
      </c>
      <c r="I516" s="237" t="str">
        <f>IF($G516&lt;&gt;"",VLOOKUP($G516,'MASTER TOKO BALI'!$B$2:$W$744,4,FALSE),"")</f>
        <v/>
      </c>
      <c r="J516" s="112">
        <v>46288</v>
      </c>
      <c r="K516" s="111" t="str">
        <f>IF($G516&lt;&gt;"",VLOOKUP($G516,'MASTER TOKO BALI'!$B$2:$W$744,12,FALSE),"")</f>
        <v/>
      </c>
      <c r="L516" s="111" t="str">
        <f>IF($G516&lt;&gt;"",VLOOKUP($G516,'MASTER TOKO BALI'!$B$2:$W$744,5,FALSE),"")</f>
        <v/>
      </c>
      <c r="M516" s="106"/>
      <c r="N516" s="111" t="str">
        <f>IF($G516&lt;&gt;"",VLOOKUP($G516,'MASTER TOKO BALI'!$B$2:$W$744,21,FALSE),"")</f>
        <v/>
      </c>
      <c r="O516" s="106"/>
      <c r="P516" s="164" t="str">
        <f>IF($G516&lt;&gt;"",VLOOKUP($G516,'MASTER TOKO BALI'!$B$2:$W$740,7,FALSE),"")</f>
        <v/>
      </c>
    </row>
    <row r="517" spans="1:16" x14ac:dyDescent="0.2">
      <c r="A517" s="106">
        <f>A515+1</f>
        <v>468</v>
      </c>
      <c r="B517" s="107" t="s">
        <v>2052</v>
      </c>
      <c r="C517" s="107" t="s">
        <v>2049</v>
      </c>
      <c r="D517" s="108" t="s">
        <v>2053</v>
      </c>
      <c r="E517" s="109" t="s">
        <v>2075</v>
      </c>
      <c r="F517" s="126"/>
      <c r="G517" s="144"/>
      <c r="H517" s="111" t="str">
        <f>IF($G517&lt;&gt;"",VLOOKUP($G517,'MASTER TOKO BALI'!$B$2:$W$744,2,FALSE),"")</f>
        <v/>
      </c>
      <c r="I517" s="237" t="str">
        <f>IF($G517&lt;&gt;"",VLOOKUP($G517,'MASTER TOKO BALI'!$B$2:$W$744,4,FALSE),"")</f>
        <v/>
      </c>
      <c r="J517" s="112">
        <v>46288</v>
      </c>
      <c r="K517" s="111" t="str">
        <f>IF($G517&lt;&gt;"",VLOOKUP($G517,'MASTER TOKO BALI'!$B$2:$W$744,12,FALSE),"")</f>
        <v/>
      </c>
      <c r="L517" s="111" t="str">
        <f>IF($G517&lt;&gt;"",VLOOKUP($G517,'MASTER TOKO BALI'!$B$2:$W$744,5,FALSE),"")</f>
        <v/>
      </c>
      <c r="M517" s="106"/>
      <c r="N517" s="111" t="str">
        <f>IF($G517&lt;&gt;"",VLOOKUP($G517,'MASTER TOKO BALI'!$B$2:$W$744,21,FALSE),"")</f>
        <v/>
      </c>
      <c r="O517" s="106"/>
      <c r="P517" s="164" t="str">
        <f>IF($G517&lt;&gt;"",VLOOKUP($G517,'MASTER TOKO BALI'!$B$2:$W$740,7,FALSE),"")</f>
        <v/>
      </c>
    </row>
    <row r="518" spans="1:16" x14ac:dyDescent="0.2">
      <c r="A518" s="106">
        <f t="shared" si="20"/>
        <v>469</v>
      </c>
      <c r="B518" s="107" t="s">
        <v>2038</v>
      </c>
      <c r="C518" s="107" t="s">
        <v>2049</v>
      </c>
      <c r="D518" s="113" t="s">
        <v>2051</v>
      </c>
      <c r="E518" s="109" t="s">
        <v>2075</v>
      </c>
      <c r="F518" s="126"/>
      <c r="G518" s="144"/>
      <c r="H518" s="111" t="str">
        <f>IF($G518&lt;&gt;"",VLOOKUP($G518,'MASTER TOKO BALI'!$B$2:$W$744,2,FALSE),"")</f>
        <v/>
      </c>
      <c r="I518" s="237" t="str">
        <f>IF($G518&lt;&gt;"",VLOOKUP($G518,'MASTER TOKO BALI'!$B$2:$W$744,4,FALSE),"")</f>
        <v/>
      </c>
      <c r="J518" s="112">
        <v>46288</v>
      </c>
      <c r="K518" s="111" t="str">
        <f>IF($G518&lt;&gt;"",VLOOKUP($G518,'MASTER TOKO BALI'!$B$2:$W$744,12,FALSE),"")</f>
        <v/>
      </c>
      <c r="L518" s="111" t="str">
        <f>IF($G518&lt;&gt;"",VLOOKUP($G518,'MASTER TOKO BALI'!$B$2:$W$744,5,FALSE),"")</f>
        <v/>
      </c>
      <c r="M518" s="106"/>
      <c r="N518" s="111" t="str">
        <f>IF($G518&lt;&gt;"",VLOOKUP($G518,'MASTER TOKO BALI'!$B$2:$W$744,21,FALSE),"")</f>
        <v/>
      </c>
      <c r="O518" s="106"/>
      <c r="P518" s="164" t="str">
        <f>IF($G518&lt;&gt;"",VLOOKUP($G518,'MASTER TOKO BALI'!$B$2:$W$740,7,FALSE),"")</f>
        <v/>
      </c>
    </row>
    <row r="519" spans="1:16" ht="14.4" x14ac:dyDescent="0.2">
      <c r="A519" s="106">
        <f t="shared" si="20"/>
        <v>470</v>
      </c>
      <c r="B519" s="107" t="s">
        <v>2054</v>
      </c>
      <c r="C519" s="116" t="s">
        <v>2055</v>
      </c>
      <c r="D519" s="108" t="s">
        <v>2056</v>
      </c>
      <c r="E519" s="109" t="s">
        <v>2075</v>
      </c>
      <c r="F519" s="126"/>
      <c r="G519" s="60"/>
      <c r="H519" s="111" t="str">
        <f>IF($G519&lt;&gt;"",VLOOKUP($G519,'MASTER TOKO BALI'!$B$2:$W$744,2,FALSE),"")</f>
        <v/>
      </c>
      <c r="I519" s="237" t="str">
        <f>IF($G519&lt;&gt;"",VLOOKUP($G519,'MASTER TOKO BALI'!$B$2:$W$744,4,FALSE),"")</f>
        <v/>
      </c>
      <c r="J519" s="112">
        <v>46288</v>
      </c>
      <c r="K519" s="111" t="str">
        <f>IF($G519&lt;&gt;"",VLOOKUP($G519,'MASTER TOKO BALI'!$B$2:$W$744,12,FALSE),"")</f>
        <v/>
      </c>
      <c r="L519" s="111" t="str">
        <f>IF($G519&lt;&gt;"",VLOOKUP($G519,'MASTER TOKO BALI'!$B$2:$W$744,5,FALSE),"")</f>
        <v/>
      </c>
      <c r="M519" s="106"/>
      <c r="N519" s="111" t="str">
        <f>IF($G519&lt;&gt;"",VLOOKUP($G519,'MASTER TOKO BALI'!$B$2:$W$744,21,FALSE),"")</f>
        <v/>
      </c>
      <c r="O519" s="106"/>
      <c r="P519" s="164" t="str">
        <f>IF($G519&lt;&gt;"",VLOOKUP($G519,'MASTER TOKO BALI'!$B$2:$W$740,7,FALSE),"")</f>
        <v/>
      </c>
    </row>
    <row r="520" spans="1:16" x14ac:dyDescent="0.2">
      <c r="A520" s="106">
        <f t="shared" si="20"/>
        <v>471</v>
      </c>
      <c r="B520" s="107" t="s">
        <v>2038</v>
      </c>
      <c r="C520" s="116" t="s">
        <v>2055</v>
      </c>
      <c r="D520" s="113" t="s">
        <v>2057</v>
      </c>
      <c r="E520" s="109" t="s">
        <v>2075</v>
      </c>
      <c r="F520" s="126"/>
      <c r="G520" s="144"/>
      <c r="H520" s="111" t="str">
        <f>IF($G520&lt;&gt;"",VLOOKUP($G520,'MASTER TOKO BALI'!$B$2:$W$744,2,FALSE),"")</f>
        <v/>
      </c>
      <c r="I520" s="237" t="str">
        <f>IF($G520&lt;&gt;"",VLOOKUP($G520,'MASTER TOKO BALI'!$B$2:$W$744,4,FALSE),"")</f>
        <v/>
      </c>
      <c r="J520" s="112">
        <v>46288</v>
      </c>
      <c r="K520" s="111" t="str">
        <f>IF($G520&lt;&gt;"",VLOOKUP($G520,'MASTER TOKO BALI'!$B$2:$W$744,12,FALSE),"")</f>
        <v/>
      </c>
      <c r="L520" s="111" t="str">
        <f>IF($G520&lt;&gt;"",VLOOKUP($G520,'MASTER TOKO BALI'!$B$2:$W$744,5,FALSE),"")</f>
        <v/>
      </c>
      <c r="M520" s="106"/>
      <c r="N520" s="111" t="str">
        <f>IF($G520&lt;&gt;"",VLOOKUP($G520,'MASTER TOKO BALI'!$B$2:$W$744,21,FALSE),"")</f>
        <v/>
      </c>
      <c r="O520" s="106"/>
      <c r="P520" s="164" t="str">
        <f>IF($G520&lt;&gt;"",VLOOKUP($G520,'MASTER TOKO BALI'!$B$2:$W$740,7,FALSE),"")</f>
        <v/>
      </c>
    </row>
    <row r="521" spans="1:16" ht="14.4" x14ac:dyDescent="0.2">
      <c r="A521" s="106">
        <f t="shared" si="20"/>
        <v>472</v>
      </c>
      <c r="B521" s="107" t="s">
        <v>2058</v>
      </c>
      <c r="C521" s="116" t="s">
        <v>2055</v>
      </c>
      <c r="D521" s="108" t="s">
        <v>2059</v>
      </c>
      <c r="E521" s="109" t="s">
        <v>2075</v>
      </c>
      <c r="F521" s="126"/>
      <c r="G521" s="60"/>
      <c r="H521" s="111" t="str">
        <f>IF($G521&lt;&gt;"",VLOOKUP($G521,'MASTER TOKO BALI'!$B$2:$W$744,2,FALSE),"")</f>
        <v/>
      </c>
      <c r="I521" s="237" t="str">
        <f>IF($G521&lt;&gt;"",VLOOKUP($G521,'MASTER TOKO BALI'!$B$2:$W$744,4,FALSE),"")</f>
        <v/>
      </c>
      <c r="J521" s="112">
        <v>46288</v>
      </c>
      <c r="K521" s="111" t="str">
        <f>IF($G521&lt;&gt;"",VLOOKUP($G521,'MASTER TOKO BALI'!$B$2:$W$744,12,FALSE),"")</f>
        <v/>
      </c>
      <c r="L521" s="111" t="str">
        <f>IF($G521&lt;&gt;"",VLOOKUP($G521,'MASTER TOKO BALI'!$B$2:$W$744,5,FALSE),"")</f>
        <v/>
      </c>
      <c r="M521" s="106"/>
      <c r="N521" s="111" t="str">
        <f>IF($G521&lt;&gt;"",VLOOKUP($G521,'MASTER TOKO BALI'!$B$2:$W$744,21,FALSE),"")</f>
        <v/>
      </c>
      <c r="O521" s="106"/>
      <c r="P521" s="164" t="str">
        <f>IF($G521&lt;&gt;"",VLOOKUP($G521,'MASTER TOKO BALI'!$B$2:$W$740,7,FALSE),"")</f>
        <v/>
      </c>
    </row>
    <row r="522" spans="1:16" x14ac:dyDescent="0.2">
      <c r="A522" s="106">
        <f t="shared" si="20"/>
        <v>473</v>
      </c>
      <c r="B522" s="107" t="s">
        <v>2038</v>
      </c>
      <c r="C522" s="116" t="s">
        <v>2055</v>
      </c>
      <c r="D522" s="113" t="s">
        <v>2057</v>
      </c>
      <c r="E522" s="109" t="s">
        <v>2075</v>
      </c>
      <c r="F522" s="126"/>
      <c r="G522" s="144"/>
      <c r="H522" s="111" t="str">
        <f>IF($G522&lt;&gt;"",VLOOKUP($G522,'MASTER TOKO BALI'!$B$2:$W$744,2,FALSE),"")</f>
        <v/>
      </c>
      <c r="I522" s="237" t="str">
        <f>IF($G522&lt;&gt;"",VLOOKUP($G522,'MASTER TOKO BALI'!$B$2:$W$744,4,FALSE),"")</f>
        <v/>
      </c>
      <c r="J522" s="112">
        <v>46288</v>
      </c>
      <c r="K522" s="111" t="str">
        <f>IF($G522&lt;&gt;"",VLOOKUP($G522,'MASTER TOKO BALI'!$B$2:$W$744,12,FALSE),"")</f>
        <v/>
      </c>
      <c r="L522" s="111" t="str">
        <f>IF($G522&lt;&gt;"",VLOOKUP($G522,'MASTER TOKO BALI'!$B$2:$W$744,5,FALSE),"")</f>
        <v/>
      </c>
      <c r="M522" s="106"/>
      <c r="N522" s="111" t="str">
        <f>IF($G522&lt;&gt;"",VLOOKUP($G522,'MASTER TOKO BALI'!$B$2:$W$744,21,FALSE),"")</f>
        <v/>
      </c>
      <c r="O522" s="106"/>
      <c r="P522" s="164" t="str">
        <f>IF($G522&lt;&gt;"",VLOOKUP($G522,'MASTER TOKO BALI'!$B$2:$W$740,7,FALSE),"")</f>
        <v/>
      </c>
    </row>
    <row r="523" spans="1:16" ht="14.4" x14ac:dyDescent="0.2">
      <c r="A523" s="106">
        <f t="shared" si="20"/>
        <v>474</v>
      </c>
      <c r="B523" s="107" t="s">
        <v>2060</v>
      </c>
      <c r="C523" s="116" t="s">
        <v>2061</v>
      </c>
      <c r="D523" s="108" t="s">
        <v>2062</v>
      </c>
      <c r="E523" s="109" t="s">
        <v>2075</v>
      </c>
      <c r="F523" s="126"/>
      <c r="G523" s="60"/>
      <c r="H523" s="111" t="str">
        <f>IF($G523&lt;&gt;"",VLOOKUP($G523,'MASTER TOKO BALI'!$B$2:$W$744,2,FALSE),"")</f>
        <v/>
      </c>
      <c r="I523" s="237" t="str">
        <f>IF($G523&lt;&gt;"",VLOOKUP($G523,'MASTER TOKO BALI'!$B$2:$W$744,4,FALSE),"")</f>
        <v/>
      </c>
      <c r="J523" s="112">
        <v>46288</v>
      </c>
      <c r="K523" s="111" t="str">
        <f>IF($G523&lt;&gt;"",VLOOKUP($G523,'MASTER TOKO BALI'!$B$2:$W$744,12,FALSE),"")</f>
        <v/>
      </c>
      <c r="L523" s="111" t="str">
        <f>IF($G523&lt;&gt;"",VLOOKUP($G523,'MASTER TOKO BALI'!$B$2:$W$744,5,FALSE),"")</f>
        <v/>
      </c>
      <c r="M523" s="106"/>
      <c r="N523" s="111" t="str">
        <f>IF($G523&lt;&gt;"",VLOOKUP($G523,'MASTER TOKO BALI'!$B$2:$W$744,21,FALSE),"")</f>
        <v/>
      </c>
      <c r="O523" s="106"/>
      <c r="P523" s="164" t="str">
        <f>IF($G523&lt;&gt;"",VLOOKUP($G523,'MASTER TOKO BALI'!$B$2:$W$740,7,FALSE),"")</f>
        <v/>
      </c>
    </row>
    <row r="524" spans="1:16" x14ac:dyDescent="0.2">
      <c r="A524" s="106">
        <f t="shared" si="20"/>
        <v>475</v>
      </c>
      <c r="B524" s="107" t="s">
        <v>2038</v>
      </c>
      <c r="C524" s="116" t="s">
        <v>2061</v>
      </c>
      <c r="D524" s="113" t="s">
        <v>2063</v>
      </c>
      <c r="E524" s="109" t="s">
        <v>2075</v>
      </c>
      <c r="F524" s="129"/>
      <c r="G524" s="144"/>
      <c r="H524" s="111" t="str">
        <f>IF($G524&lt;&gt;"",VLOOKUP($G524,'MASTER TOKO BALI'!$B$2:$W$744,2,FALSE),"")</f>
        <v/>
      </c>
      <c r="I524" s="237" t="str">
        <f>IF($G524&lt;&gt;"",VLOOKUP($G524,'MASTER TOKO BALI'!$B$2:$W$744,4,FALSE),"")</f>
        <v/>
      </c>
      <c r="J524" s="112">
        <v>46288</v>
      </c>
      <c r="K524" s="111" t="str">
        <f>IF($G524&lt;&gt;"",VLOOKUP($G524,'MASTER TOKO BALI'!$B$2:$W$744,12,FALSE),"")</f>
        <v/>
      </c>
      <c r="L524" s="111" t="str">
        <f>IF($G524&lt;&gt;"",VLOOKUP($G524,'MASTER TOKO BALI'!$B$2:$W$744,5,FALSE),"")</f>
        <v/>
      </c>
      <c r="M524" s="106"/>
      <c r="N524" s="111" t="str">
        <f>IF($G524&lt;&gt;"",VLOOKUP($G524,'MASTER TOKO BALI'!$B$2:$W$744,21,FALSE),"")</f>
        <v/>
      </c>
      <c r="O524" s="106"/>
      <c r="P524" s="164" t="str">
        <f>IF($G524&lt;&gt;"",VLOOKUP($G524,'MASTER TOKO BALI'!$B$2:$W$740,7,FALSE),"")</f>
        <v/>
      </c>
    </row>
    <row r="525" spans="1:16" ht="14.4" x14ac:dyDescent="0.2">
      <c r="A525" s="106">
        <f t="shared" si="20"/>
        <v>476</v>
      </c>
      <c r="B525" s="107" t="s">
        <v>2064</v>
      </c>
      <c r="C525" s="116" t="s">
        <v>2061</v>
      </c>
      <c r="D525" s="108" t="s">
        <v>2065</v>
      </c>
      <c r="E525" s="109" t="s">
        <v>2075</v>
      </c>
      <c r="F525" s="126"/>
      <c r="G525" s="60"/>
      <c r="H525" s="111" t="str">
        <f>IF($G525&lt;&gt;"",VLOOKUP($G525,'MASTER TOKO BALI'!$B$2:$W$744,2,FALSE),"")</f>
        <v/>
      </c>
      <c r="I525" s="237" t="str">
        <f>IF($G525&lt;&gt;"",VLOOKUP($G525,'MASTER TOKO BALI'!$B$2:$W$744,4,FALSE),"")</f>
        <v/>
      </c>
      <c r="J525" s="112">
        <v>46288</v>
      </c>
      <c r="K525" s="111" t="str">
        <f>IF($G525&lt;&gt;"",VLOOKUP($G525,'MASTER TOKO BALI'!$B$2:$W$744,12,FALSE),"")</f>
        <v/>
      </c>
      <c r="L525" s="111" t="str">
        <f>IF($G525&lt;&gt;"",VLOOKUP($G525,'MASTER TOKO BALI'!$B$2:$W$744,5,FALSE),"")</f>
        <v/>
      </c>
      <c r="M525" s="106"/>
      <c r="N525" s="111" t="str">
        <f>IF($G525&lt;&gt;"",VLOOKUP($G525,'MASTER TOKO BALI'!$B$2:$W$744,21,FALSE),"")</f>
        <v/>
      </c>
      <c r="O525" s="106"/>
      <c r="P525" s="164" t="str">
        <f>IF($G525&lt;&gt;"",VLOOKUP($G525,'MASTER TOKO BALI'!$B$2:$W$740,7,FALSE),"")</f>
        <v/>
      </c>
    </row>
    <row r="526" spans="1:16" x14ac:dyDescent="0.2">
      <c r="A526" s="106">
        <f t="shared" si="20"/>
        <v>477</v>
      </c>
      <c r="B526" s="107" t="s">
        <v>2066</v>
      </c>
      <c r="C526" s="116" t="s">
        <v>2061</v>
      </c>
      <c r="D526" s="113" t="s">
        <v>2063</v>
      </c>
      <c r="E526" s="109" t="s">
        <v>2075</v>
      </c>
      <c r="F526" s="126"/>
      <c r="G526" s="144"/>
      <c r="H526" s="111" t="str">
        <f>IF($G526&lt;&gt;"",VLOOKUP($G526,'MASTER TOKO BALI'!$B$2:$W$744,2,FALSE),"")</f>
        <v/>
      </c>
      <c r="I526" s="237" t="str">
        <f>IF($G526&lt;&gt;"",VLOOKUP($G526,'MASTER TOKO BALI'!$B$2:$W$744,4,FALSE),"")</f>
        <v/>
      </c>
      <c r="J526" s="112">
        <v>46288</v>
      </c>
      <c r="K526" s="111" t="str">
        <f>IF($G526&lt;&gt;"",VLOOKUP($G526,'MASTER TOKO BALI'!$B$2:$W$744,12,FALSE),"")</f>
        <v/>
      </c>
      <c r="L526" s="111" t="str">
        <f>IF($G526&lt;&gt;"",VLOOKUP($G526,'MASTER TOKO BALI'!$B$2:$W$744,5,FALSE),"")</f>
        <v/>
      </c>
      <c r="M526" s="106"/>
      <c r="N526" s="111" t="str">
        <f>IF($G526&lt;&gt;"",VLOOKUP($G526,'MASTER TOKO BALI'!$B$2:$W$744,21,FALSE),"")</f>
        <v/>
      </c>
      <c r="O526" s="106"/>
      <c r="P526" s="164" t="str">
        <f>IF($G526&lt;&gt;"",VLOOKUP($G526,'MASTER TOKO BALI'!$B$2:$W$740,7,FALSE),"")</f>
        <v/>
      </c>
    </row>
    <row r="527" spans="1:16" ht="14.4" x14ac:dyDescent="0.2">
      <c r="A527" s="106">
        <f t="shared" si="20"/>
        <v>478</v>
      </c>
      <c r="B527" s="107" t="s">
        <v>2067</v>
      </c>
      <c r="C527" s="107" t="s">
        <v>2068</v>
      </c>
      <c r="D527" s="108" t="s">
        <v>2069</v>
      </c>
      <c r="E527" s="109" t="s">
        <v>2075</v>
      </c>
      <c r="F527" s="135"/>
      <c r="G527" s="60"/>
      <c r="H527" s="111" t="str">
        <f>IF($G527&lt;&gt;"",VLOOKUP($G527,'MASTER TOKO BALI'!$B$2:$W$744,2,FALSE),"")</f>
        <v/>
      </c>
      <c r="I527" s="237" t="str">
        <f>IF($G527&lt;&gt;"",VLOOKUP($G527,'MASTER TOKO BALI'!$B$2:$W$744,4,FALSE),"")</f>
        <v/>
      </c>
      <c r="J527" s="112">
        <v>46288</v>
      </c>
      <c r="K527" s="111" t="str">
        <f>IF($G527&lt;&gt;"",VLOOKUP($G527,'MASTER TOKO BALI'!$B$2:$W$744,12,FALSE),"")</f>
        <v/>
      </c>
      <c r="L527" s="111" t="str">
        <f>IF($G527&lt;&gt;"",VLOOKUP($G527,'MASTER TOKO BALI'!$B$2:$W$744,5,FALSE),"")</f>
        <v/>
      </c>
      <c r="M527" s="106"/>
      <c r="N527" s="111" t="str">
        <f>IF($G527&lt;&gt;"",VLOOKUP($G527,'MASTER TOKO BALI'!$B$2:$W$744,21,FALSE),"")</f>
        <v/>
      </c>
      <c r="O527" s="106"/>
      <c r="P527" s="164" t="str">
        <f>IF($G527&lt;&gt;"",VLOOKUP($G527,'MASTER TOKO BALI'!$B$2:$W$740,7,FALSE),"")</f>
        <v/>
      </c>
    </row>
    <row r="528" spans="1:16" ht="14.4" x14ac:dyDescent="0.2">
      <c r="A528" s="106">
        <f t="shared" si="20"/>
        <v>479</v>
      </c>
      <c r="B528" s="107" t="s">
        <v>2066</v>
      </c>
      <c r="C528" s="107" t="s">
        <v>2068</v>
      </c>
      <c r="D528" s="117" t="s">
        <v>2070</v>
      </c>
      <c r="E528" s="109" t="s">
        <v>2075</v>
      </c>
      <c r="F528" s="126"/>
      <c r="G528" s="60"/>
      <c r="H528" s="111" t="str">
        <f>IF($G528&lt;&gt;"",VLOOKUP($G528,'MASTER TOKO BALI'!$B$2:$W$744,2,FALSE),"")</f>
        <v/>
      </c>
      <c r="I528" s="237" t="str">
        <f>IF($G528&lt;&gt;"",VLOOKUP($G528,'MASTER TOKO BALI'!$B$2:$W$744,4,FALSE),"")</f>
        <v/>
      </c>
      <c r="J528" s="112">
        <v>46288</v>
      </c>
      <c r="K528" s="111" t="str">
        <f>IF($G528&lt;&gt;"",VLOOKUP($G528,'MASTER TOKO BALI'!$B$2:$W$744,12,FALSE),"")</f>
        <v/>
      </c>
      <c r="L528" s="111" t="str">
        <f>IF($G528&lt;&gt;"",VLOOKUP($G528,'MASTER TOKO BALI'!$B$2:$W$744,5,FALSE),"")</f>
        <v/>
      </c>
      <c r="M528" s="106"/>
      <c r="N528" s="111" t="str">
        <f>IF($G528&lt;&gt;"",VLOOKUP($G528,'MASTER TOKO BALI'!$B$2:$W$744,21,FALSE),"")</f>
        <v/>
      </c>
      <c r="O528" s="106"/>
      <c r="P528" s="164" t="str">
        <f>IF($G528&lt;&gt;"",VLOOKUP($G528,'MASTER TOKO BALI'!$B$2:$W$740,7,FALSE),"")</f>
        <v/>
      </c>
    </row>
    <row r="529" spans="1:16" ht="14.4" x14ac:dyDescent="0.2">
      <c r="A529" s="106">
        <f t="shared" si="20"/>
        <v>480</v>
      </c>
      <c r="B529" s="107" t="s">
        <v>2071</v>
      </c>
      <c r="C529" s="107" t="s">
        <v>2068</v>
      </c>
      <c r="D529" s="116" t="s">
        <v>2003</v>
      </c>
      <c r="E529" s="109" t="s">
        <v>2075</v>
      </c>
      <c r="F529" s="126"/>
      <c r="G529" s="60"/>
      <c r="H529" s="111" t="str">
        <f>IF($G529&lt;&gt;"",VLOOKUP($G529,'MASTER TOKO BALI'!$B$2:$W$744,2,FALSE),"")</f>
        <v/>
      </c>
      <c r="I529" s="237" t="str">
        <f>IF($G529&lt;&gt;"",VLOOKUP($G529,'MASTER TOKO BALI'!$B$2:$W$744,4,FALSE),"")</f>
        <v/>
      </c>
      <c r="J529" s="112">
        <v>46288</v>
      </c>
      <c r="K529" s="111" t="str">
        <f>IF($G529&lt;&gt;"",VLOOKUP($G529,'MASTER TOKO BALI'!$B$2:$W$744,12,FALSE),"")</f>
        <v/>
      </c>
      <c r="L529" s="111" t="str">
        <f>IF($G529&lt;&gt;"",VLOOKUP($G529,'MASTER TOKO BALI'!$B$2:$W$744,5,FALSE),"")</f>
        <v/>
      </c>
      <c r="M529" s="106"/>
      <c r="N529" s="111" t="str">
        <f>IF($G529&lt;&gt;"",VLOOKUP($G529,'MASTER TOKO BALI'!$B$2:$W$744,21,FALSE),"")</f>
        <v/>
      </c>
      <c r="O529" s="106"/>
      <c r="P529" s="164" t="str">
        <f>IF($G529&lt;&gt;"",VLOOKUP($G529,'MASTER TOKO BALI'!$B$2:$W$740,7,FALSE),"")</f>
        <v/>
      </c>
    </row>
    <row r="530" spans="1:16" x14ac:dyDescent="0.2">
      <c r="A530" s="106">
        <f t="shared" si="20"/>
        <v>481</v>
      </c>
      <c r="B530" s="107" t="s">
        <v>2066</v>
      </c>
      <c r="C530" s="107" t="s">
        <v>2068</v>
      </c>
      <c r="D530" s="117" t="s">
        <v>2070</v>
      </c>
      <c r="E530" s="109" t="s">
        <v>2075</v>
      </c>
      <c r="F530" s="129"/>
      <c r="G530" s="148"/>
      <c r="H530" s="111" t="str">
        <f>IF($G530&lt;&gt;"",VLOOKUP($G530,'MASTER TOKO BALI'!$B$2:$W$744,2,FALSE),"")</f>
        <v/>
      </c>
      <c r="I530" s="237" t="str">
        <f>IF($G530&lt;&gt;"",VLOOKUP($G530,'MASTER TOKO BALI'!$B$2:$W$744,4,FALSE),"")</f>
        <v/>
      </c>
      <c r="J530" s="112">
        <v>46288</v>
      </c>
      <c r="K530" s="111" t="str">
        <f>IF($G530&lt;&gt;"",VLOOKUP($G530,'MASTER TOKO BALI'!$B$2:$W$744,12,FALSE),"")</f>
        <v/>
      </c>
      <c r="L530" s="111" t="str">
        <f>IF($G530&lt;&gt;"",VLOOKUP($G530,'MASTER TOKO BALI'!$B$2:$W$744,5,FALSE),"")</f>
        <v/>
      </c>
      <c r="M530" s="106"/>
      <c r="N530" s="111" t="str">
        <f>IF($G530&lt;&gt;"",VLOOKUP($G530,'MASTER TOKO BALI'!$B$2:$W$744,21,FALSE),"")</f>
        <v/>
      </c>
      <c r="O530" s="106"/>
      <c r="P530" s="164" t="str">
        <f>IF($G530&lt;&gt;"",VLOOKUP($G530,'MASTER TOKO BALI'!$B$2:$W$740,7,FALSE),"")</f>
        <v/>
      </c>
    </row>
    <row r="531" spans="1:16" x14ac:dyDescent="0.2">
      <c r="A531" s="106"/>
      <c r="B531" s="107"/>
      <c r="C531" s="107"/>
      <c r="D531" s="111"/>
      <c r="E531" s="114"/>
      <c r="F531" s="126"/>
      <c r="G531" s="144"/>
      <c r="H531" s="111" t="str">
        <f>IF($G531&lt;&gt;"",VLOOKUP($G531,'MASTER TOKO BALI'!$B$2:$W$744,2,FALSE),"")</f>
        <v/>
      </c>
      <c r="I531" s="237" t="str">
        <f>IF($G531&lt;&gt;"",VLOOKUP($G531,'MASTER TOKO BALI'!$B$2:$W$744,4,FALSE),"")</f>
        <v/>
      </c>
      <c r="J531" s="119"/>
      <c r="K531" s="111" t="str">
        <f>IF($G531&lt;&gt;"",VLOOKUP($G531,'MASTER TOKO BALI'!$B$2:$W$744,12,FALSE),"")</f>
        <v/>
      </c>
      <c r="L531" s="111" t="str">
        <f>IF($G531&lt;&gt;"",VLOOKUP($G531,'MASTER TOKO BALI'!$B$2:$W$744,5,FALSE),"")</f>
        <v/>
      </c>
      <c r="M531" s="106"/>
      <c r="N531" s="111" t="str">
        <f>IF($G531&lt;&gt;"",VLOOKUP($G531,'MASTER TOKO BALI'!$B$2:$W$744,21,FALSE),"")</f>
        <v/>
      </c>
      <c r="O531" s="106"/>
      <c r="P531" s="164" t="str">
        <f>IF($G531&lt;&gt;"",VLOOKUP($G531,'MASTER TOKO BALI'!$B$2:$W$740,7,FALSE),"")</f>
        <v/>
      </c>
    </row>
    <row r="532" spans="1:16" ht="14.4" x14ac:dyDescent="0.2">
      <c r="A532" s="106">
        <f>A530+1</f>
        <v>482</v>
      </c>
      <c r="B532" s="107" t="s">
        <v>2034</v>
      </c>
      <c r="C532" s="107" t="s">
        <v>2035</v>
      </c>
      <c r="D532" s="108" t="s">
        <v>2036</v>
      </c>
      <c r="E532" s="109" t="s">
        <v>2076</v>
      </c>
      <c r="F532" s="141"/>
      <c r="G532" s="60"/>
      <c r="H532" s="111" t="str">
        <f>IF($G532&lt;&gt;"",VLOOKUP($G532,'MASTER TOKO BALI'!$B$2:$W$744,2,FALSE),"")</f>
        <v/>
      </c>
      <c r="I532" s="237" t="str">
        <f>IF($G532&lt;&gt;"",VLOOKUP($G532,'MASTER TOKO BALI'!$B$2:$W$744,4,FALSE),"")</f>
        <v/>
      </c>
      <c r="J532" s="112">
        <v>46289</v>
      </c>
      <c r="K532" s="111" t="str">
        <f>IF($G532&lt;&gt;"",VLOOKUP($G532,'MASTER TOKO BALI'!$B$2:$W$744,12,FALSE),"")</f>
        <v/>
      </c>
      <c r="L532" s="111" t="str">
        <f>IF($G532&lt;&gt;"",VLOOKUP($G532,'MASTER TOKO BALI'!$B$2:$W$744,5,FALSE),"")</f>
        <v/>
      </c>
      <c r="M532" s="106"/>
      <c r="N532" s="111" t="str">
        <f>IF($G532&lt;&gt;"",VLOOKUP($G532,'MASTER TOKO BALI'!$B$2:$W$744,21,FALSE),"")</f>
        <v/>
      </c>
      <c r="O532" s="106"/>
      <c r="P532" s="164" t="str">
        <f>IF($G532&lt;&gt;"",VLOOKUP($G532,'MASTER TOKO BALI'!$B$2:$W$740,7,FALSE),"")</f>
        <v/>
      </c>
    </row>
    <row r="533" spans="1:16" x14ac:dyDescent="0.2">
      <c r="A533" s="106">
        <f t="shared" ref="A533:A554" si="21">A532+1</f>
        <v>483</v>
      </c>
      <c r="B533" s="107" t="s">
        <v>2038</v>
      </c>
      <c r="C533" s="107" t="s">
        <v>2035</v>
      </c>
      <c r="D533" s="113" t="s">
        <v>2039</v>
      </c>
      <c r="E533" s="109" t="s">
        <v>2076</v>
      </c>
      <c r="F533" s="126"/>
      <c r="G533" s="144"/>
      <c r="H533" s="111" t="str">
        <f>IF($G533&lt;&gt;"",VLOOKUP($G533,'MASTER TOKO BALI'!$B$2:$W$744,2,FALSE),"")</f>
        <v/>
      </c>
      <c r="I533" s="237" t="str">
        <f>IF($G533&lt;&gt;"",VLOOKUP($G533,'MASTER TOKO BALI'!$B$2:$W$744,4,FALSE),"")</f>
        <v/>
      </c>
      <c r="J533" s="112">
        <v>46289</v>
      </c>
      <c r="K533" s="111" t="str">
        <f>IF($G533&lt;&gt;"",VLOOKUP($G533,'MASTER TOKO BALI'!$B$2:$W$744,12,FALSE),"")</f>
        <v/>
      </c>
      <c r="L533" s="111" t="str">
        <f>IF($G533&lt;&gt;"",VLOOKUP($G533,'MASTER TOKO BALI'!$B$2:$W$744,5,FALSE),"")</f>
        <v/>
      </c>
      <c r="M533" s="106"/>
      <c r="N533" s="111" t="str">
        <f>IF($G533&lt;&gt;"",VLOOKUP($G533,'MASTER TOKO BALI'!$B$2:$W$744,21,FALSE),"")</f>
        <v/>
      </c>
      <c r="O533" s="106"/>
      <c r="P533" s="164" t="str">
        <f>IF($G533&lt;&gt;"",VLOOKUP($G533,'MASTER TOKO BALI'!$B$2:$W$740,7,FALSE),"")</f>
        <v/>
      </c>
    </row>
    <row r="534" spans="1:16" ht="14.4" x14ac:dyDescent="0.2">
      <c r="A534" s="106">
        <f t="shared" si="21"/>
        <v>484</v>
      </c>
      <c r="B534" s="107" t="s">
        <v>2040</v>
      </c>
      <c r="C534" s="107" t="s">
        <v>2035</v>
      </c>
      <c r="D534" s="108" t="s">
        <v>2041</v>
      </c>
      <c r="E534" s="109" t="s">
        <v>2076</v>
      </c>
      <c r="F534" s="71"/>
      <c r="G534" s="60"/>
      <c r="H534" s="111" t="str">
        <f>IF($G534&lt;&gt;"",VLOOKUP($G534,'MASTER TOKO BALI'!$B$2:$W$744,2,FALSE),"")</f>
        <v/>
      </c>
      <c r="I534" s="237" t="str">
        <f>IF($G534&lt;&gt;"",VLOOKUP($G534,'MASTER TOKO BALI'!$B$2:$W$744,4,FALSE),"")</f>
        <v/>
      </c>
      <c r="J534" s="112">
        <v>46289</v>
      </c>
      <c r="K534" s="111" t="str">
        <f>IF($G534&lt;&gt;"",VLOOKUP($G534,'MASTER TOKO BALI'!$B$2:$W$744,12,FALSE),"")</f>
        <v/>
      </c>
      <c r="L534" s="111" t="str">
        <f>IF($G534&lt;&gt;"",VLOOKUP($G534,'MASTER TOKO BALI'!$B$2:$W$744,5,FALSE),"")</f>
        <v/>
      </c>
      <c r="M534" s="106"/>
      <c r="N534" s="111" t="str">
        <f>IF($G534&lt;&gt;"",VLOOKUP($G534,'MASTER TOKO BALI'!$B$2:$W$744,21,FALSE),"")</f>
        <v/>
      </c>
      <c r="O534" s="106"/>
      <c r="P534" s="164" t="str">
        <f>IF($G534&lt;&gt;"",VLOOKUP($G534,'MASTER TOKO BALI'!$B$2:$W$740,7,FALSE),"")</f>
        <v/>
      </c>
    </row>
    <row r="535" spans="1:16" x14ac:dyDescent="0.2">
      <c r="A535" s="106">
        <f t="shared" si="21"/>
        <v>485</v>
      </c>
      <c r="B535" s="107" t="s">
        <v>2038</v>
      </c>
      <c r="C535" s="107" t="s">
        <v>2035</v>
      </c>
      <c r="D535" s="113" t="s">
        <v>2039</v>
      </c>
      <c r="E535" s="109" t="s">
        <v>2076</v>
      </c>
      <c r="F535" s="126"/>
      <c r="G535" s="144"/>
      <c r="H535" s="111" t="str">
        <f>IF($G535&lt;&gt;"",VLOOKUP($G535,'MASTER TOKO BALI'!$B$2:$W$744,2,FALSE),"")</f>
        <v/>
      </c>
      <c r="I535" s="237" t="str">
        <f>IF($G535&lt;&gt;"",VLOOKUP($G535,'MASTER TOKO BALI'!$B$2:$W$744,4,FALSE),"")</f>
        <v/>
      </c>
      <c r="J535" s="112">
        <v>46289</v>
      </c>
      <c r="K535" s="111" t="str">
        <f>IF($G535&lt;&gt;"",VLOOKUP($G535,'MASTER TOKO BALI'!$B$2:$W$744,12,FALSE),"")</f>
        <v/>
      </c>
      <c r="L535" s="111" t="str">
        <f>IF($G535&lt;&gt;"",VLOOKUP($G535,'MASTER TOKO BALI'!$B$2:$W$744,5,FALSE),"")</f>
        <v/>
      </c>
      <c r="M535" s="106"/>
      <c r="N535" s="111" t="str">
        <f>IF($G535&lt;&gt;"",VLOOKUP($G535,'MASTER TOKO BALI'!$B$2:$W$744,21,FALSE),"")</f>
        <v/>
      </c>
      <c r="O535" s="106"/>
      <c r="P535" s="164" t="str">
        <f>IF($G535&lt;&gt;"",VLOOKUP($G535,'MASTER TOKO BALI'!$B$2:$W$740,7,FALSE),"")</f>
        <v/>
      </c>
    </row>
    <row r="536" spans="1:16" ht="14.4" x14ac:dyDescent="0.2">
      <c r="A536" s="106">
        <f t="shared" si="21"/>
        <v>486</v>
      </c>
      <c r="B536" s="107" t="s">
        <v>2042</v>
      </c>
      <c r="C536" s="107" t="s">
        <v>2043</v>
      </c>
      <c r="D536" s="108" t="s">
        <v>2044</v>
      </c>
      <c r="E536" s="109" t="s">
        <v>2076</v>
      </c>
      <c r="F536" s="126"/>
      <c r="G536" s="60"/>
      <c r="H536" s="111" t="str">
        <f>IF($G536&lt;&gt;"",VLOOKUP($G536,'MASTER TOKO BALI'!$B$2:$W$744,2,FALSE),"")</f>
        <v/>
      </c>
      <c r="I536" s="237" t="str">
        <f>IF($G536&lt;&gt;"",VLOOKUP($G536,'MASTER TOKO BALI'!$B$2:$W$744,4,FALSE),"")</f>
        <v/>
      </c>
      <c r="J536" s="112">
        <v>46289</v>
      </c>
      <c r="K536" s="111" t="str">
        <f>IF($G536&lt;&gt;"",VLOOKUP($G536,'MASTER TOKO BALI'!$B$2:$W$744,12,FALSE),"")</f>
        <v/>
      </c>
      <c r="L536" s="111" t="str">
        <f>IF($G536&lt;&gt;"",VLOOKUP($G536,'MASTER TOKO BALI'!$B$2:$W$744,5,FALSE),"")</f>
        <v/>
      </c>
      <c r="M536" s="106"/>
      <c r="N536" s="111" t="str">
        <f>IF($G536&lt;&gt;"",VLOOKUP($G536,'MASTER TOKO BALI'!$B$2:$W$744,21,FALSE),"")</f>
        <v/>
      </c>
      <c r="O536" s="106"/>
      <c r="P536" s="164" t="str">
        <f>IF($G536&lt;&gt;"",VLOOKUP($G536,'MASTER TOKO BALI'!$B$2:$W$740,7,FALSE),"")</f>
        <v/>
      </c>
    </row>
    <row r="537" spans="1:16" x14ac:dyDescent="0.2">
      <c r="A537" s="106">
        <f t="shared" si="21"/>
        <v>487</v>
      </c>
      <c r="B537" s="107" t="s">
        <v>2038</v>
      </c>
      <c r="C537" s="107" t="s">
        <v>2043</v>
      </c>
      <c r="D537" s="113" t="s">
        <v>2045</v>
      </c>
      <c r="E537" s="109" t="s">
        <v>2076</v>
      </c>
      <c r="F537" s="126"/>
      <c r="G537" s="144"/>
      <c r="H537" s="111" t="str">
        <f>IF($G537&lt;&gt;"",VLOOKUP($G537,'MASTER TOKO BALI'!$B$2:$W$744,2,FALSE),"")</f>
        <v/>
      </c>
      <c r="I537" s="237" t="str">
        <f>IF($G537&lt;&gt;"",VLOOKUP($G537,'MASTER TOKO BALI'!$B$2:$W$744,4,FALSE),"")</f>
        <v/>
      </c>
      <c r="J537" s="112">
        <v>46289</v>
      </c>
      <c r="K537" s="111" t="str">
        <f>IF($G537&lt;&gt;"",VLOOKUP($G537,'MASTER TOKO BALI'!$B$2:$W$744,12,FALSE),"")</f>
        <v/>
      </c>
      <c r="L537" s="111" t="str">
        <f>IF($G537&lt;&gt;"",VLOOKUP($G537,'MASTER TOKO BALI'!$B$2:$W$744,5,FALSE),"")</f>
        <v/>
      </c>
      <c r="M537" s="106"/>
      <c r="N537" s="111" t="str">
        <f>IF($G537&lt;&gt;"",VLOOKUP($G537,'MASTER TOKO BALI'!$B$2:$W$744,21,FALSE),"")</f>
        <v/>
      </c>
      <c r="O537" s="106"/>
      <c r="P537" s="164" t="str">
        <f>IF($G537&lt;&gt;"",VLOOKUP($G537,'MASTER TOKO BALI'!$B$2:$W$740,7,FALSE),"")</f>
        <v/>
      </c>
    </row>
    <row r="538" spans="1:16" ht="14.4" x14ac:dyDescent="0.2">
      <c r="A538" s="106">
        <f t="shared" si="21"/>
        <v>488</v>
      </c>
      <c r="B538" s="107" t="s">
        <v>2046</v>
      </c>
      <c r="C538" s="107" t="s">
        <v>2043</v>
      </c>
      <c r="D538" s="108" t="s">
        <v>2047</v>
      </c>
      <c r="E538" s="109" t="s">
        <v>2076</v>
      </c>
      <c r="F538" s="126"/>
      <c r="G538" s="60"/>
      <c r="H538" s="111" t="str">
        <f>IF($G538&lt;&gt;"",VLOOKUP($G538,'MASTER TOKO BALI'!$B$2:$W$744,2,FALSE),"")</f>
        <v/>
      </c>
      <c r="I538" s="237" t="str">
        <f>IF($G538&lt;&gt;"",VLOOKUP($G538,'MASTER TOKO BALI'!$B$2:$W$744,4,FALSE),"")</f>
        <v/>
      </c>
      <c r="J538" s="112">
        <v>46289</v>
      </c>
      <c r="K538" s="111" t="str">
        <f>IF($G538&lt;&gt;"",VLOOKUP($G538,'MASTER TOKO BALI'!$B$2:$W$744,12,FALSE),"")</f>
        <v/>
      </c>
      <c r="L538" s="111" t="str">
        <f>IF($G538&lt;&gt;"",VLOOKUP($G538,'MASTER TOKO BALI'!$B$2:$W$744,5,FALSE),"")</f>
        <v/>
      </c>
      <c r="M538" s="106"/>
      <c r="N538" s="111" t="str">
        <f>IF($G538&lt;&gt;"",VLOOKUP($G538,'MASTER TOKO BALI'!$B$2:$W$744,21,FALSE),"")</f>
        <v/>
      </c>
      <c r="O538" s="106"/>
      <c r="P538" s="164" t="str">
        <f>IF($G538&lt;&gt;"",VLOOKUP($G538,'MASTER TOKO BALI'!$B$2:$W$740,7,FALSE),"")</f>
        <v/>
      </c>
    </row>
    <row r="539" spans="1:16" x14ac:dyDescent="0.2">
      <c r="A539" s="106">
        <f t="shared" si="21"/>
        <v>489</v>
      </c>
      <c r="B539" s="107" t="s">
        <v>2038</v>
      </c>
      <c r="C539" s="107" t="s">
        <v>2043</v>
      </c>
      <c r="D539" s="113" t="s">
        <v>2045</v>
      </c>
      <c r="E539" s="109" t="s">
        <v>2076</v>
      </c>
      <c r="F539" s="126"/>
      <c r="G539" s="144"/>
      <c r="H539" s="111" t="str">
        <f>IF($G539&lt;&gt;"",VLOOKUP($G539,'MASTER TOKO BALI'!$B$2:$W$744,2,FALSE),"")</f>
        <v/>
      </c>
      <c r="I539" s="237" t="str">
        <f>IF($G539&lt;&gt;"",VLOOKUP($G539,'MASTER TOKO BALI'!$B$2:$W$744,4,FALSE),"")</f>
        <v/>
      </c>
      <c r="J539" s="112">
        <v>46289</v>
      </c>
      <c r="K539" s="111" t="str">
        <f>IF($G539&lt;&gt;"",VLOOKUP($G539,'MASTER TOKO BALI'!$B$2:$W$744,12,FALSE),"")</f>
        <v/>
      </c>
      <c r="L539" s="111" t="str">
        <f>IF($G539&lt;&gt;"",VLOOKUP($G539,'MASTER TOKO BALI'!$B$2:$W$744,5,FALSE),"")</f>
        <v/>
      </c>
      <c r="M539" s="106"/>
      <c r="N539" s="111" t="str">
        <f>IF($G539&lt;&gt;"",VLOOKUP($G539,'MASTER TOKO BALI'!$B$2:$W$744,21,FALSE),"")</f>
        <v/>
      </c>
      <c r="O539" s="106"/>
      <c r="P539" s="164" t="str">
        <f>IF($G539&lt;&gt;"",VLOOKUP($G539,'MASTER TOKO BALI'!$B$2:$W$740,7,FALSE),"")</f>
        <v/>
      </c>
    </row>
    <row r="540" spans="1:16" ht="14.4" x14ac:dyDescent="0.2">
      <c r="A540" s="106">
        <f t="shared" si="21"/>
        <v>490</v>
      </c>
      <c r="B540" s="107" t="s">
        <v>2048</v>
      </c>
      <c r="C540" s="107" t="s">
        <v>2049</v>
      </c>
      <c r="D540" s="108" t="s">
        <v>2050</v>
      </c>
      <c r="E540" s="109" t="s">
        <v>2076</v>
      </c>
      <c r="F540" s="126"/>
      <c r="G540" s="60"/>
      <c r="H540" s="111" t="str">
        <f>IF($G540&lt;&gt;"",VLOOKUP($G540,'MASTER TOKO BALI'!$B$2:$W$744,2,FALSE),"")</f>
        <v/>
      </c>
      <c r="I540" s="237" t="str">
        <f>IF($G540&lt;&gt;"",VLOOKUP($G540,'MASTER TOKO BALI'!$B$2:$W$744,4,FALSE),"")</f>
        <v/>
      </c>
      <c r="J540" s="112">
        <v>46289</v>
      </c>
      <c r="K540" s="111" t="str">
        <f>IF($G540&lt;&gt;"",VLOOKUP($G540,'MASTER TOKO BALI'!$B$2:$W$744,12,FALSE),"")</f>
        <v/>
      </c>
      <c r="L540" s="111" t="str">
        <f>IF($G540&lt;&gt;"",VLOOKUP($G540,'MASTER TOKO BALI'!$B$2:$W$744,5,FALSE),"")</f>
        <v/>
      </c>
      <c r="M540" s="106"/>
      <c r="N540" s="111" t="str">
        <f>IF($G540&lt;&gt;"",VLOOKUP($G540,'MASTER TOKO BALI'!$B$2:$W$744,21,FALSE),"")</f>
        <v/>
      </c>
      <c r="O540" s="106"/>
      <c r="P540" s="164" t="str">
        <f>IF($G540&lt;&gt;"",VLOOKUP($G540,'MASTER TOKO BALI'!$B$2:$W$740,7,FALSE),"")</f>
        <v/>
      </c>
    </row>
    <row r="541" spans="1:16" x14ac:dyDescent="0.2">
      <c r="A541" s="106">
        <f t="shared" si="21"/>
        <v>491</v>
      </c>
      <c r="B541" s="107" t="s">
        <v>2038</v>
      </c>
      <c r="C541" s="107" t="s">
        <v>2049</v>
      </c>
      <c r="D541" s="115" t="s">
        <v>2051</v>
      </c>
      <c r="E541" s="109" t="s">
        <v>2076</v>
      </c>
      <c r="F541" s="126"/>
      <c r="G541" s="145"/>
      <c r="H541" s="111" t="str">
        <f>IF($G541&lt;&gt;"",VLOOKUP($G541,'MASTER TOKO BALI'!$B$2:$W$744,2,FALSE),"")</f>
        <v/>
      </c>
      <c r="I541" s="237" t="str">
        <f>IF($G541&lt;&gt;"",VLOOKUP($G541,'MASTER TOKO BALI'!$B$2:$W$744,4,FALSE),"")</f>
        <v/>
      </c>
      <c r="J541" s="112">
        <v>46289</v>
      </c>
      <c r="K541" s="111" t="str">
        <f>IF($G541&lt;&gt;"",VLOOKUP($G541,'MASTER TOKO BALI'!$B$2:$W$744,12,FALSE),"")</f>
        <v/>
      </c>
      <c r="L541" s="111" t="str">
        <f>IF($G541&lt;&gt;"",VLOOKUP($G541,'MASTER TOKO BALI'!$B$2:$W$744,5,FALSE),"")</f>
        <v/>
      </c>
      <c r="M541" s="106"/>
      <c r="N541" s="111" t="str">
        <f>IF($G541&lt;&gt;"",VLOOKUP($G541,'MASTER TOKO BALI'!$B$2:$W$744,21,FALSE),"")</f>
        <v/>
      </c>
      <c r="O541" s="106"/>
      <c r="P541" s="164" t="str">
        <f>IF($G541&lt;&gt;"",VLOOKUP($G541,'MASTER TOKO BALI'!$B$2:$W$740,7,FALSE),"")</f>
        <v/>
      </c>
    </row>
    <row r="542" spans="1:16" ht="14.4" x14ac:dyDescent="0.2">
      <c r="A542" s="106">
        <f t="shared" si="21"/>
        <v>492</v>
      </c>
      <c r="B542" s="107" t="s">
        <v>2052</v>
      </c>
      <c r="C542" s="107" t="s">
        <v>2049</v>
      </c>
      <c r="D542" s="108" t="s">
        <v>2053</v>
      </c>
      <c r="E542" s="109" t="s">
        <v>2076</v>
      </c>
      <c r="F542" s="126"/>
      <c r="G542" s="60"/>
      <c r="H542" s="111" t="str">
        <f>IF($G542&lt;&gt;"",VLOOKUP($G542,'MASTER TOKO BALI'!$B$2:$W$744,2,FALSE),"")</f>
        <v/>
      </c>
      <c r="I542" s="237" t="str">
        <f>IF($G542&lt;&gt;"",VLOOKUP($G542,'MASTER TOKO BALI'!$B$2:$W$744,4,FALSE),"")</f>
        <v/>
      </c>
      <c r="J542" s="112">
        <v>46289</v>
      </c>
      <c r="K542" s="111" t="str">
        <f>IF($G542&lt;&gt;"",VLOOKUP($G542,'MASTER TOKO BALI'!$B$2:$W$744,12,FALSE),"")</f>
        <v/>
      </c>
      <c r="L542" s="111" t="str">
        <f>IF($G542&lt;&gt;"",VLOOKUP($G542,'MASTER TOKO BALI'!$B$2:$W$744,5,FALSE),"")</f>
        <v/>
      </c>
      <c r="M542" s="106"/>
      <c r="N542" s="111" t="str">
        <f>IF($G542&lt;&gt;"",VLOOKUP($G542,'MASTER TOKO BALI'!$B$2:$W$744,21,FALSE),"")</f>
        <v/>
      </c>
      <c r="O542" s="106"/>
      <c r="P542" s="164" t="str">
        <f>IF($G542&lt;&gt;"",VLOOKUP($G542,'MASTER TOKO BALI'!$B$2:$W$740,7,FALSE),"")</f>
        <v/>
      </c>
    </row>
    <row r="543" spans="1:16" x14ac:dyDescent="0.2">
      <c r="A543" s="106">
        <f t="shared" si="21"/>
        <v>493</v>
      </c>
      <c r="B543" s="107" t="s">
        <v>2038</v>
      </c>
      <c r="C543" s="107" t="s">
        <v>2049</v>
      </c>
      <c r="D543" s="113" t="s">
        <v>2051</v>
      </c>
      <c r="E543" s="109" t="s">
        <v>2076</v>
      </c>
      <c r="F543" s="126"/>
      <c r="G543" s="144"/>
      <c r="H543" s="111" t="str">
        <f>IF($G543&lt;&gt;"",VLOOKUP($G543,'MASTER TOKO BALI'!$B$2:$W$744,2,FALSE),"")</f>
        <v/>
      </c>
      <c r="I543" s="237" t="str">
        <f>IF($G543&lt;&gt;"",VLOOKUP($G543,'MASTER TOKO BALI'!$B$2:$W$744,4,FALSE),"")</f>
        <v/>
      </c>
      <c r="J543" s="112">
        <v>46289</v>
      </c>
      <c r="K543" s="111" t="str">
        <f>IF($G543&lt;&gt;"",VLOOKUP($G543,'MASTER TOKO BALI'!$B$2:$W$744,12,FALSE),"")</f>
        <v/>
      </c>
      <c r="L543" s="111" t="str">
        <f>IF($G543&lt;&gt;"",VLOOKUP($G543,'MASTER TOKO BALI'!$B$2:$W$744,5,FALSE),"")</f>
        <v/>
      </c>
      <c r="M543" s="106"/>
      <c r="N543" s="111" t="str">
        <f>IF($G543&lt;&gt;"",VLOOKUP($G543,'MASTER TOKO BALI'!$B$2:$W$744,21,FALSE),"")</f>
        <v/>
      </c>
      <c r="O543" s="106"/>
      <c r="P543" s="164" t="str">
        <f>IF($G543&lt;&gt;"",VLOOKUP($G543,'MASTER TOKO BALI'!$B$2:$W$740,7,FALSE),"")</f>
        <v/>
      </c>
    </row>
    <row r="544" spans="1:16" ht="14.4" x14ac:dyDescent="0.2">
      <c r="A544" s="106"/>
      <c r="B544" s="107" t="s">
        <v>2054</v>
      </c>
      <c r="C544" s="116" t="s">
        <v>2055</v>
      </c>
      <c r="D544" s="108" t="s">
        <v>2056</v>
      </c>
      <c r="E544" s="109" t="s">
        <v>2076</v>
      </c>
      <c r="F544" s="126"/>
      <c r="G544" s="60"/>
      <c r="H544" s="111" t="str">
        <f>IF($G544&lt;&gt;"",VLOOKUP($G544,'MASTER TOKO BALI'!$B$2:$W$744,2,FALSE),"")</f>
        <v/>
      </c>
      <c r="I544" s="237" t="str">
        <f>IF($G544&lt;&gt;"",VLOOKUP($G544,'MASTER TOKO BALI'!$B$2:$W$744,4,FALSE),"")</f>
        <v/>
      </c>
      <c r="J544" s="112">
        <v>46289</v>
      </c>
      <c r="K544" s="111" t="str">
        <f>IF($G544&lt;&gt;"",VLOOKUP($G544,'MASTER TOKO BALI'!$B$2:$W$744,12,FALSE),"")</f>
        <v/>
      </c>
      <c r="L544" s="111" t="str">
        <f>IF($G544&lt;&gt;"",VLOOKUP($G544,'MASTER TOKO BALI'!$B$2:$W$744,5,FALSE),"")</f>
        <v/>
      </c>
      <c r="M544" s="106"/>
      <c r="N544" s="111" t="str">
        <f>IF($G544&lt;&gt;"",VLOOKUP($G544,'MASTER TOKO BALI'!$B$2:$W$744,21,FALSE),"")</f>
        <v/>
      </c>
      <c r="O544" s="106"/>
      <c r="P544" s="164" t="str">
        <f>IF($G544&lt;&gt;"",VLOOKUP($G544,'MASTER TOKO BALI'!$B$2:$W$740,7,FALSE),"")</f>
        <v/>
      </c>
    </row>
    <row r="545" spans="1:16" x14ac:dyDescent="0.2">
      <c r="A545" s="106">
        <f>A543+1</f>
        <v>494</v>
      </c>
      <c r="B545" s="107" t="s">
        <v>2038</v>
      </c>
      <c r="C545" s="116" t="s">
        <v>2055</v>
      </c>
      <c r="D545" s="113" t="s">
        <v>2057</v>
      </c>
      <c r="E545" s="109" t="s">
        <v>2076</v>
      </c>
      <c r="F545" s="126"/>
      <c r="G545" s="148"/>
      <c r="H545" s="111" t="str">
        <f>IF($G545&lt;&gt;"",VLOOKUP($G545,'MASTER TOKO BALI'!$B$2:$W$744,2,FALSE),"")</f>
        <v/>
      </c>
      <c r="I545" s="237" t="str">
        <f>IF($G545&lt;&gt;"",VLOOKUP($G545,'MASTER TOKO BALI'!$B$2:$W$744,4,FALSE),"")</f>
        <v/>
      </c>
      <c r="J545" s="112">
        <v>46289</v>
      </c>
      <c r="K545" s="111" t="str">
        <f>IF($G545&lt;&gt;"",VLOOKUP($G545,'MASTER TOKO BALI'!$B$2:$W$744,12,FALSE),"")</f>
        <v/>
      </c>
      <c r="L545" s="111" t="str">
        <f>IF($G545&lt;&gt;"",VLOOKUP($G545,'MASTER TOKO BALI'!$B$2:$W$744,5,FALSE),"")</f>
        <v/>
      </c>
      <c r="M545" s="106"/>
      <c r="N545" s="111" t="str">
        <f>IF($G545&lt;&gt;"",VLOOKUP($G545,'MASTER TOKO BALI'!$B$2:$W$744,21,FALSE),"")</f>
        <v/>
      </c>
      <c r="O545" s="106"/>
      <c r="P545" s="164" t="str">
        <f>IF($G545&lt;&gt;"",VLOOKUP($G545,'MASTER TOKO BALI'!$B$2:$W$740,7,FALSE),"")</f>
        <v/>
      </c>
    </row>
    <row r="546" spans="1:16" ht="14.4" x14ac:dyDescent="0.2">
      <c r="A546" s="106">
        <f t="shared" si="21"/>
        <v>495</v>
      </c>
      <c r="B546" s="107" t="s">
        <v>2058</v>
      </c>
      <c r="C546" s="116" t="s">
        <v>2055</v>
      </c>
      <c r="D546" s="108" t="s">
        <v>2059</v>
      </c>
      <c r="E546" s="109" t="s">
        <v>2076</v>
      </c>
      <c r="F546" s="126"/>
      <c r="G546" s="60"/>
      <c r="H546" s="111" t="str">
        <f>IF($G546&lt;&gt;"",VLOOKUP($G546,'MASTER TOKO BALI'!$B$2:$W$744,2,FALSE),"")</f>
        <v/>
      </c>
      <c r="I546" s="237" t="str">
        <f>IF($G546&lt;&gt;"",VLOOKUP($G546,'MASTER TOKO BALI'!$B$2:$W$744,4,FALSE),"")</f>
        <v/>
      </c>
      <c r="J546" s="112">
        <v>46289</v>
      </c>
      <c r="K546" s="111" t="str">
        <f>IF($G546&lt;&gt;"",VLOOKUP($G546,'MASTER TOKO BALI'!$B$2:$W$744,12,FALSE),"")</f>
        <v/>
      </c>
      <c r="L546" s="111" t="str">
        <f>IF($G546&lt;&gt;"",VLOOKUP($G546,'MASTER TOKO BALI'!$B$2:$W$744,5,FALSE),"")</f>
        <v/>
      </c>
      <c r="M546" s="106"/>
      <c r="N546" s="111" t="str">
        <f>IF($G546&lt;&gt;"",VLOOKUP($G546,'MASTER TOKO BALI'!$B$2:$W$744,21,FALSE),"")</f>
        <v/>
      </c>
      <c r="O546" s="106"/>
      <c r="P546" s="164" t="str">
        <f>IF($G546&lt;&gt;"",VLOOKUP($G546,'MASTER TOKO BALI'!$B$2:$W$740,7,FALSE),"")</f>
        <v/>
      </c>
    </row>
    <row r="547" spans="1:16" x14ac:dyDescent="0.2">
      <c r="A547" s="106">
        <f t="shared" si="21"/>
        <v>496</v>
      </c>
      <c r="B547" s="107" t="s">
        <v>2038</v>
      </c>
      <c r="C547" s="116" t="s">
        <v>2055</v>
      </c>
      <c r="D547" s="113" t="s">
        <v>2057</v>
      </c>
      <c r="E547" s="109" t="s">
        <v>2076</v>
      </c>
      <c r="F547" s="126"/>
      <c r="G547" s="144"/>
      <c r="H547" s="111" t="str">
        <f>IF($G547&lt;&gt;"",VLOOKUP($G547,'MASTER TOKO BALI'!$B$2:$W$744,2,FALSE),"")</f>
        <v/>
      </c>
      <c r="I547" s="237" t="str">
        <f>IF($G547&lt;&gt;"",VLOOKUP($G547,'MASTER TOKO BALI'!$B$2:$W$744,4,FALSE),"")</f>
        <v/>
      </c>
      <c r="J547" s="112">
        <v>46289</v>
      </c>
      <c r="K547" s="111" t="str">
        <f>IF($G547&lt;&gt;"",VLOOKUP($G547,'MASTER TOKO BALI'!$B$2:$W$744,12,FALSE),"")</f>
        <v/>
      </c>
      <c r="L547" s="111" t="str">
        <f>IF($G547&lt;&gt;"",VLOOKUP($G547,'MASTER TOKO BALI'!$B$2:$W$744,5,FALSE),"")</f>
        <v/>
      </c>
      <c r="M547" s="106"/>
      <c r="N547" s="111" t="str">
        <f>IF($G547&lt;&gt;"",VLOOKUP($G547,'MASTER TOKO BALI'!$B$2:$W$744,21,FALSE),"")</f>
        <v/>
      </c>
      <c r="O547" s="106"/>
      <c r="P547" s="164" t="str">
        <f>IF($G547&lt;&gt;"",VLOOKUP($G547,'MASTER TOKO BALI'!$B$2:$W$740,7,FALSE),"")</f>
        <v/>
      </c>
    </row>
    <row r="548" spans="1:16" ht="14.4" x14ac:dyDescent="0.2">
      <c r="A548" s="106">
        <f t="shared" si="21"/>
        <v>497</v>
      </c>
      <c r="B548" s="107" t="s">
        <v>2060</v>
      </c>
      <c r="C548" s="116" t="s">
        <v>2061</v>
      </c>
      <c r="D548" s="108" t="s">
        <v>2062</v>
      </c>
      <c r="E548" s="109" t="s">
        <v>2076</v>
      </c>
      <c r="F548" s="126"/>
      <c r="G548" s="60"/>
      <c r="H548" s="111" t="str">
        <f>IF($G548&lt;&gt;"",VLOOKUP($G548,'MASTER TOKO BALI'!$B$2:$W$744,2,FALSE),"")</f>
        <v/>
      </c>
      <c r="I548" s="237" t="str">
        <f>IF($G548&lt;&gt;"",VLOOKUP($G548,'MASTER TOKO BALI'!$B$2:$W$744,4,FALSE),"")</f>
        <v/>
      </c>
      <c r="J548" s="112">
        <v>46289</v>
      </c>
      <c r="K548" s="111" t="str">
        <f>IF($G548&lt;&gt;"",VLOOKUP($G548,'MASTER TOKO BALI'!$B$2:$W$744,12,FALSE),"")</f>
        <v/>
      </c>
      <c r="L548" s="111" t="str">
        <f>IF($G548&lt;&gt;"",VLOOKUP($G548,'MASTER TOKO BALI'!$B$2:$W$744,5,FALSE),"")</f>
        <v/>
      </c>
      <c r="M548" s="106"/>
      <c r="N548" s="111" t="str">
        <f>IF($G548&lt;&gt;"",VLOOKUP($G548,'MASTER TOKO BALI'!$B$2:$W$744,21,FALSE),"")</f>
        <v/>
      </c>
      <c r="O548" s="106"/>
      <c r="P548" s="164" t="str">
        <f>IF($G548&lt;&gt;"",VLOOKUP($G548,'MASTER TOKO BALI'!$B$2:$W$740,7,FALSE),"")</f>
        <v/>
      </c>
    </row>
    <row r="549" spans="1:16" x14ac:dyDescent="0.2">
      <c r="A549" s="106">
        <f t="shared" si="21"/>
        <v>498</v>
      </c>
      <c r="B549" s="107" t="s">
        <v>2038</v>
      </c>
      <c r="C549" s="116" t="s">
        <v>2061</v>
      </c>
      <c r="D549" s="113" t="s">
        <v>2063</v>
      </c>
      <c r="E549" s="109" t="s">
        <v>2076</v>
      </c>
      <c r="F549" s="126"/>
      <c r="G549" s="144"/>
      <c r="H549" s="111" t="str">
        <f>IF($G549&lt;&gt;"",VLOOKUP($G549,'MASTER TOKO BALI'!$B$2:$W$744,2,FALSE),"")</f>
        <v/>
      </c>
      <c r="I549" s="237" t="str">
        <f>IF($G549&lt;&gt;"",VLOOKUP($G549,'MASTER TOKO BALI'!$B$2:$W$744,4,FALSE),"")</f>
        <v/>
      </c>
      <c r="J549" s="112">
        <v>46289</v>
      </c>
      <c r="K549" s="111" t="str">
        <f>IF($G549&lt;&gt;"",VLOOKUP($G549,'MASTER TOKO BALI'!$B$2:$W$744,12,FALSE),"")</f>
        <v/>
      </c>
      <c r="L549" s="111" t="str">
        <f>IF($G549&lt;&gt;"",VLOOKUP($G549,'MASTER TOKO BALI'!$B$2:$W$744,5,FALSE),"")</f>
        <v/>
      </c>
      <c r="M549" s="106"/>
      <c r="N549" s="111" t="str">
        <f>IF($G549&lt;&gt;"",VLOOKUP($G549,'MASTER TOKO BALI'!$B$2:$W$744,21,FALSE),"")</f>
        <v/>
      </c>
      <c r="O549" s="106"/>
      <c r="P549" s="164" t="str">
        <f>IF($G549&lt;&gt;"",VLOOKUP($G549,'MASTER TOKO BALI'!$B$2:$W$740,7,FALSE),"")</f>
        <v/>
      </c>
    </row>
    <row r="550" spans="1:16" ht="14.4" x14ac:dyDescent="0.2">
      <c r="A550" s="106">
        <f t="shared" si="21"/>
        <v>499</v>
      </c>
      <c r="B550" s="107" t="s">
        <v>2064</v>
      </c>
      <c r="C550" s="116" t="s">
        <v>2061</v>
      </c>
      <c r="D550" s="108" t="s">
        <v>2065</v>
      </c>
      <c r="E550" s="109" t="s">
        <v>2076</v>
      </c>
      <c r="F550" s="126"/>
      <c r="G550" s="60"/>
      <c r="H550" s="111" t="str">
        <f>IF($G550&lt;&gt;"",VLOOKUP($G550,'MASTER TOKO BALI'!$B$2:$W$744,2,FALSE),"")</f>
        <v/>
      </c>
      <c r="I550" s="237" t="str">
        <f>IF($G550&lt;&gt;"",VLOOKUP($G550,'MASTER TOKO BALI'!$B$2:$W$744,4,FALSE),"")</f>
        <v/>
      </c>
      <c r="J550" s="112">
        <v>46289</v>
      </c>
      <c r="K550" s="111" t="str">
        <f>IF($G550&lt;&gt;"",VLOOKUP($G550,'MASTER TOKO BALI'!$B$2:$W$744,12,FALSE),"")</f>
        <v/>
      </c>
      <c r="L550" s="111" t="str">
        <f>IF($G550&lt;&gt;"",VLOOKUP($G550,'MASTER TOKO BALI'!$B$2:$W$744,5,FALSE),"")</f>
        <v/>
      </c>
      <c r="M550" s="106"/>
      <c r="N550" s="111" t="str">
        <f>IF($G550&lt;&gt;"",VLOOKUP($G550,'MASTER TOKO BALI'!$B$2:$W$744,21,FALSE),"")</f>
        <v/>
      </c>
      <c r="O550" s="106"/>
      <c r="P550" s="164" t="str">
        <f>IF($G550&lt;&gt;"",VLOOKUP($G550,'MASTER TOKO BALI'!$B$2:$W$740,7,FALSE),"")</f>
        <v/>
      </c>
    </row>
    <row r="551" spans="1:16" x14ac:dyDescent="0.2">
      <c r="A551" s="106">
        <f t="shared" si="21"/>
        <v>500</v>
      </c>
      <c r="B551" s="107" t="s">
        <v>2066</v>
      </c>
      <c r="C551" s="116" t="s">
        <v>2061</v>
      </c>
      <c r="D551" s="113" t="s">
        <v>2063</v>
      </c>
      <c r="E551" s="109" t="s">
        <v>2076</v>
      </c>
      <c r="F551" s="126"/>
      <c r="G551" s="144"/>
      <c r="H551" s="111" t="str">
        <f>IF($G551&lt;&gt;"",VLOOKUP($G551,'MASTER TOKO BALI'!$B$2:$W$744,2,FALSE),"")</f>
        <v/>
      </c>
      <c r="I551" s="237" t="str">
        <f>IF($G551&lt;&gt;"",VLOOKUP($G551,'MASTER TOKO BALI'!$B$2:$W$744,4,FALSE),"")</f>
        <v/>
      </c>
      <c r="J551" s="112">
        <v>46289</v>
      </c>
      <c r="K551" s="111" t="str">
        <f>IF($G551&lt;&gt;"",VLOOKUP($G551,'MASTER TOKO BALI'!$B$2:$W$744,12,FALSE),"")</f>
        <v/>
      </c>
      <c r="L551" s="111" t="str">
        <f>IF($G551&lt;&gt;"",VLOOKUP($G551,'MASTER TOKO BALI'!$B$2:$W$744,5,FALSE),"")</f>
        <v/>
      </c>
      <c r="M551" s="106"/>
      <c r="N551" s="111" t="str">
        <f>IF($G551&lt;&gt;"",VLOOKUP($G551,'MASTER TOKO BALI'!$B$2:$W$744,21,FALSE),"")</f>
        <v/>
      </c>
      <c r="O551" s="106"/>
      <c r="P551" s="164" t="str">
        <f>IF($G551&lt;&gt;"",VLOOKUP($G551,'MASTER TOKO BALI'!$B$2:$W$740,7,FALSE),"")</f>
        <v/>
      </c>
    </row>
    <row r="552" spans="1:16" ht="14.4" x14ac:dyDescent="0.2">
      <c r="A552" s="106">
        <f t="shared" si="21"/>
        <v>501</v>
      </c>
      <c r="B552" s="107" t="s">
        <v>2067</v>
      </c>
      <c r="C552" s="107" t="s">
        <v>2068</v>
      </c>
      <c r="D552" s="108" t="s">
        <v>2069</v>
      </c>
      <c r="E552" s="109" t="s">
        <v>2076</v>
      </c>
      <c r="F552" s="126"/>
      <c r="G552" s="60"/>
      <c r="H552" s="111" t="str">
        <f>IF($G552&lt;&gt;"",VLOOKUP($G552,'MASTER TOKO BALI'!$B$2:$W$744,2,FALSE),"")</f>
        <v/>
      </c>
      <c r="I552" s="237" t="str">
        <f>IF($G552&lt;&gt;"",VLOOKUP($G552,'MASTER TOKO BALI'!$B$2:$W$744,4,FALSE),"")</f>
        <v/>
      </c>
      <c r="J552" s="112">
        <v>46289</v>
      </c>
      <c r="K552" s="111" t="str">
        <f>IF($G552&lt;&gt;"",VLOOKUP($G552,'MASTER TOKO BALI'!$B$2:$W$744,12,FALSE),"")</f>
        <v/>
      </c>
      <c r="L552" s="111" t="str">
        <f>IF($G552&lt;&gt;"",VLOOKUP($G552,'MASTER TOKO BALI'!$B$2:$W$744,5,FALSE),"")</f>
        <v/>
      </c>
      <c r="M552" s="106"/>
      <c r="N552" s="111" t="str">
        <f>IF($G552&lt;&gt;"",VLOOKUP($G552,'MASTER TOKO BALI'!$B$2:$W$744,21,FALSE),"")</f>
        <v/>
      </c>
      <c r="O552" s="106"/>
      <c r="P552" s="164" t="str">
        <f>IF($G552&lt;&gt;"",VLOOKUP($G552,'MASTER TOKO BALI'!$B$2:$W$740,7,FALSE),"")</f>
        <v/>
      </c>
    </row>
    <row r="553" spans="1:16" x14ac:dyDescent="0.2">
      <c r="A553" s="106">
        <f t="shared" si="21"/>
        <v>502</v>
      </c>
      <c r="B553" s="107" t="s">
        <v>2066</v>
      </c>
      <c r="C553" s="107" t="s">
        <v>2068</v>
      </c>
      <c r="D553" s="117" t="s">
        <v>2070</v>
      </c>
      <c r="E553" s="109" t="s">
        <v>2076</v>
      </c>
      <c r="F553" s="126"/>
      <c r="G553" s="144"/>
      <c r="H553" s="111" t="str">
        <f>IF($G553&lt;&gt;"",VLOOKUP($G553,'MASTER TOKO BALI'!$B$2:$W$744,2,FALSE),"")</f>
        <v/>
      </c>
      <c r="I553" s="237" t="str">
        <f>IF($G553&lt;&gt;"",VLOOKUP($G553,'MASTER TOKO BALI'!$B$2:$W$744,4,FALSE),"")</f>
        <v/>
      </c>
      <c r="J553" s="112">
        <v>46289</v>
      </c>
      <c r="K553" s="111" t="str">
        <f>IF($G553&lt;&gt;"",VLOOKUP($G553,'MASTER TOKO BALI'!$B$2:$W$744,12,FALSE),"")</f>
        <v/>
      </c>
      <c r="L553" s="111" t="str">
        <f>IF($G553&lt;&gt;"",VLOOKUP($G553,'MASTER TOKO BALI'!$B$2:$W$744,5,FALSE),"")</f>
        <v/>
      </c>
      <c r="M553" s="106"/>
      <c r="N553" s="111" t="str">
        <f>IF($G553&lt;&gt;"",VLOOKUP($G553,'MASTER TOKO BALI'!$B$2:$W$744,21,FALSE),"")</f>
        <v/>
      </c>
      <c r="O553" s="106"/>
      <c r="P553" s="164" t="str">
        <f>IF($G553&lt;&gt;"",VLOOKUP($G553,'MASTER TOKO BALI'!$B$2:$W$740,7,FALSE),"")</f>
        <v/>
      </c>
    </row>
    <row r="554" spans="1:16" ht="14.4" x14ac:dyDescent="0.2">
      <c r="A554" s="106">
        <f t="shared" si="21"/>
        <v>503</v>
      </c>
      <c r="B554" s="107" t="s">
        <v>2071</v>
      </c>
      <c r="C554" s="107" t="s">
        <v>2068</v>
      </c>
      <c r="D554" s="116" t="s">
        <v>2003</v>
      </c>
      <c r="E554" s="109" t="s">
        <v>2076</v>
      </c>
      <c r="F554" s="126"/>
      <c r="G554" s="60"/>
      <c r="H554" s="111" t="str">
        <f>IF($G554&lt;&gt;"",VLOOKUP($G554,'MASTER TOKO BALI'!$B$2:$W$744,2,FALSE),"")</f>
        <v/>
      </c>
      <c r="I554" s="237" t="str">
        <f>IF($G554&lt;&gt;"",VLOOKUP($G554,'MASTER TOKO BALI'!$B$2:$W$744,4,FALSE),"")</f>
        <v/>
      </c>
      <c r="J554" s="112">
        <v>46289</v>
      </c>
      <c r="K554" s="111" t="str">
        <f>IF($G554&lt;&gt;"",VLOOKUP($G554,'MASTER TOKO BALI'!$B$2:$W$744,12,FALSE),"")</f>
        <v/>
      </c>
      <c r="L554" s="111" t="str">
        <f>IF($G554&lt;&gt;"",VLOOKUP($G554,'MASTER TOKO BALI'!$B$2:$W$744,5,FALSE),"")</f>
        <v/>
      </c>
      <c r="M554" s="106"/>
      <c r="N554" s="111" t="str">
        <f>IF($G554&lt;&gt;"",VLOOKUP($G554,'MASTER TOKO BALI'!$B$2:$W$744,21,FALSE),"")</f>
        <v/>
      </c>
      <c r="O554" s="106"/>
      <c r="P554" s="164" t="str">
        <f>IF($G554&lt;&gt;"",VLOOKUP($G554,'MASTER TOKO BALI'!$B$2:$W$740,7,FALSE),"")</f>
        <v/>
      </c>
    </row>
    <row r="555" spans="1:16" x14ac:dyDescent="0.2">
      <c r="A555" s="106"/>
      <c r="B555" s="107" t="s">
        <v>2066</v>
      </c>
      <c r="C555" s="107" t="s">
        <v>2068</v>
      </c>
      <c r="D555" s="117" t="s">
        <v>2070</v>
      </c>
      <c r="E555" s="109" t="s">
        <v>2076</v>
      </c>
      <c r="F555" s="129"/>
      <c r="G555" s="155"/>
      <c r="H555" s="111" t="str">
        <f>IF($G555&lt;&gt;"",VLOOKUP($G555,'MASTER TOKO BALI'!$B$2:$W$744,2,FALSE),"")</f>
        <v/>
      </c>
      <c r="I555" s="237" t="str">
        <f>IF($G555&lt;&gt;"",VLOOKUP($G555,'MASTER TOKO BALI'!$B$2:$W$744,4,FALSE),"")</f>
        <v/>
      </c>
      <c r="J555" s="112">
        <v>46289</v>
      </c>
      <c r="K555" s="111" t="str">
        <f>IF($G555&lt;&gt;"",VLOOKUP($G555,'MASTER TOKO BALI'!$B$2:$W$744,12,FALSE),"")</f>
        <v/>
      </c>
      <c r="L555" s="111" t="str">
        <f>IF($G555&lt;&gt;"",VLOOKUP($G555,'MASTER TOKO BALI'!$B$2:$W$744,5,FALSE),"")</f>
        <v/>
      </c>
      <c r="M555" s="106"/>
      <c r="N555" s="111" t="str">
        <f>IF($G555&lt;&gt;"",VLOOKUP($G555,'MASTER TOKO BALI'!$B$2:$W$744,21,FALSE),"")</f>
        <v/>
      </c>
      <c r="O555" s="106"/>
      <c r="P555" s="164" t="str">
        <f>IF($G555&lt;&gt;"",VLOOKUP($G555,'MASTER TOKO BALI'!$B$2:$W$740,7,FALSE),"")</f>
        <v/>
      </c>
    </row>
    <row r="556" spans="1:16" x14ac:dyDescent="0.2">
      <c r="A556" s="106"/>
      <c r="B556" s="107"/>
      <c r="C556" s="107"/>
      <c r="D556" s="111"/>
      <c r="E556" s="114"/>
      <c r="F556" s="127"/>
      <c r="G556" s="145"/>
      <c r="H556" s="111" t="str">
        <f>IF($G556&lt;&gt;"",VLOOKUP($G556,'MASTER TOKO BALI'!$B$2:$W$744,2,FALSE),"")</f>
        <v/>
      </c>
      <c r="I556" s="237" t="str">
        <f>IF($G556&lt;&gt;"",VLOOKUP($G556,'MASTER TOKO BALI'!$B$2:$W$744,4,FALSE),"")</f>
        <v/>
      </c>
      <c r="J556" s="119"/>
      <c r="K556" s="111" t="str">
        <f>IF($G556&lt;&gt;"",VLOOKUP($G556,'MASTER TOKO BALI'!$B$2:$W$744,12,FALSE),"")</f>
        <v/>
      </c>
      <c r="L556" s="111" t="str">
        <f>IF($G556&lt;&gt;"",VLOOKUP($G556,'MASTER TOKO BALI'!$B$2:$W$744,5,FALSE),"")</f>
        <v/>
      </c>
      <c r="M556" s="106"/>
      <c r="N556" s="111" t="str">
        <f>IF($G556&lt;&gt;"",VLOOKUP($G556,'MASTER TOKO BALI'!$B$2:$W$744,21,FALSE),"")</f>
        <v/>
      </c>
      <c r="O556" s="106"/>
      <c r="P556" s="164" t="str">
        <f>IF($G556&lt;&gt;"",VLOOKUP($G556,'MASTER TOKO BALI'!$B$2:$W$740,7,FALSE),"")</f>
        <v/>
      </c>
    </row>
    <row r="557" spans="1:16" x14ac:dyDescent="0.2">
      <c r="A557" s="106">
        <v>506</v>
      </c>
      <c r="B557" s="107" t="s">
        <v>2034</v>
      </c>
      <c r="C557" s="107" t="s">
        <v>2035</v>
      </c>
      <c r="D557" s="108" t="s">
        <v>2036</v>
      </c>
      <c r="E557" s="114" t="s">
        <v>2077</v>
      </c>
      <c r="F557" s="126"/>
      <c r="G557" s="144"/>
      <c r="H557" s="111" t="str">
        <f>IF($G557&lt;&gt;"",VLOOKUP($G557,'MASTER TOKO BALI'!$B$2:$W$744,2,FALSE),"")</f>
        <v/>
      </c>
      <c r="I557" s="237" t="str">
        <f>IF($G557&lt;&gt;"",VLOOKUP($G557,'MASTER TOKO BALI'!$B$2:$W$744,4,FALSE),"")</f>
        <v/>
      </c>
      <c r="J557" s="140">
        <v>46290</v>
      </c>
      <c r="K557" s="111" t="str">
        <f>IF($G557&lt;&gt;"",VLOOKUP($G557,'MASTER TOKO BALI'!$B$2:$W$744,12,FALSE),"")</f>
        <v/>
      </c>
      <c r="L557" s="111" t="str">
        <f>IF($G557&lt;&gt;"",VLOOKUP($G557,'MASTER TOKO BALI'!$B$2:$W$744,5,FALSE),"")</f>
        <v/>
      </c>
      <c r="M557" s="106"/>
      <c r="N557" s="111" t="str">
        <f>IF($G557&lt;&gt;"",VLOOKUP($G557,'MASTER TOKO BALI'!$B$2:$W$744,21,FALSE),"")</f>
        <v/>
      </c>
      <c r="O557" s="106"/>
      <c r="P557" s="164" t="str">
        <f>IF($G557&lt;&gt;"",VLOOKUP($G557,'MASTER TOKO BALI'!$B$2:$W$740,7,FALSE),"")</f>
        <v/>
      </c>
    </row>
    <row r="558" spans="1:16" x14ac:dyDescent="0.2">
      <c r="A558" s="106">
        <f t="shared" ref="A558:A580" si="22">A557+1</f>
        <v>507</v>
      </c>
      <c r="B558" s="107" t="s">
        <v>2038</v>
      </c>
      <c r="C558" s="107" t="s">
        <v>2035</v>
      </c>
      <c r="D558" s="113" t="s">
        <v>2039</v>
      </c>
      <c r="E558" s="114" t="s">
        <v>2077</v>
      </c>
      <c r="F558" s="126"/>
      <c r="G558" s="144"/>
      <c r="H558" s="111" t="str">
        <f>IF($G558&lt;&gt;"",VLOOKUP($G558,'MASTER TOKO BALI'!$B$2:$W$744,2,FALSE),"")</f>
        <v/>
      </c>
      <c r="I558" s="237" t="str">
        <f>IF($G558&lt;&gt;"",VLOOKUP($G558,'MASTER TOKO BALI'!$B$2:$W$744,4,FALSE),"")</f>
        <v/>
      </c>
      <c r="J558" s="140">
        <v>46290</v>
      </c>
      <c r="K558" s="111" t="str">
        <f>IF($G558&lt;&gt;"",VLOOKUP($G558,'MASTER TOKO BALI'!$B$2:$W$744,12,FALSE),"")</f>
        <v/>
      </c>
      <c r="L558" s="111" t="str">
        <f>IF($G558&lt;&gt;"",VLOOKUP($G558,'MASTER TOKO BALI'!$B$2:$W$744,5,FALSE),"")</f>
        <v/>
      </c>
      <c r="M558" s="106"/>
      <c r="N558" s="111" t="str">
        <f>IF($G558&lt;&gt;"",VLOOKUP($G558,'MASTER TOKO BALI'!$B$2:$W$744,21,FALSE),"")</f>
        <v/>
      </c>
      <c r="O558" s="106"/>
      <c r="P558" s="164" t="str">
        <f>IF($G558&lt;&gt;"",VLOOKUP($G558,'MASTER TOKO BALI'!$B$2:$W$740,7,FALSE),"")</f>
        <v/>
      </c>
    </row>
    <row r="559" spans="1:16" x14ac:dyDescent="0.2">
      <c r="A559" s="106">
        <f t="shared" si="22"/>
        <v>508</v>
      </c>
      <c r="B559" s="107" t="s">
        <v>2040</v>
      </c>
      <c r="C559" s="107" t="s">
        <v>2035</v>
      </c>
      <c r="D559" s="108" t="s">
        <v>2041</v>
      </c>
      <c r="E559" s="114" t="s">
        <v>2077</v>
      </c>
      <c r="F559" s="126"/>
      <c r="G559" s="144"/>
      <c r="H559" s="111" t="str">
        <f>IF($G559&lt;&gt;"",VLOOKUP($G559,'MASTER TOKO BALI'!$B$2:$W$744,2,FALSE),"")</f>
        <v/>
      </c>
      <c r="I559" s="237" t="str">
        <f>IF($G559&lt;&gt;"",VLOOKUP($G559,'MASTER TOKO BALI'!$B$2:$W$744,4,FALSE),"")</f>
        <v/>
      </c>
      <c r="J559" s="140">
        <v>46290</v>
      </c>
      <c r="K559" s="111" t="str">
        <f>IF($G559&lt;&gt;"",VLOOKUP($G559,'MASTER TOKO BALI'!$B$2:$W$744,12,FALSE),"")</f>
        <v/>
      </c>
      <c r="L559" s="111" t="str">
        <f>IF($G559&lt;&gt;"",VLOOKUP($G559,'MASTER TOKO BALI'!$B$2:$W$744,5,FALSE),"")</f>
        <v/>
      </c>
      <c r="M559" s="106"/>
      <c r="N559" s="111" t="str">
        <f>IF($G559&lt;&gt;"",VLOOKUP($G559,'MASTER TOKO BALI'!$B$2:$W$744,21,FALSE),"")</f>
        <v/>
      </c>
      <c r="O559" s="106"/>
      <c r="P559" s="164" t="str">
        <f>IF($G559&lt;&gt;"",VLOOKUP($G559,'MASTER TOKO BALI'!$B$2:$W$740,7,FALSE),"")</f>
        <v/>
      </c>
    </row>
    <row r="560" spans="1:16" x14ac:dyDescent="0.2">
      <c r="A560" s="106">
        <f t="shared" si="22"/>
        <v>509</v>
      </c>
      <c r="B560" s="107" t="s">
        <v>2038</v>
      </c>
      <c r="C560" s="107" t="s">
        <v>2035</v>
      </c>
      <c r="D560" s="113" t="s">
        <v>2039</v>
      </c>
      <c r="E560" s="114" t="s">
        <v>2077</v>
      </c>
      <c r="F560" s="126"/>
      <c r="G560" s="144"/>
      <c r="H560" s="111" t="str">
        <f>IF($G560&lt;&gt;"",VLOOKUP($G560,'MASTER TOKO BALI'!$B$2:$W$744,2,FALSE),"")</f>
        <v/>
      </c>
      <c r="I560" s="237" t="str">
        <f>IF($G560&lt;&gt;"",VLOOKUP($G560,'MASTER TOKO BALI'!$B$2:$W$744,4,FALSE),"")</f>
        <v/>
      </c>
      <c r="J560" s="140">
        <v>46290</v>
      </c>
      <c r="K560" s="111" t="str">
        <f>IF($G560&lt;&gt;"",VLOOKUP($G560,'MASTER TOKO BALI'!$B$2:$W$744,12,FALSE),"")</f>
        <v/>
      </c>
      <c r="L560" s="111" t="str">
        <f>IF($G560&lt;&gt;"",VLOOKUP($G560,'MASTER TOKO BALI'!$B$2:$W$744,5,FALSE),"")</f>
        <v/>
      </c>
      <c r="M560" s="106"/>
      <c r="N560" s="111" t="str">
        <f>IF($G560&lt;&gt;"",VLOOKUP($G560,'MASTER TOKO BALI'!$B$2:$W$744,21,FALSE),"")</f>
        <v/>
      </c>
      <c r="O560" s="106"/>
      <c r="P560" s="164" t="str">
        <f>IF($G560&lt;&gt;"",VLOOKUP($G560,'MASTER TOKO BALI'!$B$2:$W$740,7,FALSE),"")</f>
        <v/>
      </c>
    </row>
    <row r="561" spans="1:16" x14ac:dyDescent="0.2">
      <c r="A561" s="106">
        <f t="shared" si="22"/>
        <v>510</v>
      </c>
      <c r="B561" s="107" t="s">
        <v>2042</v>
      </c>
      <c r="C561" s="107" t="s">
        <v>2043</v>
      </c>
      <c r="D561" s="108" t="s">
        <v>2044</v>
      </c>
      <c r="E561" s="114" t="s">
        <v>2077</v>
      </c>
      <c r="F561" s="126"/>
      <c r="G561" s="144"/>
      <c r="H561" s="111" t="str">
        <f>IF($G561&lt;&gt;"",VLOOKUP($G561,'MASTER TOKO BALI'!$B$2:$W$744,2,FALSE),"")</f>
        <v/>
      </c>
      <c r="I561" s="237" t="str">
        <f>IF($G561&lt;&gt;"",VLOOKUP($G561,'MASTER TOKO BALI'!$B$2:$W$744,4,FALSE),"")</f>
        <v/>
      </c>
      <c r="J561" s="140">
        <v>46290</v>
      </c>
      <c r="K561" s="111" t="str">
        <f>IF($G561&lt;&gt;"",VLOOKUP($G561,'MASTER TOKO BALI'!$B$2:$W$744,12,FALSE),"")</f>
        <v/>
      </c>
      <c r="L561" s="111" t="str">
        <f>IF($G561&lt;&gt;"",VLOOKUP($G561,'MASTER TOKO BALI'!$B$2:$W$744,5,FALSE),"")</f>
        <v/>
      </c>
      <c r="M561" s="106"/>
      <c r="N561" s="111" t="str">
        <f>IF($G561&lt;&gt;"",VLOOKUP($G561,'MASTER TOKO BALI'!$B$2:$W$744,21,FALSE),"")</f>
        <v/>
      </c>
      <c r="O561" s="106"/>
      <c r="P561" s="164" t="str">
        <f>IF($G561&lt;&gt;"",VLOOKUP($G561,'MASTER TOKO BALI'!$B$2:$W$740,7,FALSE),"")</f>
        <v/>
      </c>
    </row>
    <row r="562" spans="1:16" x14ac:dyDescent="0.2">
      <c r="A562" s="106">
        <f t="shared" si="22"/>
        <v>511</v>
      </c>
      <c r="B562" s="107" t="s">
        <v>2038</v>
      </c>
      <c r="C562" s="107" t="s">
        <v>2043</v>
      </c>
      <c r="D562" s="113" t="s">
        <v>2045</v>
      </c>
      <c r="E562" s="114" t="s">
        <v>2077</v>
      </c>
      <c r="F562" s="126"/>
      <c r="G562" s="144"/>
      <c r="H562" s="111" t="str">
        <f>IF($G562&lt;&gt;"",VLOOKUP($G562,'MASTER TOKO BALI'!$B$2:$W$744,2,FALSE),"")</f>
        <v/>
      </c>
      <c r="I562" s="237" t="str">
        <f>IF($G562&lt;&gt;"",VLOOKUP($G562,'MASTER TOKO BALI'!$B$2:$W$744,4,FALSE),"")</f>
        <v/>
      </c>
      <c r="J562" s="140">
        <v>46290</v>
      </c>
      <c r="K562" s="111" t="str">
        <f>IF($G562&lt;&gt;"",VLOOKUP($G562,'MASTER TOKO BALI'!$B$2:$W$744,12,FALSE),"")</f>
        <v/>
      </c>
      <c r="L562" s="111" t="str">
        <f>IF($G562&lt;&gt;"",VLOOKUP($G562,'MASTER TOKO BALI'!$B$2:$W$744,5,FALSE),"")</f>
        <v/>
      </c>
      <c r="M562" s="106"/>
      <c r="N562" s="111" t="str">
        <f>IF($G562&lt;&gt;"",VLOOKUP($G562,'MASTER TOKO BALI'!$B$2:$W$744,21,FALSE),"")</f>
        <v/>
      </c>
      <c r="O562" s="106"/>
      <c r="P562" s="164" t="str">
        <f>IF($G562&lt;&gt;"",VLOOKUP($G562,'MASTER TOKO BALI'!$B$2:$W$740,7,FALSE),"")</f>
        <v/>
      </c>
    </row>
    <row r="563" spans="1:16" x14ac:dyDescent="0.2">
      <c r="A563" s="106">
        <f t="shared" si="22"/>
        <v>512</v>
      </c>
      <c r="B563" s="107" t="s">
        <v>2046</v>
      </c>
      <c r="C563" s="107" t="s">
        <v>2043</v>
      </c>
      <c r="D563" s="108" t="s">
        <v>2047</v>
      </c>
      <c r="E563" s="114" t="s">
        <v>2077</v>
      </c>
      <c r="F563" s="126"/>
      <c r="G563" s="144"/>
      <c r="H563" s="111" t="str">
        <f>IF($G563&lt;&gt;"",VLOOKUP($G563,'MASTER TOKO BALI'!$B$2:$W$744,2,FALSE),"")</f>
        <v/>
      </c>
      <c r="I563" s="237" t="str">
        <f>IF($G563&lt;&gt;"",VLOOKUP($G563,'MASTER TOKO BALI'!$B$2:$W$744,4,FALSE),"")</f>
        <v/>
      </c>
      <c r="J563" s="140">
        <v>46290</v>
      </c>
      <c r="K563" s="111" t="str">
        <f>IF($G563&lt;&gt;"",VLOOKUP($G563,'MASTER TOKO BALI'!$B$2:$W$744,12,FALSE),"")</f>
        <v/>
      </c>
      <c r="L563" s="111" t="str">
        <f>IF($G563&lt;&gt;"",VLOOKUP($G563,'MASTER TOKO BALI'!$B$2:$W$744,5,FALSE),"")</f>
        <v/>
      </c>
      <c r="M563" s="106"/>
      <c r="N563" s="111" t="str">
        <f>IF($G563&lt;&gt;"",VLOOKUP($G563,'MASTER TOKO BALI'!$B$2:$W$744,21,FALSE),"")</f>
        <v/>
      </c>
      <c r="O563" s="106"/>
      <c r="P563" s="164" t="str">
        <f>IF($G563&lt;&gt;"",VLOOKUP($G563,'MASTER TOKO BALI'!$B$2:$W$740,7,FALSE),"")</f>
        <v/>
      </c>
    </row>
    <row r="564" spans="1:16" x14ac:dyDescent="0.2">
      <c r="A564" s="106">
        <f t="shared" si="22"/>
        <v>513</v>
      </c>
      <c r="B564" s="107" t="s">
        <v>2038</v>
      </c>
      <c r="C564" s="107" t="s">
        <v>2043</v>
      </c>
      <c r="D564" s="113" t="s">
        <v>2045</v>
      </c>
      <c r="E564" s="114" t="s">
        <v>2077</v>
      </c>
      <c r="F564" s="126"/>
      <c r="G564" s="144"/>
      <c r="H564" s="111" t="str">
        <f>IF($G564&lt;&gt;"",VLOOKUP($G564,'MASTER TOKO BALI'!$B$2:$W$744,2,FALSE),"")</f>
        <v/>
      </c>
      <c r="I564" s="237" t="str">
        <f>IF($G564&lt;&gt;"",VLOOKUP($G564,'MASTER TOKO BALI'!$B$2:$W$744,4,FALSE),"")</f>
        <v/>
      </c>
      <c r="J564" s="140">
        <v>46290</v>
      </c>
      <c r="K564" s="111" t="str">
        <f>IF($G564&lt;&gt;"",VLOOKUP($G564,'MASTER TOKO BALI'!$B$2:$W$744,12,FALSE),"")</f>
        <v/>
      </c>
      <c r="L564" s="111" t="str">
        <f>IF($G564&lt;&gt;"",VLOOKUP($G564,'MASTER TOKO BALI'!$B$2:$W$744,5,FALSE),"")</f>
        <v/>
      </c>
      <c r="M564" s="106"/>
      <c r="N564" s="111" t="str">
        <f>IF($G564&lt;&gt;"",VLOOKUP($G564,'MASTER TOKO BALI'!$B$2:$W$744,21,FALSE),"")</f>
        <v/>
      </c>
      <c r="O564" s="106"/>
      <c r="P564" s="164" t="str">
        <f>IF($G564&lt;&gt;"",VLOOKUP($G564,'MASTER TOKO BALI'!$B$2:$W$740,7,FALSE),"")</f>
        <v/>
      </c>
    </row>
    <row r="565" spans="1:16" x14ac:dyDescent="0.2">
      <c r="A565" s="106">
        <f t="shared" si="22"/>
        <v>514</v>
      </c>
      <c r="B565" s="107" t="s">
        <v>2048</v>
      </c>
      <c r="C565" s="107" t="s">
        <v>2049</v>
      </c>
      <c r="D565" s="108" t="s">
        <v>2050</v>
      </c>
      <c r="E565" s="114" t="s">
        <v>2077</v>
      </c>
      <c r="F565" s="126"/>
      <c r="G565" s="149"/>
      <c r="H565" s="111" t="str">
        <f>IF($G565&lt;&gt;"",VLOOKUP($G565,'MASTER TOKO BALI'!$B$2:$W$744,2,FALSE),"")</f>
        <v/>
      </c>
      <c r="I565" s="237" t="str">
        <f>IF($G565&lt;&gt;"",VLOOKUP($G565,'MASTER TOKO BALI'!$B$2:$W$744,4,FALSE),"")</f>
        <v/>
      </c>
      <c r="J565" s="140">
        <v>46290</v>
      </c>
      <c r="K565" s="111" t="str">
        <f>IF($G565&lt;&gt;"",VLOOKUP($G565,'MASTER TOKO BALI'!$B$2:$W$744,12,FALSE),"")</f>
        <v/>
      </c>
      <c r="L565" s="111" t="str">
        <f>IF($G565&lt;&gt;"",VLOOKUP($G565,'MASTER TOKO BALI'!$B$2:$W$744,5,FALSE),"")</f>
        <v/>
      </c>
      <c r="M565" s="106"/>
      <c r="N565" s="111" t="str">
        <f>IF($G565&lt;&gt;"",VLOOKUP($G565,'MASTER TOKO BALI'!$B$2:$W$744,21,FALSE),"")</f>
        <v/>
      </c>
      <c r="O565" s="106"/>
      <c r="P565" s="164" t="str">
        <f>IF($G565&lt;&gt;"",VLOOKUP($G565,'MASTER TOKO BALI'!$B$2:$W$740,7,FALSE),"")</f>
        <v/>
      </c>
    </row>
    <row r="566" spans="1:16" x14ac:dyDescent="0.2">
      <c r="A566" s="106"/>
      <c r="B566" s="107" t="s">
        <v>2038</v>
      </c>
      <c r="C566" s="107" t="s">
        <v>2049</v>
      </c>
      <c r="D566" s="115" t="s">
        <v>2051</v>
      </c>
      <c r="E566" s="114" t="s">
        <v>2077</v>
      </c>
      <c r="F566" s="126"/>
      <c r="G566" s="149"/>
      <c r="H566" s="111" t="str">
        <f>IF($G566&lt;&gt;"",VLOOKUP($G566,'MASTER TOKO BALI'!$B$2:$W$744,2,FALSE),"")</f>
        <v/>
      </c>
      <c r="I566" s="237" t="str">
        <f>IF($G566&lt;&gt;"",VLOOKUP($G566,'MASTER TOKO BALI'!$B$2:$W$744,4,FALSE),"")</f>
        <v/>
      </c>
      <c r="J566" s="140">
        <v>46290</v>
      </c>
      <c r="K566" s="111" t="str">
        <f>IF($G566&lt;&gt;"",VLOOKUP($G566,'MASTER TOKO BALI'!$B$2:$W$744,12,FALSE),"")</f>
        <v/>
      </c>
      <c r="L566" s="111" t="str">
        <f>IF($G566&lt;&gt;"",VLOOKUP($G566,'MASTER TOKO BALI'!$B$2:$W$744,5,FALSE),"")</f>
        <v/>
      </c>
      <c r="M566" s="106"/>
      <c r="N566" s="111" t="str">
        <f>IF($G566&lt;&gt;"",VLOOKUP($G566,'MASTER TOKO BALI'!$B$2:$W$744,21,FALSE),"")</f>
        <v/>
      </c>
      <c r="O566" s="106"/>
      <c r="P566" s="164" t="str">
        <f>IF($G566&lt;&gt;"",VLOOKUP($G566,'MASTER TOKO BALI'!$B$2:$W$740,7,FALSE),"")</f>
        <v/>
      </c>
    </row>
    <row r="567" spans="1:16" x14ac:dyDescent="0.2">
      <c r="A567" s="106">
        <f>A565+1</f>
        <v>515</v>
      </c>
      <c r="B567" s="107" t="s">
        <v>2052</v>
      </c>
      <c r="C567" s="107" t="s">
        <v>2049</v>
      </c>
      <c r="D567" s="108" t="s">
        <v>2053</v>
      </c>
      <c r="E567" s="114" t="s">
        <v>2077</v>
      </c>
      <c r="F567" s="126"/>
      <c r="G567" s="149"/>
      <c r="H567" s="111" t="str">
        <f>IF($G567&lt;&gt;"",VLOOKUP($G567,'MASTER TOKO BALI'!$B$2:$W$744,2,FALSE),"")</f>
        <v/>
      </c>
      <c r="I567" s="237" t="str">
        <f>IF($G567&lt;&gt;"",VLOOKUP($G567,'MASTER TOKO BALI'!$B$2:$W$744,4,FALSE),"")</f>
        <v/>
      </c>
      <c r="J567" s="140">
        <v>46290</v>
      </c>
      <c r="K567" s="111" t="str">
        <f>IF($G567&lt;&gt;"",VLOOKUP($G567,'MASTER TOKO BALI'!$B$2:$W$744,12,FALSE),"")</f>
        <v/>
      </c>
      <c r="L567" s="111" t="str">
        <f>IF($G567&lt;&gt;"",VLOOKUP($G567,'MASTER TOKO BALI'!$B$2:$W$744,5,FALSE),"")</f>
        <v/>
      </c>
      <c r="M567" s="106"/>
      <c r="N567" s="111" t="str">
        <f>IF($G567&lt;&gt;"",VLOOKUP($G567,'MASTER TOKO BALI'!$B$2:$W$744,21,FALSE),"")</f>
        <v/>
      </c>
      <c r="O567" s="106"/>
      <c r="P567" s="164" t="str">
        <f>IF($G567&lt;&gt;"",VLOOKUP($G567,'MASTER TOKO BALI'!$B$2:$W$740,7,FALSE),"")</f>
        <v/>
      </c>
    </row>
    <row r="568" spans="1:16" x14ac:dyDescent="0.2">
      <c r="A568" s="106">
        <f t="shared" si="22"/>
        <v>516</v>
      </c>
      <c r="B568" s="107" t="s">
        <v>2038</v>
      </c>
      <c r="C568" s="107" t="s">
        <v>2049</v>
      </c>
      <c r="D568" s="113" t="s">
        <v>2051</v>
      </c>
      <c r="E568" s="114" t="s">
        <v>2077</v>
      </c>
      <c r="F568" s="126"/>
      <c r="G568" s="144"/>
      <c r="H568" s="111" t="str">
        <f>IF($G568&lt;&gt;"",VLOOKUP($G568,'MASTER TOKO BALI'!$B$2:$W$744,2,FALSE),"")</f>
        <v/>
      </c>
      <c r="I568" s="237" t="str">
        <f>IF($G568&lt;&gt;"",VLOOKUP($G568,'MASTER TOKO BALI'!$B$2:$W$744,4,FALSE),"")</f>
        <v/>
      </c>
      <c r="J568" s="140">
        <v>46290</v>
      </c>
      <c r="K568" s="111" t="str">
        <f>IF($G568&lt;&gt;"",VLOOKUP($G568,'MASTER TOKO BALI'!$B$2:$W$744,12,FALSE),"")</f>
        <v/>
      </c>
      <c r="L568" s="111" t="str">
        <f>IF($G568&lt;&gt;"",VLOOKUP($G568,'MASTER TOKO BALI'!$B$2:$W$744,5,FALSE),"")</f>
        <v/>
      </c>
      <c r="M568" s="106"/>
      <c r="N568" s="111" t="str">
        <f>IF($G568&lt;&gt;"",VLOOKUP($G568,'MASTER TOKO BALI'!$B$2:$W$744,21,FALSE),"")</f>
        <v/>
      </c>
      <c r="O568" s="106"/>
      <c r="P568" s="164" t="str">
        <f>IF($G568&lt;&gt;"",VLOOKUP($G568,'MASTER TOKO BALI'!$B$2:$W$740,7,FALSE),"")</f>
        <v/>
      </c>
    </row>
    <row r="569" spans="1:16" x14ac:dyDescent="0.2">
      <c r="A569" s="106">
        <f t="shared" si="22"/>
        <v>517</v>
      </c>
      <c r="B569" s="107" t="s">
        <v>2054</v>
      </c>
      <c r="C569" s="116" t="s">
        <v>2055</v>
      </c>
      <c r="D569" s="108" t="s">
        <v>2056</v>
      </c>
      <c r="E569" s="114" t="s">
        <v>2077</v>
      </c>
      <c r="F569" s="124"/>
      <c r="G569" s="144"/>
      <c r="H569" s="111" t="str">
        <f>IF($G569&lt;&gt;"",VLOOKUP($G569,'MASTER TOKO BALI'!$B$2:$W$744,2,FALSE),"")</f>
        <v/>
      </c>
      <c r="I569" s="237" t="str">
        <f>IF($G569&lt;&gt;"",VLOOKUP($G569,'MASTER TOKO BALI'!$B$2:$W$744,4,FALSE),"")</f>
        <v/>
      </c>
      <c r="J569" s="140">
        <v>46290</v>
      </c>
      <c r="K569" s="111" t="str">
        <f>IF($G569&lt;&gt;"",VLOOKUP($G569,'MASTER TOKO BALI'!$B$2:$W$744,12,FALSE),"")</f>
        <v/>
      </c>
      <c r="L569" s="111" t="str">
        <f>IF($G569&lt;&gt;"",VLOOKUP($G569,'MASTER TOKO BALI'!$B$2:$W$744,5,FALSE),"")</f>
        <v/>
      </c>
      <c r="M569" s="106"/>
      <c r="N569" s="111" t="str">
        <f>IF($G569&lt;&gt;"",VLOOKUP($G569,'MASTER TOKO BALI'!$B$2:$W$744,21,FALSE),"")</f>
        <v/>
      </c>
      <c r="O569" s="106"/>
      <c r="P569" s="164" t="str">
        <f>IF($G569&lt;&gt;"",VLOOKUP($G569,'MASTER TOKO BALI'!$B$2:$W$740,7,FALSE),"")</f>
        <v/>
      </c>
    </row>
    <row r="570" spans="1:16" x14ac:dyDescent="0.2">
      <c r="A570" s="106">
        <f t="shared" si="22"/>
        <v>518</v>
      </c>
      <c r="B570" s="107" t="s">
        <v>2038</v>
      </c>
      <c r="C570" s="116" t="s">
        <v>2055</v>
      </c>
      <c r="D570" s="113" t="s">
        <v>2057</v>
      </c>
      <c r="E570" s="114" t="s">
        <v>2077</v>
      </c>
      <c r="F570" s="126"/>
      <c r="G570" s="144"/>
      <c r="H570" s="111" t="str">
        <f>IF($G570&lt;&gt;"",VLOOKUP($G570,'MASTER TOKO BALI'!$B$2:$W$744,2,FALSE),"")</f>
        <v/>
      </c>
      <c r="I570" s="237" t="str">
        <f>IF($G570&lt;&gt;"",VLOOKUP($G570,'MASTER TOKO BALI'!$B$2:$W$744,4,FALSE),"")</f>
        <v/>
      </c>
      <c r="J570" s="140">
        <v>46290</v>
      </c>
      <c r="K570" s="111" t="str">
        <f>IF($G570&lt;&gt;"",VLOOKUP($G570,'MASTER TOKO BALI'!$B$2:$W$744,12,FALSE),"")</f>
        <v/>
      </c>
      <c r="L570" s="111" t="str">
        <f>IF($G570&lt;&gt;"",VLOOKUP($G570,'MASTER TOKO BALI'!$B$2:$W$744,5,FALSE),"")</f>
        <v/>
      </c>
      <c r="M570" s="106"/>
      <c r="N570" s="111" t="str">
        <f>IF($G570&lt;&gt;"",VLOOKUP($G570,'MASTER TOKO BALI'!$B$2:$W$744,21,FALSE),"")</f>
        <v/>
      </c>
      <c r="O570" s="106"/>
      <c r="P570" s="164" t="str">
        <f>IF($G570&lt;&gt;"",VLOOKUP($G570,'MASTER TOKO BALI'!$B$2:$W$740,7,FALSE),"")</f>
        <v/>
      </c>
    </row>
    <row r="571" spans="1:16" x14ac:dyDescent="0.2">
      <c r="A571" s="106">
        <f t="shared" si="22"/>
        <v>519</v>
      </c>
      <c r="B571" s="107" t="s">
        <v>2058</v>
      </c>
      <c r="C571" s="116" t="s">
        <v>2055</v>
      </c>
      <c r="D571" s="108" t="s">
        <v>2059</v>
      </c>
      <c r="E571" s="114" t="s">
        <v>2077</v>
      </c>
      <c r="F571" s="124"/>
      <c r="G571" s="144"/>
      <c r="H571" s="111" t="str">
        <f>IF($G571&lt;&gt;"",VLOOKUP($G571,'MASTER TOKO BALI'!$B$2:$W$744,2,FALSE),"")</f>
        <v/>
      </c>
      <c r="I571" s="237" t="str">
        <f>IF($G571&lt;&gt;"",VLOOKUP($G571,'MASTER TOKO BALI'!$B$2:$W$744,4,FALSE),"")</f>
        <v/>
      </c>
      <c r="J571" s="140">
        <v>46290</v>
      </c>
      <c r="K571" s="111" t="str">
        <f>IF($G571&lt;&gt;"",VLOOKUP($G571,'MASTER TOKO BALI'!$B$2:$W$744,12,FALSE),"")</f>
        <v/>
      </c>
      <c r="L571" s="111" t="str">
        <f>IF($G571&lt;&gt;"",VLOOKUP($G571,'MASTER TOKO BALI'!$B$2:$W$744,5,FALSE),"")</f>
        <v/>
      </c>
      <c r="M571" s="106"/>
      <c r="N571" s="111" t="str">
        <f>IF($G571&lt;&gt;"",VLOOKUP($G571,'MASTER TOKO BALI'!$B$2:$W$744,21,FALSE),"")</f>
        <v/>
      </c>
      <c r="O571" s="106"/>
      <c r="P571" s="164" t="str">
        <f>IF($G571&lt;&gt;"",VLOOKUP($G571,'MASTER TOKO BALI'!$B$2:$W$740,7,FALSE),"")</f>
        <v/>
      </c>
    </row>
    <row r="572" spans="1:16" x14ac:dyDescent="0.2">
      <c r="A572" s="106">
        <f t="shared" si="22"/>
        <v>520</v>
      </c>
      <c r="B572" s="107" t="s">
        <v>2038</v>
      </c>
      <c r="C572" s="116" t="s">
        <v>2055</v>
      </c>
      <c r="D572" s="113" t="s">
        <v>2057</v>
      </c>
      <c r="E572" s="114" t="s">
        <v>2077</v>
      </c>
      <c r="F572" s="124"/>
      <c r="G572" s="144"/>
      <c r="H572" s="111" t="str">
        <f>IF($G572&lt;&gt;"",VLOOKUP($G572,'MASTER TOKO BALI'!$B$2:$W$744,2,FALSE),"")</f>
        <v/>
      </c>
      <c r="I572" s="237" t="str">
        <f>IF($G572&lt;&gt;"",VLOOKUP($G572,'MASTER TOKO BALI'!$B$2:$W$744,4,FALSE),"")</f>
        <v/>
      </c>
      <c r="J572" s="140">
        <v>46290</v>
      </c>
      <c r="K572" s="111" t="str">
        <f>IF($G572&lt;&gt;"",VLOOKUP($G572,'MASTER TOKO BALI'!$B$2:$W$744,12,FALSE),"")</f>
        <v/>
      </c>
      <c r="L572" s="111" t="str">
        <f>IF($G572&lt;&gt;"",VLOOKUP($G572,'MASTER TOKO BALI'!$B$2:$W$744,5,FALSE),"")</f>
        <v/>
      </c>
      <c r="M572" s="106"/>
      <c r="N572" s="111" t="str">
        <f>IF($G572&lt;&gt;"",VLOOKUP($G572,'MASTER TOKO BALI'!$B$2:$W$744,21,FALSE),"")</f>
        <v/>
      </c>
      <c r="O572" s="106"/>
      <c r="P572" s="164" t="str">
        <f>IF($G572&lt;&gt;"",VLOOKUP($G572,'MASTER TOKO BALI'!$B$2:$W$740,7,FALSE),"")</f>
        <v/>
      </c>
    </row>
    <row r="573" spans="1:16" x14ac:dyDescent="0.2">
      <c r="A573" s="106">
        <f t="shared" si="22"/>
        <v>521</v>
      </c>
      <c r="B573" s="107" t="s">
        <v>2060</v>
      </c>
      <c r="C573" s="116" t="s">
        <v>2061</v>
      </c>
      <c r="D573" s="108" t="s">
        <v>2062</v>
      </c>
      <c r="E573" s="114" t="s">
        <v>2077</v>
      </c>
      <c r="F573" s="126"/>
      <c r="G573" s="144"/>
      <c r="H573" s="111" t="str">
        <f>IF($G573&lt;&gt;"",VLOOKUP($G573,'MASTER TOKO BALI'!$B$2:$W$744,2,FALSE),"")</f>
        <v/>
      </c>
      <c r="I573" s="237" t="str">
        <f>IF($G573&lt;&gt;"",VLOOKUP($G573,'MASTER TOKO BALI'!$B$2:$W$744,4,FALSE),"")</f>
        <v/>
      </c>
      <c r="J573" s="140">
        <v>46290</v>
      </c>
      <c r="K573" s="111" t="str">
        <f>IF($G573&lt;&gt;"",VLOOKUP($G573,'MASTER TOKO BALI'!$B$2:$W$744,12,FALSE),"")</f>
        <v/>
      </c>
      <c r="L573" s="111" t="str">
        <f>IF($G573&lt;&gt;"",VLOOKUP($G573,'MASTER TOKO BALI'!$B$2:$W$744,5,FALSE),"")</f>
        <v/>
      </c>
      <c r="M573" s="106"/>
      <c r="N573" s="111" t="str">
        <f>IF($G573&lt;&gt;"",VLOOKUP($G573,'MASTER TOKO BALI'!$B$2:$W$744,21,FALSE),"")</f>
        <v/>
      </c>
      <c r="O573" s="106"/>
      <c r="P573" s="164" t="str">
        <f>IF($G573&lt;&gt;"",VLOOKUP($G573,'MASTER TOKO BALI'!$B$2:$W$740,7,FALSE),"")</f>
        <v/>
      </c>
    </row>
    <row r="574" spans="1:16" x14ac:dyDescent="0.2">
      <c r="A574" s="106">
        <f t="shared" si="22"/>
        <v>522</v>
      </c>
      <c r="B574" s="107" t="s">
        <v>2038</v>
      </c>
      <c r="C574" s="116" t="s">
        <v>2061</v>
      </c>
      <c r="D574" s="113" t="s">
        <v>2063</v>
      </c>
      <c r="E574" s="114" t="s">
        <v>2077</v>
      </c>
      <c r="F574" s="126"/>
      <c r="G574" s="144"/>
      <c r="H574" s="111" t="str">
        <f>IF($G574&lt;&gt;"",VLOOKUP($G574,'MASTER TOKO BALI'!$B$2:$W$744,2,FALSE),"")</f>
        <v/>
      </c>
      <c r="I574" s="237" t="str">
        <f>IF($G574&lt;&gt;"",VLOOKUP($G574,'MASTER TOKO BALI'!$B$2:$W$744,4,FALSE),"")</f>
        <v/>
      </c>
      <c r="J574" s="140">
        <v>46290</v>
      </c>
      <c r="K574" s="111" t="str">
        <f>IF($G574&lt;&gt;"",VLOOKUP($G574,'MASTER TOKO BALI'!$B$2:$W$744,12,FALSE),"")</f>
        <v/>
      </c>
      <c r="L574" s="111" t="str">
        <f>IF($G574&lt;&gt;"",VLOOKUP($G574,'MASTER TOKO BALI'!$B$2:$W$744,5,FALSE),"")</f>
        <v/>
      </c>
      <c r="M574" s="106"/>
      <c r="N574" s="111" t="str">
        <f>IF($G574&lt;&gt;"",VLOOKUP($G574,'MASTER TOKO BALI'!$B$2:$W$744,21,FALSE),"")</f>
        <v/>
      </c>
      <c r="O574" s="106"/>
      <c r="P574" s="164" t="str">
        <f>IF($G574&lt;&gt;"",VLOOKUP($G574,'MASTER TOKO BALI'!$B$2:$W$740,7,FALSE),"")</f>
        <v/>
      </c>
    </row>
    <row r="575" spans="1:16" x14ac:dyDescent="0.2">
      <c r="A575" s="106">
        <f t="shared" si="22"/>
        <v>523</v>
      </c>
      <c r="B575" s="107" t="s">
        <v>2064</v>
      </c>
      <c r="C575" s="116" t="s">
        <v>2061</v>
      </c>
      <c r="D575" s="108" t="s">
        <v>2065</v>
      </c>
      <c r="E575" s="114" t="s">
        <v>2077</v>
      </c>
      <c r="F575" s="126"/>
      <c r="G575" s="144"/>
      <c r="H575" s="111" t="str">
        <f>IF($G575&lt;&gt;"",VLOOKUP($G575,'MASTER TOKO BALI'!$B$2:$W$744,2,FALSE),"")</f>
        <v/>
      </c>
      <c r="I575" s="237" t="str">
        <f>IF($G575&lt;&gt;"",VLOOKUP($G575,'MASTER TOKO BALI'!$B$2:$W$744,4,FALSE),"")</f>
        <v/>
      </c>
      <c r="J575" s="140">
        <v>46290</v>
      </c>
      <c r="K575" s="111" t="str">
        <f>IF($G575&lt;&gt;"",VLOOKUP($G575,'MASTER TOKO BALI'!$B$2:$W$744,12,FALSE),"")</f>
        <v/>
      </c>
      <c r="L575" s="111" t="str">
        <f>IF($G575&lt;&gt;"",VLOOKUP($G575,'MASTER TOKO BALI'!$B$2:$W$744,5,FALSE),"")</f>
        <v/>
      </c>
      <c r="M575" s="106"/>
      <c r="N575" s="111" t="str">
        <f>IF($G575&lt;&gt;"",VLOOKUP($G575,'MASTER TOKO BALI'!$B$2:$W$744,21,FALSE),"")</f>
        <v/>
      </c>
      <c r="O575" s="106"/>
      <c r="P575" s="164" t="str">
        <f>IF($G575&lt;&gt;"",VLOOKUP($G575,'MASTER TOKO BALI'!$B$2:$W$740,7,FALSE),"")</f>
        <v/>
      </c>
    </row>
    <row r="576" spans="1:16" x14ac:dyDescent="0.2">
      <c r="A576" s="106">
        <f t="shared" si="22"/>
        <v>524</v>
      </c>
      <c r="B576" s="107" t="s">
        <v>2066</v>
      </c>
      <c r="C576" s="116" t="s">
        <v>2061</v>
      </c>
      <c r="D576" s="113" t="s">
        <v>2063</v>
      </c>
      <c r="E576" s="114" t="s">
        <v>2077</v>
      </c>
      <c r="F576" s="126"/>
      <c r="G576" s="144"/>
      <c r="H576" s="111" t="str">
        <f>IF($G576&lt;&gt;"",VLOOKUP($G576,'MASTER TOKO BALI'!$B$2:$W$744,2,FALSE),"")</f>
        <v/>
      </c>
      <c r="I576" s="237" t="str">
        <f>IF($G576&lt;&gt;"",VLOOKUP($G576,'MASTER TOKO BALI'!$B$2:$W$744,4,FALSE),"")</f>
        <v/>
      </c>
      <c r="J576" s="140">
        <v>46290</v>
      </c>
      <c r="K576" s="111" t="str">
        <f>IF($G576&lt;&gt;"",VLOOKUP($G576,'MASTER TOKO BALI'!$B$2:$W$744,12,FALSE),"")</f>
        <v/>
      </c>
      <c r="L576" s="111" t="str">
        <f>IF($G576&lt;&gt;"",VLOOKUP($G576,'MASTER TOKO BALI'!$B$2:$W$744,5,FALSE),"")</f>
        <v/>
      </c>
      <c r="M576" s="106"/>
      <c r="N576" s="111" t="str">
        <f>IF($G576&lt;&gt;"",VLOOKUP($G576,'MASTER TOKO BALI'!$B$2:$W$744,21,FALSE),"")</f>
        <v/>
      </c>
      <c r="O576" s="106"/>
      <c r="P576" s="164" t="str">
        <f>IF($G576&lt;&gt;"",VLOOKUP($G576,'MASTER TOKO BALI'!$B$2:$W$740,7,FALSE),"")</f>
        <v/>
      </c>
    </row>
    <row r="577" spans="1:16" x14ac:dyDescent="0.2">
      <c r="A577" s="106">
        <f t="shared" si="22"/>
        <v>525</v>
      </c>
      <c r="B577" s="107" t="s">
        <v>2067</v>
      </c>
      <c r="C577" s="107" t="s">
        <v>2068</v>
      </c>
      <c r="D577" s="108" t="s">
        <v>2069</v>
      </c>
      <c r="E577" s="114" t="s">
        <v>2077</v>
      </c>
      <c r="F577" s="110"/>
      <c r="G577" s="144"/>
      <c r="H577" s="111" t="str">
        <f>IF($G577&lt;&gt;"",VLOOKUP($G577,'MASTER TOKO BALI'!$B$2:$W$744,2,FALSE),"")</f>
        <v/>
      </c>
      <c r="I577" s="237" t="str">
        <f>IF($G577&lt;&gt;"",VLOOKUP($G577,'MASTER TOKO BALI'!$B$2:$W$744,4,FALSE),"")</f>
        <v/>
      </c>
      <c r="J577" s="140">
        <v>46290</v>
      </c>
      <c r="K577" s="111" t="str">
        <f>IF($G577&lt;&gt;"",VLOOKUP($G577,'MASTER TOKO BALI'!$B$2:$W$744,12,FALSE),"")</f>
        <v/>
      </c>
      <c r="L577" s="111" t="str">
        <f>IF($G577&lt;&gt;"",VLOOKUP($G577,'MASTER TOKO BALI'!$B$2:$W$744,5,FALSE),"")</f>
        <v/>
      </c>
      <c r="M577" s="106"/>
      <c r="N577" s="111" t="str">
        <f>IF($G577&lt;&gt;"",VLOOKUP($G577,'MASTER TOKO BALI'!$B$2:$W$744,21,FALSE),"")</f>
        <v/>
      </c>
      <c r="O577" s="106"/>
      <c r="P577" s="164" t="str">
        <f>IF($G577&lt;&gt;"",VLOOKUP($G577,'MASTER TOKO BALI'!$B$2:$W$740,7,FALSE),"")</f>
        <v/>
      </c>
    </row>
    <row r="578" spans="1:16" x14ac:dyDescent="0.2">
      <c r="A578" s="106">
        <f t="shared" si="22"/>
        <v>526</v>
      </c>
      <c r="B578" s="107" t="s">
        <v>2066</v>
      </c>
      <c r="C578" s="107" t="s">
        <v>2068</v>
      </c>
      <c r="D578" s="117" t="s">
        <v>2070</v>
      </c>
      <c r="E578" s="114" t="s">
        <v>2077</v>
      </c>
      <c r="F578" s="110"/>
      <c r="G578" s="155"/>
      <c r="H578" s="111" t="str">
        <f>IF($G578&lt;&gt;"",VLOOKUP($G578,'MASTER TOKO BALI'!$B$2:$W$744,2,FALSE),"")</f>
        <v/>
      </c>
      <c r="I578" s="237" t="str">
        <f>IF($G578&lt;&gt;"",VLOOKUP($G578,'MASTER TOKO BALI'!$B$2:$W$744,4,FALSE),"")</f>
        <v/>
      </c>
      <c r="J578" s="140">
        <v>46290</v>
      </c>
      <c r="K578" s="111" t="str">
        <f>IF($G578&lt;&gt;"",VLOOKUP($G578,'MASTER TOKO BALI'!$B$2:$W$744,12,FALSE),"")</f>
        <v/>
      </c>
      <c r="L578" s="111" t="str">
        <f>IF($G578&lt;&gt;"",VLOOKUP($G578,'MASTER TOKO BALI'!$B$2:$W$744,5,FALSE),"")</f>
        <v/>
      </c>
      <c r="M578" s="106"/>
      <c r="N578" s="111" t="str">
        <f>IF($G578&lt;&gt;"",VLOOKUP($G578,'MASTER TOKO BALI'!$B$2:$W$744,21,FALSE),"")</f>
        <v/>
      </c>
      <c r="O578" s="106"/>
      <c r="P578" s="164" t="str">
        <f>IF($G578&lt;&gt;"",VLOOKUP($G578,'MASTER TOKO BALI'!$B$2:$W$740,7,FALSE),"")</f>
        <v/>
      </c>
    </row>
    <row r="579" spans="1:16" x14ac:dyDescent="0.2">
      <c r="A579" s="106">
        <f t="shared" si="22"/>
        <v>527</v>
      </c>
      <c r="B579" s="107" t="s">
        <v>2071</v>
      </c>
      <c r="C579" s="107" t="s">
        <v>2068</v>
      </c>
      <c r="D579" s="116" t="s">
        <v>2003</v>
      </c>
      <c r="E579" s="114" t="s">
        <v>2077</v>
      </c>
      <c r="F579" s="126"/>
      <c r="G579" s="144"/>
      <c r="H579" s="111" t="str">
        <f>IF($G579&lt;&gt;"",VLOOKUP($G579,'MASTER TOKO BALI'!$B$2:$W$744,2,FALSE),"")</f>
        <v/>
      </c>
      <c r="I579" s="237" t="str">
        <f>IF($G579&lt;&gt;"",VLOOKUP($G579,'MASTER TOKO BALI'!$B$2:$W$744,4,FALSE),"")</f>
        <v/>
      </c>
      <c r="J579" s="140">
        <v>46290</v>
      </c>
      <c r="K579" s="111" t="str">
        <f>IF($G579&lt;&gt;"",VLOOKUP($G579,'MASTER TOKO BALI'!$B$2:$W$744,12,FALSE),"")</f>
        <v/>
      </c>
      <c r="L579" s="111" t="str">
        <f>IF($G579&lt;&gt;"",VLOOKUP($G579,'MASTER TOKO BALI'!$B$2:$W$744,5,FALSE),"")</f>
        <v/>
      </c>
      <c r="M579" s="106"/>
      <c r="N579" s="111" t="str">
        <f>IF($G579&lt;&gt;"",VLOOKUP($G579,'MASTER TOKO BALI'!$B$2:$W$744,21,FALSE),"")</f>
        <v/>
      </c>
      <c r="O579" s="106"/>
      <c r="P579" s="164" t="str">
        <f>IF($G579&lt;&gt;"",VLOOKUP($G579,'MASTER TOKO BALI'!$B$2:$W$740,7,FALSE),"")</f>
        <v/>
      </c>
    </row>
    <row r="580" spans="1:16" x14ac:dyDescent="0.2">
      <c r="A580" s="106">
        <f t="shared" si="22"/>
        <v>528</v>
      </c>
      <c r="B580" s="107" t="s">
        <v>2066</v>
      </c>
      <c r="C580" s="107" t="s">
        <v>2068</v>
      </c>
      <c r="D580" s="117" t="s">
        <v>2070</v>
      </c>
      <c r="E580" s="114" t="s">
        <v>2077</v>
      </c>
      <c r="F580" s="142"/>
      <c r="G580" s="155"/>
      <c r="H580" s="111" t="str">
        <f>IF($G580&lt;&gt;"",VLOOKUP($G580,'MASTER TOKO BALI'!$B$2:$W$744,2,FALSE),"")</f>
        <v/>
      </c>
      <c r="I580" s="237" t="str">
        <f>IF($G580&lt;&gt;"",VLOOKUP($G580,'MASTER TOKO BALI'!$B$2:$W$744,4,FALSE),"")</f>
        <v/>
      </c>
      <c r="J580" s="140">
        <v>46290</v>
      </c>
      <c r="K580" s="111" t="str">
        <f>IF($G580&lt;&gt;"",VLOOKUP($G580,'MASTER TOKO BALI'!$B$2:$W$744,12,FALSE),"")</f>
        <v/>
      </c>
      <c r="L580" s="111" t="str">
        <f>IF($G580&lt;&gt;"",VLOOKUP($G580,'MASTER TOKO BALI'!$B$2:$W$744,5,FALSE),"")</f>
        <v/>
      </c>
      <c r="M580" s="106"/>
      <c r="N580" s="111" t="str">
        <f>IF($G580&lt;&gt;"",VLOOKUP($G580,'MASTER TOKO BALI'!$B$2:$W$744,21,FALSE),"")</f>
        <v/>
      </c>
      <c r="O580" s="106"/>
      <c r="P580" s="164" t="str">
        <f>IF($G580&lt;&gt;"",VLOOKUP($G580,'MASTER TOKO BALI'!$B$2:$W$740,7,FALSE),"")</f>
        <v/>
      </c>
    </row>
    <row r="581" spans="1:16" x14ac:dyDescent="0.2">
      <c r="A581" s="106"/>
      <c r="B581" s="107"/>
      <c r="C581" s="107"/>
      <c r="D581" s="111"/>
      <c r="E581" s="114"/>
      <c r="F581" s="126"/>
      <c r="G581" s="144"/>
      <c r="H581" s="111" t="str">
        <f>IF($G581&lt;&gt;"",VLOOKUP($G581,'MASTER TOKO BALI'!$B$2:$W$744,2,FALSE),"")</f>
        <v/>
      </c>
      <c r="I581" s="237" t="str">
        <f>IF($G581&lt;&gt;"",VLOOKUP($G581,'MASTER TOKO BALI'!$B$2:$W$744,4,FALSE),"")</f>
        <v/>
      </c>
      <c r="J581" s="119"/>
      <c r="K581" s="111" t="str">
        <f>IF($G581&lt;&gt;"",VLOOKUP($G581,'MASTER TOKO BALI'!$B$2:$W$744,12,FALSE),"")</f>
        <v/>
      </c>
      <c r="L581" s="111" t="str">
        <f>IF($G581&lt;&gt;"",VLOOKUP($G581,'MASTER TOKO BALI'!$B$2:$W$744,5,FALSE),"")</f>
        <v/>
      </c>
      <c r="M581" s="106"/>
      <c r="N581" s="111" t="str">
        <f>IF($G581&lt;&gt;"",VLOOKUP($G581,'MASTER TOKO BALI'!$B$2:$W$744,21,FALSE),"")</f>
        <v/>
      </c>
      <c r="O581" s="106"/>
      <c r="P581" s="164" t="str">
        <f>IF($G581&lt;&gt;"",VLOOKUP($G581,'MASTER TOKO BALI'!$B$2:$W$740,7,FALSE),"")</f>
        <v/>
      </c>
    </row>
    <row r="582" spans="1:16" ht="14.4" x14ac:dyDescent="0.2">
      <c r="A582" s="106">
        <f>A580+1</f>
        <v>529</v>
      </c>
      <c r="B582" s="107" t="s">
        <v>2034</v>
      </c>
      <c r="C582" s="107" t="s">
        <v>2035</v>
      </c>
      <c r="D582" s="108" t="s">
        <v>2036</v>
      </c>
      <c r="E582" s="109" t="s">
        <v>2037</v>
      </c>
      <c r="F582" s="126"/>
      <c r="G582" s="60"/>
      <c r="H582" s="111" t="str">
        <f>IF($G582&lt;&gt;"",VLOOKUP($G582,'MASTER TOKO BALI'!$B$2:$W$744,2,FALSE),"")</f>
        <v/>
      </c>
      <c r="I582" s="237" t="str">
        <f>IF($G582&lt;&gt;"",VLOOKUP($G582,'MASTER TOKO BALI'!$B$2:$W$744,4,FALSE),"")</f>
        <v/>
      </c>
      <c r="J582" s="112">
        <v>46291</v>
      </c>
      <c r="K582" s="111" t="str">
        <f>IF($G582&lt;&gt;"",VLOOKUP($G582,'MASTER TOKO BALI'!$B$2:$W$744,12,FALSE),"")</f>
        <v/>
      </c>
      <c r="L582" s="111" t="str">
        <f>IF($G582&lt;&gt;"",VLOOKUP($G582,'MASTER TOKO BALI'!$B$2:$W$744,5,FALSE),"")</f>
        <v/>
      </c>
      <c r="M582" s="106"/>
      <c r="N582" s="111" t="str">
        <f>IF($G582&lt;&gt;"",VLOOKUP($G582,'MASTER TOKO BALI'!$B$2:$W$744,21,FALSE),"")</f>
        <v/>
      </c>
      <c r="O582" s="106"/>
      <c r="P582" s="164" t="str">
        <f>IF($G582&lt;&gt;"",VLOOKUP($G582,'MASTER TOKO BALI'!$B$2:$W$740,7,FALSE),"")</f>
        <v/>
      </c>
    </row>
    <row r="583" spans="1:16" x14ac:dyDescent="0.2">
      <c r="A583" s="106">
        <f t="shared" ref="A583:A605" si="23">A582+1</f>
        <v>530</v>
      </c>
      <c r="B583" s="107" t="s">
        <v>2038</v>
      </c>
      <c r="C583" s="107" t="s">
        <v>2035</v>
      </c>
      <c r="D583" s="113" t="s">
        <v>2039</v>
      </c>
      <c r="E583" s="109" t="s">
        <v>2037</v>
      </c>
      <c r="F583" s="126"/>
      <c r="G583" s="144"/>
      <c r="H583" s="111" t="str">
        <f>IF($G583&lt;&gt;"",VLOOKUP($G583,'MASTER TOKO BALI'!$B$2:$W$744,2,FALSE),"")</f>
        <v/>
      </c>
      <c r="I583" s="237" t="str">
        <f>IF($G583&lt;&gt;"",VLOOKUP($G583,'MASTER TOKO BALI'!$B$2:$W$744,4,FALSE),"")</f>
        <v/>
      </c>
      <c r="J583" s="112">
        <v>46291</v>
      </c>
      <c r="K583" s="111" t="str">
        <f>IF($G583&lt;&gt;"",VLOOKUP($G583,'MASTER TOKO BALI'!$B$2:$W$744,12,FALSE),"")</f>
        <v/>
      </c>
      <c r="L583" s="111" t="str">
        <f>IF($G583&lt;&gt;"",VLOOKUP($G583,'MASTER TOKO BALI'!$B$2:$W$744,5,FALSE),"")</f>
        <v/>
      </c>
      <c r="M583" s="106"/>
      <c r="N583" s="111" t="str">
        <f>IF($G583&lt;&gt;"",VLOOKUP($G583,'MASTER TOKO BALI'!$B$2:$W$744,21,FALSE),"")</f>
        <v/>
      </c>
      <c r="O583" s="106"/>
      <c r="P583" s="164" t="str">
        <f>IF($G583&lt;&gt;"",VLOOKUP($G583,'MASTER TOKO BALI'!$B$2:$W$740,7,FALSE),"")</f>
        <v/>
      </c>
    </row>
    <row r="584" spans="1:16" ht="14.4" x14ac:dyDescent="0.2">
      <c r="A584" s="106">
        <f t="shared" si="23"/>
        <v>531</v>
      </c>
      <c r="B584" s="107" t="s">
        <v>2040</v>
      </c>
      <c r="C584" s="107" t="s">
        <v>2035</v>
      </c>
      <c r="D584" s="108" t="s">
        <v>2041</v>
      </c>
      <c r="E584" s="109" t="s">
        <v>2037</v>
      </c>
      <c r="F584" s="126"/>
      <c r="G584" s="60"/>
      <c r="H584" s="111" t="str">
        <f>IF($G584&lt;&gt;"",VLOOKUP($G584,'MASTER TOKO BALI'!$B$2:$W$744,2,FALSE),"")</f>
        <v/>
      </c>
      <c r="I584" s="237" t="str">
        <f>IF($G584&lt;&gt;"",VLOOKUP($G584,'MASTER TOKO BALI'!$B$2:$W$744,4,FALSE),"")</f>
        <v/>
      </c>
      <c r="J584" s="112">
        <v>46291</v>
      </c>
      <c r="K584" s="111" t="str">
        <f>IF($G584&lt;&gt;"",VLOOKUP($G584,'MASTER TOKO BALI'!$B$2:$W$744,12,FALSE),"")</f>
        <v/>
      </c>
      <c r="L584" s="111" t="str">
        <f>IF($G584&lt;&gt;"",VLOOKUP($G584,'MASTER TOKO BALI'!$B$2:$W$744,5,FALSE),"")</f>
        <v/>
      </c>
      <c r="M584" s="106"/>
      <c r="N584" s="111" t="str">
        <f>IF($G584&lt;&gt;"",VLOOKUP($G584,'MASTER TOKO BALI'!$B$2:$W$744,21,FALSE),"")</f>
        <v/>
      </c>
      <c r="O584" s="106"/>
      <c r="P584" s="164" t="str">
        <f>IF($G584&lt;&gt;"",VLOOKUP($G584,'MASTER TOKO BALI'!$B$2:$W$740,7,FALSE),"")</f>
        <v/>
      </c>
    </row>
    <row r="585" spans="1:16" ht="14.4" x14ac:dyDescent="0.2">
      <c r="A585" s="106">
        <f t="shared" si="23"/>
        <v>532</v>
      </c>
      <c r="B585" s="107" t="s">
        <v>2038</v>
      </c>
      <c r="C585" s="107" t="s">
        <v>2035</v>
      </c>
      <c r="D585" s="113" t="s">
        <v>2039</v>
      </c>
      <c r="E585" s="109" t="s">
        <v>2037</v>
      </c>
      <c r="F585" s="126"/>
      <c r="G585" s="60"/>
      <c r="H585" s="111" t="str">
        <f>IF($G585&lt;&gt;"",VLOOKUP($G585,'MASTER TOKO BALI'!$B$2:$W$744,2,FALSE),"")</f>
        <v/>
      </c>
      <c r="I585" s="237" t="str">
        <f>IF($G585&lt;&gt;"",VLOOKUP($G585,'MASTER TOKO BALI'!$B$2:$W$744,4,FALSE),"")</f>
        <v/>
      </c>
      <c r="J585" s="112">
        <v>46291</v>
      </c>
      <c r="K585" s="111" t="str">
        <f>IF($G585&lt;&gt;"",VLOOKUP($G585,'MASTER TOKO BALI'!$B$2:$W$744,12,FALSE),"")</f>
        <v/>
      </c>
      <c r="L585" s="111" t="str">
        <f>IF($G585&lt;&gt;"",VLOOKUP($G585,'MASTER TOKO BALI'!$B$2:$W$744,5,FALSE),"")</f>
        <v/>
      </c>
      <c r="M585" s="106"/>
      <c r="N585" s="111" t="str">
        <f>IF($G585&lt;&gt;"",VLOOKUP($G585,'MASTER TOKO BALI'!$B$2:$W$744,21,FALSE),"")</f>
        <v/>
      </c>
      <c r="O585" s="106"/>
      <c r="P585" s="164" t="str">
        <f>IF($G585&lt;&gt;"",VLOOKUP($G585,'MASTER TOKO BALI'!$B$2:$W$740,7,FALSE),"")</f>
        <v/>
      </c>
    </row>
    <row r="586" spans="1:16" x14ac:dyDescent="0.2">
      <c r="A586" s="106">
        <f t="shared" si="23"/>
        <v>533</v>
      </c>
      <c r="B586" s="107" t="s">
        <v>2042</v>
      </c>
      <c r="C586" s="107" t="s">
        <v>2043</v>
      </c>
      <c r="D586" s="108" t="s">
        <v>2044</v>
      </c>
      <c r="E586" s="109" t="s">
        <v>2037</v>
      </c>
      <c r="F586" s="126"/>
      <c r="G586" s="144"/>
      <c r="H586" s="111" t="str">
        <f>IF($G586&lt;&gt;"",VLOOKUP($G586,'MASTER TOKO BALI'!$B$2:$W$744,2,FALSE),"")</f>
        <v/>
      </c>
      <c r="I586" s="237" t="str">
        <f>IF($G586&lt;&gt;"",VLOOKUP($G586,'MASTER TOKO BALI'!$B$2:$W$744,4,FALSE),"")</f>
        <v/>
      </c>
      <c r="J586" s="112">
        <v>46291</v>
      </c>
      <c r="K586" s="111" t="str">
        <f>IF($G586&lt;&gt;"",VLOOKUP($G586,'MASTER TOKO BALI'!$B$2:$W$744,12,FALSE),"")</f>
        <v/>
      </c>
      <c r="L586" s="111" t="str">
        <f>IF($G586&lt;&gt;"",VLOOKUP($G586,'MASTER TOKO BALI'!$B$2:$W$744,5,FALSE),"")</f>
        <v/>
      </c>
      <c r="M586" s="106"/>
      <c r="N586" s="111" t="str">
        <f>IF($G586&lt;&gt;"",VLOOKUP($G586,'MASTER TOKO BALI'!$B$2:$W$744,21,FALSE),"")</f>
        <v/>
      </c>
      <c r="O586" s="106"/>
      <c r="P586" s="164" t="str">
        <f>IF($G586&lt;&gt;"",VLOOKUP($G586,'MASTER TOKO BALI'!$B$2:$W$740,7,FALSE),"")</f>
        <v/>
      </c>
    </row>
    <row r="587" spans="1:16" x14ac:dyDescent="0.2">
      <c r="A587" s="106">
        <f t="shared" si="23"/>
        <v>534</v>
      </c>
      <c r="B587" s="107" t="s">
        <v>2038</v>
      </c>
      <c r="C587" s="107" t="s">
        <v>2043</v>
      </c>
      <c r="D587" s="113" t="s">
        <v>2045</v>
      </c>
      <c r="E587" s="109" t="s">
        <v>2037</v>
      </c>
      <c r="F587" s="126"/>
      <c r="G587" s="144"/>
      <c r="H587" s="111" t="str">
        <f>IF($G587&lt;&gt;"",VLOOKUP($G587,'MASTER TOKO BALI'!$B$2:$W$744,2,FALSE),"")</f>
        <v/>
      </c>
      <c r="I587" s="237" t="str">
        <f>IF($G587&lt;&gt;"",VLOOKUP($G587,'MASTER TOKO BALI'!$B$2:$W$744,4,FALSE),"")</f>
        <v/>
      </c>
      <c r="J587" s="112">
        <v>46291</v>
      </c>
      <c r="K587" s="111" t="str">
        <f>IF($G587&lt;&gt;"",VLOOKUP($G587,'MASTER TOKO BALI'!$B$2:$W$744,12,FALSE),"")</f>
        <v/>
      </c>
      <c r="L587" s="111" t="str">
        <f>IF($G587&lt;&gt;"",VLOOKUP($G587,'MASTER TOKO BALI'!$B$2:$W$744,5,FALSE),"")</f>
        <v/>
      </c>
      <c r="M587" s="106"/>
      <c r="N587" s="111" t="str">
        <f>IF($G587&lt;&gt;"",VLOOKUP($G587,'MASTER TOKO BALI'!$B$2:$W$744,21,FALSE),"")</f>
        <v/>
      </c>
      <c r="O587" s="106"/>
      <c r="P587" s="164" t="str">
        <f>IF($G587&lt;&gt;"",VLOOKUP($G587,'MASTER TOKO BALI'!$B$2:$W$740,7,FALSE),"")</f>
        <v/>
      </c>
    </row>
    <row r="588" spans="1:16" ht="14.4" x14ac:dyDescent="0.2">
      <c r="A588" s="106">
        <f t="shared" si="23"/>
        <v>535</v>
      </c>
      <c r="B588" s="107" t="s">
        <v>2046</v>
      </c>
      <c r="C588" s="107" t="s">
        <v>2043</v>
      </c>
      <c r="D588" s="108" t="s">
        <v>2047</v>
      </c>
      <c r="E588" s="109" t="s">
        <v>2037</v>
      </c>
      <c r="F588" s="126"/>
      <c r="G588" s="60"/>
      <c r="H588" s="111" t="str">
        <f>IF($G588&lt;&gt;"",VLOOKUP($G588,'MASTER TOKO BALI'!$B$2:$W$744,2,FALSE),"")</f>
        <v/>
      </c>
      <c r="I588" s="237" t="str">
        <f>IF($G588&lt;&gt;"",VLOOKUP($G588,'MASTER TOKO BALI'!$B$2:$W$744,4,FALSE),"")</f>
        <v/>
      </c>
      <c r="J588" s="112">
        <v>46291</v>
      </c>
      <c r="K588" s="111" t="str">
        <f>IF($G588&lt;&gt;"",VLOOKUP($G588,'MASTER TOKO BALI'!$B$2:$W$744,12,FALSE),"")</f>
        <v/>
      </c>
      <c r="L588" s="111" t="str">
        <f>IF($G588&lt;&gt;"",VLOOKUP($G588,'MASTER TOKO BALI'!$B$2:$W$744,5,FALSE),"")</f>
        <v/>
      </c>
      <c r="M588" s="106"/>
      <c r="N588" s="111" t="str">
        <f>IF($G588&lt;&gt;"",VLOOKUP($G588,'MASTER TOKO BALI'!$B$2:$W$744,21,FALSE),"")</f>
        <v/>
      </c>
      <c r="O588" s="106"/>
      <c r="P588" s="164" t="str">
        <f>IF($G588&lt;&gt;"",VLOOKUP($G588,'MASTER TOKO BALI'!$B$2:$W$740,7,FALSE),"")</f>
        <v/>
      </c>
    </row>
    <row r="589" spans="1:16" x14ac:dyDescent="0.2">
      <c r="A589" s="106">
        <f t="shared" si="23"/>
        <v>536</v>
      </c>
      <c r="B589" s="107" t="s">
        <v>2038</v>
      </c>
      <c r="C589" s="107" t="s">
        <v>2043</v>
      </c>
      <c r="D589" s="113" t="s">
        <v>2045</v>
      </c>
      <c r="E589" s="109" t="s">
        <v>2037</v>
      </c>
      <c r="F589" s="126"/>
      <c r="G589" s="144"/>
      <c r="H589" s="111" t="str">
        <f>IF($G589&lt;&gt;"",VLOOKUP($G589,'MASTER TOKO BALI'!$B$2:$W$744,2,FALSE),"")</f>
        <v/>
      </c>
      <c r="I589" s="237" t="str">
        <f>IF($G589&lt;&gt;"",VLOOKUP($G589,'MASTER TOKO BALI'!$B$2:$W$744,4,FALSE),"")</f>
        <v/>
      </c>
      <c r="J589" s="112">
        <v>46291</v>
      </c>
      <c r="K589" s="111" t="str">
        <f>IF($G589&lt;&gt;"",VLOOKUP($G589,'MASTER TOKO BALI'!$B$2:$W$744,12,FALSE),"")</f>
        <v/>
      </c>
      <c r="L589" s="111" t="str">
        <f>IF($G589&lt;&gt;"",VLOOKUP($G589,'MASTER TOKO BALI'!$B$2:$W$744,5,FALSE),"")</f>
        <v/>
      </c>
      <c r="M589" s="106"/>
      <c r="N589" s="111" t="str">
        <f>IF($G589&lt;&gt;"",VLOOKUP($G589,'MASTER TOKO BALI'!$B$2:$W$744,21,FALSE),"")</f>
        <v/>
      </c>
      <c r="O589" s="106"/>
      <c r="P589" s="164" t="str">
        <f>IF($G589&lt;&gt;"",VLOOKUP($G589,'MASTER TOKO BALI'!$B$2:$W$740,7,FALSE),"")</f>
        <v/>
      </c>
    </row>
    <row r="590" spans="1:16" x14ac:dyDescent="0.2">
      <c r="A590" s="106"/>
      <c r="B590" s="107" t="s">
        <v>2048</v>
      </c>
      <c r="C590" s="107" t="s">
        <v>2049</v>
      </c>
      <c r="D590" s="108" t="s">
        <v>2050</v>
      </c>
      <c r="E590" s="109" t="s">
        <v>2037</v>
      </c>
      <c r="F590" s="126"/>
      <c r="G590" s="148"/>
      <c r="H590" s="111" t="str">
        <f>IF($G590&lt;&gt;"",VLOOKUP($G590,'MASTER TOKO BALI'!$B$2:$W$744,2,FALSE),"")</f>
        <v/>
      </c>
      <c r="I590" s="237" t="str">
        <f>IF($G590&lt;&gt;"",VLOOKUP($G590,'MASTER TOKO BALI'!$B$2:$W$744,4,FALSE),"")</f>
        <v/>
      </c>
      <c r="J590" s="112">
        <v>46291</v>
      </c>
      <c r="K590" s="111" t="str">
        <f>IF($G590&lt;&gt;"",VLOOKUP($G590,'MASTER TOKO BALI'!$B$2:$W$744,12,FALSE),"")</f>
        <v/>
      </c>
      <c r="L590" s="111" t="str">
        <f>IF($G590&lt;&gt;"",VLOOKUP($G590,'MASTER TOKO BALI'!$B$2:$W$744,5,FALSE),"")</f>
        <v/>
      </c>
      <c r="M590" s="106"/>
      <c r="N590" s="111" t="str">
        <f>IF($G590&lt;&gt;"",VLOOKUP($G590,'MASTER TOKO BALI'!$B$2:$W$744,21,FALSE),"")</f>
        <v/>
      </c>
      <c r="O590" s="106"/>
      <c r="P590" s="164" t="str">
        <f>IF($G590&lt;&gt;"",VLOOKUP($G590,'MASTER TOKO BALI'!$B$2:$W$740,7,FALSE),"")</f>
        <v/>
      </c>
    </row>
    <row r="591" spans="1:16" x14ac:dyDescent="0.2">
      <c r="A591" s="106">
        <f>A589+1</f>
        <v>537</v>
      </c>
      <c r="B591" s="107" t="s">
        <v>2038</v>
      </c>
      <c r="C591" s="107" t="s">
        <v>2049</v>
      </c>
      <c r="D591" s="115" t="s">
        <v>2051</v>
      </c>
      <c r="E591" s="109" t="s">
        <v>2037</v>
      </c>
      <c r="F591" s="126"/>
      <c r="G591" s="144"/>
      <c r="H591" s="111" t="str">
        <f>IF($G591&lt;&gt;"",VLOOKUP($G591,'MASTER TOKO BALI'!$B$2:$W$744,2,FALSE),"")</f>
        <v/>
      </c>
      <c r="I591" s="237" t="str">
        <f>IF($G591&lt;&gt;"",VLOOKUP($G591,'MASTER TOKO BALI'!$B$2:$W$744,4,FALSE),"")</f>
        <v/>
      </c>
      <c r="J591" s="112">
        <v>46291</v>
      </c>
      <c r="K591" s="111" t="str">
        <f>IF($G591&lt;&gt;"",VLOOKUP($G591,'MASTER TOKO BALI'!$B$2:$W$744,12,FALSE),"")</f>
        <v/>
      </c>
      <c r="L591" s="111" t="str">
        <f>IF($G591&lt;&gt;"",VLOOKUP($G591,'MASTER TOKO BALI'!$B$2:$W$744,5,FALSE),"")</f>
        <v/>
      </c>
      <c r="M591" s="106"/>
      <c r="N591" s="111" t="str">
        <f>IF($G591&lt;&gt;"",VLOOKUP($G591,'MASTER TOKO BALI'!$B$2:$W$744,21,FALSE),"")</f>
        <v/>
      </c>
      <c r="O591" s="106"/>
      <c r="P591" s="164" t="str">
        <f>IF($G591&lt;&gt;"",VLOOKUP($G591,'MASTER TOKO BALI'!$B$2:$W$740,7,FALSE),"")</f>
        <v/>
      </c>
    </row>
    <row r="592" spans="1:16" ht="14.4" x14ac:dyDescent="0.2">
      <c r="A592" s="106">
        <f t="shared" si="23"/>
        <v>538</v>
      </c>
      <c r="B592" s="107" t="s">
        <v>2052</v>
      </c>
      <c r="C592" s="107" t="s">
        <v>2049</v>
      </c>
      <c r="D592" s="108" t="s">
        <v>2053</v>
      </c>
      <c r="E592" s="109" t="s">
        <v>2037</v>
      </c>
      <c r="F592" s="126"/>
      <c r="G592" s="60"/>
      <c r="H592" s="111" t="str">
        <f>IF($G592&lt;&gt;"",VLOOKUP($G592,'MASTER TOKO BALI'!$B$2:$W$744,2,FALSE),"")</f>
        <v/>
      </c>
      <c r="I592" s="237" t="str">
        <f>IF($G592&lt;&gt;"",VLOOKUP($G592,'MASTER TOKO BALI'!$B$2:$W$744,4,FALSE),"")</f>
        <v/>
      </c>
      <c r="J592" s="112">
        <v>46291</v>
      </c>
      <c r="K592" s="111" t="str">
        <f>IF($G592&lt;&gt;"",VLOOKUP($G592,'MASTER TOKO BALI'!$B$2:$W$744,12,FALSE),"")</f>
        <v/>
      </c>
      <c r="L592" s="111" t="str">
        <f>IF($G592&lt;&gt;"",VLOOKUP($G592,'MASTER TOKO BALI'!$B$2:$W$744,5,FALSE),"")</f>
        <v/>
      </c>
      <c r="M592" s="106"/>
      <c r="N592" s="111" t="str">
        <f>IF($G592&lt;&gt;"",VLOOKUP($G592,'MASTER TOKO BALI'!$B$2:$W$744,21,FALSE),"")</f>
        <v/>
      </c>
      <c r="O592" s="106"/>
      <c r="P592" s="164" t="str">
        <f>IF($G592&lt;&gt;"",VLOOKUP($G592,'MASTER TOKO BALI'!$B$2:$W$740,7,FALSE),"")</f>
        <v/>
      </c>
    </row>
    <row r="593" spans="1:16" x14ac:dyDescent="0.2">
      <c r="A593" s="106">
        <f t="shared" si="23"/>
        <v>539</v>
      </c>
      <c r="B593" s="107" t="s">
        <v>2038</v>
      </c>
      <c r="C593" s="107" t="s">
        <v>2049</v>
      </c>
      <c r="D593" s="113" t="s">
        <v>2051</v>
      </c>
      <c r="E593" s="109" t="s">
        <v>2037</v>
      </c>
      <c r="F593" s="126"/>
      <c r="G593" s="144"/>
      <c r="H593" s="111" t="str">
        <f>IF($G593&lt;&gt;"",VLOOKUP($G593,'MASTER TOKO BALI'!$B$2:$W$744,2,FALSE),"")</f>
        <v/>
      </c>
      <c r="I593" s="237" t="str">
        <f>IF($G593&lt;&gt;"",VLOOKUP($G593,'MASTER TOKO BALI'!$B$2:$W$744,4,FALSE),"")</f>
        <v/>
      </c>
      <c r="J593" s="112">
        <v>46291</v>
      </c>
      <c r="K593" s="111" t="str">
        <f>IF($G593&lt;&gt;"",VLOOKUP($G593,'MASTER TOKO BALI'!$B$2:$W$744,12,FALSE),"")</f>
        <v/>
      </c>
      <c r="L593" s="111" t="str">
        <f>IF($G593&lt;&gt;"",VLOOKUP($G593,'MASTER TOKO BALI'!$B$2:$W$744,5,FALSE),"")</f>
        <v/>
      </c>
      <c r="M593" s="106"/>
      <c r="N593" s="111" t="str">
        <f>IF($G593&lt;&gt;"",VLOOKUP($G593,'MASTER TOKO BALI'!$B$2:$W$744,21,FALSE),"")</f>
        <v/>
      </c>
      <c r="O593" s="106"/>
      <c r="P593" s="164" t="str">
        <f>IF($G593&lt;&gt;"",VLOOKUP($G593,'MASTER TOKO BALI'!$B$2:$W$740,7,FALSE),"")</f>
        <v/>
      </c>
    </row>
    <row r="594" spans="1:16" ht="14.4" x14ac:dyDescent="0.2">
      <c r="A594" s="106">
        <f t="shared" si="23"/>
        <v>540</v>
      </c>
      <c r="B594" s="107" t="s">
        <v>2054</v>
      </c>
      <c r="C594" s="116" t="s">
        <v>2055</v>
      </c>
      <c r="D594" s="108" t="s">
        <v>2056</v>
      </c>
      <c r="E594" s="109" t="s">
        <v>2037</v>
      </c>
      <c r="F594" s="124"/>
      <c r="G594" s="60"/>
      <c r="H594" s="111" t="str">
        <f>IF($G594&lt;&gt;"",VLOOKUP($G594,'MASTER TOKO BALI'!$B$2:$W$744,2,FALSE),"")</f>
        <v/>
      </c>
      <c r="I594" s="237" t="str">
        <f>IF($G594&lt;&gt;"",VLOOKUP($G594,'MASTER TOKO BALI'!$B$2:$W$744,4,FALSE),"")</f>
        <v/>
      </c>
      <c r="J594" s="112">
        <v>46291</v>
      </c>
      <c r="K594" s="111" t="str">
        <f>IF($G594&lt;&gt;"",VLOOKUP($G594,'MASTER TOKO BALI'!$B$2:$W$744,12,FALSE),"")</f>
        <v/>
      </c>
      <c r="L594" s="111" t="str">
        <f>IF($G594&lt;&gt;"",VLOOKUP($G594,'MASTER TOKO BALI'!$B$2:$W$744,5,FALSE),"")</f>
        <v/>
      </c>
      <c r="M594" s="106"/>
      <c r="N594" s="111" t="str">
        <f>IF($G594&lt;&gt;"",VLOOKUP($G594,'MASTER TOKO BALI'!$B$2:$W$744,21,FALSE),"")</f>
        <v/>
      </c>
      <c r="O594" s="106"/>
      <c r="P594" s="164" t="str">
        <f>IF($G594&lt;&gt;"",VLOOKUP($G594,'MASTER TOKO BALI'!$B$2:$W$740,7,FALSE),"")</f>
        <v/>
      </c>
    </row>
    <row r="595" spans="1:16" x14ac:dyDescent="0.2">
      <c r="A595" s="106">
        <f t="shared" si="23"/>
        <v>541</v>
      </c>
      <c r="B595" s="107" t="s">
        <v>2038</v>
      </c>
      <c r="C595" s="116" t="s">
        <v>2055</v>
      </c>
      <c r="D595" s="113" t="s">
        <v>2057</v>
      </c>
      <c r="E595" s="109" t="s">
        <v>2037</v>
      </c>
      <c r="F595" s="124"/>
      <c r="G595" s="144"/>
      <c r="H595" s="111" t="str">
        <f>IF($G595&lt;&gt;"",VLOOKUP($G595,'MASTER TOKO BALI'!$B$2:$W$744,2,FALSE),"")</f>
        <v/>
      </c>
      <c r="I595" s="237" t="str">
        <f>IF($G595&lt;&gt;"",VLOOKUP($G595,'MASTER TOKO BALI'!$B$2:$W$744,4,FALSE),"")</f>
        <v/>
      </c>
      <c r="J595" s="112">
        <v>46291</v>
      </c>
      <c r="K595" s="111" t="str">
        <f>IF($G595&lt;&gt;"",VLOOKUP($G595,'MASTER TOKO BALI'!$B$2:$W$744,12,FALSE),"")</f>
        <v/>
      </c>
      <c r="L595" s="111" t="str">
        <f>IF($G595&lt;&gt;"",VLOOKUP($G595,'MASTER TOKO BALI'!$B$2:$W$744,5,FALSE),"")</f>
        <v/>
      </c>
      <c r="M595" s="106"/>
      <c r="N595" s="111" t="str">
        <f>IF($G595&lt;&gt;"",VLOOKUP($G595,'MASTER TOKO BALI'!$B$2:$W$744,21,FALSE),"")</f>
        <v/>
      </c>
      <c r="O595" s="106"/>
      <c r="P595" s="164" t="str">
        <f>IF($G595&lt;&gt;"",VLOOKUP($G595,'MASTER TOKO BALI'!$B$2:$W$740,7,FALSE),"")</f>
        <v/>
      </c>
    </row>
    <row r="596" spans="1:16" ht="14.4" x14ac:dyDescent="0.2">
      <c r="A596" s="106">
        <f t="shared" si="23"/>
        <v>542</v>
      </c>
      <c r="B596" s="107" t="s">
        <v>2058</v>
      </c>
      <c r="C596" s="116" t="s">
        <v>2055</v>
      </c>
      <c r="D596" s="108" t="s">
        <v>2059</v>
      </c>
      <c r="E596" s="109" t="s">
        <v>2037</v>
      </c>
      <c r="F596" s="124"/>
      <c r="G596" s="60"/>
      <c r="H596" s="111" t="str">
        <f>IF($G596&lt;&gt;"",VLOOKUP($G596,'MASTER TOKO BALI'!$B$2:$W$744,2,FALSE),"")</f>
        <v/>
      </c>
      <c r="I596" s="237" t="str">
        <f>IF($G596&lt;&gt;"",VLOOKUP($G596,'MASTER TOKO BALI'!$B$2:$W$744,4,FALSE),"")</f>
        <v/>
      </c>
      <c r="J596" s="112">
        <v>46291</v>
      </c>
      <c r="K596" s="111" t="str">
        <f>IF($G596&lt;&gt;"",VLOOKUP($G596,'MASTER TOKO BALI'!$B$2:$W$744,12,FALSE),"")</f>
        <v/>
      </c>
      <c r="L596" s="111" t="str">
        <f>IF($G596&lt;&gt;"",VLOOKUP($G596,'MASTER TOKO BALI'!$B$2:$W$744,5,FALSE),"")</f>
        <v/>
      </c>
      <c r="M596" s="106"/>
      <c r="N596" s="111" t="str">
        <f>IF($G596&lt;&gt;"",VLOOKUP($G596,'MASTER TOKO BALI'!$B$2:$W$744,21,FALSE),"")</f>
        <v/>
      </c>
      <c r="O596" s="106"/>
      <c r="P596" s="164" t="str">
        <f>IF($G596&lt;&gt;"",VLOOKUP($G596,'MASTER TOKO BALI'!$B$2:$W$740,7,FALSE),"")</f>
        <v/>
      </c>
    </row>
    <row r="597" spans="1:16" ht="14.4" x14ac:dyDescent="0.2">
      <c r="A597" s="106">
        <f t="shared" si="23"/>
        <v>543</v>
      </c>
      <c r="B597" s="107" t="s">
        <v>2038</v>
      </c>
      <c r="C597" s="116" t="s">
        <v>2055</v>
      </c>
      <c r="D597" s="113" t="s">
        <v>2057</v>
      </c>
      <c r="E597" s="109" t="s">
        <v>2037</v>
      </c>
      <c r="F597" s="124"/>
      <c r="G597" s="60"/>
      <c r="H597" s="111" t="str">
        <f>IF($G597&lt;&gt;"",VLOOKUP($G597,'MASTER TOKO BALI'!$B$2:$W$744,2,FALSE),"")</f>
        <v/>
      </c>
      <c r="I597" s="237" t="str">
        <f>IF($G597&lt;&gt;"",VLOOKUP($G597,'MASTER TOKO BALI'!$B$2:$W$744,4,FALSE),"")</f>
        <v/>
      </c>
      <c r="J597" s="112">
        <v>46291</v>
      </c>
      <c r="K597" s="111" t="str">
        <f>IF($G597&lt;&gt;"",VLOOKUP($G597,'MASTER TOKO BALI'!$B$2:$W$744,12,FALSE),"")</f>
        <v/>
      </c>
      <c r="L597" s="111" t="str">
        <f>IF($G597&lt;&gt;"",VLOOKUP($G597,'MASTER TOKO BALI'!$B$2:$W$744,5,FALSE),"")</f>
        <v/>
      </c>
      <c r="M597" s="106"/>
      <c r="N597" s="111" t="str">
        <f>IF($G597&lt;&gt;"",VLOOKUP($G597,'MASTER TOKO BALI'!$B$2:$W$744,21,FALSE),"")</f>
        <v/>
      </c>
      <c r="O597" s="106"/>
      <c r="P597" s="164" t="str">
        <f>IF($G597&lt;&gt;"",VLOOKUP($G597,'MASTER TOKO BALI'!$B$2:$W$740,7,FALSE),"")</f>
        <v/>
      </c>
    </row>
    <row r="598" spans="1:16" ht="14.4" x14ac:dyDescent="0.2">
      <c r="A598" s="106">
        <f t="shared" si="23"/>
        <v>544</v>
      </c>
      <c r="B598" s="107" t="s">
        <v>2060</v>
      </c>
      <c r="C598" s="116" t="s">
        <v>2061</v>
      </c>
      <c r="D598" s="108" t="s">
        <v>2062</v>
      </c>
      <c r="E598" s="109" t="s">
        <v>2037</v>
      </c>
      <c r="F598" s="129"/>
      <c r="G598" s="60"/>
      <c r="H598" s="111" t="str">
        <f>IF($G598&lt;&gt;"",VLOOKUP($G598,'MASTER TOKO BALI'!$B$2:$W$744,2,FALSE),"")</f>
        <v/>
      </c>
      <c r="I598" s="237" t="str">
        <f>IF($G598&lt;&gt;"",VLOOKUP($G598,'MASTER TOKO BALI'!$B$2:$W$744,4,FALSE),"")</f>
        <v/>
      </c>
      <c r="J598" s="112">
        <v>46291</v>
      </c>
      <c r="K598" s="111" t="str">
        <f>IF($G598&lt;&gt;"",VLOOKUP($G598,'MASTER TOKO BALI'!$B$2:$W$744,12,FALSE),"")</f>
        <v/>
      </c>
      <c r="L598" s="111" t="str">
        <f>IF($G598&lt;&gt;"",VLOOKUP($G598,'MASTER TOKO BALI'!$B$2:$W$744,5,FALSE),"")</f>
        <v/>
      </c>
      <c r="M598" s="106"/>
      <c r="N598" s="111" t="str">
        <f>IF($G598&lt;&gt;"",VLOOKUP($G598,'MASTER TOKO BALI'!$B$2:$W$744,21,FALSE),"")</f>
        <v/>
      </c>
      <c r="O598" s="106"/>
      <c r="P598" s="164" t="str">
        <f>IF($G598&lt;&gt;"",VLOOKUP($G598,'MASTER TOKO BALI'!$B$2:$W$740,7,FALSE),"")</f>
        <v/>
      </c>
    </row>
    <row r="599" spans="1:16" x14ac:dyDescent="0.2">
      <c r="A599" s="106">
        <f t="shared" si="23"/>
        <v>545</v>
      </c>
      <c r="B599" s="107" t="s">
        <v>2038</v>
      </c>
      <c r="C599" s="116" t="s">
        <v>2061</v>
      </c>
      <c r="D599" s="113" t="s">
        <v>2063</v>
      </c>
      <c r="E599" s="109" t="s">
        <v>2037</v>
      </c>
      <c r="F599" s="126"/>
      <c r="G599" s="144"/>
      <c r="H599" s="111" t="str">
        <f>IF($G599&lt;&gt;"",VLOOKUP($G599,'MASTER TOKO BALI'!$B$2:$W$744,2,FALSE),"")</f>
        <v/>
      </c>
      <c r="I599" s="237" t="str">
        <f>IF($G599&lt;&gt;"",VLOOKUP($G599,'MASTER TOKO BALI'!$B$2:$W$744,4,FALSE),"")</f>
        <v/>
      </c>
      <c r="J599" s="112">
        <v>46291</v>
      </c>
      <c r="K599" s="111" t="str">
        <f>IF($G599&lt;&gt;"",VLOOKUP($G599,'MASTER TOKO BALI'!$B$2:$W$744,12,FALSE),"")</f>
        <v/>
      </c>
      <c r="L599" s="111" t="str">
        <f>IF($G599&lt;&gt;"",VLOOKUP($G599,'MASTER TOKO BALI'!$B$2:$W$744,5,FALSE),"")</f>
        <v/>
      </c>
      <c r="M599" s="106"/>
      <c r="N599" s="111" t="str">
        <f>IF($G599&lt;&gt;"",VLOOKUP($G599,'MASTER TOKO BALI'!$B$2:$W$744,21,FALSE),"")</f>
        <v/>
      </c>
      <c r="O599" s="106"/>
      <c r="P599" s="164" t="str">
        <f>IF($G599&lt;&gt;"",VLOOKUP($G599,'MASTER TOKO BALI'!$B$2:$W$740,7,FALSE),"")</f>
        <v/>
      </c>
    </row>
    <row r="600" spans="1:16" ht="14.4" x14ac:dyDescent="0.2">
      <c r="A600" s="106">
        <f t="shared" si="23"/>
        <v>546</v>
      </c>
      <c r="B600" s="107" t="s">
        <v>2064</v>
      </c>
      <c r="C600" s="116" t="s">
        <v>2061</v>
      </c>
      <c r="D600" s="108" t="s">
        <v>2065</v>
      </c>
      <c r="E600" s="109" t="s">
        <v>2037</v>
      </c>
      <c r="F600" s="126"/>
      <c r="G600" s="60"/>
      <c r="H600" s="111" t="str">
        <f>IF($G600&lt;&gt;"",VLOOKUP($G600,'MASTER TOKO BALI'!$B$2:$W$744,2,FALSE),"")</f>
        <v/>
      </c>
      <c r="I600" s="237" t="str">
        <f>IF($G600&lt;&gt;"",VLOOKUP($G600,'MASTER TOKO BALI'!$B$2:$W$744,4,FALSE),"")</f>
        <v/>
      </c>
      <c r="J600" s="112">
        <v>46291</v>
      </c>
      <c r="K600" s="111" t="str">
        <f>IF($G600&lt;&gt;"",VLOOKUP($G600,'MASTER TOKO BALI'!$B$2:$W$744,12,FALSE),"")</f>
        <v/>
      </c>
      <c r="L600" s="111" t="str">
        <f>IF($G600&lt;&gt;"",VLOOKUP($G600,'MASTER TOKO BALI'!$B$2:$W$744,5,FALSE),"")</f>
        <v/>
      </c>
      <c r="M600" s="106"/>
      <c r="N600" s="111" t="str">
        <f>IF($G600&lt;&gt;"",VLOOKUP($G600,'MASTER TOKO BALI'!$B$2:$W$744,21,FALSE),"")</f>
        <v/>
      </c>
      <c r="O600" s="106"/>
      <c r="P600" s="164" t="str">
        <f>IF($G600&lt;&gt;"",VLOOKUP($G600,'MASTER TOKO BALI'!$B$2:$W$740,7,FALSE),"")</f>
        <v/>
      </c>
    </row>
    <row r="601" spans="1:16" x14ac:dyDescent="0.2">
      <c r="A601" s="106">
        <f t="shared" si="23"/>
        <v>547</v>
      </c>
      <c r="B601" s="107" t="s">
        <v>2066</v>
      </c>
      <c r="C601" s="116" t="s">
        <v>2061</v>
      </c>
      <c r="D601" s="113" t="s">
        <v>2063</v>
      </c>
      <c r="E601" s="109" t="s">
        <v>2037</v>
      </c>
      <c r="F601" s="126"/>
      <c r="G601" s="144"/>
      <c r="H601" s="111" t="str">
        <f>IF($G601&lt;&gt;"",VLOOKUP($G601,'MASTER TOKO BALI'!$B$2:$W$744,2,FALSE),"")</f>
        <v/>
      </c>
      <c r="I601" s="237" t="str">
        <f>IF($G601&lt;&gt;"",VLOOKUP($G601,'MASTER TOKO BALI'!$B$2:$W$744,4,FALSE),"")</f>
        <v/>
      </c>
      <c r="J601" s="112">
        <v>46291</v>
      </c>
      <c r="K601" s="111" t="str">
        <f>IF($G601&lt;&gt;"",VLOOKUP($G601,'MASTER TOKO BALI'!$B$2:$W$744,12,FALSE),"")</f>
        <v/>
      </c>
      <c r="L601" s="111" t="str">
        <f>IF($G601&lt;&gt;"",VLOOKUP($G601,'MASTER TOKO BALI'!$B$2:$W$744,5,FALSE),"")</f>
        <v/>
      </c>
      <c r="M601" s="106"/>
      <c r="N601" s="111" t="str">
        <f>IF($G601&lt;&gt;"",VLOOKUP($G601,'MASTER TOKO BALI'!$B$2:$W$744,21,FALSE),"")</f>
        <v/>
      </c>
      <c r="O601" s="106"/>
      <c r="P601" s="164" t="str">
        <f>IF($G601&lt;&gt;"",VLOOKUP($G601,'MASTER TOKO BALI'!$B$2:$W$740,7,FALSE),"")</f>
        <v/>
      </c>
    </row>
    <row r="602" spans="1:16" ht="14.4" x14ac:dyDescent="0.2">
      <c r="A602" s="106">
        <f t="shared" si="23"/>
        <v>548</v>
      </c>
      <c r="B602" s="107" t="s">
        <v>2067</v>
      </c>
      <c r="C602" s="107" t="s">
        <v>2068</v>
      </c>
      <c r="D602" s="108" t="s">
        <v>2069</v>
      </c>
      <c r="E602" s="109" t="s">
        <v>2037</v>
      </c>
      <c r="F602" s="126"/>
      <c r="G602" s="60"/>
      <c r="H602" s="111" t="str">
        <f>IF($G602&lt;&gt;"",VLOOKUP($G602,'MASTER TOKO BALI'!$B$2:$W$744,2,FALSE),"")</f>
        <v/>
      </c>
      <c r="I602" s="237" t="str">
        <f>IF($G602&lt;&gt;"",VLOOKUP($G602,'MASTER TOKO BALI'!$B$2:$W$744,4,FALSE),"")</f>
        <v/>
      </c>
      <c r="J602" s="112">
        <v>46291</v>
      </c>
      <c r="K602" s="111" t="str">
        <f>IF($G602&lt;&gt;"",VLOOKUP($G602,'MASTER TOKO BALI'!$B$2:$W$744,12,FALSE),"")</f>
        <v/>
      </c>
      <c r="L602" s="111" t="str">
        <f>IF($G602&lt;&gt;"",VLOOKUP($G602,'MASTER TOKO BALI'!$B$2:$W$744,5,FALSE),"")</f>
        <v/>
      </c>
      <c r="M602" s="106"/>
      <c r="N602" s="111" t="str">
        <f>IF($G602&lt;&gt;"",VLOOKUP($G602,'MASTER TOKO BALI'!$B$2:$W$744,21,FALSE),"")</f>
        <v/>
      </c>
      <c r="O602" s="106"/>
      <c r="P602" s="164" t="str">
        <f>IF($G602&lt;&gt;"",VLOOKUP($G602,'MASTER TOKO BALI'!$B$2:$W$740,7,FALSE),"")</f>
        <v/>
      </c>
    </row>
    <row r="603" spans="1:16" ht="14.4" x14ac:dyDescent="0.2">
      <c r="A603" s="106">
        <f t="shared" si="23"/>
        <v>549</v>
      </c>
      <c r="B603" s="107" t="s">
        <v>2066</v>
      </c>
      <c r="C603" s="107" t="s">
        <v>2068</v>
      </c>
      <c r="D603" s="117" t="s">
        <v>2070</v>
      </c>
      <c r="E603" s="109" t="s">
        <v>2037</v>
      </c>
      <c r="F603" s="126"/>
      <c r="G603" s="60"/>
      <c r="H603" s="111" t="str">
        <f>IF($G603&lt;&gt;"",VLOOKUP($G603,'MASTER TOKO BALI'!$B$2:$W$744,2,FALSE),"")</f>
        <v/>
      </c>
      <c r="I603" s="237" t="str">
        <f>IF($G603&lt;&gt;"",VLOOKUP($G603,'MASTER TOKO BALI'!$B$2:$W$744,4,FALSE),"")</f>
        <v/>
      </c>
      <c r="J603" s="112">
        <v>46291</v>
      </c>
      <c r="K603" s="111" t="str">
        <f>IF($G603&lt;&gt;"",VLOOKUP($G603,'MASTER TOKO BALI'!$B$2:$W$744,12,FALSE),"")</f>
        <v/>
      </c>
      <c r="L603" s="111" t="str">
        <f>IF($G603&lt;&gt;"",VLOOKUP($G603,'MASTER TOKO BALI'!$B$2:$W$744,5,FALSE),"")</f>
        <v/>
      </c>
      <c r="M603" s="106"/>
      <c r="N603" s="111" t="str">
        <f>IF($G603&lt;&gt;"",VLOOKUP($G603,'MASTER TOKO BALI'!$B$2:$W$744,21,FALSE),"")</f>
        <v/>
      </c>
      <c r="O603" s="106"/>
      <c r="P603" s="164" t="str">
        <f>IF($G603&lt;&gt;"",VLOOKUP($G603,'MASTER TOKO BALI'!$B$2:$W$740,7,FALSE),"")</f>
        <v/>
      </c>
    </row>
    <row r="604" spans="1:16" x14ac:dyDescent="0.2">
      <c r="A604" s="106">
        <f t="shared" si="23"/>
        <v>550</v>
      </c>
      <c r="B604" s="107" t="s">
        <v>2071</v>
      </c>
      <c r="C604" s="107" t="s">
        <v>2068</v>
      </c>
      <c r="D604" s="116" t="s">
        <v>2003</v>
      </c>
      <c r="E604" s="109" t="s">
        <v>2037</v>
      </c>
      <c r="F604" s="126"/>
      <c r="G604" s="144"/>
      <c r="H604" s="111" t="str">
        <f>IF($G604&lt;&gt;"",VLOOKUP($G604,'MASTER TOKO BALI'!$B$2:$W$744,2,FALSE),"")</f>
        <v/>
      </c>
      <c r="I604" s="237" t="str">
        <f>IF($G604&lt;&gt;"",VLOOKUP($G604,'MASTER TOKO BALI'!$B$2:$W$744,4,FALSE),"")</f>
        <v/>
      </c>
      <c r="J604" s="112">
        <v>46291</v>
      </c>
      <c r="K604" s="111" t="str">
        <f>IF($G604&lt;&gt;"",VLOOKUP($G604,'MASTER TOKO BALI'!$B$2:$W$744,12,FALSE),"")</f>
        <v/>
      </c>
      <c r="L604" s="111" t="str">
        <f>IF($G604&lt;&gt;"",VLOOKUP($G604,'MASTER TOKO BALI'!$B$2:$W$744,5,FALSE),"")</f>
        <v/>
      </c>
      <c r="M604" s="106"/>
      <c r="N604" s="111" t="str">
        <f>IF($G604&lt;&gt;"",VLOOKUP($G604,'MASTER TOKO BALI'!$B$2:$W$744,21,FALSE),"")</f>
        <v/>
      </c>
      <c r="O604" s="106"/>
      <c r="P604" s="164" t="str">
        <f>IF($G604&lt;&gt;"",VLOOKUP($G604,'MASTER TOKO BALI'!$B$2:$W$740,7,FALSE),"")</f>
        <v/>
      </c>
    </row>
    <row r="605" spans="1:16" x14ac:dyDescent="0.2">
      <c r="A605" s="106">
        <f t="shared" si="23"/>
        <v>551</v>
      </c>
      <c r="B605" s="107" t="s">
        <v>2066</v>
      </c>
      <c r="C605" s="107" t="s">
        <v>2068</v>
      </c>
      <c r="D605" s="117" t="s">
        <v>2070</v>
      </c>
      <c r="E605" s="109" t="s">
        <v>2037</v>
      </c>
      <c r="F605" s="126"/>
      <c r="G605" s="144"/>
      <c r="H605" s="111" t="str">
        <f>IF($G605&lt;&gt;"",VLOOKUP($G605,'MASTER TOKO BALI'!$B$2:$W$744,2,FALSE),"")</f>
        <v/>
      </c>
      <c r="I605" s="237" t="str">
        <f>IF($G605&lt;&gt;"",VLOOKUP($G605,'MASTER TOKO BALI'!$B$2:$W$744,4,FALSE),"")</f>
        <v/>
      </c>
      <c r="J605" s="112">
        <v>46291</v>
      </c>
      <c r="K605" s="111" t="str">
        <f>IF($G605&lt;&gt;"",VLOOKUP($G605,'MASTER TOKO BALI'!$B$2:$W$744,12,FALSE),"")</f>
        <v/>
      </c>
      <c r="L605" s="111" t="str">
        <f>IF($G605&lt;&gt;"",VLOOKUP($G605,'MASTER TOKO BALI'!$B$2:$W$744,5,FALSE),"")</f>
        <v/>
      </c>
      <c r="M605" s="106"/>
      <c r="N605" s="111" t="str">
        <f>IF($G605&lt;&gt;"",VLOOKUP($G605,'MASTER TOKO BALI'!$B$2:$W$744,21,FALSE),"")</f>
        <v/>
      </c>
      <c r="O605" s="106"/>
      <c r="P605" s="164" t="str">
        <f>IF($G605&lt;&gt;"",VLOOKUP($G605,'MASTER TOKO BALI'!$B$2:$W$740,7,FALSE),"")</f>
        <v/>
      </c>
    </row>
    <row r="606" spans="1:16" x14ac:dyDescent="0.2">
      <c r="A606" s="106"/>
      <c r="B606" s="107"/>
      <c r="C606" s="107"/>
      <c r="D606" s="111"/>
      <c r="E606" s="114"/>
      <c r="F606" s="126"/>
      <c r="G606" s="144"/>
      <c r="H606" s="111" t="str">
        <f>IF($G606&lt;&gt;"",VLOOKUP($G606,'MASTER TOKO BALI'!$B$2:$W$744,2,FALSE),"")</f>
        <v/>
      </c>
      <c r="I606" s="237" t="str">
        <f>IF($G606&lt;&gt;"",VLOOKUP($G606,'MASTER TOKO BALI'!$B$2:$W$744,4,FALSE),"")</f>
        <v/>
      </c>
      <c r="J606" s="119"/>
      <c r="K606" s="111" t="str">
        <f>IF($G606&lt;&gt;"",VLOOKUP($G606,'MASTER TOKO BALI'!$B$2:$W$744,12,FALSE),"")</f>
        <v/>
      </c>
      <c r="L606" s="111" t="str">
        <f>IF($G606&lt;&gt;"",VLOOKUP($G606,'MASTER TOKO BALI'!$B$2:$W$744,5,FALSE),"")</f>
        <v/>
      </c>
      <c r="M606" s="106"/>
      <c r="N606" s="111" t="str">
        <f>IF($G606&lt;&gt;"",VLOOKUP($G606,'MASTER TOKO BALI'!$B$2:$W$744,21,FALSE),"")</f>
        <v/>
      </c>
      <c r="O606" s="106"/>
      <c r="P606" s="164" t="str">
        <f>IF($G606&lt;&gt;"",VLOOKUP($G606,'MASTER TOKO BALI'!$B$2:$W$740,7,FALSE),"")</f>
        <v/>
      </c>
    </row>
    <row r="607" spans="1:16" x14ac:dyDescent="0.2">
      <c r="A607" s="106">
        <f>A605+1</f>
        <v>552</v>
      </c>
      <c r="B607" s="107" t="s">
        <v>2034</v>
      </c>
      <c r="C607" s="107" t="s">
        <v>2035</v>
      </c>
      <c r="D607" s="108" t="s">
        <v>2036</v>
      </c>
      <c r="E607" s="114" t="s">
        <v>2073</v>
      </c>
      <c r="F607" s="126"/>
      <c r="G607" s="144"/>
      <c r="H607" s="111" t="str">
        <f>IF($G607&lt;&gt;"",VLOOKUP($G607,'MASTER TOKO BALI'!$B$2:$W$744,2,FALSE),"")</f>
        <v/>
      </c>
      <c r="I607" s="237" t="str">
        <f>IF($G607&lt;&gt;"",VLOOKUP($G607,'MASTER TOKO BALI'!$B$2:$W$744,4,FALSE),"")</f>
        <v/>
      </c>
      <c r="J607" s="140">
        <v>46293</v>
      </c>
      <c r="K607" s="111" t="str">
        <f>IF($G607&lt;&gt;"",VLOOKUP($G607,'MASTER TOKO BALI'!$B$2:$W$744,12,FALSE),"")</f>
        <v/>
      </c>
      <c r="L607" s="111" t="str">
        <f>IF($G607&lt;&gt;"",VLOOKUP($G607,'MASTER TOKO BALI'!$B$2:$W$744,5,FALSE),"")</f>
        <v/>
      </c>
      <c r="M607" s="106"/>
      <c r="N607" s="111" t="str">
        <f>IF($G607&lt;&gt;"",VLOOKUP($G607,'MASTER TOKO BALI'!$B$2:$W$744,21,FALSE),"")</f>
        <v/>
      </c>
      <c r="O607" s="106"/>
      <c r="P607" s="164" t="str">
        <f>IF($G607&lt;&gt;"",VLOOKUP($G607,'MASTER TOKO BALI'!$B$2:$W$740,7,FALSE),"")</f>
        <v/>
      </c>
    </row>
    <row r="608" spans="1:16" x14ac:dyDescent="0.2">
      <c r="A608" s="106">
        <f t="shared" ref="A608:A630" si="24">A607+1</f>
        <v>553</v>
      </c>
      <c r="B608" s="107" t="s">
        <v>2038</v>
      </c>
      <c r="C608" s="107" t="s">
        <v>2035</v>
      </c>
      <c r="D608" s="113" t="s">
        <v>2039</v>
      </c>
      <c r="E608" s="114" t="s">
        <v>2073</v>
      </c>
      <c r="F608" s="126"/>
      <c r="G608" s="144"/>
      <c r="H608" s="111" t="str">
        <f>IF($G608&lt;&gt;"",VLOOKUP($G608,'MASTER TOKO BALI'!$B$2:$W$744,2,FALSE),"")</f>
        <v/>
      </c>
      <c r="I608" s="237" t="str">
        <f>IF($G608&lt;&gt;"",VLOOKUP($G608,'MASTER TOKO BALI'!$B$2:$W$744,4,FALSE),"")</f>
        <v/>
      </c>
      <c r="J608" s="140">
        <v>46293</v>
      </c>
      <c r="K608" s="111" t="str">
        <f>IF($G608&lt;&gt;"",VLOOKUP($G608,'MASTER TOKO BALI'!$B$2:$W$744,12,FALSE),"")</f>
        <v/>
      </c>
      <c r="L608" s="111" t="str">
        <f>IF($G608&lt;&gt;"",VLOOKUP($G608,'MASTER TOKO BALI'!$B$2:$W$744,5,FALSE),"")</f>
        <v/>
      </c>
      <c r="M608" s="106"/>
      <c r="N608" s="111" t="str">
        <f>IF($G608&lt;&gt;"",VLOOKUP($G608,'MASTER TOKO BALI'!$B$2:$W$744,21,FALSE),"")</f>
        <v/>
      </c>
      <c r="O608" s="106"/>
      <c r="P608" s="164" t="str">
        <f>IF($G608&lt;&gt;"",VLOOKUP($G608,'MASTER TOKO BALI'!$B$2:$W$740,7,FALSE),"")</f>
        <v/>
      </c>
    </row>
    <row r="609" spans="1:16" x14ac:dyDescent="0.2">
      <c r="A609" s="106"/>
      <c r="B609" s="107" t="s">
        <v>2040</v>
      </c>
      <c r="C609" s="107" t="s">
        <v>2035</v>
      </c>
      <c r="D609" s="108" t="s">
        <v>2041</v>
      </c>
      <c r="E609" s="114" t="s">
        <v>2073</v>
      </c>
      <c r="F609" s="126"/>
      <c r="G609" s="144"/>
      <c r="H609" s="111" t="str">
        <f>IF($G609&lt;&gt;"",VLOOKUP($G609,'MASTER TOKO BALI'!$B$2:$W$744,2,FALSE),"")</f>
        <v/>
      </c>
      <c r="I609" s="237" t="str">
        <f>IF($G609&lt;&gt;"",VLOOKUP($G609,'MASTER TOKO BALI'!$B$2:$W$744,4,FALSE),"")</f>
        <v/>
      </c>
      <c r="J609" s="140">
        <v>46293</v>
      </c>
      <c r="K609" s="111" t="str">
        <f>IF($G609&lt;&gt;"",VLOOKUP($G609,'MASTER TOKO BALI'!$B$2:$W$744,12,FALSE),"")</f>
        <v/>
      </c>
      <c r="L609" s="111" t="str">
        <f>IF($G609&lt;&gt;"",VLOOKUP($G609,'MASTER TOKO BALI'!$B$2:$W$744,5,FALSE),"")</f>
        <v/>
      </c>
      <c r="M609" s="106"/>
      <c r="N609" s="111" t="str">
        <f>IF($G609&lt;&gt;"",VLOOKUP($G609,'MASTER TOKO BALI'!$B$2:$W$744,21,FALSE),"")</f>
        <v/>
      </c>
      <c r="O609" s="106"/>
      <c r="P609" s="164" t="str">
        <f>IF($G609&lt;&gt;"",VLOOKUP($G609,'MASTER TOKO BALI'!$B$2:$W$740,7,FALSE),"")</f>
        <v/>
      </c>
    </row>
    <row r="610" spans="1:16" ht="9.75" customHeight="1" x14ac:dyDescent="0.2">
      <c r="A610" s="106">
        <f>A608+1</f>
        <v>554</v>
      </c>
      <c r="B610" s="107" t="s">
        <v>2038</v>
      </c>
      <c r="C610" s="107" t="s">
        <v>2035</v>
      </c>
      <c r="D610" s="113" t="s">
        <v>2039</v>
      </c>
      <c r="E610" s="114" t="s">
        <v>2073</v>
      </c>
      <c r="F610" s="126"/>
      <c r="G610" s="144"/>
      <c r="H610" s="111" t="str">
        <f>IF($G610&lt;&gt;"",VLOOKUP($G610,'MASTER TOKO BALI'!$B$2:$W$744,2,FALSE),"")</f>
        <v/>
      </c>
      <c r="I610" s="237" t="str">
        <f>IF($G610&lt;&gt;"",VLOOKUP($G610,'MASTER TOKO BALI'!$B$2:$W$744,4,FALSE),"")</f>
        <v/>
      </c>
      <c r="J610" s="140">
        <v>46293</v>
      </c>
      <c r="K610" s="111" t="str">
        <f>IF($G610&lt;&gt;"",VLOOKUP($G610,'MASTER TOKO BALI'!$B$2:$W$744,12,FALSE),"")</f>
        <v/>
      </c>
      <c r="L610" s="111" t="str">
        <f>IF($G610&lt;&gt;"",VLOOKUP($G610,'MASTER TOKO BALI'!$B$2:$W$744,5,FALSE),"")</f>
        <v/>
      </c>
      <c r="M610" s="106"/>
      <c r="N610" s="111" t="str">
        <f>IF($G610&lt;&gt;"",VLOOKUP($G610,'MASTER TOKO BALI'!$B$2:$W$744,21,FALSE),"")</f>
        <v/>
      </c>
      <c r="O610" s="106"/>
      <c r="P610" s="164" t="str">
        <f>IF($G610&lt;&gt;"",VLOOKUP($G610,'MASTER TOKO BALI'!$B$2:$W$740,7,FALSE),"")</f>
        <v/>
      </c>
    </row>
    <row r="611" spans="1:16" x14ac:dyDescent="0.2">
      <c r="A611" s="106">
        <f t="shared" si="24"/>
        <v>555</v>
      </c>
      <c r="B611" s="107" t="s">
        <v>2042</v>
      </c>
      <c r="C611" s="107" t="s">
        <v>2043</v>
      </c>
      <c r="D611" s="108" t="s">
        <v>2044</v>
      </c>
      <c r="E611" s="114" t="s">
        <v>2073</v>
      </c>
      <c r="F611" s="126"/>
      <c r="G611" s="144"/>
      <c r="H611" s="111" t="str">
        <f>IF($G611&lt;&gt;"",VLOOKUP($G611,'MASTER TOKO BALI'!$B$2:$W$744,2,FALSE),"")</f>
        <v/>
      </c>
      <c r="I611" s="237" t="str">
        <f>IF($G611&lt;&gt;"",VLOOKUP($G611,'MASTER TOKO BALI'!$B$2:$W$744,4,FALSE),"")</f>
        <v/>
      </c>
      <c r="J611" s="140">
        <v>46293</v>
      </c>
      <c r="K611" s="111" t="str">
        <f>IF($G611&lt;&gt;"",VLOOKUP($G611,'MASTER TOKO BALI'!$B$2:$W$744,12,FALSE),"")</f>
        <v/>
      </c>
      <c r="L611" s="111" t="str">
        <f>IF($G611&lt;&gt;"",VLOOKUP($G611,'MASTER TOKO BALI'!$B$2:$W$744,5,FALSE),"")</f>
        <v/>
      </c>
      <c r="M611" s="106"/>
      <c r="N611" s="111" t="str">
        <f>IF($G611&lt;&gt;"",VLOOKUP($G611,'MASTER TOKO BALI'!$B$2:$W$744,21,FALSE),"")</f>
        <v/>
      </c>
      <c r="O611" s="106"/>
      <c r="P611" s="164" t="str">
        <f>IF($G611&lt;&gt;"",VLOOKUP($G611,'MASTER TOKO BALI'!$B$2:$W$740,7,FALSE),"")</f>
        <v/>
      </c>
    </row>
    <row r="612" spans="1:16" x14ac:dyDescent="0.2">
      <c r="A612" s="106">
        <f t="shared" si="24"/>
        <v>556</v>
      </c>
      <c r="B612" s="107" t="s">
        <v>2038</v>
      </c>
      <c r="C612" s="107" t="s">
        <v>2043</v>
      </c>
      <c r="D612" s="113" t="s">
        <v>2045</v>
      </c>
      <c r="E612" s="114" t="s">
        <v>2073</v>
      </c>
      <c r="F612" s="110"/>
      <c r="G612" s="144"/>
      <c r="H612" s="111" t="str">
        <f>IF($G612&lt;&gt;"",VLOOKUP($G612,'MASTER TOKO BALI'!$B$2:$W$744,2,FALSE),"")</f>
        <v/>
      </c>
      <c r="I612" s="237" t="str">
        <f>IF($G612&lt;&gt;"",VLOOKUP($G612,'MASTER TOKO BALI'!$B$2:$W$744,4,FALSE),"")</f>
        <v/>
      </c>
      <c r="J612" s="140">
        <v>46293</v>
      </c>
      <c r="K612" s="111" t="str">
        <f>IF($G612&lt;&gt;"",VLOOKUP($G612,'MASTER TOKO BALI'!$B$2:$W$744,12,FALSE),"")</f>
        <v/>
      </c>
      <c r="L612" s="111" t="str">
        <f>IF($G612&lt;&gt;"",VLOOKUP($G612,'MASTER TOKO BALI'!$B$2:$W$744,5,FALSE),"")</f>
        <v/>
      </c>
      <c r="M612" s="106"/>
      <c r="N612" s="111" t="str">
        <f>IF($G612&lt;&gt;"",VLOOKUP($G612,'MASTER TOKO BALI'!$B$2:$W$744,21,FALSE),"")</f>
        <v/>
      </c>
      <c r="O612" s="106"/>
      <c r="P612" s="164" t="str">
        <f>IF($G612&lt;&gt;"",VLOOKUP($G612,'MASTER TOKO BALI'!$B$2:$W$740,7,FALSE),"")</f>
        <v/>
      </c>
    </row>
    <row r="613" spans="1:16" x14ac:dyDescent="0.2">
      <c r="A613" s="106">
        <f t="shared" si="24"/>
        <v>557</v>
      </c>
      <c r="B613" s="107" t="s">
        <v>2046</v>
      </c>
      <c r="C613" s="107" t="s">
        <v>2043</v>
      </c>
      <c r="D613" s="108" t="s">
        <v>2047</v>
      </c>
      <c r="E613" s="114" t="s">
        <v>2073</v>
      </c>
      <c r="F613" s="110"/>
      <c r="G613" s="144"/>
      <c r="H613" s="111" t="str">
        <f>IF($G613&lt;&gt;"",VLOOKUP($G613,'MASTER TOKO BALI'!$B$2:$W$744,2,FALSE),"")</f>
        <v/>
      </c>
      <c r="I613" s="237" t="str">
        <f>IF($G613&lt;&gt;"",VLOOKUP($G613,'MASTER TOKO BALI'!$B$2:$W$744,4,FALSE),"")</f>
        <v/>
      </c>
      <c r="J613" s="140">
        <v>46293</v>
      </c>
      <c r="K613" s="111" t="str">
        <f>IF($G613&lt;&gt;"",VLOOKUP($G613,'MASTER TOKO BALI'!$B$2:$W$744,12,FALSE),"")</f>
        <v/>
      </c>
      <c r="L613" s="111" t="str">
        <f>IF($G613&lt;&gt;"",VLOOKUP($G613,'MASTER TOKO BALI'!$B$2:$W$744,5,FALSE),"")</f>
        <v/>
      </c>
      <c r="M613" s="106"/>
      <c r="N613" s="111" t="str">
        <f>IF($G613&lt;&gt;"",VLOOKUP($G613,'MASTER TOKO BALI'!$B$2:$W$744,21,FALSE),"")</f>
        <v/>
      </c>
      <c r="O613" s="106"/>
      <c r="P613" s="164" t="str">
        <f>IF($G613&lt;&gt;"",VLOOKUP($G613,'MASTER TOKO BALI'!$B$2:$W$740,7,FALSE),"")</f>
        <v/>
      </c>
    </row>
    <row r="614" spans="1:16" x14ac:dyDescent="0.2">
      <c r="A614" s="106">
        <f t="shared" si="24"/>
        <v>558</v>
      </c>
      <c r="B614" s="107" t="s">
        <v>2038</v>
      </c>
      <c r="C614" s="107" t="s">
        <v>2043</v>
      </c>
      <c r="D614" s="113" t="s">
        <v>2045</v>
      </c>
      <c r="E614" s="114" t="s">
        <v>2073</v>
      </c>
      <c r="F614" s="123"/>
      <c r="G614" s="144"/>
      <c r="H614" s="111" t="str">
        <f>IF($G614&lt;&gt;"",VLOOKUP($G614,'MASTER TOKO BALI'!$B$2:$W$744,2,FALSE),"")</f>
        <v/>
      </c>
      <c r="I614" s="237" t="str">
        <f>IF($G614&lt;&gt;"",VLOOKUP($G614,'MASTER TOKO BALI'!$B$2:$W$744,4,FALSE),"")</f>
        <v/>
      </c>
      <c r="J614" s="140">
        <v>46293</v>
      </c>
      <c r="K614" s="111" t="str">
        <f>IF($G614&lt;&gt;"",VLOOKUP($G614,'MASTER TOKO BALI'!$B$2:$W$744,12,FALSE),"")</f>
        <v/>
      </c>
      <c r="L614" s="111" t="str">
        <f>IF($G614&lt;&gt;"",VLOOKUP($G614,'MASTER TOKO BALI'!$B$2:$W$744,5,FALSE),"")</f>
        <v/>
      </c>
      <c r="M614" s="106"/>
      <c r="N614" s="111" t="str">
        <f>IF($G614&lt;&gt;"",VLOOKUP($G614,'MASTER TOKO BALI'!$B$2:$W$744,21,FALSE),"")</f>
        <v/>
      </c>
      <c r="O614" s="106"/>
      <c r="P614" s="164" t="str">
        <f>IF($G614&lt;&gt;"",VLOOKUP($G614,'MASTER TOKO BALI'!$B$2:$W$740,7,FALSE),"")</f>
        <v/>
      </c>
    </row>
    <row r="615" spans="1:16" x14ac:dyDescent="0.2">
      <c r="A615" s="106">
        <f t="shared" si="24"/>
        <v>559</v>
      </c>
      <c r="B615" s="107" t="s">
        <v>2048</v>
      </c>
      <c r="C615" s="107" t="s">
        <v>2049</v>
      </c>
      <c r="D615" s="108" t="s">
        <v>2050</v>
      </c>
      <c r="E615" s="114" t="s">
        <v>2073</v>
      </c>
      <c r="F615" s="126"/>
      <c r="G615" s="144"/>
      <c r="H615" s="111" t="str">
        <f>IF($G615&lt;&gt;"",VLOOKUP($G615,'MASTER TOKO BALI'!$B$2:$W$744,2,FALSE),"")</f>
        <v/>
      </c>
      <c r="I615" s="237" t="str">
        <f>IF($G615&lt;&gt;"",VLOOKUP($G615,'MASTER TOKO BALI'!$B$2:$W$744,4,FALSE),"")</f>
        <v/>
      </c>
      <c r="J615" s="140">
        <v>46293</v>
      </c>
      <c r="K615" s="111" t="str">
        <f>IF($G615&lt;&gt;"",VLOOKUP($G615,'MASTER TOKO BALI'!$B$2:$W$744,12,FALSE),"")</f>
        <v/>
      </c>
      <c r="L615" s="111" t="str">
        <f>IF($G615&lt;&gt;"",VLOOKUP($G615,'MASTER TOKO BALI'!$B$2:$W$744,5,FALSE),"")</f>
        <v/>
      </c>
      <c r="M615" s="106"/>
      <c r="N615" s="111" t="str">
        <f>IF($G615&lt;&gt;"",VLOOKUP($G615,'MASTER TOKO BALI'!$B$2:$W$744,21,FALSE),"")</f>
        <v/>
      </c>
      <c r="O615" s="106"/>
      <c r="P615" s="164" t="str">
        <f>IF($G615&lt;&gt;"",VLOOKUP($G615,'MASTER TOKO BALI'!$B$2:$W$740,7,FALSE),"")</f>
        <v/>
      </c>
    </row>
    <row r="616" spans="1:16" x14ac:dyDescent="0.2">
      <c r="A616" s="106">
        <f t="shared" si="24"/>
        <v>560</v>
      </c>
      <c r="B616" s="107" t="s">
        <v>2038</v>
      </c>
      <c r="C616" s="107" t="s">
        <v>2049</v>
      </c>
      <c r="D616" s="115" t="s">
        <v>2051</v>
      </c>
      <c r="E616" s="114" t="s">
        <v>2073</v>
      </c>
      <c r="F616" s="126"/>
      <c r="G616" s="144"/>
      <c r="H616" s="111" t="str">
        <f>IF($G616&lt;&gt;"",VLOOKUP($G616,'MASTER TOKO BALI'!$B$2:$W$744,2,FALSE),"")</f>
        <v/>
      </c>
      <c r="I616" s="237" t="str">
        <f>IF($G616&lt;&gt;"",VLOOKUP($G616,'MASTER TOKO BALI'!$B$2:$W$744,4,FALSE),"")</f>
        <v/>
      </c>
      <c r="J616" s="140">
        <v>46293</v>
      </c>
      <c r="K616" s="111" t="str">
        <f>IF($G616&lt;&gt;"",VLOOKUP($G616,'MASTER TOKO BALI'!$B$2:$W$744,12,FALSE),"")</f>
        <v/>
      </c>
      <c r="L616" s="111" t="str">
        <f>IF($G616&lt;&gt;"",VLOOKUP($G616,'MASTER TOKO BALI'!$B$2:$W$744,5,FALSE),"")</f>
        <v/>
      </c>
      <c r="M616" s="106"/>
      <c r="N616" s="111" t="str">
        <f>IF($G616&lt;&gt;"",VLOOKUP($G616,'MASTER TOKO BALI'!$B$2:$W$744,21,FALSE),"")</f>
        <v/>
      </c>
      <c r="O616" s="106"/>
      <c r="P616" s="164" t="str">
        <f>IF($G616&lt;&gt;"",VLOOKUP($G616,'MASTER TOKO BALI'!$B$2:$W$740,7,FALSE),"")</f>
        <v/>
      </c>
    </row>
    <row r="617" spans="1:16" x14ac:dyDescent="0.2">
      <c r="A617" s="106">
        <f t="shared" si="24"/>
        <v>561</v>
      </c>
      <c r="B617" s="107" t="s">
        <v>2052</v>
      </c>
      <c r="C617" s="107" t="s">
        <v>2049</v>
      </c>
      <c r="D617" s="108" t="s">
        <v>2053</v>
      </c>
      <c r="E617" s="114" t="s">
        <v>2073</v>
      </c>
      <c r="F617" s="126"/>
      <c r="G617" s="149"/>
      <c r="H617" s="111" t="str">
        <f>IF($G617&lt;&gt;"",VLOOKUP($G617,'MASTER TOKO BALI'!$B$2:$W$744,2,FALSE),"")</f>
        <v/>
      </c>
      <c r="I617" s="237" t="str">
        <f>IF($G617&lt;&gt;"",VLOOKUP($G617,'MASTER TOKO BALI'!$B$2:$W$744,4,FALSE),"")</f>
        <v/>
      </c>
      <c r="J617" s="140">
        <v>46293</v>
      </c>
      <c r="K617" s="111" t="str">
        <f>IF($G617&lt;&gt;"",VLOOKUP($G617,'MASTER TOKO BALI'!$B$2:$W$744,12,FALSE),"")</f>
        <v/>
      </c>
      <c r="L617" s="111" t="str">
        <f>IF($G617&lt;&gt;"",VLOOKUP($G617,'MASTER TOKO BALI'!$B$2:$W$744,5,FALSE),"")</f>
        <v/>
      </c>
      <c r="M617" s="106"/>
      <c r="N617" s="111" t="str">
        <f>IF($G617&lt;&gt;"",VLOOKUP($G617,'MASTER TOKO BALI'!$B$2:$W$744,21,FALSE),"")</f>
        <v/>
      </c>
      <c r="O617" s="106"/>
      <c r="P617" s="164" t="str">
        <f>IF($G617&lt;&gt;"",VLOOKUP($G617,'MASTER TOKO BALI'!$B$2:$W$740,7,FALSE),"")</f>
        <v/>
      </c>
    </row>
    <row r="618" spans="1:16" x14ac:dyDescent="0.2">
      <c r="A618" s="106">
        <f t="shared" si="24"/>
        <v>562</v>
      </c>
      <c r="B618" s="107" t="s">
        <v>2038</v>
      </c>
      <c r="C618" s="107" t="s">
        <v>2049</v>
      </c>
      <c r="D618" s="113" t="s">
        <v>2051</v>
      </c>
      <c r="E618" s="114" t="s">
        <v>2073</v>
      </c>
      <c r="F618" s="126"/>
      <c r="G618" s="144"/>
      <c r="H618" s="111" t="str">
        <f>IF($G618&lt;&gt;"",VLOOKUP($G618,'MASTER TOKO BALI'!$B$2:$W$744,2,FALSE),"")</f>
        <v/>
      </c>
      <c r="I618" s="237" t="str">
        <f>IF($G618&lt;&gt;"",VLOOKUP($G618,'MASTER TOKO BALI'!$B$2:$W$744,4,FALSE),"")</f>
        <v/>
      </c>
      <c r="J618" s="140">
        <v>46293</v>
      </c>
      <c r="K618" s="111" t="str">
        <f>IF($G618&lt;&gt;"",VLOOKUP($G618,'MASTER TOKO BALI'!$B$2:$W$744,12,FALSE),"")</f>
        <v/>
      </c>
      <c r="L618" s="111" t="str">
        <f>IF($G618&lt;&gt;"",VLOOKUP($G618,'MASTER TOKO BALI'!$B$2:$W$744,5,FALSE),"")</f>
        <v/>
      </c>
      <c r="M618" s="106"/>
      <c r="N618" s="111" t="str">
        <f>IF($G618&lt;&gt;"",VLOOKUP($G618,'MASTER TOKO BALI'!$B$2:$W$744,21,FALSE),"")</f>
        <v/>
      </c>
      <c r="O618" s="106"/>
      <c r="P618" s="164" t="str">
        <f>IF($G618&lt;&gt;"",VLOOKUP($G618,'MASTER TOKO BALI'!$B$2:$W$740,7,FALSE),"")</f>
        <v/>
      </c>
    </row>
    <row r="619" spans="1:16" x14ac:dyDescent="0.2">
      <c r="A619" s="106">
        <f t="shared" si="24"/>
        <v>563</v>
      </c>
      <c r="B619" s="107" t="s">
        <v>2054</v>
      </c>
      <c r="C619" s="116" t="s">
        <v>2055</v>
      </c>
      <c r="D619" s="108" t="s">
        <v>2056</v>
      </c>
      <c r="E619" s="114" t="s">
        <v>2073</v>
      </c>
      <c r="F619" s="126"/>
      <c r="G619" s="144"/>
      <c r="H619" s="111" t="str">
        <f>IF($G619&lt;&gt;"",VLOOKUP($G619,'MASTER TOKO BALI'!$B$2:$W$744,2,FALSE),"")</f>
        <v/>
      </c>
      <c r="I619" s="237" t="str">
        <f>IF($G619&lt;&gt;"",VLOOKUP($G619,'MASTER TOKO BALI'!$B$2:$W$744,4,FALSE),"")</f>
        <v/>
      </c>
      <c r="J619" s="140">
        <v>46293</v>
      </c>
      <c r="K619" s="111" t="str">
        <f>IF($G619&lt;&gt;"",VLOOKUP($G619,'MASTER TOKO BALI'!$B$2:$W$744,12,FALSE),"")</f>
        <v/>
      </c>
      <c r="L619" s="111" t="str">
        <f>IF($G619&lt;&gt;"",VLOOKUP($G619,'MASTER TOKO BALI'!$B$2:$W$744,5,FALSE),"")</f>
        <v/>
      </c>
      <c r="M619" s="106"/>
      <c r="N619" s="111" t="str">
        <f>IF($G619&lt;&gt;"",VLOOKUP($G619,'MASTER TOKO BALI'!$B$2:$W$744,21,FALSE),"")</f>
        <v/>
      </c>
      <c r="O619" s="106"/>
      <c r="P619" s="164" t="str">
        <f>IF($G619&lt;&gt;"",VLOOKUP($G619,'MASTER TOKO BALI'!$B$2:$W$740,7,FALSE),"")</f>
        <v/>
      </c>
    </row>
    <row r="620" spans="1:16" x14ac:dyDescent="0.2">
      <c r="A620" s="106">
        <f t="shared" si="24"/>
        <v>564</v>
      </c>
      <c r="B620" s="107" t="s">
        <v>2038</v>
      </c>
      <c r="C620" s="116" t="s">
        <v>2055</v>
      </c>
      <c r="D620" s="113" t="s">
        <v>2057</v>
      </c>
      <c r="E620" s="114" t="s">
        <v>2073</v>
      </c>
      <c r="F620" s="126"/>
      <c r="G620" s="144"/>
      <c r="H620" s="111" t="str">
        <f>IF($G620&lt;&gt;"",VLOOKUP($G620,'MASTER TOKO BALI'!$B$2:$W$744,2,FALSE),"")</f>
        <v/>
      </c>
      <c r="I620" s="237" t="str">
        <f>IF($G620&lt;&gt;"",VLOOKUP($G620,'MASTER TOKO BALI'!$B$2:$W$744,4,FALSE),"")</f>
        <v/>
      </c>
      <c r="J620" s="140">
        <v>46293</v>
      </c>
      <c r="K620" s="111" t="str">
        <f>IF($G620&lt;&gt;"",VLOOKUP($G620,'MASTER TOKO BALI'!$B$2:$W$744,12,FALSE),"")</f>
        <v/>
      </c>
      <c r="L620" s="111" t="str">
        <f>IF($G620&lt;&gt;"",VLOOKUP($G620,'MASTER TOKO BALI'!$B$2:$W$744,5,FALSE),"")</f>
        <v/>
      </c>
      <c r="M620" s="106"/>
      <c r="N620" s="111" t="str">
        <f>IF($G620&lt;&gt;"",VLOOKUP($G620,'MASTER TOKO BALI'!$B$2:$W$744,21,FALSE),"")</f>
        <v/>
      </c>
      <c r="O620" s="106"/>
      <c r="P620" s="164" t="str">
        <f>IF($G620&lt;&gt;"",VLOOKUP($G620,'MASTER TOKO BALI'!$B$2:$W$740,7,FALSE),"")</f>
        <v/>
      </c>
    </row>
    <row r="621" spans="1:16" x14ac:dyDescent="0.2">
      <c r="A621" s="106">
        <f t="shared" si="24"/>
        <v>565</v>
      </c>
      <c r="B621" s="107" t="s">
        <v>2058</v>
      </c>
      <c r="C621" s="116" t="s">
        <v>2055</v>
      </c>
      <c r="D621" s="108" t="s">
        <v>2059</v>
      </c>
      <c r="E621" s="114" t="s">
        <v>2073</v>
      </c>
      <c r="F621" s="126"/>
      <c r="G621" s="144"/>
      <c r="H621" s="111" t="str">
        <f>IF($G621&lt;&gt;"",VLOOKUP($G621,'MASTER TOKO BALI'!$B$2:$W$744,2,FALSE),"")</f>
        <v/>
      </c>
      <c r="I621" s="237" t="str">
        <f>IF($G621&lt;&gt;"",VLOOKUP($G621,'MASTER TOKO BALI'!$B$2:$W$744,4,FALSE),"")</f>
        <v/>
      </c>
      <c r="J621" s="140">
        <v>46293</v>
      </c>
      <c r="K621" s="111" t="str">
        <f>IF($G621&lt;&gt;"",VLOOKUP($G621,'MASTER TOKO BALI'!$B$2:$W$744,12,FALSE),"")</f>
        <v/>
      </c>
      <c r="L621" s="111" t="str">
        <f>IF($G621&lt;&gt;"",VLOOKUP($G621,'MASTER TOKO BALI'!$B$2:$W$744,5,FALSE),"")</f>
        <v/>
      </c>
      <c r="M621" s="106"/>
      <c r="N621" s="111" t="str">
        <f>IF($G621&lt;&gt;"",VLOOKUP($G621,'MASTER TOKO BALI'!$B$2:$W$744,21,FALSE),"")</f>
        <v/>
      </c>
      <c r="O621" s="106"/>
      <c r="P621" s="164" t="str">
        <f>IF($G621&lt;&gt;"",VLOOKUP($G621,'MASTER TOKO BALI'!$B$2:$W$740,7,FALSE),"")</f>
        <v/>
      </c>
    </row>
    <row r="622" spans="1:16" x14ac:dyDescent="0.2">
      <c r="A622" s="106">
        <f t="shared" si="24"/>
        <v>566</v>
      </c>
      <c r="B622" s="107" t="s">
        <v>2038</v>
      </c>
      <c r="C622" s="116" t="s">
        <v>2055</v>
      </c>
      <c r="D622" s="113" t="s">
        <v>2057</v>
      </c>
      <c r="E622" s="114" t="s">
        <v>2073</v>
      </c>
      <c r="F622" s="126"/>
      <c r="G622" s="144"/>
      <c r="H622" s="111" t="str">
        <f>IF($G622&lt;&gt;"",VLOOKUP($G622,'MASTER TOKO BALI'!$B$2:$W$744,2,FALSE),"")</f>
        <v/>
      </c>
      <c r="I622" s="237" t="str">
        <f>IF($G622&lt;&gt;"",VLOOKUP($G622,'MASTER TOKO BALI'!$B$2:$W$744,4,FALSE),"")</f>
        <v/>
      </c>
      <c r="J622" s="140">
        <v>46293</v>
      </c>
      <c r="K622" s="111" t="str">
        <f>IF($G622&lt;&gt;"",VLOOKUP($G622,'MASTER TOKO BALI'!$B$2:$W$744,12,FALSE),"")</f>
        <v/>
      </c>
      <c r="L622" s="111" t="str">
        <f>IF($G622&lt;&gt;"",VLOOKUP($G622,'MASTER TOKO BALI'!$B$2:$W$744,5,FALSE),"")</f>
        <v/>
      </c>
      <c r="M622" s="106"/>
      <c r="N622" s="111" t="str">
        <f>IF($G622&lt;&gt;"",VLOOKUP($G622,'MASTER TOKO BALI'!$B$2:$W$744,21,FALSE),"")</f>
        <v/>
      </c>
      <c r="O622" s="106"/>
      <c r="P622" s="164" t="str">
        <f>IF($G622&lt;&gt;"",VLOOKUP($G622,'MASTER TOKO BALI'!$B$2:$W$740,7,FALSE),"")</f>
        <v/>
      </c>
    </row>
    <row r="623" spans="1:16" x14ac:dyDescent="0.2">
      <c r="A623" s="106">
        <f t="shared" si="24"/>
        <v>567</v>
      </c>
      <c r="B623" s="107" t="s">
        <v>2060</v>
      </c>
      <c r="C623" s="116" t="s">
        <v>2061</v>
      </c>
      <c r="D623" s="108" t="s">
        <v>2062</v>
      </c>
      <c r="E623" s="114" t="s">
        <v>2073</v>
      </c>
      <c r="F623" s="126"/>
      <c r="G623" s="144"/>
      <c r="H623" s="111" t="str">
        <f>IF($G623&lt;&gt;"",VLOOKUP($G623,'MASTER TOKO BALI'!$B$2:$W$744,2,FALSE),"")</f>
        <v/>
      </c>
      <c r="I623" s="237" t="str">
        <f>IF($G623&lt;&gt;"",VLOOKUP($G623,'MASTER TOKO BALI'!$B$2:$W$744,4,FALSE),"")</f>
        <v/>
      </c>
      <c r="J623" s="140">
        <v>46293</v>
      </c>
      <c r="K623" s="111" t="str">
        <f>IF($G623&lt;&gt;"",VLOOKUP($G623,'MASTER TOKO BALI'!$B$2:$W$744,12,FALSE),"")</f>
        <v/>
      </c>
      <c r="L623" s="111" t="str">
        <f>IF($G623&lt;&gt;"",VLOOKUP($G623,'MASTER TOKO BALI'!$B$2:$W$744,5,FALSE),"")</f>
        <v/>
      </c>
      <c r="M623" s="106"/>
      <c r="N623" s="111" t="str">
        <f>IF($G623&lt;&gt;"",VLOOKUP($G623,'MASTER TOKO BALI'!$B$2:$W$744,21,FALSE),"")</f>
        <v/>
      </c>
      <c r="O623" s="106"/>
      <c r="P623" s="164" t="str">
        <f>IF($G623&lt;&gt;"",VLOOKUP($G623,'MASTER TOKO BALI'!$B$2:$W$740,7,FALSE),"")</f>
        <v/>
      </c>
    </row>
    <row r="624" spans="1:16" x14ac:dyDescent="0.2">
      <c r="A624" s="106">
        <f t="shared" si="24"/>
        <v>568</v>
      </c>
      <c r="B624" s="107" t="s">
        <v>2038</v>
      </c>
      <c r="C624" s="116" t="s">
        <v>2061</v>
      </c>
      <c r="D624" s="113" t="s">
        <v>2063</v>
      </c>
      <c r="E624" s="114" t="s">
        <v>2073</v>
      </c>
      <c r="F624" s="126"/>
      <c r="G624" s="144"/>
      <c r="H624" s="111" t="str">
        <f>IF($G624&lt;&gt;"",VLOOKUP($G624,'MASTER TOKO BALI'!$B$2:$W$744,2,FALSE),"")</f>
        <v/>
      </c>
      <c r="I624" s="237" t="str">
        <f>IF($G624&lt;&gt;"",VLOOKUP($G624,'MASTER TOKO BALI'!$B$2:$W$744,4,FALSE),"")</f>
        <v/>
      </c>
      <c r="J624" s="140">
        <v>46293</v>
      </c>
      <c r="K624" s="111" t="str">
        <f>IF($G624&lt;&gt;"",VLOOKUP($G624,'MASTER TOKO BALI'!$B$2:$W$744,12,FALSE),"")</f>
        <v/>
      </c>
      <c r="L624" s="111" t="str">
        <f>IF($G624&lt;&gt;"",VLOOKUP($G624,'MASTER TOKO BALI'!$B$2:$W$744,5,FALSE),"")</f>
        <v/>
      </c>
      <c r="M624" s="106"/>
      <c r="N624" s="111" t="str">
        <f>IF($G624&lt;&gt;"",VLOOKUP($G624,'MASTER TOKO BALI'!$B$2:$W$744,21,FALSE),"")</f>
        <v/>
      </c>
      <c r="O624" s="106"/>
      <c r="P624" s="164" t="str">
        <f>IF($G624&lt;&gt;"",VLOOKUP($G624,'MASTER TOKO BALI'!$B$2:$W$740,7,FALSE),"")</f>
        <v/>
      </c>
    </row>
    <row r="625" spans="1:16" x14ac:dyDescent="0.2">
      <c r="A625" s="106">
        <f t="shared" si="24"/>
        <v>569</v>
      </c>
      <c r="B625" s="107" t="s">
        <v>2064</v>
      </c>
      <c r="C625" s="116" t="s">
        <v>2061</v>
      </c>
      <c r="D625" s="108" t="s">
        <v>2065</v>
      </c>
      <c r="E625" s="114" t="s">
        <v>2073</v>
      </c>
      <c r="F625" s="126"/>
      <c r="G625" s="144"/>
      <c r="H625" s="111" t="str">
        <f>IF($G625&lt;&gt;"",VLOOKUP($G625,'MASTER TOKO BALI'!$B$2:$W$744,2,FALSE),"")</f>
        <v/>
      </c>
      <c r="I625" s="237" t="str">
        <f>IF($G625&lt;&gt;"",VLOOKUP($G625,'MASTER TOKO BALI'!$B$2:$W$744,4,FALSE),"")</f>
        <v/>
      </c>
      <c r="J625" s="140">
        <v>46293</v>
      </c>
      <c r="K625" s="111" t="str">
        <f>IF($G625&lt;&gt;"",VLOOKUP($G625,'MASTER TOKO BALI'!$B$2:$W$744,12,FALSE),"")</f>
        <v/>
      </c>
      <c r="L625" s="111" t="str">
        <f>IF($G625&lt;&gt;"",VLOOKUP($G625,'MASTER TOKO BALI'!$B$2:$W$744,5,FALSE),"")</f>
        <v/>
      </c>
      <c r="M625" s="106"/>
      <c r="N625" s="111" t="str">
        <f>IF($G625&lt;&gt;"",VLOOKUP($G625,'MASTER TOKO BALI'!$B$2:$W$744,21,FALSE),"")</f>
        <v/>
      </c>
      <c r="O625" s="106"/>
      <c r="P625" s="164" t="str">
        <f>IF($G625&lt;&gt;"",VLOOKUP($G625,'MASTER TOKO BALI'!$B$2:$W$740,7,FALSE),"")</f>
        <v/>
      </c>
    </row>
    <row r="626" spans="1:16" x14ac:dyDescent="0.2">
      <c r="A626" s="106">
        <f t="shared" si="24"/>
        <v>570</v>
      </c>
      <c r="B626" s="107" t="s">
        <v>2066</v>
      </c>
      <c r="C626" s="116" t="s">
        <v>2061</v>
      </c>
      <c r="D626" s="113" t="s">
        <v>2063</v>
      </c>
      <c r="E626" s="114" t="s">
        <v>2073</v>
      </c>
      <c r="F626" s="126"/>
      <c r="G626" s="144"/>
      <c r="H626" s="111" t="str">
        <f>IF($G626&lt;&gt;"",VLOOKUP($G626,'MASTER TOKO BALI'!$B$2:$W$744,2,FALSE),"")</f>
        <v/>
      </c>
      <c r="I626" s="237" t="str">
        <f>IF($G626&lt;&gt;"",VLOOKUP($G626,'MASTER TOKO BALI'!$B$2:$W$744,4,FALSE),"")</f>
        <v/>
      </c>
      <c r="J626" s="140">
        <v>46293</v>
      </c>
      <c r="K626" s="111" t="str">
        <f>IF($G626&lt;&gt;"",VLOOKUP($G626,'MASTER TOKO BALI'!$B$2:$W$744,12,FALSE),"")</f>
        <v/>
      </c>
      <c r="L626" s="111" t="str">
        <f>IF($G626&lt;&gt;"",VLOOKUP($G626,'MASTER TOKO BALI'!$B$2:$W$744,5,FALSE),"")</f>
        <v/>
      </c>
      <c r="M626" s="106"/>
      <c r="N626" s="111" t="str">
        <f>IF($G626&lt;&gt;"",VLOOKUP($G626,'MASTER TOKO BALI'!$B$2:$W$744,21,FALSE),"")</f>
        <v/>
      </c>
      <c r="O626" s="106"/>
      <c r="P626" s="164" t="str">
        <f>IF($G626&lt;&gt;"",VLOOKUP($G626,'MASTER TOKO BALI'!$B$2:$W$740,7,FALSE),"")</f>
        <v/>
      </c>
    </row>
    <row r="627" spans="1:16" x14ac:dyDescent="0.2">
      <c r="A627" s="106">
        <f t="shared" si="24"/>
        <v>571</v>
      </c>
      <c r="B627" s="107" t="s">
        <v>2067</v>
      </c>
      <c r="C627" s="107" t="s">
        <v>2068</v>
      </c>
      <c r="D627" s="108" t="s">
        <v>2069</v>
      </c>
      <c r="E627" s="114" t="s">
        <v>2073</v>
      </c>
      <c r="F627" s="126"/>
      <c r="G627" s="144"/>
      <c r="H627" s="111" t="str">
        <f>IF($G627&lt;&gt;"",VLOOKUP($G627,'MASTER TOKO BALI'!$B$2:$W$744,2,FALSE),"")</f>
        <v/>
      </c>
      <c r="I627" s="237" t="str">
        <f>IF($G627&lt;&gt;"",VLOOKUP($G627,'MASTER TOKO BALI'!$B$2:$W$744,4,FALSE),"")</f>
        <v/>
      </c>
      <c r="J627" s="140">
        <v>46293</v>
      </c>
      <c r="K627" s="111" t="str">
        <f>IF($G627&lt;&gt;"",VLOOKUP($G627,'MASTER TOKO BALI'!$B$2:$W$744,12,FALSE),"")</f>
        <v/>
      </c>
      <c r="L627" s="111" t="str">
        <f>IF($G627&lt;&gt;"",VLOOKUP($G627,'MASTER TOKO BALI'!$B$2:$W$744,5,FALSE),"")</f>
        <v/>
      </c>
      <c r="M627" s="106"/>
      <c r="N627" s="111" t="str">
        <f>IF($G627&lt;&gt;"",VLOOKUP($G627,'MASTER TOKO BALI'!$B$2:$W$744,21,FALSE),"")</f>
        <v/>
      </c>
      <c r="O627" s="106"/>
      <c r="P627" s="164" t="str">
        <f>IF($G627&lt;&gt;"",VLOOKUP($G627,'MASTER TOKO BALI'!$B$2:$W$740,7,FALSE),"")</f>
        <v/>
      </c>
    </row>
    <row r="628" spans="1:16" x14ac:dyDescent="0.2">
      <c r="A628" s="106">
        <f t="shared" si="24"/>
        <v>572</v>
      </c>
      <c r="B628" s="107" t="s">
        <v>2066</v>
      </c>
      <c r="C628" s="107" t="s">
        <v>2068</v>
      </c>
      <c r="D628" s="117" t="s">
        <v>2070</v>
      </c>
      <c r="E628" s="114" t="s">
        <v>2073</v>
      </c>
      <c r="F628" s="126"/>
      <c r="G628" s="144"/>
      <c r="H628" s="111" t="str">
        <f>IF($G628&lt;&gt;"",VLOOKUP($G628,'MASTER TOKO BALI'!$B$2:$W$744,2,FALSE),"")</f>
        <v/>
      </c>
      <c r="I628" s="237" t="str">
        <f>IF($G628&lt;&gt;"",VLOOKUP($G628,'MASTER TOKO BALI'!$B$2:$W$744,4,FALSE),"")</f>
        <v/>
      </c>
      <c r="J628" s="140">
        <v>46293</v>
      </c>
      <c r="K628" s="111" t="str">
        <f>IF($G628&lt;&gt;"",VLOOKUP($G628,'MASTER TOKO BALI'!$B$2:$W$744,12,FALSE),"")</f>
        <v/>
      </c>
      <c r="L628" s="111" t="str">
        <f>IF($G628&lt;&gt;"",VLOOKUP($G628,'MASTER TOKO BALI'!$B$2:$W$744,5,FALSE),"")</f>
        <v/>
      </c>
      <c r="M628" s="106"/>
      <c r="N628" s="111" t="str">
        <f>IF($G628&lt;&gt;"",VLOOKUP($G628,'MASTER TOKO BALI'!$B$2:$W$744,21,FALSE),"")</f>
        <v/>
      </c>
      <c r="O628" s="106"/>
      <c r="P628" s="164" t="str">
        <f>IF($G628&lt;&gt;"",VLOOKUP($G628,'MASTER TOKO BALI'!$B$2:$W$740,7,FALSE),"")</f>
        <v/>
      </c>
    </row>
    <row r="629" spans="1:16" x14ac:dyDescent="0.2">
      <c r="A629" s="106">
        <f t="shared" si="24"/>
        <v>573</v>
      </c>
      <c r="B629" s="107" t="s">
        <v>2071</v>
      </c>
      <c r="C629" s="107" t="s">
        <v>2068</v>
      </c>
      <c r="D629" s="116" t="s">
        <v>2003</v>
      </c>
      <c r="E629" s="114" t="s">
        <v>2073</v>
      </c>
      <c r="F629" s="126"/>
      <c r="G629" s="144"/>
      <c r="H629" s="111" t="str">
        <f>IF($G629&lt;&gt;"",VLOOKUP($G629,'MASTER TOKO BALI'!$B$2:$W$744,2,FALSE),"")</f>
        <v/>
      </c>
      <c r="I629" s="237" t="str">
        <f>IF($G629&lt;&gt;"",VLOOKUP($G629,'MASTER TOKO BALI'!$B$2:$W$744,4,FALSE),"")</f>
        <v/>
      </c>
      <c r="J629" s="140">
        <v>46293</v>
      </c>
      <c r="K629" s="111" t="str">
        <f>IF($G629&lt;&gt;"",VLOOKUP($G629,'MASTER TOKO BALI'!$B$2:$W$744,12,FALSE),"")</f>
        <v/>
      </c>
      <c r="L629" s="111" t="str">
        <f>IF($G629&lt;&gt;"",VLOOKUP($G629,'MASTER TOKO BALI'!$B$2:$W$744,5,FALSE),"")</f>
        <v/>
      </c>
      <c r="M629" s="106"/>
      <c r="N629" s="111" t="str">
        <f>IF($G629&lt;&gt;"",VLOOKUP($G629,'MASTER TOKO BALI'!$B$2:$W$744,21,FALSE),"")</f>
        <v/>
      </c>
      <c r="O629" s="106"/>
      <c r="P629" s="164" t="str">
        <f>IF($G629&lt;&gt;"",VLOOKUP($G629,'MASTER TOKO BALI'!$B$2:$W$740,7,FALSE),"")</f>
        <v/>
      </c>
    </row>
    <row r="630" spans="1:16" x14ac:dyDescent="0.2">
      <c r="A630" s="106">
        <f t="shared" si="24"/>
        <v>574</v>
      </c>
      <c r="B630" s="107" t="s">
        <v>2066</v>
      </c>
      <c r="C630" s="107" t="s">
        <v>2068</v>
      </c>
      <c r="D630" s="117" t="s">
        <v>2070</v>
      </c>
      <c r="E630" s="114" t="s">
        <v>2073</v>
      </c>
      <c r="F630" s="143"/>
      <c r="G630" s="144"/>
      <c r="H630" s="111" t="str">
        <f>IF($G630&lt;&gt;"",VLOOKUP($G630,'MASTER TOKO BALI'!$B$2:$W$744,2,FALSE),"")</f>
        <v/>
      </c>
      <c r="I630" s="237" t="str">
        <f>IF($G630&lt;&gt;"",VLOOKUP($G630,'MASTER TOKO BALI'!$B$2:$W$744,4,FALSE),"")</f>
        <v/>
      </c>
      <c r="J630" s="140">
        <v>46293</v>
      </c>
      <c r="K630" s="111" t="str">
        <f>IF($G630&lt;&gt;"",VLOOKUP($G630,'MASTER TOKO BALI'!$B$2:$W$744,12,FALSE),"")</f>
        <v/>
      </c>
      <c r="L630" s="111" t="str">
        <f>IF($G630&lt;&gt;"",VLOOKUP($G630,'MASTER TOKO BALI'!$B$2:$W$744,5,FALSE),"")</f>
        <v/>
      </c>
      <c r="M630" s="106"/>
      <c r="N630" s="111" t="str">
        <f>IF($G630&lt;&gt;"",VLOOKUP($G630,'MASTER TOKO BALI'!$B$2:$W$744,21,FALSE),"")</f>
        <v/>
      </c>
      <c r="O630" s="106"/>
      <c r="P630" s="164" t="str">
        <f>IF($G630&lt;&gt;"",VLOOKUP($G630,'MASTER TOKO BALI'!$B$2:$W$740,7,FALSE),"")</f>
        <v/>
      </c>
    </row>
    <row r="631" spans="1:16" x14ac:dyDescent="0.2">
      <c r="A631" s="106"/>
      <c r="B631" s="107"/>
      <c r="C631" s="107"/>
      <c r="D631" s="111"/>
      <c r="E631" s="114"/>
      <c r="F631" s="126"/>
      <c r="G631" s="148"/>
      <c r="H631" s="111" t="str">
        <f>IF($G631&lt;&gt;"",VLOOKUP($G631,'MASTER TOKO BALI'!$B$2:$W$744,2,FALSE),"")</f>
        <v/>
      </c>
      <c r="I631" s="237" t="str">
        <f>IF($G631&lt;&gt;"",VLOOKUP($G631,'MASTER TOKO BALI'!$B$2:$W$744,4,FALSE),"")</f>
        <v/>
      </c>
      <c r="J631" s="119"/>
      <c r="K631" s="111" t="str">
        <f>IF($G631&lt;&gt;"",VLOOKUP($G631,'MASTER TOKO BALI'!$B$2:$W$744,12,FALSE),"")</f>
        <v/>
      </c>
      <c r="L631" s="111" t="str">
        <f>IF($G631&lt;&gt;"",VLOOKUP($G631,'MASTER TOKO BALI'!$B$2:$W$744,5,FALSE),"")</f>
        <v/>
      </c>
      <c r="M631" s="106"/>
      <c r="N631" s="111" t="str">
        <f>IF($G631&lt;&gt;"",VLOOKUP($G631,'MASTER TOKO BALI'!$B$2:$W$744,21,FALSE),"")</f>
        <v/>
      </c>
      <c r="O631" s="106"/>
      <c r="P631" s="164" t="str">
        <f>IF($G631&lt;&gt;"",VLOOKUP($G631,'MASTER TOKO BALI'!$B$2:$W$740,7,FALSE),"")</f>
        <v/>
      </c>
    </row>
    <row r="632" spans="1:16" ht="14.4" x14ac:dyDescent="0.2">
      <c r="A632" s="106">
        <f>A630+1</f>
        <v>575</v>
      </c>
      <c r="B632" s="107" t="s">
        <v>2034</v>
      </c>
      <c r="C632" s="107" t="s">
        <v>2035</v>
      </c>
      <c r="D632" s="108" t="s">
        <v>2036</v>
      </c>
      <c r="E632" s="109" t="s">
        <v>2074</v>
      </c>
      <c r="F632" s="126"/>
      <c r="G632" s="60"/>
      <c r="H632" s="111" t="str">
        <f>IF($G632&lt;&gt;"",VLOOKUP($G632,'MASTER TOKO BALI'!$B$2:$W$744,2,FALSE),"")</f>
        <v/>
      </c>
      <c r="I632" s="237" t="str">
        <f>IF($G632&lt;&gt;"",VLOOKUP($G632,'MASTER TOKO BALI'!$B$2:$W$744,4,FALSE),"")</f>
        <v/>
      </c>
      <c r="J632" s="112">
        <v>46294</v>
      </c>
      <c r="K632" s="111" t="str">
        <f>IF($G632&lt;&gt;"",VLOOKUP($G632,'MASTER TOKO BALI'!$B$2:$W$744,12,FALSE),"")</f>
        <v/>
      </c>
      <c r="L632" s="111" t="str">
        <f>IF($G632&lt;&gt;"",VLOOKUP($G632,'MASTER TOKO BALI'!$B$2:$W$744,5,FALSE),"")</f>
        <v/>
      </c>
      <c r="M632" s="106"/>
      <c r="N632" s="111" t="str">
        <f>IF($G632&lt;&gt;"",VLOOKUP($G632,'MASTER TOKO BALI'!$B$2:$W$744,21,FALSE),"")</f>
        <v/>
      </c>
      <c r="O632" s="106"/>
      <c r="P632" s="164" t="str">
        <f>IF($G632&lt;&gt;"",VLOOKUP($G632,'MASTER TOKO BALI'!$B$2:$W$740,7,FALSE),"")</f>
        <v/>
      </c>
    </row>
    <row r="633" spans="1:16" x14ac:dyDescent="0.2">
      <c r="A633" s="106"/>
      <c r="B633" s="107" t="s">
        <v>2038</v>
      </c>
      <c r="C633" s="107" t="s">
        <v>2035</v>
      </c>
      <c r="D633" s="113" t="s">
        <v>2039</v>
      </c>
      <c r="E633" s="109" t="s">
        <v>2074</v>
      </c>
      <c r="F633" s="110"/>
      <c r="G633" s="144"/>
      <c r="H633" s="111" t="str">
        <f>IF($G633&lt;&gt;"",VLOOKUP($G633,'MASTER TOKO BALI'!$B$2:$W$744,2,FALSE),"")</f>
        <v/>
      </c>
      <c r="I633" s="237" t="str">
        <f>IF($G633&lt;&gt;"",VLOOKUP($G633,'MASTER TOKO BALI'!$B$2:$W$744,4,FALSE),"")</f>
        <v/>
      </c>
      <c r="J633" s="112">
        <v>46294</v>
      </c>
      <c r="K633" s="111" t="str">
        <f>IF($G633&lt;&gt;"",VLOOKUP($G633,'MASTER TOKO BALI'!$B$2:$W$744,12,FALSE),"")</f>
        <v/>
      </c>
      <c r="L633" s="111" t="str">
        <f>IF($G633&lt;&gt;"",VLOOKUP($G633,'MASTER TOKO BALI'!$B$2:$W$744,5,FALSE),"")</f>
        <v/>
      </c>
      <c r="M633" s="106"/>
      <c r="N633" s="111" t="str">
        <f>IF($G633&lt;&gt;"",VLOOKUP($G633,'MASTER TOKO BALI'!$B$2:$W$744,21,FALSE),"")</f>
        <v/>
      </c>
      <c r="O633" s="106"/>
      <c r="P633" s="164" t="str">
        <f>IF($G633&lt;&gt;"",VLOOKUP($G633,'MASTER TOKO BALI'!$B$2:$W$740,7,FALSE),"")</f>
        <v/>
      </c>
    </row>
    <row r="634" spans="1:16" ht="14.4" x14ac:dyDescent="0.2">
      <c r="A634" s="106">
        <f>A632+1</f>
        <v>576</v>
      </c>
      <c r="B634" s="107" t="s">
        <v>2040</v>
      </c>
      <c r="C634" s="107" t="s">
        <v>2035</v>
      </c>
      <c r="D634" s="108" t="s">
        <v>2041</v>
      </c>
      <c r="E634" s="109" t="s">
        <v>2074</v>
      </c>
      <c r="F634" s="126"/>
      <c r="G634" s="60"/>
      <c r="H634" s="111" t="str">
        <f>IF($G634&lt;&gt;"",VLOOKUP($G634,'MASTER TOKO BALI'!$B$2:$W$744,2,FALSE),"")</f>
        <v/>
      </c>
      <c r="I634" s="237" t="str">
        <f>IF($G634&lt;&gt;"",VLOOKUP($G634,'MASTER TOKO BALI'!$B$2:$W$744,4,FALSE),"")</f>
        <v/>
      </c>
      <c r="J634" s="112">
        <v>46294</v>
      </c>
      <c r="K634" s="111" t="str">
        <f>IF($G634&lt;&gt;"",VLOOKUP($G634,'MASTER TOKO BALI'!$B$2:$W$744,12,FALSE),"")</f>
        <v/>
      </c>
      <c r="L634" s="111" t="str">
        <f>IF($G634&lt;&gt;"",VLOOKUP($G634,'MASTER TOKO BALI'!$B$2:$W$744,5,FALSE),"")</f>
        <v/>
      </c>
      <c r="M634" s="106"/>
      <c r="N634" s="111" t="str">
        <f>IF($G634&lt;&gt;"",VLOOKUP($G634,'MASTER TOKO BALI'!$B$2:$W$744,21,FALSE),"")</f>
        <v/>
      </c>
      <c r="O634" s="106"/>
      <c r="P634" s="164" t="str">
        <f>IF($G634&lt;&gt;"",VLOOKUP($G634,'MASTER TOKO BALI'!$B$2:$W$740,7,FALSE),"")</f>
        <v/>
      </c>
    </row>
    <row r="635" spans="1:16" x14ac:dyDescent="0.2">
      <c r="A635" s="106">
        <f t="shared" ref="A635:A655" si="25">A634+1</f>
        <v>577</v>
      </c>
      <c r="B635" s="107" t="s">
        <v>2038</v>
      </c>
      <c r="C635" s="107" t="s">
        <v>2035</v>
      </c>
      <c r="D635" s="113" t="s">
        <v>2039</v>
      </c>
      <c r="E635" s="109" t="s">
        <v>2074</v>
      </c>
      <c r="F635" s="126"/>
      <c r="G635" s="144"/>
      <c r="H635" s="111" t="str">
        <f>IF($G635&lt;&gt;"",VLOOKUP($G635,'MASTER TOKO BALI'!$B$2:$W$744,2,FALSE),"")</f>
        <v/>
      </c>
      <c r="I635" s="237" t="str">
        <f>IF($G635&lt;&gt;"",VLOOKUP($G635,'MASTER TOKO BALI'!$B$2:$W$744,4,FALSE),"")</f>
        <v/>
      </c>
      <c r="J635" s="112">
        <v>46294</v>
      </c>
      <c r="K635" s="111" t="str">
        <f>IF($G635&lt;&gt;"",VLOOKUP($G635,'MASTER TOKO BALI'!$B$2:$W$744,12,FALSE),"")</f>
        <v/>
      </c>
      <c r="L635" s="111" t="str">
        <f>IF($G635&lt;&gt;"",VLOOKUP($G635,'MASTER TOKO BALI'!$B$2:$W$744,5,FALSE),"")</f>
        <v/>
      </c>
      <c r="M635" s="106"/>
      <c r="N635" s="111" t="str">
        <f>IF($G635&lt;&gt;"",VLOOKUP($G635,'MASTER TOKO BALI'!$B$2:$W$744,21,FALSE),"")</f>
        <v/>
      </c>
      <c r="O635" s="106"/>
      <c r="P635" s="164" t="str">
        <f>IF($G635&lt;&gt;"",VLOOKUP($G635,'MASTER TOKO BALI'!$B$2:$W$740,7,FALSE),"")</f>
        <v/>
      </c>
    </row>
    <row r="636" spans="1:16" x14ac:dyDescent="0.2">
      <c r="A636" s="106">
        <f t="shared" si="25"/>
        <v>578</v>
      </c>
      <c r="B636" s="107" t="s">
        <v>2042</v>
      </c>
      <c r="C636" s="107" t="s">
        <v>2043</v>
      </c>
      <c r="D636" s="108" t="s">
        <v>2044</v>
      </c>
      <c r="E636" s="109" t="s">
        <v>2074</v>
      </c>
      <c r="F636" s="126"/>
      <c r="G636" s="146"/>
      <c r="H636" s="111" t="str">
        <f>IF($G636&lt;&gt;"",VLOOKUP($G636,'MASTER TOKO BALI'!$B$2:$W$744,2,FALSE),"")</f>
        <v/>
      </c>
      <c r="I636" s="237" t="str">
        <f>IF($G636&lt;&gt;"",VLOOKUP($G636,'MASTER TOKO BALI'!$B$2:$W$744,4,FALSE),"")</f>
        <v/>
      </c>
      <c r="J636" s="112">
        <v>46294</v>
      </c>
      <c r="K636" s="111" t="str">
        <f>IF($G636&lt;&gt;"",VLOOKUP($G636,'MASTER TOKO BALI'!$B$2:$W$744,12,FALSE),"")</f>
        <v/>
      </c>
      <c r="L636" s="111" t="str">
        <f>IF($G636&lt;&gt;"",VLOOKUP($G636,'MASTER TOKO BALI'!$B$2:$W$744,5,FALSE),"")</f>
        <v/>
      </c>
      <c r="M636" s="106"/>
      <c r="N636" s="111" t="str">
        <f>IF($G636&lt;&gt;"",VLOOKUP($G636,'MASTER TOKO BALI'!$B$2:$W$744,21,FALSE),"")</f>
        <v/>
      </c>
      <c r="O636" s="106"/>
      <c r="P636" s="164" t="str">
        <f>IF($G636&lt;&gt;"",VLOOKUP($G636,'MASTER TOKO BALI'!$B$2:$W$740,7,FALSE),"")</f>
        <v/>
      </c>
    </row>
    <row r="637" spans="1:16" x14ac:dyDescent="0.2">
      <c r="A637" s="106">
        <f t="shared" si="25"/>
        <v>579</v>
      </c>
      <c r="B637" s="107" t="s">
        <v>2038</v>
      </c>
      <c r="C637" s="107" t="s">
        <v>2043</v>
      </c>
      <c r="D637" s="113" t="s">
        <v>2045</v>
      </c>
      <c r="E637" s="109" t="s">
        <v>2074</v>
      </c>
      <c r="F637" s="126"/>
      <c r="G637" s="146"/>
      <c r="H637" s="111" t="str">
        <f>IF($G637&lt;&gt;"",VLOOKUP($G637,'MASTER TOKO BALI'!$B$2:$W$744,2,FALSE),"")</f>
        <v/>
      </c>
      <c r="I637" s="237" t="str">
        <f>IF($G637&lt;&gt;"",VLOOKUP($G637,'MASTER TOKO BALI'!$B$2:$W$744,4,FALSE),"")</f>
        <v/>
      </c>
      <c r="J637" s="112">
        <v>46294</v>
      </c>
      <c r="K637" s="111" t="str">
        <f>IF($G637&lt;&gt;"",VLOOKUP($G637,'MASTER TOKO BALI'!$B$2:$W$744,12,FALSE),"")</f>
        <v/>
      </c>
      <c r="L637" s="111" t="str">
        <f>IF($G637&lt;&gt;"",VLOOKUP($G637,'MASTER TOKO BALI'!$B$2:$W$744,5,FALSE),"")</f>
        <v/>
      </c>
      <c r="M637" s="106"/>
      <c r="N637" s="111" t="str">
        <f>IF($G637&lt;&gt;"",VLOOKUP($G637,'MASTER TOKO BALI'!$B$2:$W$744,21,FALSE),"")</f>
        <v/>
      </c>
      <c r="O637" s="106"/>
      <c r="P637" s="164" t="str">
        <f>IF($G637&lt;&gt;"",VLOOKUP($G637,'MASTER TOKO BALI'!$B$2:$W$740,7,FALSE),"")</f>
        <v/>
      </c>
    </row>
    <row r="638" spans="1:16" x14ac:dyDescent="0.2">
      <c r="A638" s="106">
        <f t="shared" si="25"/>
        <v>580</v>
      </c>
      <c r="B638" s="107" t="s">
        <v>2046</v>
      </c>
      <c r="C638" s="107" t="s">
        <v>2043</v>
      </c>
      <c r="D638" s="108" t="s">
        <v>2047</v>
      </c>
      <c r="E638" s="109" t="s">
        <v>2074</v>
      </c>
      <c r="F638" s="110"/>
      <c r="G638" s="145"/>
      <c r="H638" s="111" t="str">
        <f>IF($G638&lt;&gt;"",VLOOKUP($G638,'MASTER TOKO BALI'!$B$2:$W$744,2,FALSE),"")</f>
        <v/>
      </c>
      <c r="I638" s="237" t="str">
        <f>IF($G638&lt;&gt;"",VLOOKUP($G638,'MASTER TOKO BALI'!$B$2:$W$744,4,FALSE),"")</f>
        <v/>
      </c>
      <c r="J638" s="112">
        <v>46294</v>
      </c>
      <c r="K638" s="111" t="str">
        <f>IF($G638&lt;&gt;"",VLOOKUP($G638,'MASTER TOKO BALI'!$B$2:$W$744,12,FALSE),"")</f>
        <v/>
      </c>
      <c r="L638" s="111" t="str">
        <f>IF($G638&lt;&gt;"",VLOOKUP($G638,'MASTER TOKO BALI'!$B$2:$W$744,5,FALSE),"")</f>
        <v/>
      </c>
      <c r="M638" s="106"/>
      <c r="N638" s="111" t="str">
        <f>IF($G638&lt;&gt;"",VLOOKUP($G638,'MASTER TOKO BALI'!$B$2:$W$744,21,FALSE),"")</f>
        <v/>
      </c>
      <c r="O638" s="106"/>
      <c r="P638" s="164" t="str">
        <f>IF($G638&lt;&gt;"",VLOOKUP($G638,'MASTER TOKO BALI'!$B$2:$W$740,7,FALSE),"")</f>
        <v/>
      </c>
    </row>
    <row r="639" spans="1:16" x14ac:dyDescent="0.2">
      <c r="A639" s="106">
        <f t="shared" si="25"/>
        <v>581</v>
      </c>
      <c r="B639" s="107" t="s">
        <v>2038</v>
      </c>
      <c r="C639" s="107" t="s">
        <v>2043</v>
      </c>
      <c r="D639" s="113" t="s">
        <v>2045</v>
      </c>
      <c r="E639" s="109" t="s">
        <v>2074</v>
      </c>
      <c r="F639" s="123"/>
      <c r="G639" s="145"/>
      <c r="H639" s="111" t="str">
        <f>IF($G639&lt;&gt;"",VLOOKUP($G639,'MASTER TOKO BALI'!$B$2:$W$744,2,FALSE),"")</f>
        <v/>
      </c>
      <c r="I639" s="237" t="str">
        <f>IF($G639&lt;&gt;"",VLOOKUP($G639,'MASTER TOKO BALI'!$B$2:$W$744,4,FALSE),"")</f>
        <v/>
      </c>
      <c r="J639" s="112">
        <v>46294</v>
      </c>
      <c r="K639" s="111" t="str">
        <f>IF($G639&lt;&gt;"",VLOOKUP($G639,'MASTER TOKO BALI'!$B$2:$W$744,12,FALSE),"")</f>
        <v/>
      </c>
      <c r="L639" s="111" t="str">
        <f>IF($G639&lt;&gt;"",VLOOKUP($G639,'MASTER TOKO BALI'!$B$2:$W$744,5,FALSE),"")</f>
        <v/>
      </c>
      <c r="M639" s="106"/>
      <c r="N639" s="111" t="str">
        <f>IF($G639&lt;&gt;"",VLOOKUP($G639,'MASTER TOKO BALI'!$B$2:$W$744,21,FALSE),"")</f>
        <v/>
      </c>
      <c r="O639" s="106"/>
      <c r="P639" s="164" t="str">
        <f>IF($G639&lt;&gt;"",VLOOKUP($G639,'MASTER TOKO BALI'!$B$2:$W$740,7,FALSE),"")</f>
        <v/>
      </c>
    </row>
    <row r="640" spans="1:16" ht="14.4" x14ac:dyDescent="0.3">
      <c r="A640" s="106">
        <f t="shared" si="25"/>
        <v>582</v>
      </c>
      <c r="B640" s="107" t="s">
        <v>2048</v>
      </c>
      <c r="C640" s="107" t="s">
        <v>2049</v>
      </c>
      <c r="D640" s="108" t="s">
        <v>2050</v>
      </c>
      <c r="E640" s="109" t="s">
        <v>2074</v>
      </c>
      <c r="F640" s="126"/>
      <c r="G640" s="65"/>
      <c r="H640" s="111" t="str">
        <f>IF($G640&lt;&gt;"",VLOOKUP($G640,'MASTER TOKO BALI'!$B$2:$W$744,2,FALSE),"")</f>
        <v/>
      </c>
      <c r="I640" s="237" t="str">
        <f>IF($G640&lt;&gt;"",VLOOKUP($G640,'MASTER TOKO BALI'!$B$2:$W$744,4,FALSE),"")</f>
        <v/>
      </c>
      <c r="J640" s="112">
        <v>46294</v>
      </c>
      <c r="K640" s="111" t="str">
        <f>IF($G640&lt;&gt;"",VLOOKUP($G640,'MASTER TOKO BALI'!$B$2:$W$744,12,FALSE),"")</f>
        <v/>
      </c>
      <c r="L640" s="111" t="str">
        <f>IF($G640&lt;&gt;"",VLOOKUP($G640,'MASTER TOKO BALI'!$B$2:$W$744,5,FALSE),"")</f>
        <v/>
      </c>
      <c r="M640" s="106"/>
      <c r="N640" s="111" t="str">
        <f>IF($G640&lt;&gt;"",VLOOKUP($G640,'MASTER TOKO BALI'!$B$2:$W$744,21,FALSE),"")</f>
        <v/>
      </c>
      <c r="O640" s="106"/>
      <c r="P640" s="164" t="str">
        <f>IF($G640&lt;&gt;"",VLOOKUP($G640,'MASTER TOKO BALI'!$B$2:$W$740,7,FALSE),"")</f>
        <v/>
      </c>
    </row>
    <row r="641" spans="1:16" ht="14.4" x14ac:dyDescent="0.2">
      <c r="A641" s="106">
        <f t="shared" si="25"/>
        <v>583</v>
      </c>
      <c r="B641" s="107" t="s">
        <v>2038</v>
      </c>
      <c r="C641" s="107" t="s">
        <v>2049</v>
      </c>
      <c r="D641" s="115" t="s">
        <v>2051</v>
      </c>
      <c r="E641" s="109" t="s">
        <v>2074</v>
      </c>
      <c r="F641" s="126"/>
      <c r="G641" s="60"/>
      <c r="H641" s="111" t="str">
        <f>IF($G641&lt;&gt;"",VLOOKUP($G641,'MASTER TOKO BALI'!$B$2:$W$744,2,FALSE),"")</f>
        <v/>
      </c>
      <c r="I641" s="237" t="str">
        <f>IF($G641&lt;&gt;"",VLOOKUP($G641,'MASTER TOKO BALI'!$B$2:$W$744,4,FALSE),"")</f>
        <v/>
      </c>
      <c r="J641" s="112">
        <v>46294</v>
      </c>
      <c r="K641" s="111" t="str">
        <f>IF($G641&lt;&gt;"",VLOOKUP($G641,'MASTER TOKO BALI'!$B$2:$W$744,12,FALSE),"")</f>
        <v/>
      </c>
      <c r="L641" s="111" t="str">
        <f>IF($G641&lt;&gt;"",VLOOKUP($G641,'MASTER TOKO BALI'!$B$2:$W$744,5,FALSE),"")</f>
        <v/>
      </c>
      <c r="M641" s="106"/>
      <c r="N641" s="111" t="str">
        <f>IF($G641&lt;&gt;"",VLOOKUP($G641,'MASTER TOKO BALI'!$B$2:$W$744,21,FALSE),"")</f>
        <v/>
      </c>
      <c r="O641" s="106"/>
      <c r="P641" s="164" t="str">
        <f>IF($G641&lt;&gt;"",VLOOKUP($G641,'MASTER TOKO BALI'!$B$2:$W$740,7,FALSE),"")</f>
        <v/>
      </c>
    </row>
    <row r="642" spans="1:16" ht="14.4" x14ac:dyDescent="0.2">
      <c r="A642" s="106">
        <f t="shared" si="25"/>
        <v>584</v>
      </c>
      <c r="B642" s="107" t="s">
        <v>2052</v>
      </c>
      <c r="C642" s="107" t="s">
        <v>2049</v>
      </c>
      <c r="D642" s="108" t="s">
        <v>2053</v>
      </c>
      <c r="E642" s="109" t="s">
        <v>2074</v>
      </c>
      <c r="F642" s="126"/>
      <c r="G642" s="60"/>
      <c r="H642" s="111" t="str">
        <f>IF($G642&lt;&gt;"",VLOOKUP($G642,'MASTER TOKO BALI'!$B$2:$W$744,2,FALSE),"")</f>
        <v/>
      </c>
      <c r="I642" s="237" t="str">
        <f>IF($G642&lt;&gt;"",VLOOKUP($G642,'MASTER TOKO BALI'!$B$2:$W$744,4,FALSE),"")</f>
        <v/>
      </c>
      <c r="J642" s="112">
        <v>46294</v>
      </c>
      <c r="K642" s="111" t="str">
        <f>IF($G642&lt;&gt;"",VLOOKUP($G642,'MASTER TOKO BALI'!$B$2:$W$744,12,FALSE),"")</f>
        <v/>
      </c>
      <c r="L642" s="111" t="str">
        <f>IF($G642&lt;&gt;"",VLOOKUP($G642,'MASTER TOKO BALI'!$B$2:$W$744,5,FALSE),"")</f>
        <v/>
      </c>
      <c r="M642" s="106"/>
      <c r="N642" s="111" t="str">
        <f>IF($G642&lt;&gt;"",VLOOKUP($G642,'MASTER TOKO BALI'!$B$2:$W$744,21,FALSE),"")</f>
        <v/>
      </c>
      <c r="O642" s="106"/>
      <c r="P642" s="164" t="str">
        <f>IF($G642&lt;&gt;"",VLOOKUP($G642,'MASTER TOKO BALI'!$B$2:$W$740,7,FALSE),"")</f>
        <v/>
      </c>
    </row>
    <row r="643" spans="1:16" ht="14.4" x14ac:dyDescent="0.2">
      <c r="A643" s="106">
        <f t="shared" si="25"/>
        <v>585</v>
      </c>
      <c r="B643" s="107" t="s">
        <v>2038</v>
      </c>
      <c r="C643" s="107" t="s">
        <v>2049</v>
      </c>
      <c r="D643" s="113" t="s">
        <v>2051</v>
      </c>
      <c r="E643" s="109" t="s">
        <v>2074</v>
      </c>
      <c r="F643" s="126"/>
      <c r="G643" s="60"/>
      <c r="H643" s="111" t="str">
        <f>IF($G643&lt;&gt;"",VLOOKUP($G643,'MASTER TOKO BALI'!$B$2:$W$744,2,FALSE),"")</f>
        <v/>
      </c>
      <c r="I643" s="237" t="str">
        <f>IF($G643&lt;&gt;"",VLOOKUP($G643,'MASTER TOKO BALI'!$B$2:$W$744,4,FALSE),"")</f>
        <v/>
      </c>
      <c r="J643" s="112">
        <v>46294</v>
      </c>
      <c r="K643" s="111" t="str">
        <f>IF($G643&lt;&gt;"",VLOOKUP($G643,'MASTER TOKO BALI'!$B$2:$W$744,12,FALSE),"")</f>
        <v/>
      </c>
      <c r="L643" s="111" t="str">
        <f>IF($G643&lt;&gt;"",VLOOKUP($G643,'MASTER TOKO BALI'!$B$2:$W$744,5,FALSE),"")</f>
        <v/>
      </c>
      <c r="M643" s="106"/>
      <c r="N643" s="111" t="str">
        <f>IF($G643&lt;&gt;"",VLOOKUP($G643,'MASTER TOKO BALI'!$B$2:$W$744,21,FALSE),"")</f>
        <v/>
      </c>
      <c r="O643" s="106"/>
      <c r="P643" s="164" t="str">
        <f>IF($G643&lt;&gt;"",VLOOKUP($G643,'MASTER TOKO BALI'!$B$2:$W$740,7,FALSE),"")</f>
        <v/>
      </c>
    </row>
    <row r="644" spans="1:16" x14ac:dyDescent="0.2">
      <c r="A644" s="106">
        <f t="shared" si="25"/>
        <v>586</v>
      </c>
      <c r="B644" s="107" t="s">
        <v>2054</v>
      </c>
      <c r="C644" s="116" t="s">
        <v>2055</v>
      </c>
      <c r="D644" s="108" t="s">
        <v>2056</v>
      </c>
      <c r="E644" s="109" t="s">
        <v>2074</v>
      </c>
      <c r="F644" s="126"/>
      <c r="G644" s="144"/>
      <c r="H644" s="111" t="str">
        <f>IF($G644&lt;&gt;"",VLOOKUP($G644,'MASTER TOKO BALI'!$B$2:$W$744,2,FALSE),"")</f>
        <v/>
      </c>
      <c r="I644" s="237" t="str">
        <f>IF($G644&lt;&gt;"",VLOOKUP($G644,'MASTER TOKO BALI'!$B$2:$W$744,4,FALSE),"")</f>
        <v/>
      </c>
      <c r="J644" s="112">
        <v>46294</v>
      </c>
      <c r="K644" s="111" t="str">
        <f>IF($G644&lt;&gt;"",VLOOKUP($G644,'MASTER TOKO BALI'!$B$2:$W$744,12,FALSE),"")</f>
        <v/>
      </c>
      <c r="L644" s="111" t="str">
        <f>IF($G644&lt;&gt;"",VLOOKUP($G644,'MASTER TOKO BALI'!$B$2:$W$744,5,FALSE),"")</f>
        <v/>
      </c>
      <c r="M644" s="106"/>
      <c r="N644" s="111" t="str">
        <f>IF($G644&lt;&gt;"",VLOOKUP($G644,'MASTER TOKO BALI'!$B$2:$W$744,21,FALSE),"")</f>
        <v/>
      </c>
      <c r="O644" s="106"/>
      <c r="P644" s="164" t="str">
        <f>IF($G644&lt;&gt;"",VLOOKUP($G644,'MASTER TOKO BALI'!$B$2:$W$740,7,FALSE),"")</f>
        <v/>
      </c>
    </row>
    <row r="645" spans="1:16" x14ac:dyDescent="0.2">
      <c r="A645" s="106">
        <f t="shared" si="25"/>
        <v>587</v>
      </c>
      <c r="B645" s="107" t="s">
        <v>2038</v>
      </c>
      <c r="C645" s="116" t="s">
        <v>2055</v>
      </c>
      <c r="D645" s="113" t="s">
        <v>2057</v>
      </c>
      <c r="E645" s="109" t="s">
        <v>2074</v>
      </c>
      <c r="F645" s="126"/>
      <c r="G645" s="144"/>
      <c r="H645" s="111" t="str">
        <f>IF($G645&lt;&gt;"",VLOOKUP($G645,'MASTER TOKO BALI'!$B$2:$W$744,2,FALSE),"")</f>
        <v/>
      </c>
      <c r="I645" s="237" t="str">
        <f>IF($G645&lt;&gt;"",VLOOKUP($G645,'MASTER TOKO BALI'!$B$2:$W$744,4,FALSE),"")</f>
        <v/>
      </c>
      <c r="J645" s="112">
        <v>46294</v>
      </c>
      <c r="K645" s="111" t="str">
        <f>IF($G645&lt;&gt;"",VLOOKUP($G645,'MASTER TOKO BALI'!$B$2:$W$744,12,FALSE),"")</f>
        <v/>
      </c>
      <c r="L645" s="111" t="str">
        <f>IF($G645&lt;&gt;"",VLOOKUP($G645,'MASTER TOKO BALI'!$B$2:$W$744,5,FALSE),"")</f>
        <v/>
      </c>
      <c r="M645" s="106"/>
      <c r="N645" s="111" t="str">
        <f>IF($G645&lt;&gt;"",VLOOKUP($G645,'MASTER TOKO BALI'!$B$2:$W$744,21,FALSE),"")</f>
        <v/>
      </c>
      <c r="O645" s="106"/>
      <c r="P645" s="164" t="str">
        <f>IF($G645&lt;&gt;"",VLOOKUP($G645,'MASTER TOKO BALI'!$B$2:$W$740,7,FALSE),"")</f>
        <v/>
      </c>
    </row>
    <row r="646" spans="1:16" ht="14.4" x14ac:dyDescent="0.2">
      <c r="A646" s="106">
        <f t="shared" si="25"/>
        <v>588</v>
      </c>
      <c r="B646" s="107" t="s">
        <v>2058</v>
      </c>
      <c r="C646" s="116" t="s">
        <v>2055</v>
      </c>
      <c r="D646" s="108" t="s">
        <v>2059</v>
      </c>
      <c r="E646" s="109" t="s">
        <v>2074</v>
      </c>
      <c r="F646" s="126"/>
      <c r="G646" s="60"/>
      <c r="H646" s="111" t="str">
        <f>IF($G646&lt;&gt;"",VLOOKUP($G646,'MASTER TOKO BALI'!$B$2:$W$744,2,FALSE),"")</f>
        <v/>
      </c>
      <c r="I646" s="237" t="str">
        <f>IF($G646&lt;&gt;"",VLOOKUP($G646,'MASTER TOKO BALI'!$B$2:$W$744,4,FALSE),"")</f>
        <v/>
      </c>
      <c r="J646" s="112">
        <v>46294</v>
      </c>
      <c r="K646" s="111" t="str">
        <f>IF($G646&lt;&gt;"",VLOOKUP($G646,'MASTER TOKO BALI'!$B$2:$W$744,12,FALSE),"")</f>
        <v/>
      </c>
      <c r="L646" s="111" t="str">
        <f>IF($G646&lt;&gt;"",VLOOKUP($G646,'MASTER TOKO BALI'!$B$2:$W$744,5,FALSE),"")</f>
        <v/>
      </c>
      <c r="M646" s="106"/>
      <c r="N646" s="111" t="str">
        <f>IF($G646&lt;&gt;"",VLOOKUP($G646,'MASTER TOKO BALI'!$B$2:$W$744,21,FALSE),"")</f>
        <v/>
      </c>
      <c r="O646" s="106"/>
      <c r="P646" s="164" t="str">
        <f>IF($G646&lt;&gt;"",VLOOKUP($G646,'MASTER TOKO BALI'!$B$2:$W$740,7,FALSE),"")</f>
        <v/>
      </c>
    </row>
    <row r="647" spans="1:16" ht="14.4" x14ac:dyDescent="0.2">
      <c r="A647" s="106">
        <f t="shared" si="25"/>
        <v>589</v>
      </c>
      <c r="B647" s="107" t="s">
        <v>2038</v>
      </c>
      <c r="C647" s="116" t="s">
        <v>2055</v>
      </c>
      <c r="D647" s="113" t="s">
        <v>2057</v>
      </c>
      <c r="E647" s="109" t="s">
        <v>2074</v>
      </c>
      <c r="F647" s="126"/>
      <c r="G647" s="60"/>
      <c r="H647" s="111" t="str">
        <f>IF($G647&lt;&gt;"",VLOOKUP($G647,'MASTER TOKO BALI'!$B$2:$W$744,2,FALSE),"")</f>
        <v/>
      </c>
      <c r="I647" s="237" t="str">
        <f>IF($G647&lt;&gt;"",VLOOKUP($G647,'MASTER TOKO BALI'!$B$2:$W$744,4,FALSE),"")</f>
        <v/>
      </c>
      <c r="J647" s="112">
        <v>46294</v>
      </c>
      <c r="K647" s="111" t="str">
        <f>IF($G647&lt;&gt;"",VLOOKUP($G647,'MASTER TOKO BALI'!$B$2:$W$744,12,FALSE),"")</f>
        <v/>
      </c>
      <c r="L647" s="111" t="str">
        <f>IF($G647&lt;&gt;"",VLOOKUP($G647,'MASTER TOKO BALI'!$B$2:$W$744,5,FALSE),"")</f>
        <v/>
      </c>
      <c r="M647" s="106"/>
      <c r="N647" s="111" t="str">
        <f>IF($G647&lt;&gt;"",VLOOKUP($G647,'MASTER TOKO BALI'!$B$2:$W$744,21,FALSE),"")</f>
        <v/>
      </c>
      <c r="O647" s="106"/>
      <c r="P647" s="164" t="str">
        <f>IF($G647&lt;&gt;"",VLOOKUP($G647,'MASTER TOKO BALI'!$B$2:$W$740,7,FALSE),"")</f>
        <v/>
      </c>
    </row>
    <row r="648" spans="1:16" ht="14.4" x14ac:dyDescent="0.2">
      <c r="A648" s="106">
        <f t="shared" si="25"/>
        <v>590</v>
      </c>
      <c r="B648" s="107" t="s">
        <v>2060</v>
      </c>
      <c r="C648" s="116" t="s">
        <v>2061</v>
      </c>
      <c r="D648" s="108" t="s">
        <v>2062</v>
      </c>
      <c r="E648" s="109" t="s">
        <v>2074</v>
      </c>
      <c r="F648" s="126"/>
      <c r="G648" s="60"/>
      <c r="H648" s="111" t="str">
        <f>IF($G648&lt;&gt;"",VLOOKUP($G648,'MASTER TOKO BALI'!$B$2:$W$744,2,FALSE),"")</f>
        <v/>
      </c>
      <c r="I648" s="237" t="str">
        <f>IF($G648&lt;&gt;"",VLOOKUP($G648,'MASTER TOKO BALI'!$B$2:$W$744,4,FALSE),"")</f>
        <v/>
      </c>
      <c r="J648" s="112">
        <v>46294</v>
      </c>
      <c r="K648" s="111" t="str">
        <f>IF($G648&lt;&gt;"",VLOOKUP($G648,'MASTER TOKO BALI'!$B$2:$W$744,12,FALSE),"")</f>
        <v/>
      </c>
      <c r="L648" s="111" t="str">
        <f>IF($G648&lt;&gt;"",VLOOKUP($G648,'MASTER TOKO BALI'!$B$2:$W$744,5,FALSE),"")</f>
        <v/>
      </c>
      <c r="M648" s="106"/>
      <c r="N648" s="111" t="str">
        <f>IF($G648&lt;&gt;"",VLOOKUP($G648,'MASTER TOKO BALI'!$B$2:$W$744,21,FALSE),"")</f>
        <v/>
      </c>
      <c r="O648" s="106"/>
      <c r="P648" s="164" t="str">
        <f>IF($G648&lt;&gt;"",VLOOKUP($G648,'MASTER TOKO BALI'!$B$2:$W$740,7,FALSE),"")</f>
        <v/>
      </c>
    </row>
    <row r="649" spans="1:16" ht="14.4" x14ac:dyDescent="0.2">
      <c r="A649" s="106">
        <f t="shared" si="25"/>
        <v>591</v>
      </c>
      <c r="B649" s="107" t="s">
        <v>2038</v>
      </c>
      <c r="C649" s="116" t="s">
        <v>2061</v>
      </c>
      <c r="D649" s="113" t="s">
        <v>2063</v>
      </c>
      <c r="E649" s="109" t="s">
        <v>2074</v>
      </c>
      <c r="F649" s="126"/>
      <c r="G649" s="60"/>
      <c r="H649" s="111" t="str">
        <f>IF($G649&lt;&gt;"",VLOOKUP($G649,'MASTER TOKO BALI'!$B$2:$W$744,2,FALSE),"")</f>
        <v/>
      </c>
      <c r="I649" s="237" t="str">
        <f>IF($G649&lt;&gt;"",VLOOKUP($G649,'MASTER TOKO BALI'!$B$2:$W$744,4,FALSE),"")</f>
        <v/>
      </c>
      <c r="J649" s="112">
        <v>46294</v>
      </c>
      <c r="K649" s="111" t="str">
        <f>IF($G649&lt;&gt;"",VLOOKUP($G649,'MASTER TOKO BALI'!$B$2:$W$744,12,FALSE),"")</f>
        <v/>
      </c>
      <c r="L649" s="111" t="str">
        <f>IF($G649&lt;&gt;"",VLOOKUP($G649,'MASTER TOKO BALI'!$B$2:$W$744,5,FALSE),"")</f>
        <v/>
      </c>
      <c r="M649" s="106"/>
      <c r="N649" s="111" t="str">
        <f>IF($G649&lt;&gt;"",VLOOKUP($G649,'MASTER TOKO BALI'!$B$2:$W$744,21,FALSE),"")</f>
        <v/>
      </c>
      <c r="O649" s="106"/>
      <c r="P649" s="164" t="str">
        <f>IF($G649&lt;&gt;"",VLOOKUP($G649,'MASTER TOKO BALI'!$B$2:$W$740,7,FALSE),"")</f>
        <v/>
      </c>
    </row>
    <row r="650" spans="1:16" ht="14.4" x14ac:dyDescent="0.2">
      <c r="A650" s="106">
        <f t="shared" si="25"/>
        <v>592</v>
      </c>
      <c r="B650" s="107" t="s">
        <v>2064</v>
      </c>
      <c r="C650" s="116" t="s">
        <v>2061</v>
      </c>
      <c r="D650" s="108" t="s">
        <v>2065</v>
      </c>
      <c r="E650" s="109" t="s">
        <v>2074</v>
      </c>
      <c r="F650" s="126"/>
      <c r="G650" s="60"/>
      <c r="H650" s="111" t="str">
        <f>IF($G650&lt;&gt;"",VLOOKUP($G650,'MASTER TOKO BALI'!$B$2:$W$744,2,FALSE),"")</f>
        <v/>
      </c>
      <c r="I650" s="237" t="str">
        <f>IF($G650&lt;&gt;"",VLOOKUP($G650,'MASTER TOKO BALI'!$B$2:$W$744,4,FALSE),"")</f>
        <v/>
      </c>
      <c r="J650" s="112">
        <v>46294</v>
      </c>
      <c r="K650" s="111" t="str">
        <f>IF($G650&lt;&gt;"",VLOOKUP($G650,'MASTER TOKO BALI'!$B$2:$W$744,12,FALSE),"")</f>
        <v/>
      </c>
      <c r="L650" s="111" t="str">
        <f>IF($G650&lt;&gt;"",VLOOKUP($G650,'MASTER TOKO BALI'!$B$2:$W$744,5,FALSE),"")</f>
        <v/>
      </c>
      <c r="M650" s="106"/>
      <c r="N650" s="111" t="str">
        <f>IF($G650&lt;&gt;"",VLOOKUP($G650,'MASTER TOKO BALI'!$B$2:$W$744,21,FALSE),"")</f>
        <v/>
      </c>
      <c r="O650" s="106"/>
      <c r="P650" s="164" t="str">
        <f>IF($G650&lt;&gt;"",VLOOKUP($G650,'MASTER TOKO BALI'!$B$2:$W$740,7,FALSE),"")</f>
        <v/>
      </c>
    </row>
    <row r="651" spans="1:16" ht="14.4" x14ac:dyDescent="0.2">
      <c r="A651" s="106">
        <f t="shared" si="25"/>
        <v>593</v>
      </c>
      <c r="B651" s="107" t="s">
        <v>2066</v>
      </c>
      <c r="C651" s="116" t="s">
        <v>2061</v>
      </c>
      <c r="D651" s="113" t="s">
        <v>2063</v>
      </c>
      <c r="E651" s="109" t="s">
        <v>2074</v>
      </c>
      <c r="F651" s="126"/>
      <c r="G651" s="60"/>
      <c r="H651" s="111" t="str">
        <f>IF($G651&lt;&gt;"",VLOOKUP($G651,'MASTER TOKO BALI'!$B$2:$W$744,2,FALSE),"")</f>
        <v/>
      </c>
      <c r="I651" s="237" t="str">
        <f>IF($G651&lt;&gt;"",VLOOKUP($G651,'MASTER TOKO BALI'!$B$2:$W$744,4,FALSE),"")</f>
        <v/>
      </c>
      <c r="J651" s="112">
        <v>46294</v>
      </c>
      <c r="K651" s="111" t="str">
        <f>IF($G651&lt;&gt;"",VLOOKUP($G651,'MASTER TOKO BALI'!$B$2:$W$744,12,FALSE),"")</f>
        <v/>
      </c>
      <c r="L651" s="111" t="str">
        <f>IF($G651&lt;&gt;"",VLOOKUP($G651,'MASTER TOKO BALI'!$B$2:$W$744,5,FALSE),"")</f>
        <v/>
      </c>
      <c r="M651" s="106"/>
      <c r="N651" s="111" t="str">
        <f>IF($G651&lt;&gt;"",VLOOKUP($G651,'MASTER TOKO BALI'!$B$2:$W$744,21,FALSE),"")</f>
        <v/>
      </c>
      <c r="O651" s="106"/>
      <c r="P651" s="164" t="str">
        <f>IF($G651&lt;&gt;"",VLOOKUP($G651,'MASTER TOKO BALI'!$B$2:$W$740,7,FALSE),"")</f>
        <v/>
      </c>
    </row>
    <row r="652" spans="1:16" ht="14.4" x14ac:dyDescent="0.2">
      <c r="A652" s="106">
        <f t="shared" si="25"/>
        <v>594</v>
      </c>
      <c r="B652" s="107" t="s">
        <v>2067</v>
      </c>
      <c r="C652" s="107" t="s">
        <v>2068</v>
      </c>
      <c r="D652" s="108" t="s">
        <v>2069</v>
      </c>
      <c r="E652" s="109" t="s">
        <v>2074</v>
      </c>
      <c r="F652" s="126"/>
      <c r="G652" s="60"/>
      <c r="H652" s="111" t="str">
        <f>IF($G652&lt;&gt;"",VLOOKUP($G652,'MASTER TOKO BALI'!$B$2:$W$744,2,FALSE),"")</f>
        <v/>
      </c>
      <c r="I652" s="237" t="str">
        <f>IF($G652&lt;&gt;"",VLOOKUP($G652,'MASTER TOKO BALI'!$B$2:$W$744,4,FALSE),"")</f>
        <v/>
      </c>
      <c r="J652" s="112">
        <v>46294</v>
      </c>
      <c r="K652" s="111" t="str">
        <f>IF($G652&lt;&gt;"",VLOOKUP($G652,'MASTER TOKO BALI'!$B$2:$W$744,12,FALSE),"")</f>
        <v/>
      </c>
      <c r="L652" s="111" t="str">
        <f>IF($G652&lt;&gt;"",VLOOKUP($G652,'MASTER TOKO BALI'!$B$2:$W$744,5,FALSE),"")</f>
        <v/>
      </c>
      <c r="M652" s="106"/>
      <c r="N652" s="111" t="str">
        <f>IF($G652&lt;&gt;"",VLOOKUP($G652,'MASTER TOKO BALI'!$B$2:$W$744,21,FALSE),"")</f>
        <v/>
      </c>
      <c r="O652" s="106"/>
      <c r="P652" s="164" t="str">
        <f>IF($G652&lt;&gt;"",VLOOKUP($G652,'MASTER TOKO BALI'!$B$2:$W$740,7,FALSE),"")</f>
        <v/>
      </c>
    </row>
    <row r="653" spans="1:16" ht="14.4" x14ac:dyDescent="0.2">
      <c r="A653" s="106">
        <f t="shared" si="25"/>
        <v>595</v>
      </c>
      <c r="B653" s="107" t="s">
        <v>2066</v>
      </c>
      <c r="C653" s="107" t="s">
        <v>2068</v>
      </c>
      <c r="D653" s="117" t="s">
        <v>2070</v>
      </c>
      <c r="E653" s="109" t="s">
        <v>2074</v>
      </c>
      <c r="F653" s="126"/>
      <c r="G653" s="60"/>
      <c r="H653" s="111" t="str">
        <f>IF($G653&lt;&gt;"",VLOOKUP($G653,'MASTER TOKO BALI'!$B$2:$W$744,2,FALSE),"")</f>
        <v/>
      </c>
      <c r="I653" s="237" t="str">
        <f>IF($G653&lt;&gt;"",VLOOKUP($G653,'MASTER TOKO BALI'!$B$2:$W$744,4,FALSE),"")</f>
        <v/>
      </c>
      <c r="J653" s="112">
        <v>46294</v>
      </c>
      <c r="K653" s="111" t="str">
        <f>IF($G653&lt;&gt;"",VLOOKUP($G653,'MASTER TOKO BALI'!$B$2:$W$744,12,FALSE),"")</f>
        <v/>
      </c>
      <c r="L653" s="111" t="str">
        <f>IF($G653&lt;&gt;"",VLOOKUP($G653,'MASTER TOKO BALI'!$B$2:$W$744,5,FALSE),"")</f>
        <v/>
      </c>
      <c r="M653" s="106"/>
      <c r="N653" s="111" t="str">
        <f>IF($G653&lt;&gt;"",VLOOKUP($G653,'MASTER TOKO BALI'!$B$2:$W$744,21,FALSE),"")</f>
        <v/>
      </c>
      <c r="O653" s="106"/>
      <c r="P653" s="164" t="str">
        <f>IF($G653&lt;&gt;"",VLOOKUP($G653,'MASTER TOKO BALI'!$B$2:$W$740,7,FALSE),"")</f>
        <v/>
      </c>
    </row>
    <row r="654" spans="1:16" x14ac:dyDescent="0.2">
      <c r="A654" s="106">
        <f t="shared" si="25"/>
        <v>596</v>
      </c>
      <c r="B654" s="107" t="s">
        <v>2071</v>
      </c>
      <c r="C654" s="107" t="s">
        <v>2068</v>
      </c>
      <c r="D654" s="116" t="s">
        <v>2003</v>
      </c>
      <c r="E654" s="109" t="s">
        <v>2074</v>
      </c>
      <c r="F654" s="126"/>
      <c r="G654" s="144"/>
      <c r="H654" s="111" t="str">
        <f>IF($G654&lt;&gt;"",VLOOKUP($G654,'MASTER TOKO BALI'!$B$2:$W$744,2,FALSE),"")</f>
        <v/>
      </c>
      <c r="I654" s="237" t="str">
        <f>IF($G654&lt;&gt;"",VLOOKUP($G654,'MASTER TOKO BALI'!$B$2:$W$744,4,FALSE),"")</f>
        <v/>
      </c>
      <c r="J654" s="112">
        <v>46294</v>
      </c>
      <c r="K654" s="111" t="str">
        <f>IF($G654&lt;&gt;"",VLOOKUP($G654,'MASTER TOKO BALI'!$B$2:$W$744,12,FALSE),"")</f>
        <v/>
      </c>
      <c r="L654" s="111" t="str">
        <f>IF($G654&lt;&gt;"",VLOOKUP($G654,'MASTER TOKO BALI'!$B$2:$W$744,5,FALSE),"")</f>
        <v/>
      </c>
      <c r="M654" s="106"/>
      <c r="N654" s="111" t="str">
        <f>IF($G654&lt;&gt;"",VLOOKUP($G654,'MASTER TOKO BALI'!$B$2:$W$744,21,FALSE),"")</f>
        <v/>
      </c>
      <c r="O654" s="106"/>
      <c r="P654" s="164" t="str">
        <f>IF($G654&lt;&gt;"",VLOOKUP($G654,'MASTER TOKO BALI'!$B$2:$W$740,7,FALSE),"")</f>
        <v/>
      </c>
    </row>
    <row r="655" spans="1:16" x14ac:dyDescent="0.2">
      <c r="A655" s="106">
        <f t="shared" si="25"/>
        <v>597</v>
      </c>
      <c r="B655" s="107" t="s">
        <v>2066</v>
      </c>
      <c r="C655" s="107" t="s">
        <v>2068</v>
      </c>
      <c r="D655" s="117" t="s">
        <v>2070</v>
      </c>
      <c r="E655" s="109" t="s">
        <v>2074</v>
      </c>
      <c r="F655" s="126"/>
      <c r="G655" s="144"/>
      <c r="H655" s="111" t="str">
        <f>IF($G655&lt;&gt;"",VLOOKUP($G655,'MASTER TOKO BALI'!$B$2:$W$744,2,FALSE),"")</f>
        <v/>
      </c>
      <c r="I655" s="237" t="str">
        <f>IF($G655&lt;&gt;"",VLOOKUP($G655,'MASTER TOKO BALI'!$B$2:$W$744,4,FALSE),"")</f>
        <v/>
      </c>
      <c r="J655" s="112">
        <v>46294</v>
      </c>
      <c r="K655" s="111" t="str">
        <f>IF($G655&lt;&gt;"",VLOOKUP($G655,'MASTER TOKO BALI'!$B$2:$W$744,12,FALSE),"")</f>
        <v/>
      </c>
      <c r="L655" s="111" t="str">
        <f>IF($G655&lt;&gt;"",VLOOKUP($G655,'MASTER TOKO BALI'!$B$2:$W$744,5,FALSE),"")</f>
        <v/>
      </c>
      <c r="M655" s="106"/>
      <c r="N655" s="111" t="str">
        <f>IF($G655&lt;&gt;"",VLOOKUP($G655,'MASTER TOKO BALI'!$B$2:$W$744,21,FALSE),"")</f>
        <v/>
      </c>
      <c r="O655" s="106"/>
      <c r="P655" s="164" t="str">
        <f>IF($G655&lt;&gt;"",VLOOKUP($G655,'MASTER TOKO BALI'!$B$2:$W$740,7,FALSE),"")</f>
        <v/>
      </c>
    </row>
    <row r="656" spans="1:16" x14ac:dyDescent="0.2">
      <c r="A656" s="106"/>
      <c r="B656" s="107"/>
      <c r="C656" s="107"/>
      <c r="D656" s="111"/>
      <c r="E656" s="114"/>
      <c r="F656" s="126"/>
      <c r="G656" s="144"/>
      <c r="H656" s="111" t="str">
        <f>IF($G656&lt;&gt;"",VLOOKUP($G656,'MASTER TOKO BALI'!$B$2:$W$744,2,FALSE),"")</f>
        <v/>
      </c>
      <c r="I656" s="237" t="str">
        <f>IF($G656&lt;&gt;"",VLOOKUP($G656,'MASTER TOKO BALI'!$B$2:$W$744,4,FALSE),"")</f>
        <v/>
      </c>
      <c r="J656" s="119"/>
      <c r="K656" s="111" t="str">
        <f>IF($G656&lt;&gt;"",VLOOKUP($G656,'MASTER TOKO BALI'!$B$2:$W$744,12,FALSE),"")</f>
        <v/>
      </c>
      <c r="L656" s="111" t="str">
        <f>IF($G656&lt;&gt;"",VLOOKUP($G656,'MASTER TOKO BALI'!$B$2:$W$744,5,FALSE),"")</f>
        <v/>
      </c>
      <c r="M656" s="106"/>
      <c r="N656" s="111" t="str">
        <f>IF($G656&lt;&gt;"",VLOOKUP($G656,'MASTER TOKO BALI'!$B$2:$W$744,21,FALSE),"")</f>
        <v/>
      </c>
      <c r="O656" s="106"/>
      <c r="P656" s="164" t="str">
        <f>IF($G656&lt;&gt;"",VLOOKUP($G656,'MASTER TOKO BALI'!$B$2:$W$740,7,FALSE),"")</f>
        <v/>
      </c>
    </row>
    <row r="657" spans="1:16" ht="14.4" x14ac:dyDescent="0.2">
      <c r="A657" s="106">
        <f>A655+1</f>
        <v>598</v>
      </c>
      <c r="B657" s="107" t="s">
        <v>2034</v>
      </c>
      <c r="C657" s="107" t="s">
        <v>2035</v>
      </c>
      <c r="D657" s="108" t="s">
        <v>2036</v>
      </c>
      <c r="E657" s="109" t="s">
        <v>2075</v>
      </c>
      <c r="F657" s="126"/>
      <c r="G657" s="60"/>
      <c r="H657" s="111" t="str">
        <f>IF($G657&lt;&gt;"",VLOOKUP($G657,'MASTER TOKO BALI'!$B$2:$W$744,2,FALSE),"")</f>
        <v/>
      </c>
      <c r="I657" s="237" t="str">
        <f>IF($G657&lt;&gt;"",VLOOKUP($G657,'MASTER TOKO BALI'!$B$2:$W$744,4,FALSE),"")</f>
        <v/>
      </c>
      <c r="J657" s="112">
        <v>46295</v>
      </c>
      <c r="K657" s="111" t="str">
        <f>IF($G657&lt;&gt;"",VLOOKUP($G657,'MASTER TOKO BALI'!$B$2:$W$744,12,FALSE),"")</f>
        <v/>
      </c>
      <c r="L657" s="111" t="str">
        <f>IF($G657&lt;&gt;"",VLOOKUP($G657,'MASTER TOKO BALI'!$B$2:$W$744,5,FALSE),"")</f>
        <v/>
      </c>
      <c r="M657" s="106"/>
      <c r="N657" s="111" t="str">
        <f>IF($G657&lt;&gt;"",VLOOKUP($G657,'MASTER TOKO BALI'!$B$2:$W$744,21,FALSE),"")</f>
        <v/>
      </c>
      <c r="O657" s="106"/>
      <c r="P657" s="164" t="str">
        <f>IF($G657&lt;&gt;"",VLOOKUP($G657,'MASTER TOKO BALI'!$B$2:$W$740,7,FALSE),"")</f>
        <v/>
      </c>
    </row>
    <row r="658" spans="1:16" x14ac:dyDescent="0.2">
      <c r="A658" s="106">
        <f t="shared" ref="A658:A680" si="26">A657+1</f>
        <v>599</v>
      </c>
      <c r="B658" s="107" t="s">
        <v>2038</v>
      </c>
      <c r="C658" s="107" t="s">
        <v>2035</v>
      </c>
      <c r="D658" s="113" t="s">
        <v>2039</v>
      </c>
      <c r="E658" s="109" t="s">
        <v>2075</v>
      </c>
      <c r="F658" s="126"/>
      <c r="G658" s="144"/>
      <c r="H658" s="111" t="str">
        <f>IF($G658&lt;&gt;"",VLOOKUP($G658,'MASTER TOKO BALI'!$B$2:$W$744,2,FALSE),"")</f>
        <v/>
      </c>
      <c r="I658" s="237" t="str">
        <f>IF($G658&lt;&gt;"",VLOOKUP($G658,'MASTER TOKO BALI'!$B$2:$W$744,4,FALSE),"")</f>
        <v/>
      </c>
      <c r="J658" s="112">
        <v>46295</v>
      </c>
      <c r="K658" s="111" t="str">
        <f>IF($G658&lt;&gt;"",VLOOKUP($G658,'MASTER TOKO BALI'!$B$2:$W$744,12,FALSE),"")</f>
        <v/>
      </c>
      <c r="L658" s="111" t="str">
        <f>IF($G658&lt;&gt;"",VLOOKUP($G658,'MASTER TOKO BALI'!$B$2:$W$744,5,FALSE),"")</f>
        <v/>
      </c>
      <c r="M658" s="106"/>
      <c r="N658" s="111" t="str">
        <f>IF($G658&lt;&gt;"",VLOOKUP($G658,'MASTER TOKO BALI'!$B$2:$W$744,21,FALSE),"")</f>
        <v/>
      </c>
      <c r="O658" s="106"/>
      <c r="P658" s="164" t="str">
        <f>IF($G658&lt;&gt;"",VLOOKUP($G658,'MASTER TOKO BALI'!$B$2:$W$740,7,FALSE),"")</f>
        <v/>
      </c>
    </row>
    <row r="659" spans="1:16" ht="14.4" x14ac:dyDescent="0.2">
      <c r="A659" s="106">
        <f t="shared" si="26"/>
        <v>600</v>
      </c>
      <c r="B659" s="107" t="s">
        <v>2040</v>
      </c>
      <c r="C659" s="107" t="s">
        <v>2035</v>
      </c>
      <c r="D659" s="108" t="s">
        <v>2041</v>
      </c>
      <c r="E659" s="109" t="s">
        <v>2075</v>
      </c>
      <c r="F659" s="126"/>
      <c r="G659" s="60"/>
      <c r="H659" s="111" t="str">
        <f>IF($G659&lt;&gt;"",VLOOKUP($G659,'MASTER TOKO BALI'!$B$2:$W$744,2,FALSE),"")</f>
        <v/>
      </c>
      <c r="I659" s="237" t="str">
        <f>IF($G659&lt;&gt;"",VLOOKUP($G659,'MASTER TOKO BALI'!$B$2:$W$744,4,FALSE),"")</f>
        <v/>
      </c>
      <c r="J659" s="112">
        <v>46295</v>
      </c>
      <c r="K659" s="111" t="str">
        <f>IF($G659&lt;&gt;"",VLOOKUP($G659,'MASTER TOKO BALI'!$B$2:$W$744,12,FALSE),"")</f>
        <v/>
      </c>
      <c r="L659" s="111" t="str">
        <f>IF($G659&lt;&gt;"",VLOOKUP($G659,'MASTER TOKO BALI'!$B$2:$W$744,5,FALSE),"")</f>
        <v/>
      </c>
      <c r="M659" s="106"/>
      <c r="N659" s="111" t="str">
        <f>IF($G659&lt;&gt;"",VLOOKUP($G659,'MASTER TOKO BALI'!$B$2:$W$744,21,FALSE),"")</f>
        <v/>
      </c>
      <c r="O659" s="106"/>
      <c r="P659" s="164" t="str">
        <f>IF($G659&lt;&gt;"",VLOOKUP($G659,'MASTER TOKO BALI'!$B$2:$W$740,7,FALSE),"")</f>
        <v/>
      </c>
    </row>
    <row r="660" spans="1:16" x14ac:dyDescent="0.2">
      <c r="A660" s="106">
        <f t="shared" si="26"/>
        <v>601</v>
      </c>
      <c r="B660" s="107" t="s">
        <v>2038</v>
      </c>
      <c r="C660" s="107" t="s">
        <v>2035</v>
      </c>
      <c r="D660" s="113" t="s">
        <v>2039</v>
      </c>
      <c r="E660" s="109" t="s">
        <v>2075</v>
      </c>
      <c r="F660" s="126"/>
      <c r="G660" s="149"/>
      <c r="H660" s="111" t="str">
        <f>IF($G660&lt;&gt;"",VLOOKUP($G660,'MASTER TOKO BALI'!$B$2:$W$744,2,FALSE),"")</f>
        <v/>
      </c>
      <c r="I660" s="237" t="str">
        <f>IF($G660&lt;&gt;"",VLOOKUP($G660,'MASTER TOKO BALI'!$B$2:$W$744,4,FALSE),"")</f>
        <v/>
      </c>
      <c r="J660" s="112">
        <v>46295</v>
      </c>
      <c r="K660" s="111" t="str">
        <f>IF($G660&lt;&gt;"",VLOOKUP($G660,'MASTER TOKO BALI'!$B$2:$W$744,12,FALSE),"")</f>
        <v/>
      </c>
      <c r="L660" s="111" t="str">
        <f>IF($G660&lt;&gt;"",VLOOKUP($G660,'MASTER TOKO BALI'!$B$2:$W$744,5,FALSE),"")</f>
        <v/>
      </c>
      <c r="M660" s="106"/>
      <c r="N660" s="111" t="str">
        <f>IF($G660&lt;&gt;"",VLOOKUP($G660,'MASTER TOKO BALI'!$B$2:$W$744,21,FALSE),"")</f>
        <v/>
      </c>
      <c r="O660" s="106"/>
      <c r="P660" s="164" t="str">
        <f>IF($G660&lt;&gt;"",VLOOKUP($G660,'MASTER TOKO BALI'!$B$2:$W$740,7,FALSE),"")</f>
        <v/>
      </c>
    </row>
    <row r="661" spans="1:16" x14ac:dyDescent="0.2">
      <c r="A661" s="106">
        <f t="shared" si="26"/>
        <v>602</v>
      </c>
      <c r="B661" s="107" t="s">
        <v>2042</v>
      </c>
      <c r="C661" s="107" t="s">
        <v>2043</v>
      </c>
      <c r="D661" s="108" t="s">
        <v>2044</v>
      </c>
      <c r="E661" s="109" t="s">
        <v>2075</v>
      </c>
      <c r="F661" s="126"/>
      <c r="G661" s="146"/>
      <c r="H661" s="111" t="str">
        <f>IF($G661&lt;&gt;"",VLOOKUP($G661,'MASTER TOKO BALI'!$B$2:$W$744,2,FALSE),"")</f>
        <v/>
      </c>
      <c r="I661" s="237" t="str">
        <f>IF($G661&lt;&gt;"",VLOOKUP($G661,'MASTER TOKO BALI'!$B$2:$W$744,4,FALSE),"")</f>
        <v/>
      </c>
      <c r="J661" s="112">
        <v>46295</v>
      </c>
      <c r="K661" s="111" t="str">
        <f>IF($G661&lt;&gt;"",VLOOKUP($G661,'MASTER TOKO BALI'!$B$2:$W$744,12,FALSE),"")</f>
        <v/>
      </c>
      <c r="L661" s="111" t="str">
        <f>IF($G661&lt;&gt;"",VLOOKUP($G661,'MASTER TOKO BALI'!$B$2:$W$744,5,FALSE),"")</f>
        <v/>
      </c>
      <c r="M661" s="106"/>
      <c r="N661" s="111" t="str">
        <f>IF($G661&lt;&gt;"",VLOOKUP($G661,'MASTER TOKO BALI'!$B$2:$W$744,21,FALSE),"")</f>
        <v/>
      </c>
      <c r="O661" s="106"/>
      <c r="P661" s="164" t="str">
        <f>IF($G661&lt;&gt;"",VLOOKUP($G661,'MASTER TOKO BALI'!$B$2:$W$740,7,FALSE),"")</f>
        <v/>
      </c>
    </row>
    <row r="662" spans="1:16" x14ac:dyDescent="0.2">
      <c r="A662" s="106">
        <f t="shared" si="26"/>
        <v>603</v>
      </c>
      <c r="B662" s="107" t="s">
        <v>2038</v>
      </c>
      <c r="C662" s="107" t="s">
        <v>2043</v>
      </c>
      <c r="D662" s="113" t="s">
        <v>2045</v>
      </c>
      <c r="E662" s="109" t="s">
        <v>2075</v>
      </c>
      <c r="F662" s="126"/>
      <c r="G662" s="146"/>
      <c r="H662" s="111" t="str">
        <f>IF($G662&lt;&gt;"",VLOOKUP($G662,'MASTER TOKO BALI'!$B$2:$W$744,2,FALSE),"")</f>
        <v/>
      </c>
      <c r="I662" s="237" t="str">
        <f>IF($G662&lt;&gt;"",VLOOKUP($G662,'MASTER TOKO BALI'!$B$2:$W$744,4,FALSE),"")</f>
        <v/>
      </c>
      <c r="J662" s="112">
        <v>46295</v>
      </c>
      <c r="K662" s="111" t="str">
        <f>IF($G662&lt;&gt;"",VLOOKUP($G662,'MASTER TOKO BALI'!$B$2:$W$744,12,FALSE),"")</f>
        <v/>
      </c>
      <c r="L662" s="111" t="str">
        <f>IF($G662&lt;&gt;"",VLOOKUP($G662,'MASTER TOKO BALI'!$B$2:$W$744,5,FALSE),"")</f>
        <v/>
      </c>
      <c r="M662" s="106"/>
      <c r="N662" s="111" t="str">
        <f>IF($G662&lt;&gt;"",VLOOKUP($G662,'MASTER TOKO BALI'!$B$2:$W$744,21,FALSE),"")</f>
        <v/>
      </c>
      <c r="O662" s="106"/>
      <c r="P662" s="164" t="str">
        <f>IF($G662&lt;&gt;"",VLOOKUP($G662,'MASTER TOKO BALI'!$B$2:$W$740,7,FALSE),"")</f>
        <v/>
      </c>
    </row>
    <row r="663" spans="1:16" ht="14.4" x14ac:dyDescent="0.3">
      <c r="A663" s="106">
        <f t="shared" si="26"/>
        <v>604</v>
      </c>
      <c r="B663" s="107" t="s">
        <v>2046</v>
      </c>
      <c r="C663" s="107" t="s">
        <v>2043</v>
      </c>
      <c r="D663" s="108" t="s">
        <v>2047</v>
      </c>
      <c r="E663" s="109" t="s">
        <v>2075</v>
      </c>
      <c r="F663" s="126"/>
      <c r="G663" s="65"/>
      <c r="H663" s="111" t="str">
        <f>IF($G663&lt;&gt;"",VLOOKUP($G663,'MASTER TOKO BALI'!$B$2:$W$744,2,FALSE),"")</f>
        <v/>
      </c>
      <c r="I663" s="237" t="str">
        <f>IF($G663&lt;&gt;"",VLOOKUP($G663,'MASTER TOKO BALI'!$B$2:$W$744,4,FALSE),"")</f>
        <v/>
      </c>
      <c r="J663" s="112">
        <v>46295</v>
      </c>
      <c r="K663" s="111" t="str">
        <f>IF($G663&lt;&gt;"",VLOOKUP($G663,'MASTER TOKO BALI'!$B$2:$W$744,12,FALSE),"")</f>
        <v/>
      </c>
      <c r="L663" s="111" t="str">
        <f>IF($G663&lt;&gt;"",VLOOKUP($G663,'MASTER TOKO BALI'!$B$2:$W$744,5,FALSE),"")</f>
        <v/>
      </c>
      <c r="M663" s="106"/>
      <c r="N663" s="111" t="str">
        <f>IF($G663&lt;&gt;"",VLOOKUP($G663,'MASTER TOKO BALI'!$B$2:$W$744,21,FALSE),"")</f>
        <v/>
      </c>
      <c r="O663" s="106"/>
      <c r="P663" s="164" t="str">
        <f>IF($G663&lt;&gt;"",VLOOKUP($G663,'MASTER TOKO BALI'!$B$2:$W$740,7,FALSE),"")</f>
        <v/>
      </c>
    </row>
    <row r="664" spans="1:16" x14ac:dyDescent="0.2">
      <c r="A664" s="106">
        <f t="shared" si="26"/>
        <v>605</v>
      </c>
      <c r="B664" s="107" t="s">
        <v>2038</v>
      </c>
      <c r="C664" s="107" t="s">
        <v>2043</v>
      </c>
      <c r="D664" s="113" t="s">
        <v>2045</v>
      </c>
      <c r="E664" s="109" t="s">
        <v>2075</v>
      </c>
      <c r="F664" s="126"/>
      <c r="G664" s="144"/>
      <c r="H664" s="111" t="str">
        <f>IF($G664&lt;&gt;"",VLOOKUP($G664,'MASTER TOKO BALI'!$B$2:$W$744,2,FALSE),"")</f>
        <v/>
      </c>
      <c r="I664" s="237" t="str">
        <f>IF($G664&lt;&gt;"",VLOOKUP($G664,'MASTER TOKO BALI'!$B$2:$W$744,4,FALSE),"")</f>
        <v/>
      </c>
      <c r="J664" s="112">
        <v>46295</v>
      </c>
      <c r="K664" s="111" t="str">
        <f>IF($G664&lt;&gt;"",VLOOKUP($G664,'MASTER TOKO BALI'!$B$2:$W$744,12,FALSE),"")</f>
        <v/>
      </c>
      <c r="L664" s="111" t="str">
        <f>IF($G664&lt;&gt;"",VLOOKUP($G664,'MASTER TOKO BALI'!$B$2:$W$744,5,FALSE),"")</f>
        <v/>
      </c>
      <c r="M664" s="106"/>
      <c r="N664" s="111" t="str">
        <f>IF($G664&lt;&gt;"",VLOOKUP($G664,'MASTER TOKO BALI'!$B$2:$W$744,21,FALSE),"")</f>
        <v/>
      </c>
      <c r="O664" s="106"/>
      <c r="P664" s="164" t="str">
        <f>IF($G664&lt;&gt;"",VLOOKUP($G664,'MASTER TOKO BALI'!$B$2:$W$740,7,FALSE),"")</f>
        <v/>
      </c>
    </row>
    <row r="665" spans="1:16" ht="14.4" x14ac:dyDescent="0.3">
      <c r="A665" s="106">
        <f t="shared" si="26"/>
        <v>606</v>
      </c>
      <c r="B665" s="107" t="s">
        <v>2048</v>
      </c>
      <c r="C665" s="107" t="s">
        <v>2049</v>
      </c>
      <c r="D665" s="108" t="s">
        <v>2050</v>
      </c>
      <c r="E665" s="109" t="s">
        <v>2075</v>
      </c>
      <c r="F665" s="126"/>
      <c r="G665" s="65"/>
      <c r="H665" s="111" t="str">
        <f>IF($G665&lt;&gt;"",VLOOKUP($G665,'MASTER TOKO BALI'!$B$2:$W$744,2,FALSE),"")</f>
        <v/>
      </c>
      <c r="I665" s="237" t="str">
        <f>IF($G665&lt;&gt;"",VLOOKUP($G665,'MASTER TOKO BALI'!$B$2:$W$744,4,FALSE),"")</f>
        <v/>
      </c>
      <c r="J665" s="112">
        <v>46295</v>
      </c>
      <c r="K665" s="111" t="str">
        <f>IF($G665&lt;&gt;"",VLOOKUP($G665,'MASTER TOKO BALI'!$B$2:$W$744,12,FALSE),"")</f>
        <v/>
      </c>
      <c r="L665" s="111" t="str">
        <f>IF($G665&lt;&gt;"",VLOOKUP($G665,'MASTER TOKO BALI'!$B$2:$W$744,5,FALSE),"")</f>
        <v/>
      </c>
      <c r="M665" s="106"/>
      <c r="N665" s="111" t="str">
        <f>IF($G665&lt;&gt;"",VLOOKUP($G665,'MASTER TOKO BALI'!$B$2:$W$744,21,FALSE),"")</f>
        <v/>
      </c>
      <c r="O665" s="106"/>
      <c r="P665" s="164" t="str">
        <f>IF($G665&lt;&gt;"",VLOOKUP($G665,'MASTER TOKO BALI'!$B$2:$W$740,7,FALSE),"")</f>
        <v/>
      </c>
    </row>
    <row r="666" spans="1:16" ht="14.4" x14ac:dyDescent="0.2">
      <c r="A666" s="106">
        <f t="shared" si="26"/>
        <v>607</v>
      </c>
      <c r="B666" s="107" t="s">
        <v>2038</v>
      </c>
      <c r="C666" s="107" t="s">
        <v>2049</v>
      </c>
      <c r="D666" s="115" t="s">
        <v>2051</v>
      </c>
      <c r="E666" s="109" t="s">
        <v>2075</v>
      </c>
      <c r="F666" s="129"/>
      <c r="G666" s="60"/>
      <c r="H666" s="111" t="str">
        <f>IF($G666&lt;&gt;"",VLOOKUP($G666,'MASTER TOKO BALI'!$B$2:$W$744,2,FALSE),"")</f>
        <v/>
      </c>
      <c r="I666" s="237" t="str">
        <f>IF($G666&lt;&gt;"",VLOOKUP($G666,'MASTER TOKO BALI'!$B$2:$W$744,4,FALSE),"")</f>
        <v/>
      </c>
      <c r="J666" s="112">
        <v>46295</v>
      </c>
      <c r="K666" s="111" t="str">
        <f>IF($G666&lt;&gt;"",VLOOKUP($G666,'MASTER TOKO BALI'!$B$2:$W$744,12,FALSE),"")</f>
        <v/>
      </c>
      <c r="L666" s="111" t="str">
        <f>IF($G666&lt;&gt;"",VLOOKUP($G666,'MASTER TOKO BALI'!$B$2:$W$744,5,FALSE),"")</f>
        <v/>
      </c>
      <c r="M666" s="106"/>
      <c r="N666" s="111" t="str">
        <f>IF($G666&lt;&gt;"",VLOOKUP($G666,'MASTER TOKO BALI'!$B$2:$W$744,21,FALSE),"")</f>
        <v/>
      </c>
      <c r="O666" s="106"/>
      <c r="P666" s="164" t="str">
        <f>IF($G666&lt;&gt;"",VLOOKUP($G666,'MASTER TOKO BALI'!$B$2:$W$740,7,FALSE),"")</f>
        <v/>
      </c>
    </row>
    <row r="667" spans="1:16" ht="14.4" x14ac:dyDescent="0.2">
      <c r="A667" s="106">
        <f t="shared" si="26"/>
        <v>608</v>
      </c>
      <c r="B667" s="107" t="s">
        <v>2052</v>
      </c>
      <c r="C667" s="107" t="s">
        <v>2049</v>
      </c>
      <c r="D667" s="108" t="s">
        <v>2053</v>
      </c>
      <c r="E667" s="109" t="s">
        <v>2075</v>
      </c>
      <c r="F667" s="126"/>
      <c r="G667" s="60"/>
      <c r="H667" s="111" t="str">
        <f>IF($G667&lt;&gt;"",VLOOKUP($G667,'MASTER TOKO BALI'!$B$2:$W$744,2,FALSE),"")</f>
        <v/>
      </c>
      <c r="I667" s="237" t="str">
        <f>IF($G667&lt;&gt;"",VLOOKUP($G667,'MASTER TOKO BALI'!$B$2:$W$744,4,FALSE),"")</f>
        <v/>
      </c>
      <c r="J667" s="112">
        <v>46295</v>
      </c>
      <c r="K667" s="111" t="str">
        <f>IF($G667&lt;&gt;"",VLOOKUP($G667,'MASTER TOKO BALI'!$B$2:$W$744,12,FALSE),"")</f>
        <v/>
      </c>
      <c r="L667" s="111" t="str">
        <f>IF($G667&lt;&gt;"",VLOOKUP($G667,'MASTER TOKO BALI'!$B$2:$W$744,5,FALSE),"")</f>
        <v/>
      </c>
      <c r="M667" s="106"/>
      <c r="N667" s="111" t="str">
        <f>IF($G667&lt;&gt;"",VLOOKUP($G667,'MASTER TOKO BALI'!$B$2:$W$744,21,FALSE),"")</f>
        <v/>
      </c>
      <c r="O667" s="106"/>
      <c r="P667" s="164" t="str">
        <f>IF($G667&lt;&gt;"",VLOOKUP($G667,'MASTER TOKO BALI'!$B$2:$W$740,7,FALSE),"")</f>
        <v/>
      </c>
    </row>
    <row r="668" spans="1:16" x14ac:dyDescent="0.2">
      <c r="A668" s="106"/>
      <c r="B668" s="107" t="s">
        <v>2038</v>
      </c>
      <c r="C668" s="107" t="s">
        <v>2049</v>
      </c>
      <c r="D668" s="113" t="s">
        <v>2051</v>
      </c>
      <c r="E668" s="109" t="s">
        <v>2075</v>
      </c>
      <c r="F668" s="126"/>
      <c r="G668" s="148"/>
      <c r="H668" s="111" t="str">
        <f>IF($G668&lt;&gt;"",VLOOKUP($G668,'MASTER TOKO BALI'!$B$2:$W$744,2,FALSE),"")</f>
        <v/>
      </c>
      <c r="I668" s="237" t="str">
        <f>IF($G668&lt;&gt;"",VLOOKUP($G668,'MASTER TOKO BALI'!$B$2:$W$744,4,FALSE),"")</f>
        <v/>
      </c>
      <c r="J668" s="112">
        <v>46295</v>
      </c>
      <c r="K668" s="111" t="str">
        <f>IF($G668&lt;&gt;"",VLOOKUP($G668,'MASTER TOKO BALI'!$B$2:$W$744,12,FALSE),"")</f>
        <v/>
      </c>
      <c r="L668" s="111" t="str">
        <f>IF($G668&lt;&gt;"",VLOOKUP($G668,'MASTER TOKO BALI'!$B$2:$W$744,5,FALSE),"")</f>
        <v/>
      </c>
      <c r="M668" s="106"/>
      <c r="N668" s="111" t="str">
        <f>IF($G668&lt;&gt;"",VLOOKUP($G668,'MASTER TOKO BALI'!$B$2:$W$744,21,FALSE),"")</f>
        <v/>
      </c>
      <c r="O668" s="106"/>
      <c r="P668" s="164" t="str">
        <f>IF($G668&lt;&gt;"",VLOOKUP($G668,'MASTER TOKO BALI'!$B$2:$W$740,7,FALSE),"")</f>
        <v/>
      </c>
    </row>
    <row r="669" spans="1:16" ht="14.4" x14ac:dyDescent="0.2">
      <c r="A669" s="106">
        <f>A667+1</f>
        <v>609</v>
      </c>
      <c r="B669" s="107" t="s">
        <v>2054</v>
      </c>
      <c r="C669" s="116" t="s">
        <v>2055</v>
      </c>
      <c r="D669" s="108" t="s">
        <v>2080</v>
      </c>
      <c r="E669" s="109" t="s">
        <v>2075</v>
      </c>
      <c r="F669" s="126"/>
      <c r="G669" s="60"/>
      <c r="H669" s="111" t="str">
        <f>IF($G669&lt;&gt;"",VLOOKUP($G669,'MASTER TOKO BALI'!$B$2:$W$744,2,FALSE),"")</f>
        <v/>
      </c>
      <c r="I669" s="237" t="str">
        <f>IF($G669&lt;&gt;"",VLOOKUP($G669,'MASTER TOKO BALI'!$B$2:$W$744,4,FALSE),"")</f>
        <v/>
      </c>
      <c r="J669" s="112">
        <v>46295</v>
      </c>
      <c r="K669" s="111" t="str">
        <f>IF($G669&lt;&gt;"",VLOOKUP($G669,'MASTER TOKO BALI'!$B$2:$W$744,12,FALSE),"")</f>
        <v/>
      </c>
      <c r="L669" s="111" t="str">
        <f>IF($G669&lt;&gt;"",VLOOKUP($G669,'MASTER TOKO BALI'!$B$2:$W$744,5,FALSE),"")</f>
        <v/>
      </c>
      <c r="M669" s="106"/>
      <c r="N669" s="111" t="str">
        <f>IF($G669&lt;&gt;"",VLOOKUP($G669,'MASTER TOKO BALI'!$B$2:$W$744,21,FALSE),"")</f>
        <v/>
      </c>
      <c r="O669" s="106"/>
      <c r="P669" s="164" t="str">
        <f>IF($G669&lt;&gt;"",VLOOKUP($G669,'MASTER TOKO BALI'!$B$2:$W$740,7,FALSE),"")</f>
        <v/>
      </c>
    </row>
    <row r="670" spans="1:16" ht="14.4" x14ac:dyDescent="0.2">
      <c r="A670" s="106">
        <f t="shared" si="26"/>
        <v>610</v>
      </c>
      <c r="B670" s="107" t="s">
        <v>2038</v>
      </c>
      <c r="C670" s="116" t="s">
        <v>2055</v>
      </c>
      <c r="D670" s="113" t="s">
        <v>2057</v>
      </c>
      <c r="E670" s="109" t="s">
        <v>2075</v>
      </c>
      <c r="F670" s="126"/>
      <c r="G670" s="60"/>
      <c r="H670" s="111" t="str">
        <f>IF($G670&lt;&gt;"",VLOOKUP($G670,'MASTER TOKO BALI'!$B$2:$W$744,2,FALSE),"")</f>
        <v/>
      </c>
      <c r="I670" s="237" t="str">
        <f>IF($G670&lt;&gt;"",VLOOKUP($G670,'MASTER TOKO BALI'!$B$2:$W$744,4,FALSE),"")</f>
        <v/>
      </c>
      <c r="J670" s="112">
        <v>46295</v>
      </c>
      <c r="K670" s="111" t="str">
        <f>IF($G670&lt;&gt;"",VLOOKUP($G670,'MASTER TOKO BALI'!$B$2:$W$744,12,FALSE),"")</f>
        <v/>
      </c>
      <c r="L670" s="111" t="str">
        <f>IF($G670&lt;&gt;"",VLOOKUP($G670,'MASTER TOKO BALI'!$B$2:$W$744,5,FALSE),"")</f>
        <v/>
      </c>
      <c r="M670" s="106"/>
      <c r="N670" s="111" t="str">
        <f>IF($G670&lt;&gt;"",VLOOKUP($G670,'MASTER TOKO BALI'!$B$2:$W$744,21,FALSE),"")</f>
        <v/>
      </c>
      <c r="O670" s="106"/>
      <c r="P670" s="164" t="str">
        <f>IF($G670&lt;&gt;"",VLOOKUP($G670,'MASTER TOKO BALI'!$B$2:$W$740,7,FALSE),"")</f>
        <v/>
      </c>
    </row>
    <row r="671" spans="1:16" ht="14.4" x14ac:dyDescent="0.2">
      <c r="A671" s="106">
        <f t="shared" si="26"/>
        <v>611</v>
      </c>
      <c r="B671" s="107" t="s">
        <v>2058</v>
      </c>
      <c r="C671" s="116" t="s">
        <v>2055</v>
      </c>
      <c r="D671" s="108" t="s">
        <v>2059</v>
      </c>
      <c r="E671" s="109" t="s">
        <v>2075</v>
      </c>
      <c r="F671" s="126"/>
      <c r="G671" s="60"/>
      <c r="H671" s="111" t="str">
        <f>IF($G671&lt;&gt;"",VLOOKUP($G671,'MASTER TOKO BALI'!$B$2:$W$744,2,FALSE),"")</f>
        <v/>
      </c>
      <c r="I671" s="237" t="str">
        <f>IF($G671&lt;&gt;"",VLOOKUP($G671,'MASTER TOKO BALI'!$B$2:$W$744,4,FALSE),"")</f>
        <v/>
      </c>
      <c r="J671" s="112">
        <v>46295</v>
      </c>
      <c r="K671" s="111" t="str">
        <f>IF($G671&lt;&gt;"",VLOOKUP($G671,'MASTER TOKO BALI'!$B$2:$W$744,12,FALSE),"")</f>
        <v/>
      </c>
      <c r="L671" s="111" t="str">
        <f>IF($G671&lt;&gt;"",VLOOKUP($G671,'MASTER TOKO BALI'!$B$2:$W$744,5,FALSE),"")</f>
        <v/>
      </c>
      <c r="M671" s="106"/>
      <c r="N671" s="111" t="str">
        <f>IF($G671&lt;&gt;"",VLOOKUP($G671,'MASTER TOKO BALI'!$B$2:$W$744,21,FALSE),"")</f>
        <v/>
      </c>
      <c r="O671" s="106"/>
      <c r="P671" s="164" t="str">
        <f>IF($G671&lt;&gt;"",VLOOKUP($G671,'MASTER TOKO BALI'!$B$2:$W$740,7,FALSE),"")</f>
        <v/>
      </c>
    </row>
    <row r="672" spans="1:16" x14ac:dyDescent="0.2">
      <c r="A672" s="106">
        <f t="shared" si="26"/>
        <v>612</v>
      </c>
      <c r="B672" s="107" t="s">
        <v>2038</v>
      </c>
      <c r="C672" s="116" t="s">
        <v>2055</v>
      </c>
      <c r="D672" s="113" t="s">
        <v>2057</v>
      </c>
      <c r="E672" s="109" t="s">
        <v>2075</v>
      </c>
      <c r="F672" s="126"/>
      <c r="G672" s="144"/>
      <c r="H672" s="111" t="str">
        <f>IF($G672&lt;&gt;"",VLOOKUP($G672,'MASTER TOKO BALI'!$B$2:$W$744,2,FALSE),"")</f>
        <v/>
      </c>
      <c r="I672" s="237" t="str">
        <f>IF($G672&lt;&gt;"",VLOOKUP($G672,'MASTER TOKO BALI'!$B$2:$W$744,4,FALSE),"")</f>
        <v/>
      </c>
      <c r="J672" s="112">
        <v>46295</v>
      </c>
      <c r="K672" s="111" t="str">
        <f>IF($G672&lt;&gt;"",VLOOKUP($G672,'MASTER TOKO BALI'!$B$2:$W$744,12,FALSE),"")</f>
        <v/>
      </c>
      <c r="L672" s="111" t="str">
        <f>IF($G672&lt;&gt;"",VLOOKUP($G672,'MASTER TOKO BALI'!$B$2:$W$744,5,FALSE),"")</f>
        <v/>
      </c>
      <c r="M672" s="106"/>
      <c r="N672" s="111" t="str">
        <f>IF($G672&lt;&gt;"",VLOOKUP($G672,'MASTER TOKO BALI'!$B$2:$W$744,21,FALSE),"")</f>
        <v/>
      </c>
      <c r="O672" s="106"/>
      <c r="P672" s="164" t="str">
        <f>IF($G672&lt;&gt;"",VLOOKUP($G672,'MASTER TOKO BALI'!$B$2:$W$740,7,FALSE),"")</f>
        <v/>
      </c>
    </row>
    <row r="673" spans="1:16" ht="14.4" x14ac:dyDescent="0.2">
      <c r="A673" s="106">
        <f t="shared" si="26"/>
        <v>613</v>
      </c>
      <c r="B673" s="107" t="s">
        <v>2060</v>
      </c>
      <c r="C673" s="116" t="s">
        <v>2061</v>
      </c>
      <c r="D673" s="108" t="s">
        <v>2062</v>
      </c>
      <c r="E673" s="109" t="s">
        <v>2075</v>
      </c>
      <c r="F673" s="126"/>
      <c r="G673" s="60"/>
      <c r="H673" s="111" t="str">
        <f>IF($G673&lt;&gt;"",VLOOKUP($G673,'MASTER TOKO BALI'!$B$2:$W$744,2,FALSE),"")</f>
        <v/>
      </c>
      <c r="I673" s="237" t="str">
        <f>IF($G673&lt;&gt;"",VLOOKUP($G673,'MASTER TOKO BALI'!$B$2:$W$744,4,FALSE),"")</f>
        <v/>
      </c>
      <c r="J673" s="112">
        <v>46295</v>
      </c>
      <c r="K673" s="111" t="str">
        <f>IF($G673&lt;&gt;"",VLOOKUP($G673,'MASTER TOKO BALI'!$B$2:$W$744,12,FALSE),"")</f>
        <v/>
      </c>
      <c r="L673" s="111" t="str">
        <f>IF($G673&lt;&gt;"",VLOOKUP($G673,'MASTER TOKO BALI'!$B$2:$W$744,5,FALSE),"")</f>
        <v/>
      </c>
      <c r="M673" s="106"/>
      <c r="N673" s="111" t="str">
        <f>IF($G673&lt;&gt;"",VLOOKUP($G673,'MASTER TOKO BALI'!$B$2:$W$744,21,FALSE),"")</f>
        <v/>
      </c>
      <c r="O673" s="106"/>
      <c r="P673" s="164" t="str">
        <f>IF($G673&lt;&gt;"",VLOOKUP($G673,'MASTER TOKO BALI'!$B$2:$W$740,7,FALSE),"")</f>
        <v/>
      </c>
    </row>
    <row r="674" spans="1:16" x14ac:dyDescent="0.2">
      <c r="A674" s="106">
        <f t="shared" si="26"/>
        <v>614</v>
      </c>
      <c r="B674" s="107" t="s">
        <v>2038</v>
      </c>
      <c r="C674" s="116" t="s">
        <v>2061</v>
      </c>
      <c r="D674" s="113" t="s">
        <v>2063</v>
      </c>
      <c r="E674" s="109" t="s">
        <v>2075</v>
      </c>
      <c r="F674" s="126"/>
      <c r="G674" s="144"/>
      <c r="H674" s="111" t="str">
        <f>IF($G674&lt;&gt;"",VLOOKUP($G674,'MASTER TOKO BALI'!$B$2:$W$744,2,FALSE),"")</f>
        <v/>
      </c>
      <c r="I674" s="237" t="str">
        <f>IF($G674&lt;&gt;"",VLOOKUP($G674,'MASTER TOKO BALI'!$B$2:$W$744,4,FALSE),"")</f>
        <v/>
      </c>
      <c r="J674" s="112">
        <v>46295</v>
      </c>
      <c r="K674" s="111" t="str">
        <f>IF($G674&lt;&gt;"",VLOOKUP($G674,'MASTER TOKO BALI'!$B$2:$W$744,12,FALSE),"")</f>
        <v/>
      </c>
      <c r="L674" s="111" t="str">
        <f>IF($G674&lt;&gt;"",VLOOKUP($G674,'MASTER TOKO BALI'!$B$2:$W$744,5,FALSE),"")</f>
        <v/>
      </c>
      <c r="M674" s="106"/>
      <c r="N674" s="111" t="str">
        <f>IF($G674&lt;&gt;"",VLOOKUP($G674,'MASTER TOKO BALI'!$B$2:$W$744,21,FALSE),"")</f>
        <v/>
      </c>
      <c r="O674" s="106"/>
      <c r="P674" s="164" t="str">
        <f>IF($G674&lt;&gt;"",VLOOKUP($G674,'MASTER TOKO BALI'!$B$2:$W$740,7,FALSE),"")</f>
        <v/>
      </c>
    </row>
    <row r="675" spans="1:16" x14ac:dyDescent="0.2">
      <c r="A675" s="106">
        <f t="shared" si="26"/>
        <v>615</v>
      </c>
      <c r="B675" s="107" t="s">
        <v>2064</v>
      </c>
      <c r="C675" s="116" t="s">
        <v>2061</v>
      </c>
      <c r="D675" s="108" t="s">
        <v>2065</v>
      </c>
      <c r="E675" s="109" t="s">
        <v>2075</v>
      </c>
      <c r="F675" s="126"/>
      <c r="G675" s="144"/>
      <c r="H675" s="111" t="str">
        <f>IF($G675&lt;&gt;"",VLOOKUP($G675,'MASTER TOKO BALI'!$B$2:$W$744,2,FALSE),"")</f>
        <v/>
      </c>
      <c r="I675" s="237" t="str">
        <f>IF($G675&lt;&gt;"",VLOOKUP($G675,'MASTER TOKO BALI'!$B$2:$W$744,4,FALSE),"")</f>
        <v/>
      </c>
      <c r="J675" s="112">
        <v>46295</v>
      </c>
      <c r="K675" s="111" t="str">
        <f>IF($G675&lt;&gt;"",VLOOKUP($G675,'MASTER TOKO BALI'!$B$2:$W$744,12,FALSE),"")</f>
        <v/>
      </c>
      <c r="L675" s="111" t="str">
        <f>IF($G675&lt;&gt;"",VLOOKUP($G675,'MASTER TOKO BALI'!$B$2:$W$744,5,FALSE),"")</f>
        <v/>
      </c>
      <c r="M675" s="106"/>
      <c r="N675" s="111" t="str">
        <f>IF($G675&lt;&gt;"",VLOOKUP($G675,'MASTER TOKO BALI'!$B$2:$W$744,21,FALSE),"")</f>
        <v/>
      </c>
      <c r="O675" s="106"/>
      <c r="P675" s="164" t="str">
        <f>IF($G675&lt;&gt;"",VLOOKUP($G675,'MASTER TOKO BALI'!$B$2:$W$740,7,FALSE),"")</f>
        <v/>
      </c>
    </row>
    <row r="676" spans="1:16" x14ac:dyDescent="0.2">
      <c r="A676" s="106">
        <f t="shared" si="26"/>
        <v>616</v>
      </c>
      <c r="B676" s="107" t="s">
        <v>2066</v>
      </c>
      <c r="C676" s="116" t="s">
        <v>2061</v>
      </c>
      <c r="D676" s="113" t="s">
        <v>2063</v>
      </c>
      <c r="E676" s="109" t="s">
        <v>2075</v>
      </c>
      <c r="F676" s="126"/>
      <c r="G676" s="144"/>
      <c r="H676" s="111" t="str">
        <f>IF($G676&lt;&gt;"",VLOOKUP($G676,'MASTER TOKO BALI'!$B$2:$W$744,2,FALSE),"")</f>
        <v/>
      </c>
      <c r="I676" s="237" t="str">
        <f>IF($G676&lt;&gt;"",VLOOKUP($G676,'MASTER TOKO BALI'!$B$2:$W$744,4,FALSE),"")</f>
        <v/>
      </c>
      <c r="J676" s="112">
        <v>46295</v>
      </c>
      <c r="K676" s="111" t="str">
        <f>IF($G676&lt;&gt;"",VLOOKUP($G676,'MASTER TOKO BALI'!$B$2:$W$744,12,FALSE),"")</f>
        <v/>
      </c>
      <c r="L676" s="111" t="str">
        <f>IF($G676&lt;&gt;"",VLOOKUP($G676,'MASTER TOKO BALI'!$B$2:$W$744,5,FALSE),"")</f>
        <v/>
      </c>
      <c r="M676" s="106"/>
      <c r="N676" s="111" t="str">
        <f>IF($G676&lt;&gt;"",VLOOKUP($G676,'MASTER TOKO BALI'!$B$2:$W$744,21,FALSE),"")</f>
        <v/>
      </c>
      <c r="O676" s="106"/>
      <c r="P676" s="164" t="str">
        <f>IF($G676&lt;&gt;"",VLOOKUP($G676,'MASTER TOKO BALI'!$B$2:$W$740,7,FALSE),"")</f>
        <v/>
      </c>
    </row>
    <row r="677" spans="1:16" ht="14.4" x14ac:dyDescent="0.3">
      <c r="A677" s="106">
        <f t="shared" si="26"/>
        <v>617</v>
      </c>
      <c r="B677" s="107" t="s">
        <v>2067</v>
      </c>
      <c r="C677" s="107" t="s">
        <v>2068</v>
      </c>
      <c r="D677" s="108" t="s">
        <v>2069</v>
      </c>
      <c r="E677" s="109" t="s">
        <v>2075</v>
      </c>
      <c r="F677" s="126"/>
      <c r="G677" s="65"/>
      <c r="H677" s="111" t="str">
        <f>IF($G677&lt;&gt;"",VLOOKUP($G677,'MASTER TOKO BALI'!$B$2:$W$744,2,FALSE),"")</f>
        <v/>
      </c>
      <c r="I677" s="237" t="str">
        <f>IF($G677&lt;&gt;"",VLOOKUP($G677,'MASTER TOKO BALI'!$B$2:$W$744,4,FALSE),"")</f>
        <v/>
      </c>
      <c r="J677" s="112">
        <v>46295</v>
      </c>
      <c r="K677" s="111" t="str">
        <f>IF($G677&lt;&gt;"",VLOOKUP($G677,'MASTER TOKO BALI'!$B$2:$W$744,12,FALSE),"")</f>
        <v/>
      </c>
      <c r="L677" s="111" t="str">
        <f>IF($G677&lt;&gt;"",VLOOKUP($G677,'MASTER TOKO BALI'!$B$2:$W$744,5,FALSE),"")</f>
        <v/>
      </c>
      <c r="M677" s="106"/>
      <c r="N677" s="111" t="str">
        <f>IF($G677&lt;&gt;"",VLOOKUP($G677,'MASTER TOKO BALI'!$B$2:$W$744,21,FALSE),"")</f>
        <v/>
      </c>
      <c r="O677" s="106"/>
      <c r="P677" s="164" t="str">
        <f>IF($G677&lt;&gt;"",VLOOKUP($G677,'MASTER TOKO BALI'!$B$2:$W$740,7,FALSE),"")</f>
        <v/>
      </c>
    </row>
    <row r="678" spans="1:16" x14ac:dyDescent="0.2">
      <c r="A678" s="106">
        <f t="shared" si="26"/>
        <v>618</v>
      </c>
      <c r="B678" s="107" t="s">
        <v>2066</v>
      </c>
      <c r="C678" s="107" t="s">
        <v>2068</v>
      </c>
      <c r="D678" s="117" t="s">
        <v>2070</v>
      </c>
      <c r="E678" s="109" t="s">
        <v>2075</v>
      </c>
      <c r="F678" s="126"/>
      <c r="G678" s="144"/>
      <c r="H678" s="111" t="str">
        <f>IF($G678&lt;&gt;"",VLOOKUP($G678,'MASTER TOKO BALI'!$B$2:$W$744,2,FALSE),"")</f>
        <v/>
      </c>
      <c r="I678" s="237" t="str">
        <f>IF($G678&lt;&gt;"",VLOOKUP($G678,'MASTER TOKO BALI'!$B$2:$W$744,4,FALSE),"")</f>
        <v/>
      </c>
      <c r="J678" s="112">
        <v>46295</v>
      </c>
      <c r="K678" s="111" t="str">
        <f>IF($G678&lt;&gt;"",VLOOKUP($G678,'MASTER TOKO BALI'!$B$2:$W$744,12,FALSE),"")</f>
        <v/>
      </c>
      <c r="L678" s="111" t="str">
        <f>IF($G678&lt;&gt;"",VLOOKUP($G678,'MASTER TOKO BALI'!$B$2:$W$744,5,FALSE),"")</f>
        <v/>
      </c>
      <c r="M678" s="106"/>
      <c r="N678" s="111" t="str">
        <f>IF($G678&lt;&gt;"",VLOOKUP($G678,'MASTER TOKO BALI'!$B$2:$W$744,21,FALSE),"")</f>
        <v/>
      </c>
      <c r="O678" s="106"/>
      <c r="P678" s="164" t="str">
        <f>IF($G678&lt;&gt;"",VLOOKUP($G678,'MASTER TOKO BALI'!$B$2:$W$740,7,FALSE),"")</f>
        <v/>
      </c>
    </row>
    <row r="679" spans="1:16" x14ac:dyDescent="0.2">
      <c r="A679" s="106">
        <f t="shared" si="26"/>
        <v>619</v>
      </c>
      <c r="B679" s="107" t="s">
        <v>2071</v>
      </c>
      <c r="C679" s="107" t="s">
        <v>2068</v>
      </c>
      <c r="D679" s="116" t="s">
        <v>2003</v>
      </c>
      <c r="E679" s="109" t="s">
        <v>2075</v>
      </c>
      <c r="F679" s="126"/>
      <c r="G679" s="144"/>
      <c r="H679" s="111" t="str">
        <f>IF($G679&lt;&gt;"",VLOOKUP($G679,'MASTER TOKO BALI'!$B$2:$W$744,2,FALSE),"")</f>
        <v/>
      </c>
      <c r="I679" s="237" t="str">
        <f>IF($G679&lt;&gt;"",VLOOKUP($G679,'MASTER TOKO BALI'!$B$2:$W$744,4,FALSE),"")</f>
        <v/>
      </c>
      <c r="J679" s="112">
        <v>46295</v>
      </c>
      <c r="K679" s="111" t="str">
        <f>IF($G679&lt;&gt;"",VLOOKUP($G679,'MASTER TOKO BALI'!$B$2:$W$744,12,FALSE),"")</f>
        <v/>
      </c>
      <c r="L679" s="111" t="str">
        <f>IF($G679&lt;&gt;"",VLOOKUP($G679,'MASTER TOKO BALI'!$B$2:$W$744,5,FALSE),"")</f>
        <v/>
      </c>
      <c r="M679" s="106"/>
      <c r="N679" s="111" t="str">
        <f>IF($G679&lt;&gt;"",VLOOKUP($G679,'MASTER TOKO BALI'!$B$2:$W$744,21,FALSE),"")</f>
        <v/>
      </c>
      <c r="O679" s="106"/>
      <c r="P679" s="164" t="str">
        <f>IF($G679&lt;&gt;"",VLOOKUP($G679,'MASTER TOKO BALI'!$B$2:$W$740,7,FALSE),"")</f>
        <v/>
      </c>
    </row>
    <row r="680" spans="1:16" x14ac:dyDescent="0.2">
      <c r="A680" s="106">
        <f t="shared" si="26"/>
        <v>620</v>
      </c>
      <c r="B680" s="107" t="s">
        <v>2066</v>
      </c>
      <c r="C680" s="107" t="s">
        <v>2068</v>
      </c>
      <c r="D680" s="117" t="s">
        <v>2070</v>
      </c>
      <c r="E680" s="109" t="s">
        <v>2075</v>
      </c>
      <c r="F680" s="142"/>
      <c r="G680" s="144"/>
      <c r="H680" s="111" t="str">
        <f>IF($G680&lt;&gt;"",VLOOKUP($G680,'MASTER TOKO BALI'!$B$2:$W$744,2,FALSE),"")</f>
        <v/>
      </c>
      <c r="I680" s="237" t="str">
        <f>IF($G680&lt;&gt;"",VLOOKUP($G680,'MASTER TOKO BALI'!$B$2:$W$744,4,FALSE),"")</f>
        <v/>
      </c>
      <c r="J680" s="112">
        <v>46295</v>
      </c>
      <c r="K680" s="111" t="str">
        <f>IF($G680&lt;&gt;"",VLOOKUP($G680,'MASTER TOKO BALI'!$B$2:$W$744,12,FALSE),"")</f>
        <v/>
      </c>
      <c r="L680" s="111" t="str">
        <f>IF($G680&lt;&gt;"",VLOOKUP($G680,'MASTER TOKO BALI'!$B$2:$W$744,5,FALSE),"")</f>
        <v/>
      </c>
      <c r="M680" s="106"/>
      <c r="N680" s="111" t="str">
        <f>IF($G680&lt;&gt;"",VLOOKUP($G680,'MASTER TOKO BALI'!$B$2:$W$744,21,FALSE),"")</f>
        <v/>
      </c>
      <c r="O680" s="106"/>
      <c r="P680" s="164" t="str">
        <f>IF($G680&lt;&gt;"",VLOOKUP($G680,'MASTER TOKO BALI'!$B$2:$W$740,7,FALSE),"")</f>
        <v/>
      </c>
    </row>
    <row r="681" spans="1:16" x14ac:dyDescent="0.2">
      <c r="A681" s="97"/>
      <c r="B681" s="98"/>
      <c r="C681" s="98"/>
      <c r="D681" s="99"/>
      <c r="E681" s="100"/>
      <c r="F681" s="101"/>
      <c r="G681" s="156"/>
      <c r="H681" s="99" t="str">
        <f>IF(G681&lt;&gt;"",VLOOKUP(G681,#REF!,2,FALSE),"")</f>
        <v/>
      </c>
      <c r="I681" s="102" t="str">
        <f>IF($G681&lt;&gt;"",VLOOKUP($G681,'MASTER TOKO BALI'!$B$2:$W$581,4,FALSE),"")</f>
        <v/>
      </c>
      <c r="J681" s="103"/>
      <c r="K681" s="104"/>
      <c r="L681" s="42"/>
      <c r="P681" s="105" t="str">
        <f>IF(H681&lt;&gt;"",VLOOKUP(G681,#REF!,7,FALSE),"")</f>
        <v/>
      </c>
    </row>
    <row r="683" spans="1:16" x14ac:dyDescent="0.2">
      <c r="G683" s="158"/>
    </row>
    <row r="684" spans="1:16" x14ac:dyDescent="0.2">
      <c r="G684" s="158"/>
    </row>
  </sheetData>
  <conditionalFormatting sqref="E94 E126">
    <cfRule type="cellIs" dxfId="185" priority="217" stopIfTrue="1" operator="equal">
      <formula>"Minggu"</formula>
    </cfRule>
  </conditionalFormatting>
  <conditionalFormatting sqref="E126 E94">
    <cfRule type="cellIs" dxfId="184" priority="216" stopIfTrue="1" operator="equal">
      <formula>"Sabtu"</formula>
    </cfRule>
  </conditionalFormatting>
  <conditionalFormatting sqref="E126">
    <cfRule type="cellIs" dxfId="183" priority="215" operator="equal">
      <formula>"Minggu"</formula>
    </cfRule>
    <cfRule type="cellIs" dxfId="182" priority="214" operator="equal">
      <formula>"Sabtu"</formula>
    </cfRule>
  </conditionalFormatting>
  <conditionalFormatting sqref="F9">
    <cfRule type="cellIs" dxfId="181" priority="213" stopIfTrue="1" operator="equal">
      <formula>"Minggu"</formula>
    </cfRule>
    <cfRule type="cellIs" dxfId="180" priority="212" stopIfTrue="1" operator="equal">
      <formula>"Sabtu"</formula>
    </cfRule>
    <cfRule type="colorScale" priority="211">
      <colorScale>
        <cfvo type="num" val="2"/>
        <cfvo type="num" val="3"/>
        <cfvo type="num" val="4"/>
        <color rgb="FFFFFF00"/>
        <color rgb="FFFF0000"/>
        <color rgb="FF00B0F0"/>
      </colorScale>
    </cfRule>
  </conditionalFormatting>
  <conditionalFormatting sqref="F271">
    <cfRule type="duplicateValues" dxfId="179" priority="89"/>
    <cfRule type="duplicateValues" dxfId="178" priority="88"/>
  </conditionalFormatting>
  <conditionalFormatting sqref="F295">
    <cfRule type="duplicateValues" dxfId="177" priority="100"/>
  </conditionalFormatting>
  <conditionalFormatting sqref="F377">
    <cfRule type="duplicateValues" dxfId="176" priority="104"/>
  </conditionalFormatting>
  <conditionalFormatting sqref="F450">
    <cfRule type="duplicateValues" dxfId="175" priority="84"/>
  </conditionalFormatting>
  <conditionalFormatting sqref="F473">
    <cfRule type="duplicateValues" dxfId="174" priority="72"/>
  </conditionalFormatting>
  <conditionalFormatting sqref="G6:G7">
    <cfRule type="duplicateValues" dxfId="173" priority="67"/>
  </conditionalFormatting>
  <conditionalFormatting sqref="G6:G62 G64:G84 G87:G102 G104:G172 G176:G680">
    <cfRule type="duplicateValues" dxfId="172" priority="15"/>
  </conditionalFormatting>
  <conditionalFormatting sqref="G7">
    <cfRule type="cellIs" dxfId="171" priority="70" stopIfTrue="1" operator="equal">
      <formula>"Minggu"</formula>
    </cfRule>
    <cfRule type="cellIs" dxfId="170" priority="69" stopIfTrue="1" operator="equal">
      <formula>"Sabtu"</formula>
    </cfRule>
    <cfRule type="colorScale" priority="68">
      <colorScale>
        <cfvo type="num" val="2"/>
        <cfvo type="num" val="3"/>
        <cfvo type="num" val="4"/>
        <color rgb="FFFFFF00"/>
        <color rgb="FFFF0000"/>
        <color rgb="FF00B0F0"/>
      </colorScale>
    </cfRule>
  </conditionalFormatting>
  <conditionalFormatting sqref="G8:G9">
    <cfRule type="cellIs" dxfId="169" priority="66" stopIfTrue="1" operator="equal">
      <formula>"Minggu"</formula>
    </cfRule>
    <cfRule type="colorScale" priority="64">
      <colorScale>
        <cfvo type="num" val="2"/>
        <cfvo type="num" val="3"/>
        <cfvo type="num" val="4"/>
        <color rgb="FFFFFF00"/>
        <color rgb="FFFF0000"/>
        <color rgb="FF00B0F0"/>
      </colorScale>
    </cfRule>
    <cfRule type="duplicateValues" dxfId="168" priority="63"/>
    <cfRule type="cellIs" dxfId="167" priority="65" stopIfTrue="1" operator="equal">
      <formula>"Sabtu"</formula>
    </cfRule>
  </conditionalFormatting>
  <conditionalFormatting sqref="G16:G17">
    <cfRule type="cellIs" dxfId="166" priority="62" stopIfTrue="1" operator="equal">
      <formula>"Minggu"</formula>
    </cfRule>
    <cfRule type="cellIs" dxfId="165" priority="61" stopIfTrue="1" operator="equal">
      <formula>"Sabtu"</formula>
    </cfRule>
    <cfRule type="colorScale" priority="60">
      <colorScale>
        <cfvo type="num" val="2"/>
        <cfvo type="num" val="3"/>
        <cfvo type="num" val="4"/>
        <color rgb="FFFFFF00"/>
        <color rgb="FFFF0000"/>
        <color rgb="FF00B0F0"/>
      </colorScale>
    </cfRule>
    <cfRule type="duplicateValues" dxfId="164" priority="59"/>
  </conditionalFormatting>
  <conditionalFormatting sqref="G18:G19">
    <cfRule type="duplicateValues" dxfId="163" priority="58"/>
  </conditionalFormatting>
  <conditionalFormatting sqref="G20">
    <cfRule type="duplicateValues" dxfId="162" priority="57"/>
  </conditionalFormatting>
  <conditionalFormatting sqref="G21">
    <cfRule type="duplicateValues" dxfId="161" priority="56"/>
  </conditionalFormatting>
  <conditionalFormatting sqref="G28:G29">
    <cfRule type="cellIs" dxfId="160" priority="54" stopIfTrue="1" operator="equal">
      <formula>"Sabtu"</formula>
    </cfRule>
    <cfRule type="duplicateValues" dxfId="159" priority="52"/>
    <cfRule type="colorScale" priority="53">
      <colorScale>
        <cfvo type="num" val="2"/>
        <cfvo type="num" val="3"/>
        <cfvo type="num" val="4"/>
        <color rgb="FFFFFF00"/>
        <color rgb="FFFF0000"/>
        <color rgb="FF00B0F0"/>
      </colorScale>
    </cfRule>
    <cfRule type="cellIs" dxfId="158" priority="55" stopIfTrue="1" operator="equal">
      <formula>"Minggu"</formula>
    </cfRule>
  </conditionalFormatting>
  <conditionalFormatting sqref="G63">
    <cfRule type="duplicateValues" dxfId="157" priority="14"/>
    <cfRule type="duplicateValues" dxfId="156" priority="13"/>
  </conditionalFormatting>
  <conditionalFormatting sqref="G81">
    <cfRule type="duplicateValues" dxfId="155" priority="51"/>
  </conditionalFormatting>
  <conditionalFormatting sqref="G82">
    <cfRule type="duplicateValues" dxfId="154" priority="50"/>
  </conditionalFormatting>
  <conditionalFormatting sqref="G84">
    <cfRule type="duplicateValues" dxfId="153" priority="49"/>
  </conditionalFormatting>
  <conditionalFormatting sqref="G85">
    <cfRule type="duplicateValues" dxfId="152" priority="9"/>
    <cfRule type="duplicateValues" dxfId="151" priority="10"/>
  </conditionalFormatting>
  <conditionalFormatting sqref="G86">
    <cfRule type="duplicateValues" dxfId="150" priority="11"/>
    <cfRule type="duplicateValues" dxfId="149" priority="12"/>
  </conditionalFormatting>
  <conditionalFormatting sqref="G87">
    <cfRule type="duplicateValues" dxfId="148" priority="47"/>
  </conditionalFormatting>
  <conditionalFormatting sqref="G103">
    <cfRule type="duplicateValues" dxfId="147" priority="7"/>
    <cfRule type="duplicateValues" dxfId="146" priority="8"/>
  </conditionalFormatting>
  <conditionalFormatting sqref="G104">
    <cfRule type="cellIs" dxfId="145" priority="45" stopIfTrue="1" operator="equal">
      <formula>"Sabtu"</formula>
    </cfRule>
    <cfRule type="colorScale" priority="44">
      <colorScale>
        <cfvo type="num" val="2"/>
        <cfvo type="num" val="3"/>
        <cfvo type="num" val="4"/>
        <color rgb="FFFFFF00"/>
        <color rgb="FFFF0000"/>
        <color rgb="FF00B0F0"/>
      </colorScale>
    </cfRule>
    <cfRule type="duplicateValues" dxfId="144" priority="43"/>
    <cfRule type="cellIs" dxfId="143" priority="46" stopIfTrue="1" operator="equal">
      <formula>"Minggu"</formula>
    </cfRule>
  </conditionalFormatting>
  <conditionalFormatting sqref="G115">
    <cfRule type="duplicateValues" dxfId="142" priority="42"/>
  </conditionalFormatting>
  <conditionalFormatting sqref="G117">
    <cfRule type="cellIs" dxfId="141" priority="41" stopIfTrue="1" operator="equal">
      <formula>"Minggu"</formula>
    </cfRule>
    <cfRule type="colorScale" priority="39">
      <colorScale>
        <cfvo type="num" val="2"/>
        <cfvo type="num" val="3"/>
        <cfvo type="num" val="4"/>
        <color rgb="FFFFFF00"/>
        <color rgb="FFFF0000"/>
        <color rgb="FF00B0F0"/>
      </colorScale>
    </cfRule>
    <cfRule type="duplicateValues" dxfId="140" priority="38"/>
    <cfRule type="cellIs" dxfId="139" priority="40" stopIfTrue="1" operator="equal">
      <formula>"Sabtu"</formula>
    </cfRule>
  </conditionalFormatting>
  <conditionalFormatting sqref="G118">
    <cfRule type="duplicateValues" dxfId="138" priority="37"/>
  </conditionalFormatting>
  <conditionalFormatting sqref="G120:G121">
    <cfRule type="duplicateValues" dxfId="137" priority="36"/>
  </conditionalFormatting>
  <conditionalFormatting sqref="G131">
    <cfRule type="duplicateValues" dxfId="136" priority="29"/>
  </conditionalFormatting>
  <conditionalFormatting sqref="G133">
    <cfRule type="duplicateValues" dxfId="135" priority="28"/>
  </conditionalFormatting>
  <conditionalFormatting sqref="G137">
    <cfRule type="colorScale" priority="25">
      <colorScale>
        <cfvo type="num" val="2"/>
        <cfvo type="num" val="3"/>
        <cfvo type="num" val="4"/>
        <color rgb="FFFFFF00"/>
        <color rgb="FFFF0000"/>
        <color rgb="FF00B0F0"/>
      </colorScale>
    </cfRule>
    <cfRule type="duplicateValues" dxfId="134" priority="24"/>
    <cfRule type="cellIs" dxfId="133" priority="26" stopIfTrue="1" operator="equal">
      <formula>"Sabtu"</formula>
    </cfRule>
    <cfRule type="cellIs" dxfId="132" priority="27" stopIfTrue="1" operator="equal">
      <formula>"Minggu"</formula>
    </cfRule>
  </conditionalFormatting>
  <conditionalFormatting sqref="G138">
    <cfRule type="duplicateValues" dxfId="131" priority="35"/>
  </conditionalFormatting>
  <conditionalFormatting sqref="G139">
    <cfRule type="duplicateValues" dxfId="130" priority="23"/>
  </conditionalFormatting>
  <conditionalFormatting sqref="G141">
    <cfRule type="colorScale" priority="20">
      <colorScale>
        <cfvo type="num" val="2"/>
        <cfvo type="num" val="3"/>
        <cfvo type="num" val="4"/>
        <color rgb="FFFFFF00"/>
        <color rgb="FFFF0000"/>
        <color rgb="FF00B0F0"/>
      </colorScale>
    </cfRule>
    <cfRule type="cellIs" dxfId="129" priority="22" stopIfTrue="1" operator="equal">
      <formula>"Minggu"</formula>
    </cfRule>
    <cfRule type="duplicateValues" dxfId="128" priority="19"/>
    <cfRule type="cellIs" dxfId="127" priority="21" stopIfTrue="1" operator="equal">
      <formula>"Sabtu"</formula>
    </cfRule>
  </conditionalFormatting>
  <conditionalFormatting sqref="G143">
    <cfRule type="duplicateValues" dxfId="126" priority="18"/>
  </conditionalFormatting>
  <conditionalFormatting sqref="G145">
    <cfRule type="duplicateValues" dxfId="125" priority="17"/>
  </conditionalFormatting>
  <conditionalFormatting sqref="G149">
    <cfRule type="duplicateValues" dxfId="124" priority="16"/>
  </conditionalFormatting>
  <conditionalFormatting sqref="G152">
    <cfRule type="duplicateValues" dxfId="123" priority="34"/>
  </conditionalFormatting>
  <conditionalFormatting sqref="G153">
    <cfRule type="duplicateValues" dxfId="122" priority="30"/>
    <cfRule type="colorScale" priority="31">
      <colorScale>
        <cfvo type="num" val="2"/>
        <cfvo type="num" val="3"/>
        <cfvo type="num" val="4"/>
        <color rgb="FFFFFF00"/>
        <color rgb="FFFF0000"/>
        <color rgb="FF00B0F0"/>
      </colorScale>
    </cfRule>
    <cfRule type="cellIs" dxfId="121" priority="33" stopIfTrue="1" operator="equal">
      <formula>"Minggu"</formula>
    </cfRule>
    <cfRule type="cellIs" dxfId="120" priority="32" stopIfTrue="1" operator="equal">
      <formula>"Sabtu"</formula>
    </cfRule>
  </conditionalFormatting>
  <conditionalFormatting sqref="G157">
    <cfRule type="duplicateValues" dxfId="119" priority="166"/>
  </conditionalFormatting>
  <conditionalFormatting sqref="G160">
    <cfRule type="duplicateValues" dxfId="118" priority="203"/>
  </conditionalFormatting>
  <conditionalFormatting sqref="G162">
    <cfRule type="duplicateValues" dxfId="117" priority="202"/>
  </conditionalFormatting>
  <conditionalFormatting sqref="G167">
    <cfRule type="duplicateValues" dxfId="116" priority="167"/>
  </conditionalFormatting>
  <conditionalFormatting sqref="G168">
    <cfRule type="duplicateValues" dxfId="115" priority="201"/>
  </conditionalFormatting>
  <conditionalFormatting sqref="G169">
    <cfRule type="duplicateValues" dxfId="114" priority="200"/>
  </conditionalFormatting>
  <conditionalFormatting sqref="G172">
    <cfRule type="duplicateValues" dxfId="113" priority="197"/>
  </conditionalFormatting>
  <conditionalFormatting sqref="G173">
    <cfRule type="duplicateValues" dxfId="112" priority="5"/>
    <cfRule type="duplicateValues" dxfId="111" priority="6"/>
  </conditionalFormatting>
  <conditionalFormatting sqref="G174">
    <cfRule type="duplicateValues" dxfId="110" priority="4"/>
    <cfRule type="duplicateValues" dxfId="109" priority="3"/>
  </conditionalFormatting>
  <conditionalFormatting sqref="G175">
    <cfRule type="duplicateValues" dxfId="108" priority="1"/>
    <cfRule type="duplicateValues" dxfId="107" priority="2"/>
  </conditionalFormatting>
  <conditionalFormatting sqref="G176">
    <cfRule type="duplicateValues" dxfId="106" priority="205"/>
  </conditionalFormatting>
  <conditionalFormatting sqref="G177">
    <cfRule type="duplicateValues" dxfId="105" priority="204"/>
  </conditionalFormatting>
  <conditionalFormatting sqref="G193">
    <cfRule type="duplicateValues" dxfId="104" priority="199"/>
  </conditionalFormatting>
  <conditionalFormatting sqref="G194">
    <cfRule type="duplicateValues" dxfId="103" priority="114"/>
  </conditionalFormatting>
  <conditionalFormatting sqref="G195">
    <cfRule type="duplicateValues" dxfId="102" priority="198"/>
  </conditionalFormatting>
  <conditionalFormatting sqref="G197">
    <cfRule type="duplicateValues" dxfId="101" priority="193"/>
  </conditionalFormatting>
  <conditionalFormatting sqref="G199">
    <cfRule type="duplicateValues" dxfId="100" priority="192"/>
  </conditionalFormatting>
  <conditionalFormatting sqref="G201">
    <cfRule type="duplicateValues" dxfId="99" priority="191"/>
  </conditionalFormatting>
  <conditionalFormatting sqref="G238">
    <cfRule type="duplicateValues" dxfId="98" priority="183"/>
  </conditionalFormatting>
  <conditionalFormatting sqref="G241">
    <cfRule type="duplicateValues" dxfId="97" priority="182"/>
  </conditionalFormatting>
  <conditionalFormatting sqref="G242">
    <cfRule type="duplicateValues" dxfId="96" priority="181"/>
  </conditionalFormatting>
  <conditionalFormatting sqref="G243">
    <cfRule type="duplicateValues" dxfId="95" priority="180"/>
  </conditionalFormatting>
  <conditionalFormatting sqref="G244">
    <cfRule type="duplicateValues" dxfId="94" priority="179"/>
  </conditionalFormatting>
  <conditionalFormatting sqref="G245">
    <cfRule type="duplicateValues" dxfId="93" priority="178"/>
  </conditionalFormatting>
  <conditionalFormatting sqref="G246">
    <cfRule type="duplicateValues" dxfId="92" priority="177"/>
  </conditionalFormatting>
  <conditionalFormatting sqref="G247">
    <cfRule type="duplicateValues" dxfId="91" priority="173"/>
  </conditionalFormatting>
  <conditionalFormatting sqref="G248">
    <cfRule type="duplicateValues" dxfId="90" priority="176"/>
  </conditionalFormatting>
  <conditionalFormatting sqref="G249">
    <cfRule type="duplicateValues" dxfId="89" priority="175"/>
  </conditionalFormatting>
  <conditionalFormatting sqref="G250">
    <cfRule type="duplicateValues" dxfId="88" priority="174"/>
  </conditionalFormatting>
  <conditionalFormatting sqref="G251">
    <cfRule type="duplicateValues" dxfId="87" priority="172"/>
  </conditionalFormatting>
  <conditionalFormatting sqref="G263">
    <cfRule type="duplicateValues" dxfId="86" priority="165"/>
  </conditionalFormatting>
  <conditionalFormatting sqref="G271">
    <cfRule type="duplicateValues" dxfId="85" priority="105"/>
    <cfRule type="duplicateValues" dxfId="84" priority="164"/>
  </conditionalFormatting>
  <conditionalFormatting sqref="G273">
    <cfRule type="duplicateValues" dxfId="83" priority="171"/>
  </conditionalFormatting>
  <conditionalFormatting sqref="G277">
    <cfRule type="duplicateValues" dxfId="82" priority="157"/>
  </conditionalFormatting>
  <conditionalFormatting sqref="G278">
    <cfRule type="duplicateValues" dxfId="81" priority="102"/>
    <cfRule type="duplicateValues" dxfId="80" priority="156"/>
  </conditionalFormatting>
  <conditionalFormatting sqref="G286">
    <cfRule type="duplicateValues" dxfId="79" priority="101"/>
  </conditionalFormatting>
  <conditionalFormatting sqref="G294">
    <cfRule type="duplicateValues" dxfId="78" priority="158"/>
  </conditionalFormatting>
  <conditionalFormatting sqref="G298">
    <cfRule type="duplicateValues" dxfId="77" priority="160"/>
  </conditionalFormatting>
  <conditionalFormatting sqref="G300">
    <cfRule type="duplicateValues" dxfId="76" priority="159"/>
  </conditionalFormatting>
  <conditionalFormatting sqref="G307">
    <cfRule type="duplicateValues" dxfId="75" priority="152"/>
  </conditionalFormatting>
  <conditionalFormatting sqref="G311">
    <cfRule type="duplicateValues" dxfId="74" priority="163"/>
  </conditionalFormatting>
  <conditionalFormatting sqref="G312">
    <cfRule type="duplicateValues" dxfId="73" priority="162"/>
  </conditionalFormatting>
  <conditionalFormatting sqref="G319">
    <cfRule type="duplicateValues" dxfId="72" priority="149"/>
  </conditionalFormatting>
  <conditionalFormatting sqref="G322">
    <cfRule type="duplicateValues" dxfId="71" priority="151"/>
  </conditionalFormatting>
  <conditionalFormatting sqref="G323">
    <cfRule type="duplicateValues" dxfId="70" priority="129"/>
  </conditionalFormatting>
  <conditionalFormatting sqref="G325">
    <cfRule type="duplicateValues" dxfId="69" priority="161"/>
  </conditionalFormatting>
  <conditionalFormatting sqref="G326">
    <cfRule type="duplicateValues" dxfId="68" priority="128"/>
  </conditionalFormatting>
  <conditionalFormatting sqref="G327">
    <cfRule type="duplicateValues" dxfId="67" priority="142"/>
  </conditionalFormatting>
  <conditionalFormatting sqref="G328">
    <cfRule type="duplicateValues" dxfId="66" priority="141"/>
  </conditionalFormatting>
  <conditionalFormatting sqref="G339">
    <cfRule type="duplicateValues" dxfId="65" priority="147"/>
  </conditionalFormatting>
  <conditionalFormatting sqref="G345">
    <cfRule type="duplicateValues" dxfId="64" priority="148"/>
  </conditionalFormatting>
  <conditionalFormatting sqref="G348">
    <cfRule type="duplicateValues" dxfId="63" priority="146"/>
  </conditionalFormatting>
  <conditionalFormatting sqref="G349">
    <cfRule type="duplicateValues" dxfId="62" priority="95"/>
  </conditionalFormatting>
  <conditionalFormatting sqref="G350">
    <cfRule type="duplicateValues" dxfId="61" priority="145"/>
  </conditionalFormatting>
  <conditionalFormatting sqref="G351">
    <cfRule type="duplicateValues" dxfId="60" priority="144"/>
  </conditionalFormatting>
  <conditionalFormatting sqref="G353">
    <cfRule type="duplicateValues" dxfId="59" priority="143"/>
  </conditionalFormatting>
  <conditionalFormatting sqref="G357">
    <cfRule type="duplicateValues" dxfId="58" priority="91"/>
  </conditionalFormatting>
  <conditionalFormatting sqref="G359">
    <cfRule type="duplicateValues" dxfId="57" priority="139"/>
  </conditionalFormatting>
  <conditionalFormatting sqref="G361">
    <cfRule type="duplicateValues" dxfId="56" priority="138"/>
  </conditionalFormatting>
  <conditionalFormatting sqref="G363">
    <cfRule type="duplicateValues" dxfId="55" priority="137"/>
  </conditionalFormatting>
  <conditionalFormatting sqref="G365">
    <cfRule type="duplicateValues" dxfId="54" priority="136"/>
  </conditionalFormatting>
  <conditionalFormatting sqref="G371">
    <cfRule type="duplicateValues" dxfId="53" priority="99"/>
  </conditionalFormatting>
  <conditionalFormatting sqref="G373">
    <cfRule type="duplicateValues" dxfId="52" priority="90"/>
  </conditionalFormatting>
  <conditionalFormatting sqref="G377">
    <cfRule type="duplicateValues" dxfId="51" priority="140"/>
    <cfRule type="duplicateValues" dxfId="50" priority="103"/>
  </conditionalFormatting>
  <conditionalFormatting sqref="G434">
    <cfRule type="duplicateValues" dxfId="49" priority="124"/>
  </conditionalFormatting>
  <conditionalFormatting sqref="G436">
    <cfRule type="duplicateValues" dxfId="48" priority="122"/>
  </conditionalFormatting>
  <conditionalFormatting sqref="G446">
    <cfRule type="duplicateValues" dxfId="47" priority="85"/>
  </conditionalFormatting>
  <conditionalFormatting sqref="G449">
    <cfRule type="duplicateValues" dxfId="46" priority="119"/>
  </conditionalFormatting>
  <conditionalFormatting sqref="G450">
    <cfRule type="duplicateValues" dxfId="45" priority="121"/>
  </conditionalFormatting>
  <conditionalFormatting sqref="G451">
    <cfRule type="duplicateValues" dxfId="44" priority="120"/>
  </conditionalFormatting>
  <conditionalFormatting sqref="G454">
    <cfRule type="duplicateValues" dxfId="43" priority="94"/>
  </conditionalFormatting>
  <conditionalFormatting sqref="G455">
    <cfRule type="duplicateValues" dxfId="42" priority="93"/>
  </conditionalFormatting>
  <conditionalFormatting sqref="G459">
    <cfRule type="duplicateValues" dxfId="41" priority="113"/>
  </conditionalFormatting>
  <conditionalFormatting sqref="G460">
    <cfRule type="duplicateValues" dxfId="40" priority="112"/>
  </conditionalFormatting>
  <conditionalFormatting sqref="G461">
    <cfRule type="duplicateValues" dxfId="39" priority="123"/>
  </conditionalFormatting>
  <conditionalFormatting sqref="G475">
    <cfRule type="duplicateValues" dxfId="38" priority="118"/>
  </conditionalFormatting>
  <conditionalFormatting sqref="G476">
    <cfRule type="duplicateValues" dxfId="37" priority="116"/>
  </conditionalFormatting>
  <conditionalFormatting sqref="G486">
    <cfRule type="duplicateValues" dxfId="36" priority="111"/>
  </conditionalFormatting>
  <conditionalFormatting sqref="G495">
    <cfRule type="duplicateValues" dxfId="35" priority="78"/>
  </conditionalFormatting>
  <conditionalFormatting sqref="G509">
    <cfRule type="duplicateValues" dxfId="34" priority="110"/>
  </conditionalFormatting>
  <conditionalFormatting sqref="G510">
    <cfRule type="duplicateValues" dxfId="33" priority="109"/>
  </conditionalFormatting>
  <conditionalFormatting sqref="G511">
    <cfRule type="duplicateValues" dxfId="32" priority="108"/>
  </conditionalFormatting>
  <conditionalFormatting sqref="G527">
    <cfRule type="duplicateValues" dxfId="31" priority="107"/>
  </conditionalFormatting>
  <conditionalFormatting sqref="G528">
    <cfRule type="duplicateValues" dxfId="30" priority="106"/>
  </conditionalFormatting>
  <conditionalFormatting sqref="G536">
    <cfRule type="duplicateValues" dxfId="29" priority="96"/>
  </conditionalFormatting>
  <conditionalFormatting sqref="G548">
    <cfRule type="duplicateValues" dxfId="28" priority="117"/>
  </conditionalFormatting>
  <conditionalFormatting sqref="G554">
    <cfRule type="duplicateValues" dxfId="27" priority="92"/>
  </conditionalFormatting>
  <conditionalFormatting sqref="G584">
    <cfRule type="duplicateValues" dxfId="26" priority="83"/>
  </conditionalFormatting>
  <conditionalFormatting sqref="G584:G585">
    <cfRule type="duplicateValues" dxfId="25" priority="82"/>
  </conditionalFormatting>
  <conditionalFormatting sqref="G585">
    <cfRule type="duplicateValues" dxfId="24" priority="81"/>
  </conditionalFormatting>
  <conditionalFormatting sqref="G594">
    <cfRule type="duplicateValues" dxfId="23" priority="87"/>
  </conditionalFormatting>
  <conditionalFormatting sqref="G597">
    <cfRule type="duplicateValues" dxfId="22" priority="86"/>
  </conditionalFormatting>
  <conditionalFormatting sqref="G602">
    <cfRule type="duplicateValues" dxfId="21" priority="79"/>
    <cfRule type="duplicateValues" dxfId="20" priority="80"/>
  </conditionalFormatting>
  <conditionalFormatting sqref="G648">
    <cfRule type="duplicateValues" dxfId="19" priority="77"/>
  </conditionalFormatting>
  <conditionalFormatting sqref="G649">
    <cfRule type="duplicateValues" dxfId="18" priority="76"/>
  </conditionalFormatting>
  <conditionalFormatting sqref="G650:G651">
    <cfRule type="duplicateValues" dxfId="17" priority="75"/>
  </conditionalFormatting>
  <conditionalFormatting sqref="G653">
    <cfRule type="duplicateValues" dxfId="16" priority="74"/>
  </conditionalFormatting>
  <conditionalFormatting sqref="G666">
    <cfRule type="duplicateValues" dxfId="15" priority="73"/>
  </conditionalFormatting>
  <conditionalFormatting sqref="M250">
    <cfRule type="duplicateValues" dxfId="14" priority="127"/>
  </conditionalFormatting>
  <conditionalFormatting sqref="M312">
    <cfRule type="duplicateValues" dxfId="13" priority="97"/>
  </conditionalFormatting>
  <conditionalFormatting sqref="N148">
    <cfRule type="duplicateValues" dxfId="12" priority="154"/>
  </conditionalFormatting>
  <conditionalFormatting sqref="N168">
    <cfRule type="duplicateValues" dxfId="11" priority="135"/>
  </conditionalFormatting>
  <conditionalFormatting sqref="N169">
    <cfRule type="duplicateValues" dxfId="10" priority="134"/>
  </conditionalFormatting>
  <conditionalFormatting sqref="N172">
    <cfRule type="duplicateValues" dxfId="9" priority="133"/>
  </conditionalFormatting>
  <conditionalFormatting sqref="N173">
    <cfRule type="duplicateValues" dxfId="8" priority="132"/>
  </conditionalFormatting>
  <conditionalFormatting sqref="N174">
    <cfRule type="duplicateValues" dxfId="7" priority="131"/>
  </conditionalFormatting>
  <conditionalFormatting sqref="N175">
    <cfRule type="duplicateValues" dxfId="6" priority="130"/>
  </conditionalFormatting>
  <conditionalFormatting sqref="N242">
    <cfRule type="duplicateValues" dxfId="5" priority="115"/>
  </conditionalFormatting>
  <conditionalFormatting sqref="N250">
    <cfRule type="duplicateValues" dxfId="4" priority="126"/>
  </conditionalFormatting>
  <conditionalFormatting sqref="N316">
    <cfRule type="duplicateValues" dxfId="3" priority="98"/>
  </conditionalFormatting>
  <conditionalFormatting sqref="O250">
    <cfRule type="duplicateValues" dxfId="2" priority="125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742"/>
  <sheetViews>
    <sheetView topLeftCell="AH718" zoomScale="85" zoomScaleNormal="85" workbookViewId="0">
      <selection activeCell="AL1" sqref="AL1"/>
    </sheetView>
  </sheetViews>
  <sheetFormatPr defaultRowHeight="13.8" x14ac:dyDescent="0.3"/>
  <cols>
    <col min="1" max="1" width="7.5546875" bestFit="1" customWidth="1"/>
    <col min="2" max="2" width="2.6640625" bestFit="1" customWidth="1"/>
    <col min="3" max="3" width="47" bestFit="1" customWidth="1"/>
    <col min="4" max="4" width="6.44140625" bestFit="1" customWidth="1"/>
    <col min="5" max="5" width="6" bestFit="1" customWidth="1"/>
    <col min="6" max="6" width="6.44140625" bestFit="1" customWidth="1"/>
    <col min="7" max="7" width="25.6640625" bestFit="1" customWidth="1"/>
    <col min="8" max="9" width="10.88671875" bestFit="1" customWidth="1"/>
    <col min="10" max="10" width="61.109375" bestFit="1" customWidth="1"/>
    <col min="12" max="12" width="7.6640625" bestFit="1" customWidth="1"/>
    <col min="13" max="13" width="11.5546875" bestFit="1" customWidth="1"/>
    <col min="14" max="14" width="8.5546875" bestFit="1" customWidth="1"/>
    <col min="15" max="15" width="8.44140625" bestFit="1" customWidth="1"/>
    <col min="16" max="16" width="6.5546875" bestFit="1" customWidth="1"/>
    <col min="17" max="17" width="30" bestFit="1" customWidth="1"/>
    <col min="18" max="18" width="18.6640625" bestFit="1" customWidth="1"/>
    <col min="19" max="19" width="20.109375" bestFit="1" customWidth="1"/>
    <col min="20" max="20" width="17.6640625" bestFit="1" customWidth="1"/>
    <col min="21" max="21" width="11.6640625" bestFit="1" customWidth="1"/>
    <col min="22" max="22" width="7.6640625" bestFit="1" customWidth="1"/>
    <col min="23" max="23" width="7.88671875" bestFit="1" customWidth="1"/>
    <col min="24" max="24" width="10.44140625" bestFit="1" customWidth="1"/>
    <col min="26" max="26" width="10.44140625" bestFit="1" customWidth="1"/>
    <col min="27" max="27" width="8.88671875" bestFit="1" customWidth="1"/>
    <col min="28" max="28" width="7.6640625" bestFit="1" customWidth="1"/>
    <col min="31" max="31" width="17.5546875" bestFit="1" customWidth="1"/>
    <col min="32" max="32" width="6.33203125" bestFit="1" customWidth="1"/>
    <col min="33" max="33" width="7.6640625" bestFit="1" customWidth="1"/>
    <col min="34" max="34" width="8" bestFit="1" customWidth="1"/>
    <col min="35" max="35" width="5.6640625" bestFit="1" customWidth="1"/>
    <col min="36" max="36" width="22.6640625" bestFit="1" customWidth="1"/>
    <col min="37" max="37" width="20.6640625" bestFit="1" customWidth="1"/>
    <col min="38" max="38" width="14.33203125" bestFit="1" customWidth="1"/>
    <col min="39" max="39" width="99.109375" bestFit="1" customWidth="1"/>
    <col min="40" max="40" width="8.6640625" bestFit="1" customWidth="1"/>
    <col min="41" max="41" width="28.88671875" bestFit="1" customWidth="1"/>
    <col min="42" max="42" width="13.6640625" bestFit="1" customWidth="1"/>
    <col min="43" max="43" width="10.88671875" bestFit="1" customWidth="1"/>
    <col min="44" max="44" width="8.44140625" bestFit="1" customWidth="1"/>
    <col min="45" max="45" width="37" bestFit="1" customWidth="1"/>
    <col min="46" max="46" width="26.5546875" bestFit="1" customWidth="1"/>
    <col min="47" max="47" width="25.33203125" bestFit="1" customWidth="1"/>
    <col min="48" max="48" width="13.6640625" bestFit="1" customWidth="1"/>
    <col min="49" max="49" width="8.88671875" bestFit="1" customWidth="1"/>
    <col min="50" max="50" width="6.6640625" bestFit="1" customWidth="1"/>
    <col min="51" max="51" width="50" bestFit="1" customWidth="1"/>
  </cols>
  <sheetData>
    <row r="1" spans="1:51" ht="55.2" x14ac:dyDescent="0.3">
      <c r="A1" s="168" t="s">
        <v>2885</v>
      </c>
      <c r="B1" s="168"/>
      <c r="C1" s="168" t="s">
        <v>2883</v>
      </c>
      <c r="D1" s="168" t="s">
        <v>2032</v>
      </c>
      <c r="E1" s="168" t="s">
        <v>2812</v>
      </c>
      <c r="F1" s="169" t="s">
        <v>2886</v>
      </c>
      <c r="G1" s="169" t="s">
        <v>2886</v>
      </c>
      <c r="H1" s="170" t="s">
        <v>2887</v>
      </c>
      <c r="I1" s="171" t="s">
        <v>2888</v>
      </c>
      <c r="J1" s="169" t="s">
        <v>2889</v>
      </c>
      <c r="K1" s="169" t="s">
        <v>2890</v>
      </c>
      <c r="L1" s="169" t="s">
        <v>2891</v>
      </c>
      <c r="M1" s="169" t="s">
        <v>2892</v>
      </c>
      <c r="N1" s="169" t="s">
        <v>2893</v>
      </c>
      <c r="O1" s="169" t="s">
        <v>2894</v>
      </c>
      <c r="P1" s="169" t="s">
        <v>2895</v>
      </c>
      <c r="Q1" s="169" t="s">
        <v>2896</v>
      </c>
      <c r="R1" s="169" t="s">
        <v>2897</v>
      </c>
      <c r="S1" s="169" t="s">
        <v>2898</v>
      </c>
      <c r="T1" s="169" t="s">
        <v>2899</v>
      </c>
      <c r="U1" s="168" t="s">
        <v>2900</v>
      </c>
      <c r="V1" s="172" t="s">
        <v>2901</v>
      </c>
      <c r="W1" s="169" t="s">
        <v>2902</v>
      </c>
      <c r="X1" s="173" t="s">
        <v>2903</v>
      </c>
      <c r="Y1" s="173" t="s">
        <v>2904</v>
      </c>
      <c r="Z1" s="173" t="s">
        <v>2905</v>
      </c>
      <c r="AA1" s="173" t="s">
        <v>2906</v>
      </c>
      <c r="AB1" s="173" t="s">
        <v>2907</v>
      </c>
      <c r="AC1" s="173" t="s">
        <v>2908</v>
      </c>
      <c r="AD1" s="169" t="s">
        <v>2909</v>
      </c>
      <c r="AE1" s="168" t="s">
        <v>2910</v>
      </c>
      <c r="AF1" s="174" t="s">
        <v>2911</v>
      </c>
      <c r="AG1" s="174" t="s">
        <v>2912</v>
      </c>
      <c r="AH1" s="169" t="s">
        <v>2913</v>
      </c>
      <c r="AI1" s="169" t="s">
        <v>2104</v>
      </c>
      <c r="AJ1" s="168" t="s">
        <v>2914</v>
      </c>
      <c r="AK1" s="168" t="s">
        <v>2915</v>
      </c>
      <c r="AL1" s="168" t="s">
        <v>2097</v>
      </c>
      <c r="AM1" s="168" t="s">
        <v>2916</v>
      </c>
      <c r="AN1" s="168" t="s">
        <v>2100</v>
      </c>
      <c r="AO1" s="168" t="s">
        <v>2261</v>
      </c>
      <c r="AP1" s="169" t="s">
        <v>2917</v>
      </c>
      <c r="AQ1" s="168" t="s">
        <v>2918</v>
      </c>
      <c r="AR1" s="168" t="s">
        <v>2919</v>
      </c>
      <c r="AS1" s="168" t="s">
        <v>2920</v>
      </c>
      <c r="AT1" s="169" t="s">
        <v>2921</v>
      </c>
      <c r="AU1" s="169" t="s">
        <v>2922</v>
      </c>
      <c r="AV1" s="175" t="s">
        <v>2923</v>
      </c>
      <c r="AW1" s="173" t="s">
        <v>2924</v>
      </c>
      <c r="AX1" s="168" t="s">
        <v>2925</v>
      </c>
      <c r="AY1" s="176" t="s">
        <v>2926</v>
      </c>
    </row>
    <row r="2" spans="1:51" x14ac:dyDescent="0.3">
      <c r="A2" s="168">
        <v>1</v>
      </c>
      <c r="B2" s="168">
        <v>2</v>
      </c>
      <c r="C2" s="168">
        <v>3</v>
      </c>
      <c r="D2" s="169">
        <v>4</v>
      </c>
      <c r="E2" s="168">
        <v>5</v>
      </c>
      <c r="F2" s="169">
        <v>6</v>
      </c>
      <c r="G2" s="168">
        <v>7</v>
      </c>
      <c r="H2" s="169">
        <v>8</v>
      </c>
      <c r="I2" s="168">
        <v>9</v>
      </c>
      <c r="J2" s="169">
        <v>10</v>
      </c>
      <c r="K2" s="168">
        <v>11</v>
      </c>
      <c r="L2" s="169">
        <v>12</v>
      </c>
      <c r="M2" s="168">
        <v>13</v>
      </c>
      <c r="N2" s="169">
        <v>14</v>
      </c>
      <c r="O2" s="168">
        <v>15</v>
      </c>
      <c r="P2" s="169">
        <v>16</v>
      </c>
      <c r="Q2" s="168">
        <v>17</v>
      </c>
      <c r="R2" s="169">
        <v>18</v>
      </c>
      <c r="S2" s="168">
        <v>19</v>
      </c>
      <c r="T2" s="169">
        <v>20</v>
      </c>
      <c r="U2" s="168">
        <v>21</v>
      </c>
      <c r="V2" s="169">
        <v>22</v>
      </c>
      <c r="W2" s="168">
        <v>23</v>
      </c>
      <c r="X2" s="169">
        <v>24</v>
      </c>
      <c r="Y2" s="168">
        <v>25</v>
      </c>
      <c r="Z2" s="169">
        <v>26</v>
      </c>
      <c r="AA2" s="168">
        <v>27</v>
      </c>
      <c r="AB2" s="169">
        <v>28</v>
      </c>
      <c r="AC2" s="168">
        <v>29</v>
      </c>
      <c r="AD2" s="169">
        <v>30</v>
      </c>
      <c r="AE2" s="168">
        <v>31</v>
      </c>
      <c r="AF2" s="174">
        <v>32</v>
      </c>
      <c r="AG2" s="177">
        <v>33</v>
      </c>
      <c r="AH2" s="169">
        <v>34</v>
      </c>
      <c r="AI2" s="169">
        <v>35</v>
      </c>
      <c r="AJ2" s="168">
        <v>36</v>
      </c>
      <c r="AK2" s="169">
        <v>37</v>
      </c>
      <c r="AL2" s="168">
        <v>38</v>
      </c>
      <c r="AM2" s="169">
        <v>39</v>
      </c>
      <c r="AN2" s="168">
        <v>40</v>
      </c>
      <c r="AO2" s="169">
        <v>41</v>
      </c>
      <c r="AP2" s="168">
        <v>42</v>
      </c>
      <c r="AQ2" s="169">
        <v>43</v>
      </c>
      <c r="AR2" s="168">
        <v>44</v>
      </c>
      <c r="AS2" s="169">
        <v>45</v>
      </c>
      <c r="AT2" s="168">
        <v>46</v>
      </c>
      <c r="AU2" s="169">
        <v>47</v>
      </c>
      <c r="AV2" s="168">
        <v>48</v>
      </c>
      <c r="AW2" s="173">
        <v>49</v>
      </c>
      <c r="AX2" s="168">
        <v>50</v>
      </c>
      <c r="AY2" s="178">
        <v>51</v>
      </c>
    </row>
    <row r="3" spans="1:51" ht="14.4" x14ac:dyDescent="0.3">
      <c r="A3" s="179" t="s">
        <v>615</v>
      </c>
      <c r="B3" s="179" t="s">
        <v>2927</v>
      </c>
      <c r="C3" s="180" t="s">
        <v>2928</v>
      </c>
      <c r="D3" s="181" t="s">
        <v>2845</v>
      </c>
      <c r="E3" s="181" t="s">
        <v>2821</v>
      </c>
      <c r="F3" s="182" t="s">
        <v>2929</v>
      </c>
      <c r="G3" s="181" t="s">
        <v>12</v>
      </c>
      <c r="H3" s="183" t="s">
        <v>2930</v>
      </c>
      <c r="I3" s="184" t="s">
        <v>2930</v>
      </c>
      <c r="J3" s="179" t="s">
        <v>2931</v>
      </c>
      <c r="K3" s="179">
        <v>8500</v>
      </c>
      <c r="L3" s="179" t="s">
        <v>2932</v>
      </c>
      <c r="M3" s="185"/>
      <c r="N3" s="185"/>
      <c r="O3" s="186"/>
      <c r="P3" s="185"/>
      <c r="Q3" s="182" t="s">
        <v>2933</v>
      </c>
      <c r="R3" s="182" t="s">
        <v>2934</v>
      </c>
      <c r="S3" s="182" t="s">
        <v>2935</v>
      </c>
      <c r="T3" s="179" t="s">
        <v>2936</v>
      </c>
      <c r="U3" s="179" t="s">
        <v>2937</v>
      </c>
      <c r="V3" s="187">
        <v>1120</v>
      </c>
      <c r="W3" s="179" t="s">
        <v>2938</v>
      </c>
      <c r="X3" s="188">
        <v>199.875</v>
      </c>
      <c r="Y3" s="188">
        <v>153.05419999999998</v>
      </c>
      <c r="Z3" s="188">
        <v>90.972099999999998</v>
      </c>
      <c r="AA3" s="188">
        <v>29.865600000000001</v>
      </c>
      <c r="AB3" s="188">
        <v>7.6976000000000004</v>
      </c>
      <c r="AC3" s="188">
        <v>24.0198</v>
      </c>
      <c r="AD3" s="179" t="s">
        <v>2939</v>
      </c>
      <c r="AE3" s="188" t="s">
        <v>2940</v>
      </c>
      <c r="AF3" s="189">
        <v>0.29166666666666669</v>
      </c>
      <c r="AG3" s="189">
        <v>0.91666666666666663</v>
      </c>
      <c r="AH3" s="190" t="s">
        <v>2941</v>
      </c>
      <c r="AI3" s="190" t="s">
        <v>2942</v>
      </c>
      <c r="AJ3" s="179" t="s">
        <v>613</v>
      </c>
      <c r="AK3" s="179" t="s">
        <v>2943</v>
      </c>
      <c r="AL3" s="179" t="s">
        <v>90</v>
      </c>
      <c r="AM3" s="179" t="s">
        <v>2944</v>
      </c>
      <c r="AN3" s="179" t="s">
        <v>2102</v>
      </c>
      <c r="AO3" s="179" t="s">
        <v>2289</v>
      </c>
      <c r="AP3" s="191">
        <v>81139001224</v>
      </c>
      <c r="AQ3" s="184">
        <v>38467</v>
      </c>
      <c r="AR3" s="179">
        <v>256</v>
      </c>
      <c r="AS3" s="179"/>
      <c r="AT3" s="181" t="s">
        <v>2945</v>
      </c>
      <c r="AU3" s="181" t="s">
        <v>2946</v>
      </c>
      <c r="AV3" s="192">
        <v>16800000</v>
      </c>
      <c r="AW3" s="181">
        <v>52.2</v>
      </c>
      <c r="AX3" s="179">
        <v>82262</v>
      </c>
      <c r="AY3" s="179"/>
    </row>
    <row r="4" spans="1:51" ht="14.4" x14ac:dyDescent="0.3">
      <c r="A4" s="179" t="s">
        <v>1170</v>
      </c>
      <c r="B4" s="179" t="s">
        <v>2947</v>
      </c>
      <c r="C4" s="180" t="s">
        <v>2948</v>
      </c>
      <c r="D4" s="181" t="s">
        <v>2820</v>
      </c>
      <c r="E4" s="181" t="s">
        <v>2819</v>
      </c>
      <c r="F4" s="182" t="s">
        <v>2929</v>
      </c>
      <c r="G4" s="181" t="s">
        <v>12</v>
      </c>
      <c r="H4" s="193">
        <v>43686</v>
      </c>
      <c r="I4" s="184">
        <v>43686</v>
      </c>
      <c r="J4" s="179" t="s">
        <v>2949</v>
      </c>
      <c r="K4" s="179">
        <v>400</v>
      </c>
      <c r="L4" s="179" t="s">
        <v>2950</v>
      </c>
      <c r="M4" s="185"/>
      <c r="N4" s="185" t="s">
        <v>2951</v>
      </c>
      <c r="O4" s="186"/>
      <c r="P4" s="185"/>
      <c r="Q4" s="182" t="s">
        <v>2934</v>
      </c>
      <c r="R4" s="182" t="s">
        <v>2933</v>
      </c>
      <c r="S4" s="182" t="s">
        <v>2952</v>
      </c>
      <c r="T4" s="179" t="s">
        <v>2953</v>
      </c>
      <c r="U4" s="179" t="s">
        <v>2954</v>
      </c>
      <c r="V4" s="179">
        <v>2183</v>
      </c>
      <c r="W4" s="179" t="s">
        <v>2955</v>
      </c>
      <c r="X4" s="188">
        <v>227.17100000000002</v>
      </c>
      <c r="Y4" s="188">
        <v>149.0016</v>
      </c>
      <c r="Z4" s="188">
        <v>112.68960000000001</v>
      </c>
      <c r="AA4" s="188">
        <v>70.983400000000003</v>
      </c>
      <c r="AB4" s="188">
        <v>8.2835999999999999</v>
      </c>
      <c r="AC4" s="188">
        <v>137.6499</v>
      </c>
      <c r="AD4" s="179" t="s">
        <v>2956</v>
      </c>
      <c r="AE4" s="188" t="s">
        <v>2957</v>
      </c>
      <c r="AF4" s="189">
        <v>0.29166666666666669</v>
      </c>
      <c r="AG4" s="189">
        <v>0.91666666666666663</v>
      </c>
      <c r="AH4" s="190" t="s">
        <v>2941</v>
      </c>
      <c r="AI4" s="190" t="s">
        <v>2942</v>
      </c>
      <c r="AJ4" s="179" t="s">
        <v>953</v>
      </c>
      <c r="AK4" s="179" t="s">
        <v>2958</v>
      </c>
      <c r="AL4" s="179" t="s">
        <v>4</v>
      </c>
      <c r="AM4" s="179" t="s">
        <v>2959</v>
      </c>
      <c r="AN4" s="179" t="s">
        <v>2102</v>
      </c>
      <c r="AO4" s="179" t="s">
        <v>2537</v>
      </c>
      <c r="AP4" s="191">
        <v>81139002295</v>
      </c>
      <c r="AQ4" s="184">
        <v>38484</v>
      </c>
      <c r="AR4" s="179">
        <v>255</v>
      </c>
      <c r="AS4" s="194">
        <v>41183</v>
      </c>
      <c r="AT4" s="195" t="s">
        <v>2960</v>
      </c>
      <c r="AU4" s="195" t="s">
        <v>2961</v>
      </c>
      <c r="AV4" s="192">
        <v>12675000</v>
      </c>
      <c r="AW4" s="181">
        <v>21.1</v>
      </c>
      <c r="AX4" s="179">
        <v>80117</v>
      </c>
      <c r="AY4" s="179" t="s">
        <v>2962</v>
      </c>
    </row>
    <row r="5" spans="1:51" ht="14.4" x14ac:dyDescent="0.3">
      <c r="A5" s="179" t="s">
        <v>867</v>
      </c>
      <c r="B5" s="179" t="s">
        <v>2927</v>
      </c>
      <c r="C5" s="180" t="s">
        <v>2963</v>
      </c>
      <c r="D5" s="181" t="s">
        <v>2843</v>
      </c>
      <c r="E5" s="181" t="s">
        <v>2840</v>
      </c>
      <c r="F5" s="182" t="s">
        <v>2929</v>
      </c>
      <c r="G5" s="181" t="s">
        <v>12</v>
      </c>
      <c r="H5" s="193" t="s">
        <v>2930</v>
      </c>
      <c r="I5" s="184" t="s">
        <v>2930</v>
      </c>
      <c r="J5" s="179" t="s">
        <v>2964</v>
      </c>
      <c r="K5" s="179">
        <v>50</v>
      </c>
      <c r="L5" s="179" t="s">
        <v>2965</v>
      </c>
      <c r="M5" s="185"/>
      <c r="N5" s="185"/>
      <c r="O5" s="186"/>
      <c r="P5" s="185"/>
      <c r="Q5" s="182" t="s">
        <v>2934</v>
      </c>
      <c r="R5" s="182" t="s">
        <v>2933</v>
      </c>
      <c r="S5" s="182" t="s">
        <v>2952</v>
      </c>
      <c r="T5" s="179" t="s">
        <v>2953</v>
      </c>
      <c r="U5" s="179" t="s">
        <v>2937</v>
      </c>
      <c r="V5" s="179">
        <v>2808</v>
      </c>
      <c r="W5" s="179" t="s">
        <v>2966</v>
      </c>
      <c r="X5" s="188">
        <v>445.8603</v>
      </c>
      <c r="Y5" s="188">
        <v>281.38230000000004</v>
      </c>
      <c r="Z5" s="188">
        <v>119.42699999999999</v>
      </c>
      <c r="AA5" s="188">
        <v>159.273</v>
      </c>
      <c r="AB5" s="188">
        <v>36.336300000000001</v>
      </c>
      <c r="AC5" s="188">
        <v>110.9067</v>
      </c>
      <c r="AD5" s="179" t="s">
        <v>2956</v>
      </c>
      <c r="AE5" s="188" t="s">
        <v>2940</v>
      </c>
      <c r="AF5" s="189">
        <v>0.29166666666666669</v>
      </c>
      <c r="AG5" s="189">
        <v>0.95833333333333337</v>
      </c>
      <c r="AH5" s="190" t="s">
        <v>2941</v>
      </c>
      <c r="AI5" s="190" t="s">
        <v>2942</v>
      </c>
      <c r="AJ5" s="179" t="s">
        <v>503</v>
      </c>
      <c r="AK5" s="179" t="s">
        <v>2963</v>
      </c>
      <c r="AL5" s="179" t="s">
        <v>90</v>
      </c>
      <c r="AM5" s="179" t="s">
        <v>2967</v>
      </c>
      <c r="AN5" s="179" t="s">
        <v>2102</v>
      </c>
      <c r="AO5" s="179" t="s">
        <v>2281</v>
      </c>
      <c r="AP5" s="191">
        <v>8113806078</v>
      </c>
      <c r="AQ5" s="184">
        <v>38632</v>
      </c>
      <c r="AR5" s="179">
        <v>250</v>
      </c>
      <c r="AS5" s="194">
        <v>39569</v>
      </c>
      <c r="AT5" s="195" t="s">
        <v>2968</v>
      </c>
      <c r="AU5" s="195" t="s">
        <v>2969</v>
      </c>
      <c r="AV5" s="192">
        <v>19705000</v>
      </c>
      <c r="AW5" s="181">
        <v>85.1</v>
      </c>
      <c r="AX5" s="179">
        <v>82214</v>
      </c>
      <c r="AY5" s="179" t="s">
        <v>2970</v>
      </c>
    </row>
    <row r="6" spans="1:51" ht="14.4" x14ac:dyDescent="0.3">
      <c r="A6" s="179" t="s">
        <v>522</v>
      </c>
      <c r="B6" s="179" t="s">
        <v>2947</v>
      </c>
      <c r="C6" s="180" t="s">
        <v>2971</v>
      </c>
      <c r="D6" s="181" t="s">
        <v>2856</v>
      </c>
      <c r="E6" s="181" t="s">
        <v>2819</v>
      </c>
      <c r="F6" s="182" t="s">
        <v>2972</v>
      </c>
      <c r="G6" s="181" t="s">
        <v>17</v>
      </c>
      <c r="H6" s="193">
        <v>45087</v>
      </c>
      <c r="I6" s="184"/>
      <c r="J6" s="179" t="s">
        <v>2973</v>
      </c>
      <c r="K6" s="179">
        <v>70</v>
      </c>
      <c r="L6" s="179" t="s">
        <v>2965</v>
      </c>
      <c r="M6" s="185"/>
      <c r="N6" s="185"/>
      <c r="O6" s="179" t="s">
        <v>2951</v>
      </c>
      <c r="P6" s="185" t="s">
        <v>2951</v>
      </c>
      <c r="Q6" s="182" t="s">
        <v>2934</v>
      </c>
      <c r="R6" s="182" t="s">
        <v>2933</v>
      </c>
      <c r="S6" s="182" t="s">
        <v>2952</v>
      </c>
      <c r="T6" s="179" t="s">
        <v>2974</v>
      </c>
      <c r="U6" s="179" t="s">
        <v>2954</v>
      </c>
      <c r="V6" s="179">
        <v>3300</v>
      </c>
      <c r="W6" s="179" t="s">
        <v>2975</v>
      </c>
      <c r="X6" s="188">
        <v>313.75400000000002</v>
      </c>
      <c r="Y6" s="188">
        <v>211.21599999999998</v>
      </c>
      <c r="Z6" s="188">
        <v>157.43979999999999</v>
      </c>
      <c r="AA6" s="188">
        <v>86.104500000000002</v>
      </c>
      <c r="AB6" s="188">
        <v>16.038000000000004</v>
      </c>
      <c r="AC6" s="188">
        <v>132.27800000000002</v>
      </c>
      <c r="AD6" s="179" t="s">
        <v>2956</v>
      </c>
      <c r="AE6" s="188" t="s">
        <v>2957</v>
      </c>
      <c r="AF6" s="189">
        <v>0</v>
      </c>
      <c r="AG6" s="189">
        <v>0.99930555555555556</v>
      </c>
      <c r="AH6" s="190" t="s">
        <v>2976</v>
      </c>
      <c r="AI6" s="190" t="s">
        <v>2942</v>
      </c>
      <c r="AJ6" s="179" t="s">
        <v>192</v>
      </c>
      <c r="AK6" s="179" t="s">
        <v>2977</v>
      </c>
      <c r="AL6" s="179" t="s">
        <v>9</v>
      </c>
      <c r="AM6" s="179" t="s">
        <v>2978</v>
      </c>
      <c r="AN6" s="179" t="s">
        <v>2102</v>
      </c>
      <c r="AO6" s="179" t="s">
        <v>2801</v>
      </c>
      <c r="AP6" s="191">
        <v>81139004576</v>
      </c>
      <c r="AQ6" s="184">
        <v>38700</v>
      </c>
      <c r="AR6" s="179">
        <v>248</v>
      </c>
      <c r="AS6" s="179"/>
      <c r="AT6" s="181" t="s">
        <v>2979</v>
      </c>
      <c r="AU6" s="181" t="s">
        <v>2980</v>
      </c>
      <c r="AV6" s="192">
        <v>30334500</v>
      </c>
      <c r="AW6" s="181">
        <v>17.7</v>
      </c>
      <c r="AX6" s="179">
        <v>80363</v>
      </c>
      <c r="AY6" s="179"/>
    </row>
    <row r="7" spans="1:51" ht="14.4" x14ac:dyDescent="0.3">
      <c r="A7" s="179" t="s">
        <v>1870</v>
      </c>
      <c r="B7" s="179" t="s">
        <v>2927</v>
      </c>
      <c r="C7" s="180" t="s">
        <v>2981</v>
      </c>
      <c r="D7" s="181" t="s">
        <v>2816</v>
      </c>
      <c r="E7" s="181" t="s">
        <v>2815</v>
      </c>
      <c r="F7" s="182" t="s">
        <v>2929</v>
      </c>
      <c r="G7" s="181" t="s">
        <v>12</v>
      </c>
      <c r="H7" s="193" t="s">
        <v>2930</v>
      </c>
      <c r="I7" s="184" t="s">
        <v>2930</v>
      </c>
      <c r="J7" s="179" t="s">
        <v>2982</v>
      </c>
      <c r="K7" s="179">
        <v>220</v>
      </c>
      <c r="L7" s="179" t="s">
        <v>2950</v>
      </c>
      <c r="M7" s="185"/>
      <c r="N7" s="185"/>
      <c r="O7" s="186"/>
      <c r="P7" s="185"/>
      <c r="Q7" s="182" t="s">
        <v>2933</v>
      </c>
      <c r="R7" s="182" t="s">
        <v>2934</v>
      </c>
      <c r="S7" s="182" t="s">
        <v>2952</v>
      </c>
      <c r="T7" s="179" t="s">
        <v>2953</v>
      </c>
      <c r="U7" s="179" t="s">
        <v>2937</v>
      </c>
      <c r="V7" s="187">
        <v>2262</v>
      </c>
      <c r="W7" s="179" t="s">
        <v>2983</v>
      </c>
      <c r="X7" s="188">
        <v>271.04750000000001</v>
      </c>
      <c r="Y7" s="188">
        <v>169.23500000000001</v>
      </c>
      <c r="Z7" s="188">
        <v>106.75</v>
      </c>
      <c r="AA7" s="188">
        <v>121.303</v>
      </c>
      <c r="AB7" s="188">
        <v>17.412500000000001</v>
      </c>
      <c r="AC7" s="188">
        <v>38.408999999999999</v>
      </c>
      <c r="AD7" s="179" t="s">
        <v>2984</v>
      </c>
      <c r="AE7" s="188" t="s">
        <v>2940</v>
      </c>
      <c r="AF7" s="189">
        <v>0</v>
      </c>
      <c r="AG7" s="189">
        <v>0.99930555555555556</v>
      </c>
      <c r="AH7" s="190" t="s">
        <v>2941</v>
      </c>
      <c r="AI7" s="190" t="s">
        <v>2985</v>
      </c>
      <c r="AJ7" s="179" t="s">
        <v>461</v>
      </c>
      <c r="AK7" s="179" t="s">
        <v>2981</v>
      </c>
      <c r="AL7" s="179" t="s">
        <v>28</v>
      </c>
      <c r="AM7" s="179" t="s">
        <v>2986</v>
      </c>
      <c r="AN7" s="179" t="s">
        <v>2102</v>
      </c>
      <c r="AO7" s="179" t="s">
        <v>2263</v>
      </c>
      <c r="AP7" s="191">
        <v>81139001504</v>
      </c>
      <c r="AQ7" s="184">
        <v>38764</v>
      </c>
      <c r="AR7" s="179">
        <v>246</v>
      </c>
      <c r="AS7" s="194">
        <v>39600</v>
      </c>
      <c r="AT7" s="195" t="s">
        <v>2987</v>
      </c>
      <c r="AU7" s="195" t="s">
        <v>2988</v>
      </c>
      <c r="AV7" s="192">
        <v>23688000</v>
      </c>
      <c r="AW7" s="181">
        <v>21.5</v>
      </c>
      <c r="AX7" s="179">
        <v>80582</v>
      </c>
      <c r="AY7" s="179" t="s">
        <v>2989</v>
      </c>
    </row>
    <row r="8" spans="1:51" ht="14.4" x14ac:dyDescent="0.3">
      <c r="A8" s="179" t="s">
        <v>737</v>
      </c>
      <c r="B8" s="179" t="s">
        <v>2947</v>
      </c>
      <c r="C8" s="180" t="s">
        <v>2990</v>
      </c>
      <c r="D8" s="181" t="s">
        <v>2829</v>
      </c>
      <c r="E8" s="181" t="s">
        <v>2815</v>
      </c>
      <c r="F8" s="182" t="s">
        <v>2972</v>
      </c>
      <c r="G8" s="181" t="s">
        <v>17</v>
      </c>
      <c r="H8" s="193">
        <v>45725</v>
      </c>
      <c r="I8" s="184"/>
      <c r="J8" s="179" t="s">
        <v>2991</v>
      </c>
      <c r="K8" s="179">
        <v>12</v>
      </c>
      <c r="L8" s="179" t="s">
        <v>2965</v>
      </c>
      <c r="M8" s="185"/>
      <c r="N8" s="185"/>
      <c r="O8" s="179" t="s">
        <v>2951</v>
      </c>
      <c r="P8" s="185"/>
      <c r="Q8" s="182" t="s">
        <v>2934</v>
      </c>
      <c r="R8" s="182" t="s">
        <v>2933</v>
      </c>
      <c r="S8" s="182" t="s">
        <v>2952</v>
      </c>
      <c r="T8" s="179" t="s">
        <v>2953</v>
      </c>
      <c r="U8" s="179" t="s">
        <v>2954</v>
      </c>
      <c r="V8" s="179">
        <v>2037</v>
      </c>
      <c r="W8" s="179" t="s">
        <v>2992</v>
      </c>
      <c r="X8" s="188">
        <v>330.25200000000001</v>
      </c>
      <c r="Y8" s="188">
        <v>237.25</v>
      </c>
      <c r="Z8" s="188">
        <v>126.41200000000001</v>
      </c>
      <c r="AA8" s="188">
        <v>76.076000000000008</v>
      </c>
      <c r="AB8" s="188">
        <v>29.314999999999998</v>
      </c>
      <c r="AC8" s="188">
        <v>71.929000000000002</v>
      </c>
      <c r="AD8" s="179" t="s">
        <v>2956</v>
      </c>
      <c r="AE8" s="188" t="s">
        <v>2940</v>
      </c>
      <c r="AF8" s="189">
        <v>0</v>
      </c>
      <c r="AG8" s="189">
        <v>0.99930555555555556</v>
      </c>
      <c r="AH8" s="190" t="s">
        <v>2941</v>
      </c>
      <c r="AI8" s="190" t="s">
        <v>2985</v>
      </c>
      <c r="AJ8" s="179" t="s">
        <v>178</v>
      </c>
      <c r="AK8" s="179" t="s">
        <v>28</v>
      </c>
      <c r="AL8" s="179" t="s">
        <v>28</v>
      </c>
      <c r="AM8" s="179" t="s">
        <v>2993</v>
      </c>
      <c r="AN8" s="179" t="s">
        <v>2102</v>
      </c>
      <c r="AO8" s="179" t="s">
        <v>2534</v>
      </c>
      <c r="AP8" s="191">
        <v>8113806261</v>
      </c>
      <c r="AQ8" s="184">
        <v>38826</v>
      </c>
      <c r="AR8" s="179">
        <v>244</v>
      </c>
      <c r="AS8" s="179"/>
      <c r="AT8" s="181" t="s">
        <v>2994</v>
      </c>
      <c r="AU8" s="181" t="s">
        <v>2995</v>
      </c>
      <c r="AV8" s="192">
        <v>20541050</v>
      </c>
      <c r="AW8" s="181">
        <v>22.7</v>
      </c>
      <c r="AX8" s="179">
        <v>80511</v>
      </c>
      <c r="AY8" s="179"/>
    </row>
    <row r="9" spans="1:51" ht="14.4" x14ac:dyDescent="0.3">
      <c r="A9" s="179" t="s">
        <v>687</v>
      </c>
      <c r="B9" s="179" t="s">
        <v>2947</v>
      </c>
      <c r="C9" s="180" t="s">
        <v>2996</v>
      </c>
      <c r="D9" s="181" t="s">
        <v>2861</v>
      </c>
      <c r="E9" s="181" t="s">
        <v>2840</v>
      </c>
      <c r="F9" s="182" t="s">
        <v>2972</v>
      </c>
      <c r="G9" s="181" t="s">
        <v>17</v>
      </c>
      <c r="H9" s="193">
        <v>45087</v>
      </c>
      <c r="I9" s="184"/>
      <c r="J9" s="179" t="s">
        <v>2997</v>
      </c>
      <c r="K9" s="179">
        <v>170</v>
      </c>
      <c r="L9" s="179" t="s">
        <v>2950</v>
      </c>
      <c r="M9" s="185"/>
      <c r="N9" s="185"/>
      <c r="O9" s="179" t="s">
        <v>2951</v>
      </c>
      <c r="P9" s="185" t="s">
        <v>2951</v>
      </c>
      <c r="Q9" s="182" t="s">
        <v>2933</v>
      </c>
      <c r="R9" s="182" t="s">
        <v>2998</v>
      </c>
      <c r="S9" s="182" t="s">
        <v>2952</v>
      </c>
      <c r="T9" s="179" t="s">
        <v>2999</v>
      </c>
      <c r="U9" s="179" t="s">
        <v>2954</v>
      </c>
      <c r="V9" s="187">
        <v>1903</v>
      </c>
      <c r="W9" s="179" t="s">
        <v>2992</v>
      </c>
      <c r="X9" s="188">
        <v>451.75049999999999</v>
      </c>
      <c r="Y9" s="188">
        <v>373.3734</v>
      </c>
      <c r="Z9" s="188">
        <v>175.58330000000001</v>
      </c>
      <c r="AA9" s="188">
        <v>68.504800000000003</v>
      </c>
      <c r="AB9" s="188">
        <v>16.034200000000002</v>
      </c>
      <c r="AC9" s="188">
        <v>164.66320000000002</v>
      </c>
      <c r="AD9" s="179" t="s">
        <v>2956</v>
      </c>
      <c r="AE9" s="188" t="s">
        <v>2940</v>
      </c>
      <c r="AF9" s="189">
        <v>0.29166666666666669</v>
      </c>
      <c r="AG9" s="189">
        <v>0.91666666666666663</v>
      </c>
      <c r="AH9" s="190" t="s">
        <v>2976</v>
      </c>
      <c r="AI9" s="190" t="s">
        <v>2985</v>
      </c>
      <c r="AJ9" s="179" t="s">
        <v>103</v>
      </c>
      <c r="AK9" s="179" t="s">
        <v>3000</v>
      </c>
      <c r="AL9" s="179" t="s">
        <v>28</v>
      </c>
      <c r="AM9" s="179" t="s">
        <v>3001</v>
      </c>
      <c r="AN9" s="179" t="s">
        <v>2102</v>
      </c>
      <c r="AO9" s="179" t="s">
        <v>2532</v>
      </c>
      <c r="AP9" s="191">
        <v>8113806219</v>
      </c>
      <c r="AQ9" s="184">
        <v>38835</v>
      </c>
      <c r="AR9" s="179">
        <v>244</v>
      </c>
      <c r="AS9" s="179"/>
      <c r="AT9" s="181"/>
      <c r="AU9" s="181"/>
      <c r="AV9" s="192">
        <v>37200813</v>
      </c>
      <c r="AW9" s="181">
        <v>18</v>
      </c>
      <c r="AX9" s="179">
        <v>80571</v>
      </c>
      <c r="AY9" s="179"/>
    </row>
    <row r="10" spans="1:51" ht="14.4" x14ac:dyDescent="0.3">
      <c r="A10" s="179" t="s">
        <v>596</v>
      </c>
      <c r="B10" s="179" t="s">
        <v>2947</v>
      </c>
      <c r="C10" s="180" t="s">
        <v>32</v>
      </c>
      <c r="D10" s="181" t="s">
        <v>2835</v>
      </c>
      <c r="E10" s="181" t="s">
        <v>2834</v>
      </c>
      <c r="F10" s="182" t="s">
        <v>2972</v>
      </c>
      <c r="G10" s="181" t="s">
        <v>17</v>
      </c>
      <c r="H10" s="193">
        <v>45087</v>
      </c>
      <c r="I10" s="184"/>
      <c r="J10" s="179" t="s">
        <v>3002</v>
      </c>
      <c r="K10" s="179">
        <v>250</v>
      </c>
      <c r="L10" s="179" t="s">
        <v>2950</v>
      </c>
      <c r="M10" s="185"/>
      <c r="N10" s="185" t="s">
        <v>2951</v>
      </c>
      <c r="O10" s="179" t="s">
        <v>2951</v>
      </c>
      <c r="P10" s="185"/>
      <c r="Q10" s="182" t="s">
        <v>2934</v>
      </c>
      <c r="R10" s="182" t="s">
        <v>2933</v>
      </c>
      <c r="S10" s="182" t="s">
        <v>2952</v>
      </c>
      <c r="T10" s="179" t="s">
        <v>2953</v>
      </c>
      <c r="U10" s="179" t="s">
        <v>2954</v>
      </c>
      <c r="V10" s="179">
        <v>2387</v>
      </c>
      <c r="W10" s="179" t="s">
        <v>3003</v>
      </c>
      <c r="X10" s="188">
        <v>293.46000000000004</v>
      </c>
      <c r="Y10" s="188">
        <v>181.70400000000001</v>
      </c>
      <c r="Z10" s="188">
        <v>145.86000000000001</v>
      </c>
      <c r="AA10" s="188">
        <v>89.193599999999989</v>
      </c>
      <c r="AB10" s="188">
        <v>10.784799999999999</v>
      </c>
      <c r="AC10" s="188">
        <v>109.3365</v>
      </c>
      <c r="AD10" s="179" t="s">
        <v>2956</v>
      </c>
      <c r="AE10" s="188" t="s">
        <v>2957</v>
      </c>
      <c r="AF10" s="189">
        <v>0.25</v>
      </c>
      <c r="AG10" s="189">
        <v>0.95833333333333337</v>
      </c>
      <c r="AH10" s="190" t="s">
        <v>2941</v>
      </c>
      <c r="AI10" s="190" t="s">
        <v>2942</v>
      </c>
      <c r="AJ10" s="179" t="s">
        <v>159</v>
      </c>
      <c r="AK10" s="179" t="s">
        <v>32</v>
      </c>
      <c r="AL10" s="179" t="s">
        <v>32</v>
      </c>
      <c r="AM10" s="179" t="s">
        <v>3004</v>
      </c>
      <c r="AN10" s="179" t="s">
        <v>2102</v>
      </c>
      <c r="AO10" s="179" t="s">
        <v>2535</v>
      </c>
      <c r="AP10" s="191">
        <v>81139003424</v>
      </c>
      <c r="AQ10" s="184">
        <v>38919</v>
      </c>
      <c r="AR10" s="179">
        <v>241</v>
      </c>
      <c r="AS10" s="179"/>
      <c r="AT10" s="181" t="s">
        <v>3005</v>
      </c>
      <c r="AU10" s="181" t="s">
        <v>3006</v>
      </c>
      <c r="AV10" s="192">
        <v>21719146</v>
      </c>
      <c r="AW10" s="181">
        <v>41.3</v>
      </c>
      <c r="AX10" s="179">
        <v>80613</v>
      </c>
      <c r="AY10" s="179"/>
    </row>
    <row r="11" spans="1:51" ht="14.4" x14ac:dyDescent="0.3">
      <c r="A11" s="179" t="s">
        <v>1233</v>
      </c>
      <c r="B11" s="179" t="s">
        <v>2947</v>
      </c>
      <c r="C11" s="180" t="s">
        <v>3007</v>
      </c>
      <c r="D11" s="181" t="s">
        <v>2822</v>
      </c>
      <c r="E11" s="181" t="s">
        <v>2821</v>
      </c>
      <c r="F11" s="182" t="s">
        <v>2972</v>
      </c>
      <c r="G11" s="181" t="s">
        <v>17</v>
      </c>
      <c r="H11" s="193">
        <v>45725</v>
      </c>
      <c r="I11" s="184"/>
      <c r="J11" s="179" t="s">
        <v>3008</v>
      </c>
      <c r="K11" s="179" t="s">
        <v>3008</v>
      </c>
      <c r="L11" s="179" t="s">
        <v>2932</v>
      </c>
      <c r="M11" s="185"/>
      <c r="N11" s="185"/>
      <c r="O11" s="186"/>
      <c r="P11" s="185" t="s">
        <v>2951</v>
      </c>
      <c r="Q11" s="182" t="s">
        <v>2934</v>
      </c>
      <c r="R11" s="182" t="s">
        <v>2933</v>
      </c>
      <c r="S11" s="182" t="s">
        <v>2952</v>
      </c>
      <c r="T11" s="179" t="s">
        <v>2953</v>
      </c>
      <c r="U11" s="179" t="s">
        <v>2954</v>
      </c>
      <c r="V11" s="179">
        <v>2238</v>
      </c>
      <c r="W11" s="179" t="s">
        <v>3009</v>
      </c>
      <c r="X11" s="188">
        <v>482.48</v>
      </c>
      <c r="Y11" s="188">
        <v>190.96200000000002</v>
      </c>
      <c r="Z11" s="188">
        <v>120.01899999999999</v>
      </c>
      <c r="AA11" s="188">
        <v>8.968</v>
      </c>
      <c r="AB11" s="188">
        <v>23.92</v>
      </c>
      <c r="AC11" s="188">
        <v>59.94</v>
      </c>
      <c r="AD11" s="179" t="s">
        <v>2984</v>
      </c>
      <c r="AE11" s="188" t="s">
        <v>2940</v>
      </c>
      <c r="AF11" s="189">
        <v>0.29166666666666669</v>
      </c>
      <c r="AG11" s="189">
        <v>0.91666666666666663</v>
      </c>
      <c r="AH11" s="190" t="s">
        <v>2941</v>
      </c>
      <c r="AI11" s="190" t="s">
        <v>2942</v>
      </c>
      <c r="AJ11" s="179" t="s">
        <v>1150</v>
      </c>
      <c r="AK11" s="179" t="s">
        <v>3010</v>
      </c>
      <c r="AL11" s="179" t="s">
        <v>36</v>
      </c>
      <c r="AM11" s="179" t="s">
        <v>3011</v>
      </c>
      <c r="AN11" s="179" t="s">
        <v>2102</v>
      </c>
      <c r="AO11" s="179" t="s">
        <v>2750</v>
      </c>
      <c r="AP11" s="191">
        <v>81139002302</v>
      </c>
      <c r="AQ11" s="184">
        <v>38929</v>
      </c>
      <c r="AR11" s="179">
        <v>240</v>
      </c>
      <c r="AS11" s="179"/>
      <c r="AT11" s="181" t="s">
        <v>3012</v>
      </c>
      <c r="AU11" s="181" t="s">
        <v>3013</v>
      </c>
      <c r="AV11" s="192">
        <v>27040679</v>
      </c>
      <c r="AW11" s="181">
        <v>11</v>
      </c>
      <c r="AX11" s="179">
        <v>82123</v>
      </c>
      <c r="AY11" s="179"/>
    </row>
    <row r="12" spans="1:51" ht="14.4" x14ac:dyDescent="0.3">
      <c r="A12" s="179" t="s">
        <v>702</v>
      </c>
      <c r="B12" s="179" t="s">
        <v>2947</v>
      </c>
      <c r="C12" s="180" t="s">
        <v>3014</v>
      </c>
      <c r="D12" s="181" t="s">
        <v>2846</v>
      </c>
      <c r="E12" s="181" t="s">
        <v>2821</v>
      </c>
      <c r="F12" s="182" t="s">
        <v>2929</v>
      </c>
      <c r="G12" s="181" t="s">
        <v>12</v>
      </c>
      <c r="H12" s="193" t="s">
        <v>2930</v>
      </c>
      <c r="I12" s="184" t="s">
        <v>2930</v>
      </c>
      <c r="J12" s="179" t="s">
        <v>3015</v>
      </c>
      <c r="K12" s="179">
        <v>210</v>
      </c>
      <c r="L12" s="179" t="s">
        <v>2950</v>
      </c>
      <c r="M12" s="185"/>
      <c r="N12" s="185"/>
      <c r="O12" s="186"/>
      <c r="P12" s="185"/>
      <c r="Q12" s="182" t="s">
        <v>2933</v>
      </c>
      <c r="R12" s="182" t="s">
        <v>3016</v>
      </c>
      <c r="S12" s="182" t="s">
        <v>2952</v>
      </c>
      <c r="T12" s="179" t="s">
        <v>2936</v>
      </c>
      <c r="U12" s="179" t="s">
        <v>2937</v>
      </c>
      <c r="V12" s="187">
        <v>1761</v>
      </c>
      <c r="W12" s="179" t="s">
        <v>2938</v>
      </c>
      <c r="X12" s="188">
        <v>252</v>
      </c>
      <c r="Y12" s="188">
        <v>186</v>
      </c>
      <c r="Z12" s="188">
        <v>117.044</v>
      </c>
      <c r="AA12" s="188">
        <v>61.199999999999996</v>
      </c>
      <c r="AB12" s="188">
        <v>6.5076000000000001</v>
      </c>
      <c r="AC12" s="188">
        <v>98.207499999999996</v>
      </c>
      <c r="AD12" s="179" t="s">
        <v>2956</v>
      </c>
      <c r="AE12" s="188" t="s">
        <v>3017</v>
      </c>
      <c r="AF12" s="189">
        <v>0</v>
      </c>
      <c r="AG12" s="189">
        <v>0.99930555555555556</v>
      </c>
      <c r="AH12" s="190" t="s">
        <v>2941</v>
      </c>
      <c r="AI12" s="190" t="s">
        <v>2942</v>
      </c>
      <c r="AJ12" s="179" t="s">
        <v>700</v>
      </c>
      <c r="AK12" s="179" t="s">
        <v>3018</v>
      </c>
      <c r="AL12" s="179" t="s">
        <v>36</v>
      </c>
      <c r="AM12" s="179" t="s">
        <v>3019</v>
      </c>
      <c r="AN12" s="179" t="s">
        <v>2102</v>
      </c>
      <c r="AO12" s="179" t="s">
        <v>2651</v>
      </c>
      <c r="AP12" s="191">
        <v>81139001486</v>
      </c>
      <c r="AQ12" s="184">
        <v>38951</v>
      </c>
      <c r="AR12" s="179">
        <v>240</v>
      </c>
      <c r="AS12" s="194" t="s">
        <v>3020</v>
      </c>
      <c r="AT12" s="195" t="s">
        <v>3021</v>
      </c>
      <c r="AU12" s="195" t="s">
        <v>3022</v>
      </c>
      <c r="AV12" s="192">
        <v>30380400</v>
      </c>
      <c r="AW12" s="181">
        <v>27</v>
      </c>
      <c r="AX12" s="179">
        <v>82164</v>
      </c>
      <c r="AY12" s="179" t="s">
        <v>3023</v>
      </c>
    </row>
    <row r="13" spans="1:51" ht="14.4" x14ac:dyDescent="0.3">
      <c r="A13" s="179" t="s">
        <v>957</v>
      </c>
      <c r="B13" s="179" t="s">
        <v>2927</v>
      </c>
      <c r="C13" s="180" t="s">
        <v>3024</v>
      </c>
      <c r="D13" s="181" t="s">
        <v>2843</v>
      </c>
      <c r="E13" s="181" t="s">
        <v>2840</v>
      </c>
      <c r="F13" s="182" t="s">
        <v>2929</v>
      </c>
      <c r="G13" s="181" t="s">
        <v>12</v>
      </c>
      <c r="H13" s="193" t="s">
        <v>2930</v>
      </c>
      <c r="I13" s="184" t="s">
        <v>2930</v>
      </c>
      <c r="J13" s="179" t="s">
        <v>3025</v>
      </c>
      <c r="K13" s="179">
        <v>450</v>
      </c>
      <c r="L13" s="179" t="s">
        <v>3026</v>
      </c>
      <c r="M13" s="185"/>
      <c r="N13" s="185"/>
      <c r="O13" s="186"/>
      <c r="P13" s="185"/>
      <c r="Q13" s="182" t="s">
        <v>2933</v>
      </c>
      <c r="R13" s="182" t="s">
        <v>2934</v>
      </c>
      <c r="S13" s="182" t="s">
        <v>2952</v>
      </c>
      <c r="T13" s="179" t="s">
        <v>2936</v>
      </c>
      <c r="U13" s="179" t="s">
        <v>2937</v>
      </c>
      <c r="V13" s="187">
        <v>1956</v>
      </c>
      <c r="W13" s="179" t="s">
        <v>2955</v>
      </c>
      <c r="X13" s="188">
        <v>238.98599999999999</v>
      </c>
      <c r="Y13" s="188">
        <v>168.86099999999999</v>
      </c>
      <c r="Z13" s="188">
        <v>111.134</v>
      </c>
      <c r="AA13" s="188">
        <v>59.730000000000004</v>
      </c>
      <c r="AB13" s="188">
        <v>13.756000000000002</v>
      </c>
      <c r="AC13" s="188">
        <v>23.25</v>
      </c>
      <c r="AD13" s="179" t="s">
        <v>2939</v>
      </c>
      <c r="AE13" s="188" t="s">
        <v>2940</v>
      </c>
      <c r="AF13" s="189">
        <v>0</v>
      </c>
      <c r="AG13" s="189">
        <v>0.99930555555555556</v>
      </c>
      <c r="AH13" s="190" t="s">
        <v>2941</v>
      </c>
      <c r="AI13" s="190" t="s">
        <v>2942</v>
      </c>
      <c r="AJ13" s="179" t="s">
        <v>175</v>
      </c>
      <c r="AK13" s="179" t="s">
        <v>3027</v>
      </c>
      <c r="AL13" s="179" t="s">
        <v>90</v>
      </c>
      <c r="AM13" s="179" t="s">
        <v>3028</v>
      </c>
      <c r="AN13" s="179" t="s">
        <v>2102</v>
      </c>
      <c r="AO13" s="179" t="s">
        <v>2286</v>
      </c>
      <c r="AP13" s="191">
        <v>81139006496</v>
      </c>
      <c r="AQ13" s="184">
        <v>39080</v>
      </c>
      <c r="AR13" s="179">
        <v>235</v>
      </c>
      <c r="AS13" s="194">
        <v>39722</v>
      </c>
      <c r="AT13" s="195" t="s">
        <v>3029</v>
      </c>
      <c r="AU13" s="195" t="s">
        <v>3030</v>
      </c>
      <c r="AV13" s="192">
        <v>23812625</v>
      </c>
      <c r="AW13" s="181">
        <v>121</v>
      </c>
      <c r="AX13" s="179">
        <v>82252</v>
      </c>
      <c r="AY13" s="179" t="s">
        <v>3031</v>
      </c>
    </row>
    <row r="14" spans="1:51" ht="14.4" x14ac:dyDescent="0.3">
      <c r="A14" s="179" t="s">
        <v>534</v>
      </c>
      <c r="B14" s="179" t="s">
        <v>2927</v>
      </c>
      <c r="C14" s="180" t="s">
        <v>3032</v>
      </c>
      <c r="D14" s="181" t="s">
        <v>2838</v>
      </c>
      <c r="E14" s="181" t="s">
        <v>2830</v>
      </c>
      <c r="F14" s="182" t="s">
        <v>2929</v>
      </c>
      <c r="G14" s="181" t="s">
        <v>12</v>
      </c>
      <c r="H14" s="193" t="s">
        <v>2930</v>
      </c>
      <c r="I14" s="184" t="s">
        <v>2930</v>
      </c>
      <c r="J14" s="179" t="s">
        <v>3033</v>
      </c>
      <c r="K14" s="179">
        <v>0</v>
      </c>
      <c r="L14" s="179" t="s">
        <v>2965</v>
      </c>
      <c r="M14" s="185"/>
      <c r="N14" s="185"/>
      <c r="O14" s="179" t="s">
        <v>2951</v>
      </c>
      <c r="P14" s="185"/>
      <c r="Q14" s="182" t="s">
        <v>2934</v>
      </c>
      <c r="R14" s="182" t="s">
        <v>2933</v>
      </c>
      <c r="S14" s="182" t="s">
        <v>2952</v>
      </c>
      <c r="T14" s="179" t="s">
        <v>2974</v>
      </c>
      <c r="U14" s="179" t="s">
        <v>2937</v>
      </c>
      <c r="V14" s="179">
        <v>2317</v>
      </c>
      <c r="W14" s="179" t="s">
        <v>2983</v>
      </c>
      <c r="X14" s="188">
        <v>710.0856</v>
      </c>
      <c r="Y14" s="188">
        <v>299.49579999999997</v>
      </c>
      <c r="Z14" s="188">
        <v>142.7397</v>
      </c>
      <c r="AA14" s="188">
        <v>220.7148</v>
      </c>
      <c r="AB14" s="188">
        <v>68.468400000000003</v>
      </c>
      <c r="AC14" s="188">
        <v>43.279500000000006</v>
      </c>
      <c r="AD14" s="179" t="s">
        <v>2984</v>
      </c>
      <c r="AE14" s="188" t="s">
        <v>2940</v>
      </c>
      <c r="AF14" s="189">
        <v>0.29166666666666669</v>
      </c>
      <c r="AG14" s="189">
        <v>0.91666666666666663</v>
      </c>
      <c r="AH14" s="190" t="s">
        <v>2941</v>
      </c>
      <c r="AI14" s="190" t="s">
        <v>2942</v>
      </c>
      <c r="AJ14" s="179" t="s">
        <v>508</v>
      </c>
      <c r="AK14" s="179" t="s">
        <v>3034</v>
      </c>
      <c r="AL14" s="179" t="s">
        <v>4</v>
      </c>
      <c r="AM14" s="179" t="s">
        <v>3035</v>
      </c>
      <c r="AN14" s="179" t="s">
        <v>2102</v>
      </c>
      <c r="AO14" s="179" t="s">
        <v>2400</v>
      </c>
      <c r="AP14" s="191">
        <v>81139001392</v>
      </c>
      <c r="AQ14" s="184">
        <v>39123</v>
      </c>
      <c r="AR14" s="179">
        <v>234</v>
      </c>
      <c r="AS14" s="179"/>
      <c r="AT14" s="195" t="s">
        <v>3036</v>
      </c>
      <c r="AU14" s="195" t="s">
        <v>2946</v>
      </c>
      <c r="AV14" s="192">
        <v>21649866</v>
      </c>
      <c r="AW14" s="181">
        <v>16.8</v>
      </c>
      <c r="AX14" s="179">
        <v>80116</v>
      </c>
      <c r="AY14" s="179" t="s">
        <v>3037</v>
      </c>
    </row>
    <row r="15" spans="1:51" ht="14.4" x14ac:dyDescent="0.3">
      <c r="A15" s="179" t="s">
        <v>289</v>
      </c>
      <c r="B15" s="179" t="s">
        <v>2947</v>
      </c>
      <c r="C15" s="180" t="s">
        <v>3038</v>
      </c>
      <c r="D15" s="181" t="s">
        <v>2872</v>
      </c>
      <c r="E15" s="181" t="s">
        <v>2840</v>
      </c>
      <c r="F15" s="182" t="s">
        <v>2972</v>
      </c>
      <c r="G15" s="181" t="s">
        <v>17</v>
      </c>
      <c r="H15" s="193">
        <v>45702</v>
      </c>
      <c r="I15" s="193">
        <v>45702</v>
      </c>
      <c r="J15" s="179" t="s">
        <v>3039</v>
      </c>
      <c r="K15" s="179">
        <v>450</v>
      </c>
      <c r="L15" s="179" t="s">
        <v>2950</v>
      </c>
      <c r="M15" s="185"/>
      <c r="N15" s="185"/>
      <c r="O15" s="186"/>
      <c r="P15" s="185"/>
      <c r="Q15" s="182" t="s">
        <v>2934</v>
      </c>
      <c r="R15" s="182" t="s">
        <v>2933</v>
      </c>
      <c r="S15" s="182" t="s">
        <v>2952</v>
      </c>
      <c r="T15" s="179" t="s">
        <v>2953</v>
      </c>
      <c r="U15" s="179" t="s">
        <v>2954</v>
      </c>
      <c r="V15" s="187">
        <v>2219</v>
      </c>
      <c r="W15" s="179" t="s">
        <v>2992</v>
      </c>
      <c r="X15" s="188">
        <v>236.62380000000005</v>
      </c>
      <c r="Y15" s="188">
        <v>183.75630000000004</v>
      </c>
      <c r="Z15" s="188">
        <v>122.8122</v>
      </c>
      <c r="AA15" s="188">
        <v>45.486000000000004</v>
      </c>
      <c r="AB15" s="188">
        <v>15.5952</v>
      </c>
      <c r="AC15" s="188">
        <v>30.599999999999998</v>
      </c>
      <c r="AD15" s="179" t="s">
        <v>2984</v>
      </c>
      <c r="AE15" s="188" t="s">
        <v>2940</v>
      </c>
      <c r="AF15" s="189">
        <v>0.29166666666666669</v>
      </c>
      <c r="AG15" s="189">
        <v>0.99930555555555556</v>
      </c>
      <c r="AH15" s="190" t="s">
        <v>2941</v>
      </c>
      <c r="AI15" s="190" t="s">
        <v>2942</v>
      </c>
      <c r="AJ15" s="179" t="s">
        <v>287</v>
      </c>
      <c r="AK15" s="179" t="s">
        <v>48</v>
      </c>
      <c r="AL15" s="179" t="s">
        <v>48</v>
      </c>
      <c r="AM15" s="179" t="s">
        <v>3040</v>
      </c>
      <c r="AN15" s="179" t="s">
        <v>2102</v>
      </c>
      <c r="AO15" s="179" t="s">
        <v>2719</v>
      </c>
      <c r="AP15" s="191">
        <v>8113806093</v>
      </c>
      <c r="AQ15" s="184">
        <v>39163</v>
      </c>
      <c r="AR15" s="179">
        <v>233</v>
      </c>
      <c r="AS15" s="194" t="s">
        <v>3041</v>
      </c>
      <c r="AT15" s="195" t="s">
        <v>3042</v>
      </c>
      <c r="AU15" s="195" t="s">
        <v>2946</v>
      </c>
      <c r="AV15" s="192">
        <v>13585407</v>
      </c>
      <c r="AW15" s="181">
        <v>58.1</v>
      </c>
      <c r="AX15" s="179">
        <v>81119</v>
      </c>
      <c r="AY15" s="179" t="s">
        <v>3043</v>
      </c>
    </row>
    <row r="16" spans="1:51" ht="14.4" x14ac:dyDescent="0.3">
      <c r="A16" s="179" t="s">
        <v>391</v>
      </c>
      <c r="B16" s="179" t="s">
        <v>2947</v>
      </c>
      <c r="C16" s="180" t="s">
        <v>3044</v>
      </c>
      <c r="D16" s="181" t="s">
        <v>2858</v>
      </c>
      <c r="E16" s="181" t="s">
        <v>2813</v>
      </c>
      <c r="F16" s="182" t="s">
        <v>2972</v>
      </c>
      <c r="G16" s="181" t="s">
        <v>17</v>
      </c>
      <c r="H16" s="193">
        <v>45788</v>
      </c>
      <c r="I16" s="193">
        <v>45788</v>
      </c>
      <c r="J16" s="179" t="s">
        <v>3045</v>
      </c>
      <c r="K16" s="179">
        <v>110</v>
      </c>
      <c r="L16" s="179" t="s">
        <v>2950</v>
      </c>
      <c r="M16" s="185"/>
      <c r="N16" s="185"/>
      <c r="O16" s="186"/>
      <c r="P16" s="185"/>
      <c r="Q16" s="182" t="s">
        <v>2933</v>
      </c>
      <c r="R16" s="182" t="s">
        <v>2934</v>
      </c>
      <c r="S16" s="182" t="s">
        <v>2952</v>
      </c>
      <c r="T16" s="179" t="s">
        <v>2974</v>
      </c>
      <c r="U16" s="179" t="s">
        <v>2954</v>
      </c>
      <c r="V16" s="187">
        <v>1948</v>
      </c>
      <c r="W16" s="179" t="s">
        <v>3003</v>
      </c>
      <c r="X16" s="188">
        <v>252.3048</v>
      </c>
      <c r="Y16" s="188">
        <v>184.60100000000003</v>
      </c>
      <c r="Z16" s="188">
        <v>122.976</v>
      </c>
      <c r="AA16" s="188">
        <v>53.972799999999999</v>
      </c>
      <c r="AB16" s="188">
        <v>19.830599999999997</v>
      </c>
      <c r="AC16" s="188">
        <v>24.309000000000001</v>
      </c>
      <c r="AD16" s="179" t="s">
        <v>2939</v>
      </c>
      <c r="AE16" s="188" t="s">
        <v>2940</v>
      </c>
      <c r="AF16" s="189">
        <v>0</v>
      </c>
      <c r="AG16" s="189">
        <v>0.99930555555555556</v>
      </c>
      <c r="AH16" s="190" t="s">
        <v>2941</v>
      </c>
      <c r="AI16" s="190" t="s">
        <v>2942</v>
      </c>
      <c r="AJ16" s="179" t="s">
        <v>349</v>
      </c>
      <c r="AK16" s="179" t="s">
        <v>3010</v>
      </c>
      <c r="AL16" s="179" t="s">
        <v>36</v>
      </c>
      <c r="AM16" s="179" t="s">
        <v>3046</v>
      </c>
      <c r="AN16" s="179" t="s">
        <v>2102</v>
      </c>
      <c r="AO16" s="179" t="s">
        <v>2617</v>
      </c>
      <c r="AP16" s="191">
        <v>81139002301</v>
      </c>
      <c r="AQ16" s="184">
        <v>39199</v>
      </c>
      <c r="AR16" s="179">
        <v>232</v>
      </c>
      <c r="AS16" s="194">
        <v>39904</v>
      </c>
      <c r="AT16" s="195" t="s">
        <v>3047</v>
      </c>
      <c r="AU16" s="195" t="s">
        <v>3048</v>
      </c>
      <c r="AV16" s="192">
        <v>20862000</v>
      </c>
      <c r="AW16" s="181">
        <v>15.2</v>
      </c>
      <c r="AX16" s="179">
        <v>82121</v>
      </c>
      <c r="AY16" s="179" t="s">
        <v>3049</v>
      </c>
    </row>
    <row r="17" spans="1:51" ht="14.4" x14ac:dyDescent="0.3">
      <c r="A17" s="179" t="s">
        <v>1722</v>
      </c>
      <c r="B17" s="179" t="s">
        <v>2927</v>
      </c>
      <c r="C17" s="180" t="s">
        <v>3050</v>
      </c>
      <c r="D17" s="181" t="s">
        <v>2845</v>
      </c>
      <c r="E17" s="181" t="s">
        <v>2821</v>
      </c>
      <c r="F17" s="182" t="s">
        <v>2929</v>
      </c>
      <c r="G17" s="181" t="s">
        <v>12</v>
      </c>
      <c r="H17" s="193" t="s">
        <v>2930</v>
      </c>
      <c r="I17" s="184" t="s">
        <v>2930</v>
      </c>
      <c r="J17" s="179" t="s">
        <v>3051</v>
      </c>
      <c r="K17" s="179">
        <v>130</v>
      </c>
      <c r="L17" s="179" t="s">
        <v>2950</v>
      </c>
      <c r="M17" s="185"/>
      <c r="N17" s="185"/>
      <c r="O17" s="186"/>
      <c r="P17" s="185"/>
      <c r="Q17" s="182" t="s">
        <v>2934</v>
      </c>
      <c r="R17" s="182" t="s">
        <v>2933</v>
      </c>
      <c r="S17" s="182" t="s">
        <v>2952</v>
      </c>
      <c r="T17" s="179" t="s">
        <v>2953</v>
      </c>
      <c r="U17" s="179" t="s">
        <v>2937</v>
      </c>
      <c r="V17" s="179">
        <v>2120</v>
      </c>
      <c r="W17" s="179" t="s">
        <v>2992</v>
      </c>
      <c r="X17" s="188">
        <v>226.20000000000002</v>
      </c>
      <c r="Y17" s="188">
        <v>175</v>
      </c>
      <c r="Z17" s="188">
        <v>118.33999999999999</v>
      </c>
      <c r="AA17" s="188">
        <v>40.582000000000001</v>
      </c>
      <c r="AB17" s="188">
        <v>14.549999999999999</v>
      </c>
      <c r="AC17" s="188">
        <v>27.358499999999999</v>
      </c>
      <c r="AD17" s="179" t="s">
        <v>2939</v>
      </c>
      <c r="AE17" s="188" t="s">
        <v>2940</v>
      </c>
      <c r="AF17" s="189">
        <v>0.29166666666666669</v>
      </c>
      <c r="AG17" s="189">
        <v>0.91666666666666663</v>
      </c>
      <c r="AH17" s="190" t="s">
        <v>2941</v>
      </c>
      <c r="AI17" s="190" t="s">
        <v>2942</v>
      </c>
      <c r="AJ17" s="179" t="s">
        <v>1720</v>
      </c>
      <c r="AK17" s="179" t="s">
        <v>3050</v>
      </c>
      <c r="AL17" s="179" t="s">
        <v>36</v>
      </c>
      <c r="AM17" s="179" t="s">
        <v>3052</v>
      </c>
      <c r="AN17" s="179" t="s">
        <v>2102</v>
      </c>
      <c r="AO17" s="179" t="s">
        <v>2312</v>
      </c>
      <c r="AP17" s="191">
        <v>8113806146</v>
      </c>
      <c r="AQ17" s="184">
        <v>39202</v>
      </c>
      <c r="AR17" s="179">
        <v>231</v>
      </c>
      <c r="AS17" s="194">
        <v>41579</v>
      </c>
      <c r="AT17" s="195" t="s">
        <v>3053</v>
      </c>
      <c r="AU17" s="195" t="s">
        <v>2946</v>
      </c>
      <c r="AV17" s="192">
        <v>25771500</v>
      </c>
      <c r="AW17" s="181">
        <v>57.6</v>
      </c>
      <c r="AX17" s="179">
        <v>82163</v>
      </c>
      <c r="AY17" s="179" t="s">
        <v>3054</v>
      </c>
    </row>
    <row r="18" spans="1:51" ht="14.4" x14ac:dyDescent="0.3">
      <c r="A18" s="179" t="s">
        <v>564</v>
      </c>
      <c r="B18" s="179" t="s">
        <v>2947</v>
      </c>
      <c r="C18" s="180" t="s">
        <v>3055</v>
      </c>
      <c r="D18" s="181" t="s">
        <v>2872</v>
      </c>
      <c r="E18" s="181" t="s">
        <v>2840</v>
      </c>
      <c r="F18" s="182" t="s">
        <v>2972</v>
      </c>
      <c r="G18" s="181" t="s">
        <v>17</v>
      </c>
      <c r="H18" s="193" t="s">
        <v>3056</v>
      </c>
      <c r="I18" s="184"/>
      <c r="J18" s="179" t="s">
        <v>3057</v>
      </c>
      <c r="K18" s="179">
        <v>130</v>
      </c>
      <c r="L18" s="179" t="s">
        <v>2965</v>
      </c>
      <c r="M18" s="185"/>
      <c r="N18" s="185"/>
      <c r="O18" s="179" t="s">
        <v>2951</v>
      </c>
      <c r="P18" s="185"/>
      <c r="Q18" s="182" t="s">
        <v>2933</v>
      </c>
      <c r="R18" s="182" t="s">
        <v>2934</v>
      </c>
      <c r="S18" s="182" t="s">
        <v>2952</v>
      </c>
      <c r="T18" s="179" t="s">
        <v>2953</v>
      </c>
      <c r="U18" s="179" t="s">
        <v>2954</v>
      </c>
      <c r="V18" s="187">
        <v>2129</v>
      </c>
      <c r="W18" s="179" t="s">
        <v>2983</v>
      </c>
      <c r="X18" s="188">
        <v>293.90790000000004</v>
      </c>
      <c r="Y18" s="188">
        <v>252.68100000000001</v>
      </c>
      <c r="Z18" s="188">
        <v>134.85839999999999</v>
      </c>
      <c r="AA18" s="188">
        <v>33.106499999999997</v>
      </c>
      <c r="AB18" s="188">
        <v>14.872</v>
      </c>
      <c r="AC18" s="188">
        <v>92.025999999999996</v>
      </c>
      <c r="AD18" s="179" t="s">
        <v>2956</v>
      </c>
      <c r="AE18" s="188" t="s">
        <v>2940</v>
      </c>
      <c r="AF18" s="189">
        <v>0</v>
      </c>
      <c r="AG18" s="189">
        <v>0.99930555555555556</v>
      </c>
      <c r="AH18" s="190" t="s">
        <v>2941</v>
      </c>
      <c r="AI18" s="190" t="s">
        <v>2942</v>
      </c>
      <c r="AJ18" s="179" t="s">
        <v>562</v>
      </c>
      <c r="AK18" s="179" t="s">
        <v>3055</v>
      </c>
      <c r="AL18" s="179" t="s">
        <v>48</v>
      </c>
      <c r="AM18" s="179" t="s">
        <v>3058</v>
      </c>
      <c r="AN18" s="179" t="s">
        <v>2102</v>
      </c>
      <c r="AO18" s="179" t="s">
        <v>2458</v>
      </c>
      <c r="AP18" s="191">
        <v>81139000824</v>
      </c>
      <c r="AQ18" s="184">
        <v>39218</v>
      </c>
      <c r="AR18" s="179">
        <v>231</v>
      </c>
      <c r="AS18" s="196">
        <v>42036</v>
      </c>
      <c r="AT18" s="197" t="s">
        <v>3059</v>
      </c>
      <c r="AU18" s="197" t="s">
        <v>2946</v>
      </c>
      <c r="AV18" s="192">
        <v>28823715</v>
      </c>
      <c r="AW18" s="181">
        <v>80.5</v>
      </c>
      <c r="AX18" s="179">
        <v>81153</v>
      </c>
      <c r="AY18" s="179" t="s">
        <v>3060</v>
      </c>
    </row>
    <row r="19" spans="1:51" ht="14.4" x14ac:dyDescent="0.3">
      <c r="A19" s="179" t="s">
        <v>348</v>
      </c>
      <c r="B19" s="179" t="s">
        <v>2947</v>
      </c>
      <c r="C19" s="180" t="s">
        <v>3061</v>
      </c>
      <c r="D19" s="181" t="s">
        <v>2842</v>
      </c>
      <c r="E19" s="181" t="s">
        <v>2834</v>
      </c>
      <c r="F19" s="182" t="s">
        <v>2929</v>
      </c>
      <c r="G19" s="181" t="s">
        <v>12</v>
      </c>
      <c r="H19" s="193">
        <v>45087</v>
      </c>
      <c r="I19" s="184"/>
      <c r="J19" s="179" t="s">
        <v>3062</v>
      </c>
      <c r="K19" s="179">
        <v>400</v>
      </c>
      <c r="L19" s="179" t="s">
        <v>2950</v>
      </c>
      <c r="M19" s="185"/>
      <c r="N19" s="185"/>
      <c r="O19" s="186"/>
      <c r="P19" s="185" t="s">
        <v>2951</v>
      </c>
      <c r="Q19" s="182" t="s">
        <v>2934</v>
      </c>
      <c r="R19" s="182" t="s">
        <v>2933</v>
      </c>
      <c r="S19" s="182" t="s">
        <v>2952</v>
      </c>
      <c r="T19" s="179" t="s">
        <v>2953</v>
      </c>
      <c r="U19" s="179" t="s">
        <v>2954</v>
      </c>
      <c r="V19" s="179">
        <v>2289</v>
      </c>
      <c r="W19" s="179" t="s">
        <v>3063</v>
      </c>
      <c r="X19" s="188">
        <v>301.93279999999999</v>
      </c>
      <c r="Y19" s="188">
        <v>158.73590000000002</v>
      </c>
      <c r="Z19" s="188">
        <v>115.35680000000001</v>
      </c>
      <c r="AA19" s="188">
        <v>90.479200000000006</v>
      </c>
      <c r="AB19" s="188">
        <v>56.324799999999996</v>
      </c>
      <c r="AC19" s="188">
        <v>149.25300000000001</v>
      </c>
      <c r="AD19" s="179" t="s">
        <v>2956</v>
      </c>
      <c r="AE19" s="188" t="s">
        <v>2957</v>
      </c>
      <c r="AF19" s="189">
        <v>0.25</v>
      </c>
      <c r="AG19" s="189">
        <v>0.95833333333333337</v>
      </c>
      <c r="AH19" s="190" t="s">
        <v>2941</v>
      </c>
      <c r="AI19" s="190" t="s">
        <v>2942</v>
      </c>
      <c r="AJ19" s="179" t="s">
        <v>346</v>
      </c>
      <c r="AK19" s="179" t="s">
        <v>58</v>
      </c>
      <c r="AL19" s="179" t="s">
        <v>58</v>
      </c>
      <c r="AM19" s="179" t="s">
        <v>3064</v>
      </c>
      <c r="AN19" s="179" t="s">
        <v>2102</v>
      </c>
      <c r="AO19" s="179" t="s">
        <v>2472</v>
      </c>
      <c r="AP19" s="191">
        <v>81139001305</v>
      </c>
      <c r="AQ19" s="184">
        <v>39254</v>
      </c>
      <c r="AR19" s="179">
        <v>230</v>
      </c>
      <c r="AS19" s="179"/>
      <c r="AT19" s="181"/>
      <c r="AU19" s="181"/>
      <c r="AV19" s="192">
        <v>29550000</v>
      </c>
      <c r="AW19" s="181">
        <v>42</v>
      </c>
      <c r="AX19" s="179">
        <v>80716</v>
      </c>
      <c r="AY19" s="179"/>
    </row>
    <row r="20" spans="1:51" ht="14.4" x14ac:dyDescent="0.3">
      <c r="A20" s="179" t="s">
        <v>1417</v>
      </c>
      <c r="B20" s="179" t="s">
        <v>2947</v>
      </c>
      <c r="C20" s="180" t="s">
        <v>3065</v>
      </c>
      <c r="D20" s="181" t="s">
        <v>2833</v>
      </c>
      <c r="E20" s="181" t="s">
        <v>2821</v>
      </c>
      <c r="F20" s="182" t="s">
        <v>2929</v>
      </c>
      <c r="G20" s="181" t="s">
        <v>12</v>
      </c>
      <c r="H20" s="193" t="s">
        <v>2930</v>
      </c>
      <c r="I20" s="184" t="s">
        <v>2930</v>
      </c>
      <c r="J20" s="179" t="s">
        <v>3066</v>
      </c>
      <c r="K20" s="179">
        <v>38</v>
      </c>
      <c r="L20" s="179" t="s">
        <v>2965</v>
      </c>
      <c r="M20" s="185"/>
      <c r="N20" s="185"/>
      <c r="O20" s="186"/>
      <c r="P20" s="185"/>
      <c r="Q20" s="182" t="s">
        <v>2933</v>
      </c>
      <c r="R20" s="182" t="s">
        <v>2934</v>
      </c>
      <c r="S20" s="182" t="s">
        <v>2952</v>
      </c>
      <c r="T20" s="179" t="s">
        <v>2999</v>
      </c>
      <c r="U20" s="179" t="s">
        <v>2954</v>
      </c>
      <c r="V20" s="187">
        <v>2035</v>
      </c>
      <c r="W20" s="179" t="s">
        <v>3067</v>
      </c>
      <c r="X20" s="188">
        <v>228.16230000000002</v>
      </c>
      <c r="Y20" s="188">
        <v>164.66849999999999</v>
      </c>
      <c r="Z20" s="188">
        <v>109.32600000000001</v>
      </c>
      <c r="AA20" s="188">
        <v>37.040500000000002</v>
      </c>
      <c r="AB20" s="188">
        <v>19.275899999999996</v>
      </c>
      <c r="AC20" s="188">
        <v>21.1266</v>
      </c>
      <c r="AD20" s="179" t="s">
        <v>2939</v>
      </c>
      <c r="AE20" s="188" t="s">
        <v>2940</v>
      </c>
      <c r="AF20" s="189">
        <v>0.29166666666666669</v>
      </c>
      <c r="AG20" s="189">
        <v>0.91666666666666663</v>
      </c>
      <c r="AH20" s="190" t="s">
        <v>2941</v>
      </c>
      <c r="AI20" s="190" t="s">
        <v>2942</v>
      </c>
      <c r="AJ20" s="179" t="s">
        <v>1415</v>
      </c>
      <c r="AK20" s="179" t="s">
        <v>36</v>
      </c>
      <c r="AL20" s="179" t="s">
        <v>36</v>
      </c>
      <c r="AM20" s="179" t="s">
        <v>3068</v>
      </c>
      <c r="AN20" s="179" t="s">
        <v>2102</v>
      </c>
      <c r="AO20" s="179" t="s">
        <v>2681</v>
      </c>
      <c r="AP20" s="191">
        <v>81139002201</v>
      </c>
      <c r="AQ20" s="184">
        <v>39259</v>
      </c>
      <c r="AR20" s="179">
        <v>230</v>
      </c>
      <c r="AS20" s="194" t="s">
        <v>3069</v>
      </c>
      <c r="AT20" s="195" t="s">
        <v>3070</v>
      </c>
      <c r="AU20" s="195" t="s">
        <v>3071</v>
      </c>
      <c r="AV20" s="192">
        <v>17344000</v>
      </c>
      <c r="AW20" s="181">
        <v>12.7</v>
      </c>
      <c r="AX20" s="179">
        <v>82114</v>
      </c>
      <c r="AY20" s="179" t="s">
        <v>3072</v>
      </c>
    </row>
    <row r="21" spans="1:51" ht="14.4" x14ac:dyDescent="0.3">
      <c r="A21" s="179" t="s">
        <v>308</v>
      </c>
      <c r="B21" s="179" t="s">
        <v>2947</v>
      </c>
      <c r="C21" s="180" t="s">
        <v>3073</v>
      </c>
      <c r="D21" s="181" t="s">
        <v>2864</v>
      </c>
      <c r="E21" s="181" t="s">
        <v>2827</v>
      </c>
      <c r="F21" s="182" t="s">
        <v>2972</v>
      </c>
      <c r="G21" s="181" t="s">
        <v>17</v>
      </c>
      <c r="H21" s="193" t="s">
        <v>2930</v>
      </c>
      <c r="I21" s="184" t="s">
        <v>2930</v>
      </c>
      <c r="J21" s="179" t="s">
        <v>3074</v>
      </c>
      <c r="K21" s="179">
        <v>550</v>
      </c>
      <c r="L21" s="179" t="s">
        <v>3026</v>
      </c>
      <c r="M21" s="185"/>
      <c r="N21" s="185"/>
      <c r="O21" s="186"/>
      <c r="P21" s="185"/>
      <c r="Q21" s="182" t="s">
        <v>2933</v>
      </c>
      <c r="R21" s="182" t="s">
        <v>3016</v>
      </c>
      <c r="S21" s="182" t="s">
        <v>2952</v>
      </c>
      <c r="T21" s="179" t="s">
        <v>2953</v>
      </c>
      <c r="U21" s="179" t="s">
        <v>2954</v>
      </c>
      <c r="V21" s="179">
        <v>2175</v>
      </c>
      <c r="W21" s="179" t="s">
        <v>3075</v>
      </c>
      <c r="X21" s="188">
        <v>165.70400000000001</v>
      </c>
      <c r="Y21" s="188">
        <v>130.04349999999999</v>
      </c>
      <c r="Z21" s="188">
        <v>108.11190000000001</v>
      </c>
      <c r="AA21" s="188">
        <v>34.786999999999999</v>
      </c>
      <c r="AB21" s="188">
        <v>2.2018</v>
      </c>
      <c r="AC21" s="188">
        <v>102.2868</v>
      </c>
      <c r="AD21" s="179" t="s">
        <v>2956</v>
      </c>
      <c r="AE21" s="188" t="s">
        <v>2957</v>
      </c>
      <c r="AF21" s="189">
        <v>0.25</v>
      </c>
      <c r="AG21" s="189">
        <v>0.95833333333333337</v>
      </c>
      <c r="AH21" s="190" t="s">
        <v>2941</v>
      </c>
      <c r="AI21" s="190" t="s">
        <v>2942</v>
      </c>
      <c r="AJ21" s="179" t="s">
        <v>306</v>
      </c>
      <c r="AK21" s="179" t="s">
        <v>3073</v>
      </c>
      <c r="AL21" s="179" t="s">
        <v>48</v>
      </c>
      <c r="AM21" s="179" t="s">
        <v>3076</v>
      </c>
      <c r="AN21" s="179" t="s">
        <v>2102</v>
      </c>
      <c r="AO21" s="179" t="s">
        <v>2602</v>
      </c>
      <c r="AP21" s="191">
        <v>81139003850</v>
      </c>
      <c r="AQ21" s="184">
        <v>39283</v>
      </c>
      <c r="AR21" s="179">
        <v>229</v>
      </c>
      <c r="AS21" s="194" t="s">
        <v>3077</v>
      </c>
      <c r="AT21" s="181" t="s">
        <v>3078</v>
      </c>
      <c r="AU21" s="181" t="s">
        <v>2946</v>
      </c>
      <c r="AV21" s="192">
        <v>21367315</v>
      </c>
      <c r="AW21" s="181">
        <v>66.7</v>
      </c>
      <c r="AX21" s="179">
        <v>81172</v>
      </c>
      <c r="AY21" s="179" t="s">
        <v>3079</v>
      </c>
    </row>
    <row r="22" spans="1:51" ht="14.4" x14ac:dyDescent="0.3">
      <c r="A22" s="179" t="s">
        <v>419</v>
      </c>
      <c r="B22" s="179" t="s">
        <v>2947</v>
      </c>
      <c r="C22" s="180" t="s">
        <v>3080</v>
      </c>
      <c r="D22" s="181" t="s">
        <v>2822</v>
      </c>
      <c r="E22" s="181" t="s">
        <v>2821</v>
      </c>
      <c r="F22" s="182" t="s">
        <v>2929</v>
      </c>
      <c r="G22" s="181" t="s">
        <v>12</v>
      </c>
      <c r="H22" s="193">
        <v>39288</v>
      </c>
      <c r="I22" s="184" t="s">
        <v>2930</v>
      </c>
      <c r="J22" s="179" t="s">
        <v>3081</v>
      </c>
      <c r="K22" s="179">
        <v>51</v>
      </c>
      <c r="L22" s="179" t="s">
        <v>2965</v>
      </c>
      <c r="M22" s="185"/>
      <c r="N22" s="185"/>
      <c r="O22" s="186"/>
      <c r="P22" s="185"/>
      <c r="Q22" s="182" t="s">
        <v>2934</v>
      </c>
      <c r="R22" s="182" t="s">
        <v>2933</v>
      </c>
      <c r="S22" s="182" t="s">
        <v>2952</v>
      </c>
      <c r="T22" s="179" t="s">
        <v>2953</v>
      </c>
      <c r="U22" s="179" t="s">
        <v>2954</v>
      </c>
      <c r="V22" s="179">
        <v>2046</v>
      </c>
      <c r="W22" s="179" t="s">
        <v>2955</v>
      </c>
      <c r="X22" s="188">
        <v>224.25890000000001</v>
      </c>
      <c r="Y22" s="188">
        <v>187.31789999999998</v>
      </c>
      <c r="Z22" s="188">
        <v>120.7206</v>
      </c>
      <c r="AA22" s="188">
        <v>26.336000000000002</v>
      </c>
      <c r="AB22" s="188">
        <v>12.896000000000001</v>
      </c>
      <c r="AC22" s="188">
        <v>34.15</v>
      </c>
      <c r="AD22" s="179" t="s">
        <v>2984</v>
      </c>
      <c r="AE22" s="188" t="s">
        <v>2940</v>
      </c>
      <c r="AF22" s="189">
        <v>0.29166666666666669</v>
      </c>
      <c r="AG22" s="189">
        <v>0.91666666666666663</v>
      </c>
      <c r="AH22" s="190" t="s">
        <v>2941</v>
      </c>
      <c r="AI22" s="190" t="s">
        <v>2942</v>
      </c>
      <c r="AJ22" s="179" t="s">
        <v>186</v>
      </c>
      <c r="AK22" s="179" t="s">
        <v>36</v>
      </c>
      <c r="AL22" s="179" t="s">
        <v>36</v>
      </c>
      <c r="AM22" s="179" t="s">
        <v>3082</v>
      </c>
      <c r="AN22" s="179" t="s">
        <v>2102</v>
      </c>
      <c r="AO22" s="188" t="s">
        <v>2720</v>
      </c>
      <c r="AP22" s="191">
        <v>81139002298</v>
      </c>
      <c r="AQ22" s="184">
        <v>39288</v>
      </c>
      <c r="AR22" s="179">
        <v>229</v>
      </c>
      <c r="AS22" s="194" t="s">
        <v>3083</v>
      </c>
      <c r="AT22" s="195"/>
      <c r="AU22" s="195"/>
      <c r="AV22" s="192">
        <v>11650000</v>
      </c>
      <c r="AW22" s="181">
        <v>13.4</v>
      </c>
      <c r="AX22" s="179">
        <v>82111</v>
      </c>
      <c r="AY22" s="179" t="s">
        <v>3084</v>
      </c>
    </row>
    <row r="23" spans="1:51" ht="14.4" x14ac:dyDescent="0.3">
      <c r="A23" s="179" t="s">
        <v>672</v>
      </c>
      <c r="B23" s="179" t="s">
        <v>2947</v>
      </c>
      <c r="C23" s="180" t="s">
        <v>3085</v>
      </c>
      <c r="D23" s="181" t="s">
        <v>2872</v>
      </c>
      <c r="E23" s="181" t="s">
        <v>2840</v>
      </c>
      <c r="F23" s="182" t="s">
        <v>3086</v>
      </c>
      <c r="G23" s="181" t="s">
        <v>535</v>
      </c>
      <c r="H23" s="193">
        <v>45475</v>
      </c>
      <c r="I23" s="184"/>
      <c r="J23" s="179" t="s">
        <v>3087</v>
      </c>
      <c r="K23" s="179">
        <v>300</v>
      </c>
      <c r="L23" s="179" t="s">
        <v>2950</v>
      </c>
      <c r="M23" s="185"/>
      <c r="N23" s="185" t="s">
        <v>2951</v>
      </c>
      <c r="O23" s="179" t="s">
        <v>2951</v>
      </c>
      <c r="P23" s="185" t="s">
        <v>2951</v>
      </c>
      <c r="Q23" s="182" t="s">
        <v>2933</v>
      </c>
      <c r="R23" s="182" t="s">
        <v>2934</v>
      </c>
      <c r="S23" s="182" t="s">
        <v>2952</v>
      </c>
      <c r="T23" s="179" t="s">
        <v>2953</v>
      </c>
      <c r="U23" s="179" t="s">
        <v>2954</v>
      </c>
      <c r="V23" s="179">
        <v>2094</v>
      </c>
      <c r="W23" s="179" t="s">
        <v>2992</v>
      </c>
      <c r="X23" s="188">
        <v>288.36500000000001</v>
      </c>
      <c r="Y23" s="188">
        <v>217.21</v>
      </c>
      <c r="Z23" s="188">
        <v>154.13999999999999</v>
      </c>
      <c r="AA23" s="188">
        <v>56.518000000000001</v>
      </c>
      <c r="AB23" s="188">
        <v>17.616</v>
      </c>
      <c r="AC23" s="188">
        <v>198.38749999999999</v>
      </c>
      <c r="AD23" s="179" t="s">
        <v>2956</v>
      </c>
      <c r="AE23" s="188" t="s">
        <v>2957</v>
      </c>
      <c r="AF23" s="189">
        <v>0</v>
      </c>
      <c r="AG23" s="189">
        <v>0.99930555555555556</v>
      </c>
      <c r="AH23" s="190" t="s">
        <v>2941</v>
      </c>
      <c r="AI23" s="190" t="s">
        <v>2942</v>
      </c>
      <c r="AJ23" s="179" t="s">
        <v>231</v>
      </c>
      <c r="AK23" s="179" t="s">
        <v>48</v>
      </c>
      <c r="AL23" s="179" t="s">
        <v>48</v>
      </c>
      <c r="AM23" s="179" t="s">
        <v>3088</v>
      </c>
      <c r="AN23" s="179" t="s">
        <v>2102</v>
      </c>
      <c r="AO23" s="179" t="s">
        <v>2751</v>
      </c>
      <c r="AP23" s="191">
        <v>81139008428</v>
      </c>
      <c r="AQ23" s="184">
        <v>39330</v>
      </c>
      <c r="AR23" s="179">
        <v>227</v>
      </c>
      <c r="AS23" s="179"/>
      <c r="AT23" s="181" t="s">
        <v>3089</v>
      </c>
      <c r="AU23" s="181" t="s">
        <v>3090</v>
      </c>
      <c r="AV23" s="192">
        <v>27343199</v>
      </c>
      <c r="AW23" s="181">
        <v>58.7</v>
      </c>
      <c r="AX23" s="179">
        <v>81116</v>
      </c>
      <c r="AY23" s="179"/>
    </row>
    <row r="24" spans="1:51" ht="14.4" x14ac:dyDescent="0.3">
      <c r="A24" s="179" t="s">
        <v>233</v>
      </c>
      <c r="B24" s="179" t="s">
        <v>2947</v>
      </c>
      <c r="C24" s="180" t="s">
        <v>3091</v>
      </c>
      <c r="D24" s="181" t="s">
        <v>2866</v>
      </c>
      <c r="E24" s="181" t="s">
        <v>2827</v>
      </c>
      <c r="F24" s="182" t="s">
        <v>2972</v>
      </c>
      <c r="G24" s="181" t="s">
        <v>17</v>
      </c>
      <c r="H24" s="193">
        <v>45702</v>
      </c>
      <c r="I24" s="193">
        <v>45702</v>
      </c>
      <c r="J24" s="179" t="s">
        <v>3092</v>
      </c>
      <c r="K24" s="179">
        <v>71</v>
      </c>
      <c r="L24" s="179" t="s">
        <v>2965</v>
      </c>
      <c r="M24" s="185"/>
      <c r="N24" s="185"/>
      <c r="O24" s="186"/>
      <c r="P24" s="185"/>
      <c r="Q24" s="182" t="s">
        <v>2933</v>
      </c>
      <c r="R24" s="182" t="s">
        <v>2934</v>
      </c>
      <c r="S24" s="182" t="s">
        <v>2952</v>
      </c>
      <c r="T24" s="179" t="s">
        <v>2953</v>
      </c>
      <c r="U24" s="179" t="s">
        <v>2954</v>
      </c>
      <c r="V24" s="187">
        <v>1865</v>
      </c>
      <c r="W24" s="179" t="s">
        <v>3093</v>
      </c>
      <c r="X24" s="188">
        <v>268.35500000000002</v>
      </c>
      <c r="Y24" s="188">
        <v>179.41849999999999</v>
      </c>
      <c r="Z24" s="188">
        <v>115.58940000000001</v>
      </c>
      <c r="AA24" s="188">
        <v>69.3</v>
      </c>
      <c r="AB24" s="188">
        <v>13.7</v>
      </c>
      <c r="AC24" s="188">
        <v>31.465</v>
      </c>
      <c r="AD24" s="179" t="s">
        <v>2984</v>
      </c>
      <c r="AE24" s="188" t="s">
        <v>2940</v>
      </c>
      <c r="AF24" s="189">
        <v>0</v>
      </c>
      <c r="AG24" s="189">
        <v>0.99930555555555556</v>
      </c>
      <c r="AH24" s="190" t="s">
        <v>2941</v>
      </c>
      <c r="AI24" s="190" t="s">
        <v>2942</v>
      </c>
      <c r="AJ24" s="179" t="s">
        <v>231</v>
      </c>
      <c r="AK24" s="179" t="s">
        <v>48</v>
      </c>
      <c r="AL24" s="179" t="s">
        <v>48</v>
      </c>
      <c r="AM24" s="179" t="s">
        <v>3094</v>
      </c>
      <c r="AN24" s="179" t="s">
        <v>2102</v>
      </c>
      <c r="AO24" s="179" t="s">
        <v>2460</v>
      </c>
      <c r="AP24" s="191"/>
      <c r="AQ24" s="184">
        <v>39354</v>
      </c>
      <c r="AR24" s="179">
        <v>226</v>
      </c>
      <c r="AS24" s="179" t="s">
        <v>3095</v>
      </c>
      <c r="AT24" s="181" t="s">
        <v>3096</v>
      </c>
      <c r="AU24" s="181" t="s">
        <v>2946</v>
      </c>
      <c r="AV24" s="192">
        <v>20400000</v>
      </c>
      <c r="AW24" s="181">
        <v>58.6</v>
      </c>
      <c r="AX24" s="179">
        <v>81116</v>
      </c>
      <c r="AY24" s="179" t="s">
        <v>3097</v>
      </c>
    </row>
    <row r="25" spans="1:51" ht="14.4" x14ac:dyDescent="0.3">
      <c r="A25" s="179" t="s">
        <v>1030</v>
      </c>
      <c r="B25" s="179" t="s">
        <v>2927</v>
      </c>
      <c r="C25" s="180" t="s">
        <v>3098</v>
      </c>
      <c r="D25" s="181" t="s">
        <v>2844</v>
      </c>
      <c r="E25" s="181" t="s">
        <v>2834</v>
      </c>
      <c r="F25" s="182" t="s">
        <v>2929</v>
      </c>
      <c r="G25" s="181" t="s">
        <v>12</v>
      </c>
      <c r="H25" s="193">
        <v>0</v>
      </c>
      <c r="I25" s="184"/>
      <c r="J25" s="179" t="s">
        <v>3099</v>
      </c>
      <c r="K25" s="179">
        <v>260</v>
      </c>
      <c r="L25" s="179" t="s">
        <v>2950</v>
      </c>
      <c r="M25" s="185"/>
      <c r="N25" s="185"/>
      <c r="O25" s="186"/>
      <c r="P25" s="185"/>
      <c r="Q25" s="182" t="s">
        <v>2934</v>
      </c>
      <c r="R25" s="182" t="s">
        <v>2933</v>
      </c>
      <c r="S25" s="182" t="s">
        <v>2952</v>
      </c>
      <c r="T25" s="179" t="s">
        <v>2953</v>
      </c>
      <c r="U25" s="179" t="s">
        <v>2937</v>
      </c>
      <c r="V25" s="179">
        <v>1639</v>
      </c>
      <c r="W25" s="179" t="s">
        <v>2938</v>
      </c>
      <c r="X25" s="188">
        <v>201.4</v>
      </c>
      <c r="Y25" s="188">
        <v>159.80000000000001</v>
      </c>
      <c r="Z25" s="188">
        <v>106.99099999999999</v>
      </c>
      <c r="AA25" s="188">
        <v>31.621999999999996</v>
      </c>
      <c r="AB25" s="188">
        <v>13.63</v>
      </c>
      <c r="AC25" s="188">
        <v>24.727499999999999</v>
      </c>
      <c r="AD25" s="179" t="s">
        <v>2939</v>
      </c>
      <c r="AE25" s="188" t="s">
        <v>2940</v>
      </c>
      <c r="AF25" s="189">
        <v>0.29166666666666669</v>
      </c>
      <c r="AG25" s="189">
        <v>0.99930555555555556</v>
      </c>
      <c r="AH25" s="190" t="s">
        <v>2941</v>
      </c>
      <c r="AI25" s="190" t="s">
        <v>2985</v>
      </c>
      <c r="AJ25" s="179" t="s">
        <v>1028</v>
      </c>
      <c r="AK25" s="179" t="s">
        <v>28</v>
      </c>
      <c r="AL25" s="179" t="s">
        <v>28</v>
      </c>
      <c r="AM25" s="179" t="s">
        <v>3100</v>
      </c>
      <c r="AN25" s="179" t="s">
        <v>2102</v>
      </c>
      <c r="AO25" s="179" t="s">
        <v>2368</v>
      </c>
      <c r="AP25" s="191">
        <v>8113806123</v>
      </c>
      <c r="AQ25" s="184">
        <v>39385</v>
      </c>
      <c r="AR25" s="179">
        <v>225</v>
      </c>
      <c r="AS25" s="194">
        <v>40087</v>
      </c>
      <c r="AT25" s="195" t="s">
        <v>3101</v>
      </c>
      <c r="AU25" s="195" t="s">
        <v>3102</v>
      </c>
      <c r="AV25" s="192">
        <v>14278485</v>
      </c>
      <c r="AW25" s="181">
        <v>27</v>
      </c>
      <c r="AX25" s="179">
        <v>80513</v>
      </c>
      <c r="AY25" s="179" t="s">
        <v>3103</v>
      </c>
    </row>
    <row r="26" spans="1:51" ht="14.4" x14ac:dyDescent="0.3">
      <c r="A26" s="179" t="s">
        <v>816</v>
      </c>
      <c r="B26" s="179" t="s">
        <v>2947</v>
      </c>
      <c r="C26" s="180" t="s">
        <v>3104</v>
      </c>
      <c r="D26" s="181" t="s">
        <v>2855</v>
      </c>
      <c r="E26" s="181" t="s">
        <v>2815</v>
      </c>
      <c r="F26" s="182" t="s">
        <v>2929</v>
      </c>
      <c r="G26" s="181" t="s">
        <v>12</v>
      </c>
      <c r="H26" s="193" t="s">
        <v>2930</v>
      </c>
      <c r="I26" s="184" t="s">
        <v>2930</v>
      </c>
      <c r="J26" s="179" t="s">
        <v>3105</v>
      </c>
      <c r="K26" s="179">
        <v>65</v>
      </c>
      <c r="L26" s="179" t="s">
        <v>2965</v>
      </c>
      <c r="M26" s="185"/>
      <c r="N26" s="185"/>
      <c r="O26" s="186"/>
      <c r="P26" s="185" t="s">
        <v>2951</v>
      </c>
      <c r="Q26" s="182" t="s">
        <v>2933</v>
      </c>
      <c r="R26" s="182" t="s">
        <v>2934</v>
      </c>
      <c r="S26" s="182" t="s">
        <v>2952</v>
      </c>
      <c r="T26" s="179" t="s">
        <v>2974</v>
      </c>
      <c r="U26" s="179" t="s">
        <v>2954</v>
      </c>
      <c r="V26" s="187">
        <v>1912</v>
      </c>
      <c r="W26" s="179" t="s">
        <v>2938</v>
      </c>
      <c r="X26" s="188">
        <v>261.31380000000001</v>
      </c>
      <c r="Y26" s="188">
        <v>184.84440000000001</v>
      </c>
      <c r="Z26" s="188">
        <v>119.18879999999999</v>
      </c>
      <c r="AA26" s="188">
        <v>68.319599999999994</v>
      </c>
      <c r="AB26" s="188">
        <v>21.658000000000001</v>
      </c>
      <c r="AC26" s="188">
        <v>27.265500000000003</v>
      </c>
      <c r="AD26" s="179" t="s">
        <v>2939</v>
      </c>
      <c r="AE26" s="188" t="s">
        <v>2940</v>
      </c>
      <c r="AF26" s="189">
        <v>0.29166666666666669</v>
      </c>
      <c r="AG26" s="189">
        <v>0.91666666666666663</v>
      </c>
      <c r="AH26" s="190" t="s">
        <v>2941</v>
      </c>
      <c r="AI26" s="190" t="s">
        <v>2985</v>
      </c>
      <c r="AJ26" s="179" t="s">
        <v>814</v>
      </c>
      <c r="AK26" s="179" t="s">
        <v>2981</v>
      </c>
      <c r="AL26" s="179" t="s">
        <v>28</v>
      </c>
      <c r="AM26" s="179" t="s">
        <v>3106</v>
      </c>
      <c r="AN26" s="179" t="s">
        <v>2102</v>
      </c>
      <c r="AO26" s="179" t="s">
        <v>2474</v>
      </c>
      <c r="AP26" s="191">
        <v>81139003659</v>
      </c>
      <c r="AQ26" s="184">
        <v>39416</v>
      </c>
      <c r="AR26" s="179">
        <v>224</v>
      </c>
      <c r="AS26" s="179"/>
      <c r="AT26" s="181"/>
      <c r="AU26" s="181"/>
      <c r="AV26" s="192">
        <v>11103232</v>
      </c>
      <c r="AW26" s="181">
        <v>22.2</v>
      </c>
      <c r="AX26" s="179">
        <v>80582</v>
      </c>
      <c r="AY26" s="179"/>
    </row>
    <row r="27" spans="1:51" ht="14.4" x14ac:dyDescent="0.3">
      <c r="A27" s="179" t="s">
        <v>771</v>
      </c>
      <c r="B27" s="179" t="s">
        <v>2947</v>
      </c>
      <c r="C27" s="180" t="s">
        <v>3107</v>
      </c>
      <c r="D27" s="181" t="s">
        <v>2816</v>
      </c>
      <c r="E27" s="181" t="s">
        <v>2815</v>
      </c>
      <c r="F27" s="182" t="s">
        <v>2972</v>
      </c>
      <c r="G27" s="181" t="s">
        <v>17</v>
      </c>
      <c r="H27" s="193">
        <v>45475</v>
      </c>
      <c r="I27" s="184"/>
      <c r="J27" s="179" t="s">
        <v>3108</v>
      </c>
      <c r="K27" s="179">
        <v>654</v>
      </c>
      <c r="L27" s="179" t="s">
        <v>3026</v>
      </c>
      <c r="M27" s="185"/>
      <c r="N27" s="185"/>
      <c r="O27" s="179" t="s">
        <v>2951</v>
      </c>
      <c r="P27" s="185"/>
      <c r="Q27" s="182" t="s">
        <v>2934</v>
      </c>
      <c r="R27" s="182" t="s">
        <v>2933</v>
      </c>
      <c r="S27" s="182" t="s">
        <v>2952</v>
      </c>
      <c r="T27" s="179" t="s">
        <v>2953</v>
      </c>
      <c r="U27" s="179" t="s">
        <v>2954</v>
      </c>
      <c r="V27" s="179">
        <v>1937</v>
      </c>
      <c r="W27" s="179" t="s">
        <v>3109</v>
      </c>
      <c r="X27" s="188">
        <v>338.4418</v>
      </c>
      <c r="Y27" s="188">
        <v>253.90179999999998</v>
      </c>
      <c r="Z27" s="188">
        <v>147.8288</v>
      </c>
      <c r="AA27" s="188">
        <v>75.844999999999999</v>
      </c>
      <c r="AB27" s="188">
        <v>13.69</v>
      </c>
      <c r="AC27" s="188">
        <v>73.371299999999991</v>
      </c>
      <c r="AD27" s="179" t="s">
        <v>2956</v>
      </c>
      <c r="AE27" s="188" t="s">
        <v>2940</v>
      </c>
      <c r="AF27" s="189">
        <v>0</v>
      </c>
      <c r="AG27" s="189">
        <v>0.99930555555555556</v>
      </c>
      <c r="AH27" s="190" t="s">
        <v>2941</v>
      </c>
      <c r="AI27" s="190" t="s">
        <v>2985</v>
      </c>
      <c r="AJ27" s="179" t="s">
        <v>207</v>
      </c>
      <c r="AK27" s="179" t="s">
        <v>3110</v>
      </c>
      <c r="AL27" s="179" t="s">
        <v>28</v>
      </c>
      <c r="AM27" s="179" t="s">
        <v>3111</v>
      </c>
      <c r="AN27" s="179" t="s">
        <v>2102</v>
      </c>
      <c r="AO27" s="179" t="s">
        <v>2476</v>
      </c>
      <c r="AP27" s="191">
        <v>81139008196</v>
      </c>
      <c r="AQ27" s="184">
        <v>39465</v>
      </c>
      <c r="AR27" s="179">
        <v>223</v>
      </c>
      <c r="AS27" s="179"/>
      <c r="AT27" s="181" t="s">
        <v>3112</v>
      </c>
      <c r="AU27" s="181" t="s">
        <v>2946</v>
      </c>
      <c r="AV27" s="192">
        <v>14561317</v>
      </c>
      <c r="AW27" s="181">
        <v>21.6</v>
      </c>
      <c r="AX27" s="179">
        <v>80581</v>
      </c>
      <c r="AY27" s="179"/>
    </row>
    <row r="28" spans="1:51" ht="14.4" x14ac:dyDescent="0.3">
      <c r="A28" s="179" t="s">
        <v>1008</v>
      </c>
      <c r="B28" s="179" t="s">
        <v>2947</v>
      </c>
      <c r="C28" s="180" t="s">
        <v>3113</v>
      </c>
      <c r="D28" s="181" t="s">
        <v>2861</v>
      </c>
      <c r="E28" s="181" t="s">
        <v>2840</v>
      </c>
      <c r="F28" s="182" t="s">
        <v>2972</v>
      </c>
      <c r="G28" s="181" t="s">
        <v>17</v>
      </c>
      <c r="H28" s="193">
        <v>45475</v>
      </c>
      <c r="I28" s="193"/>
      <c r="J28" s="179" t="s">
        <v>3114</v>
      </c>
      <c r="K28" s="179">
        <v>550</v>
      </c>
      <c r="L28" s="179" t="s">
        <v>3026</v>
      </c>
      <c r="M28" s="185"/>
      <c r="N28" s="185"/>
      <c r="O28" s="186"/>
      <c r="P28" s="185"/>
      <c r="Q28" s="182" t="s">
        <v>2934</v>
      </c>
      <c r="R28" s="182" t="s">
        <v>2933</v>
      </c>
      <c r="S28" s="182" t="s">
        <v>2935</v>
      </c>
      <c r="T28" s="179" t="s">
        <v>2953</v>
      </c>
      <c r="U28" s="179" t="s">
        <v>2954</v>
      </c>
      <c r="V28" s="179">
        <v>1733</v>
      </c>
      <c r="W28" s="179" t="s">
        <v>3003</v>
      </c>
      <c r="X28" s="188">
        <v>372.63679999999994</v>
      </c>
      <c r="Y28" s="188">
        <v>269.5163</v>
      </c>
      <c r="Z28" s="188">
        <v>154.02540000000002</v>
      </c>
      <c r="AA28" s="188">
        <v>87.57</v>
      </c>
      <c r="AB28" s="188">
        <v>9.2200000000000006</v>
      </c>
      <c r="AC28" s="188">
        <v>86.626799999999989</v>
      </c>
      <c r="AD28" s="179" t="s">
        <v>2956</v>
      </c>
      <c r="AE28" s="188" t="s">
        <v>2940</v>
      </c>
      <c r="AF28" s="189">
        <v>0.29166666666666669</v>
      </c>
      <c r="AG28" s="189">
        <v>0.99930555555555556</v>
      </c>
      <c r="AH28" s="190" t="s">
        <v>2976</v>
      </c>
      <c r="AI28" s="190" t="s">
        <v>2985</v>
      </c>
      <c r="AJ28" s="179" t="s">
        <v>1006</v>
      </c>
      <c r="AK28" s="179" t="s">
        <v>3113</v>
      </c>
      <c r="AL28" s="179" t="s">
        <v>28</v>
      </c>
      <c r="AM28" s="179" t="s">
        <v>3115</v>
      </c>
      <c r="AN28" s="179" t="s">
        <v>2102</v>
      </c>
      <c r="AO28" s="179" t="s">
        <v>2565</v>
      </c>
      <c r="AP28" s="191">
        <v>81139002306</v>
      </c>
      <c r="AQ28" s="184">
        <v>39538</v>
      </c>
      <c r="AR28" s="179">
        <v>220</v>
      </c>
      <c r="AS28" s="179" t="s">
        <v>3116</v>
      </c>
      <c r="AT28" s="181" t="s">
        <v>3117</v>
      </c>
      <c r="AU28" s="181" t="s">
        <v>2946</v>
      </c>
      <c r="AV28" s="192">
        <v>39653544</v>
      </c>
      <c r="AW28" s="181">
        <v>21.8</v>
      </c>
      <c r="AX28" s="179">
        <v>80572</v>
      </c>
      <c r="AY28" s="179" t="s">
        <v>3118</v>
      </c>
    </row>
    <row r="29" spans="1:51" ht="14.4" x14ac:dyDescent="0.3">
      <c r="A29" s="179" t="s">
        <v>1524</v>
      </c>
      <c r="B29" s="179" t="s">
        <v>2947</v>
      </c>
      <c r="C29" s="180" t="s">
        <v>3007</v>
      </c>
      <c r="D29" s="181" t="s">
        <v>2869</v>
      </c>
      <c r="E29" s="181" t="s">
        <v>2834</v>
      </c>
      <c r="F29" s="182" t="s">
        <v>2972</v>
      </c>
      <c r="G29" s="181" t="s">
        <v>17</v>
      </c>
      <c r="H29" s="193">
        <v>45725</v>
      </c>
      <c r="I29" s="193">
        <v>45725</v>
      </c>
      <c r="J29" s="179" t="s">
        <v>3119</v>
      </c>
      <c r="K29" s="179">
        <v>1300</v>
      </c>
      <c r="L29" s="179" t="s">
        <v>2932</v>
      </c>
      <c r="M29" s="185"/>
      <c r="N29" s="185"/>
      <c r="O29" s="186"/>
      <c r="P29" s="185"/>
      <c r="Q29" s="182" t="s">
        <v>2934</v>
      </c>
      <c r="R29" s="182" t="s">
        <v>2933</v>
      </c>
      <c r="S29" s="182" t="s">
        <v>2952</v>
      </c>
      <c r="T29" s="179" t="s">
        <v>2953</v>
      </c>
      <c r="U29" s="179" t="s">
        <v>2954</v>
      </c>
      <c r="V29" s="187">
        <v>2249</v>
      </c>
      <c r="W29" s="179" t="s">
        <v>3003</v>
      </c>
      <c r="X29" s="188">
        <v>224.10659999999999</v>
      </c>
      <c r="Y29" s="188">
        <v>166.07400000000001</v>
      </c>
      <c r="Z29" s="188">
        <v>113.05559999999998</v>
      </c>
      <c r="AA29" s="188">
        <v>48.0396</v>
      </c>
      <c r="AB29" s="188">
        <v>8.73</v>
      </c>
      <c r="AC29" s="188">
        <v>28.558500000000002</v>
      </c>
      <c r="AD29" s="179" t="s">
        <v>2939</v>
      </c>
      <c r="AE29" s="188" t="s">
        <v>2940</v>
      </c>
      <c r="AF29" s="189">
        <v>0.29166666666666669</v>
      </c>
      <c r="AG29" s="189">
        <v>0.95833333333333337</v>
      </c>
      <c r="AH29" s="190" t="s">
        <v>2941</v>
      </c>
      <c r="AI29" s="190" t="s">
        <v>2942</v>
      </c>
      <c r="AJ29" s="179" t="s">
        <v>1522</v>
      </c>
      <c r="AK29" s="179" t="s">
        <v>40</v>
      </c>
      <c r="AL29" s="179" t="s">
        <v>40</v>
      </c>
      <c r="AM29" s="179" t="s">
        <v>3120</v>
      </c>
      <c r="AN29" s="179" t="s">
        <v>2102</v>
      </c>
      <c r="AO29" s="179" t="s">
        <v>2677</v>
      </c>
      <c r="AP29" s="191">
        <v>81139000804</v>
      </c>
      <c r="AQ29" s="184">
        <v>39568</v>
      </c>
      <c r="AR29" s="179">
        <v>219</v>
      </c>
      <c r="AS29" s="194">
        <v>42005</v>
      </c>
      <c r="AT29" s="195" t="s">
        <v>3121</v>
      </c>
      <c r="AU29" s="195" t="s">
        <v>2946</v>
      </c>
      <c r="AV29" s="192">
        <v>23400000</v>
      </c>
      <c r="AW29" s="181">
        <v>80.5</v>
      </c>
      <c r="AX29" s="179">
        <v>80811</v>
      </c>
      <c r="AY29" s="179" t="s">
        <v>3122</v>
      </c>
    </row>
    <row r="30" spans="1:51" ht="14.4" x14ac:dyDescent="0.3">
      <c r="A30" s="179" t="s">
        <v>99</v>
      </c>
      <c r="B30" s="179" t="s">
        <v>2947</v>
      </c>
      <c r="C30" s="180" t="s">
        <v>3123</v>
      </c>
      <c r="D30" s="181" t="s">
        <v>2864</v>
      </c>
      <c r="E30" s="181" t="s">
        <v>2827</v>
      </c>
      <c r="F30" s="182" t="s">
        <v>2972</v>
      </c>
      <c r="G30" s="181" t="s">
        <v>17</v>
      </c>
      <c r="H30" s="193">
        <v>45788</v>
      </c>
      <c r="I30" s="193">
        <v>45788</v>
      </c>
      <c r="J30" s="179" t="s">
        <v>3124</v>
      </c>
      <c r="K30" s="179">
        <v>200</v>
      </c>
      <c r="L30" s="179" t="s">
        <v>2950</v>
      </c>
      <c r="M30" s="185"/>
      <c r="N30" s="185"/>
      <c r="O30" s="186"/>
      <c r="P30" s="185"/>
      <c r="Q30" s="182" t="s">
        <v>2933</v>
      </c>
      <c r="R30" s="182" t="s">
        <v>2934</v>
      </c>
      <c r="S30" s="182" t="s">
        <v>2952</v>
      </c>
      <c r="T30" s="179" t="s">
        <v>2999</v>
      </c>
      <c r="U30" s="179" t="s">
        <v>2954</v>
      </c>
      <c r="V30" s="187">
        <v>1769</v>
      </c>
      <c r="W30" s="179" t="s">
        <v>3125</v>
      </c>
      <c r="X30" s="188">
        <v>236</v>
      </c>
      <c r="Y30" s="188">
        <v>179</v>
      </c>
      <c r="Z30" s="188">
        <v>120.76499999999999</v>
      </c>
      <c r="AA30" s="188">
        <v>45.589999999999996</v>
      </c>
      <c r="AB30" s="188">
        <v>19.399999999999999</v>
      </c>
      <c r="AC30" s="188">
        <v>22.785</v>
      </c>
      <c r="AD30" s="179" t="s">
        <v>2939</v>
      </c>
      <c r="AE30" s="188" t="s">
        <v>2940</v>
      </c>
      <c r="AF30" s="189">
        <v>0.29166666666666669</v>
      </c>
      <c r="AG30" s="189">
        <v>0.95833333333333337</v>
      </c>
      <c r="AH30" s="190" t="s">
        <v>2941</v>
      </c>
      <c r="AI30" s="190" t="s">
        <v>2942</v>
      </c>
      <c r="AJ30" s="179" t="s">
        <v>97</v>
      </c>
      <c r="AK30" s="179" t="s">
        <v>48</v>
      </c>
      <c r="AL30" s="179" t="s">
        <v>48</v>
      </c>
      <c r="AM30" s="179" t="s">
        <v>3126</v>
      </c>
      <c r="AN30" s="179" t="s">
        <v>2102</v>
      </c>
      <c r="AO30" s="179" t="s">
        <v>2478</v>
      </c>
      <c r="AP30" s="191">
        <v>8113806101</v>
      </c>
      <c r="AQ30" s="184">
        <v>39598</v>
      </c>
      <c r="AR30" s="179">
        <v>218</v>
      </c>
      <c r="AS30" s="179"/>
      <c r="AT30" s="181" t="s">
        <v>3127</v>
      </c>
      <c r="AU30" s="181" t="s">
        <v>2946</v>
      </c>
      <c r="AV30" s="192">
        <v>17656000</v>
      </c>
      <c r="AW30" s="181">
        <v>59.5</v>
      </c>
      <c r="AX30" s="179">
        <v>81119</v>
      </c>
      <c r="AY30" s="179"/>
    </row>
    <row r="31" spans="1:51" ht="14.4" x14ac:dyDescent="0.3">
      <c r="A31" s="179" t="s">
        <v>811</v>
      </c>
      <c r="B31" s="179" t="s">
        <v>2927</v>
      </c>
      <c r="C31" s="180" t="s">
        <v>3128</v>
      </c>
      <c r="D31" s="181" t="s">
        <v>2856</v>
      </c>
      <c r="E31" s="181" t="s">
        <v>2819</v>
      </c>
      <c r="F31" s="182" t="s">
        <v>2929</v>
      </c>
      <c r="G31" s="181" t="s">
        <v>12</v>
      </c>
      <c r="H31" s="193" t="s">
        <v>2930</v>
      </c>
      <c r="I31" s="184" t="s">
        <v>2930</v>
      </c>
      <c r="J31" s="179" t="s">
        <v>3129</v>
      </c>
      <c r="K31" s="179">
        <v>97</v>
      </c>
      <c r="L31" s="179" t="s">
        <v>2965</v>
      </c>
      <c r="M31" s="185"/>
      <c r="N31" s="185"/>
      <c r="O31" s="186"/>
      <c r="P31" s="185"/>
      <c r="Q31" s="182" t="s">
        <v>2934</v>
      </c>
      <c r="R31" s="182" t="s">
        <v>2933</v>
      </c>
      <c r="S31" s="182" t="s">
        <v>2952</v>
      </c>
      <c r="T31" s="179" t="s">
        <v>2953</v>
      </c>
      <c r="U31" s="179" t="s">
        <v>2937</v>
      </c>
      <c r="V31" s="179">
        <v>1906</v>
      </c>
      <c r="W31" s="179" t="s">
        <v>2992</v>
      </c>
      <c r="X31" s="188">
        <v>297.30259999999998</v>
      </c>
      <c r="Y31" s="188">
        <v>200.63400000000001</v>
      </c>
      <c r="Z31" s="188">
        <v>126.02879999999999</v>
      </c>
      <c r="AA31" s="188">
        <v>153.26349999999999</v>
      </c>
      <c r="AB31" s="188">
        <v>38.502000000000002</v>
      </c>
      <c r="AC31" s="188">
        <v>25.877999999999997</v>
      </c>
      <c r="AD31" s="179" t="s">
        <v>2939</v>
      </c>
      <c r="AE31" s="188" t="s">
        <v>2940</v>
      </c>
      <c r="AF31" s="189">
        <v>0.29166666666666669</v>
      </c>
      <c r="AG31" s="189">
        <v>0.95833333333333337</v>
      </c>
      <c r="AH31" s="190" t="s">
        <v>2941</v>
      </c>
      <c r="AI31" s="190" t="s">
        <v>2942</v>
      </c>
      <c r="AJ31" s="179" t="s">
        <v>192</v>
      </c>
      <c r="AK31" s="179" t="s">
        <v>2977</v>
      </c>
      <c r="AL31" s="179" t="s">
        <v>9</v>
      </c>
      <c r="AM31" s="179" t="s">
        <v>3130</v>
      </c>
      <c r="AN31" s="179" t="s">
        <v>2102</v>
      </c>
      <c r="AO31" s="179" t="s">
        <v>2756</v>
      </c>
      <c r="AP31" s="191">
        <v>81139607361</v>
      </c>
      <c r="AQ31" s="184">
        <v>39636</v>
      </c>
      <c r="AR31" s="179">
        <v>217</v>
      </c>
      <c r="AS31" s="179"/>
      <c r="AT31" s="181" t="s">
        <v>3131</v>
      </c>
      <c r="AU31" s="181" t="s">
        <v>2946</v>
      </c>
      <c r="AV31" s="192">
        <v>17299500</v>
      </c>
      <c r="AW31" s="181">
        <v>17.8</v>
      </c>
      <c r="AX31" s="179">
        <v>80363</v>
      </c>
      <c r="AY31" s="179"/>
    </row>
    <row r="32" spans="1:51" ht="14.4" x14ac:dyDescent="0.3">
      <c r="A32" s="179" t="s">
        <v>1792</v>
      </c>
      <c r="B32" s="179" t="s">
        <v>2927</v>
      </c>
      <c r="C32" s="180" t="s">
        <v>3132</v>
      </c>
      <c r="D32" s="181" t="s">
        <v>2842</v>
      </c>
      <c r="E32" s="181" t="s">
        <v>2834</v>
      </c>
      <c r="F32" s="182" t="s">
        <v>2929</v>
      </c>
      <c r="G32" s="181" t="s">
        <v>12</v>
      </c>
      <c r="H32" s="193" t="s">
        <v>2930</v>
      </c>
      <c r="I32" s="184" t="s">
        <v>2930</v>
      </c>
      <c r="J32" s="179" t="s">
        <v>3133</v>
      </c>
      <c r="K32" s="179">
        <v>290</v>
      </c>
      <c r="L32" s="179" t="s">
        <v>2950</v>
      </c>
      <c r="M32" s="185"/>
      <c r="N32" s="185"/>
      <c r="O32" s="186"/>
      <c r="P32" s="185"/>
      <c r="Q32" s="182" t="s">
        <v>2934</v>
      </c>
      <c r="R32" s="182" t="s">
        <v>2933</v>
      </c>
      <c r="S32" s="182" t="s">
        <v>2952</v>
      </c>
      <c r="T32" s="179" t="s">
        <v>2953</v>
      </c>
      <c r="U32" s="179" t="s">
        <v>2937</v>
      </c>
      <c r="V32" s="179">
        <v>1962</v>
      </c>
      <c r="W32" s="179" t="s">
        <v>3067</v>
      </c>
      <c r="X32" s="188">
        <v>174.93199999999999</v>
      </c>
      <c r="Y32" s="188">
        <v>119.88699999999999</v>
      </c>
      <c r="Z32" s="188">
        <v>108.976</v>
      </c>
      <c r="AA32" s="188">
        <v>53.630999999999993</v>
      </c>
      <c r="AB32" s="188">
        <v>0</v>
      </c>
      <c r="AC32" s="188">
        <v>37.730000000000004</v>
      </c>
      <c r="AD32" s="179" t="s">
        <v>2984</v>
      </c>
      <c r="AE32" s="188" t="s">
        <v>2957</v>
      </c>
      <c r="AF32" s="189">
        <v>0.29166666666666669</v>
      </c>
      <c r="AG32" s="189">
        <v>0.91666666666666663</v>
      </c>
      <c r="AH32" s="190" t="s">
        <v>2941</v>
      </c>
      <c r="AI32" s="190" t="s">
        <v>2942</v>
      </c>
      <c r="AJ32" s="179" t="s">
        <v>1420</v>
      </c>
      <c r="AK32" s="179" t="s">
        <v>3132</v>
      </c>
      <c r="AL32" s="179" t="s">
        <v>58</v>
      </c>
      <c r="AM32" s="179" t="s">
        <v>3134</v>
      </c>
      <c r="AN32" s="179" t="s">
        <v>2102</v>
      </c>
      <c r="AO32" s="179" t="s">
        <v>2284</v>
      </c>
      <c r="AP32" s="191">
        <v>81139001104</v>
      </c>
      <c r="AQ32" s="184">
        <v>39660</v>
      </c>
      <c r="AR32" s="179">
        <v>216</v>
      </c>
      <c r="AS32" s="179"/>
      <c r="AT32" s="181" t="s">
        <v>3135</v>
      </c>
      <c r="AU32" s="198" t="s">
        <v>3136</v>
      </c>
      <c r="AV32" s="192">
        <v>16660000</v>
      </c>
      <c r="AW32" s="181">
        <v>29</v>
      </c>
      <c r="AX32" s="179">
        <v>80752</v>
      </c>
      <c r="AY32" s="179" t="s">
        <v>3137</v>
      </c>
    </row>
    <row r="33" spans="1:51" ht="14.4" x14ac:dyDescent="0.3">
      <c r="A33" s="179" t="s">
        <v>962</v>
      </c>
      <c r="B33" s="179" t="s">
        <v>2947</v>
      </c>
      <c r="C33" s="180" t="s">
        <v>3138</v>
      </c>
      <c r="D33" s="181" t="s">
        <v>2866</v>
      </c>
      <c r="E33" s="181" t="s">
        <v>2827</v>
      </c>
      <c r="F33" s="182" t="s">
        <v>2929</v>
      </c>
      <c r="G33" s="181" t="s">
        <v>12</v>
      </c>
      <c r="H33" s="193">
        <v>44076</v>
      </c>
      <c r="I33" s="184">
        <v>44076</v>
      </c>
      <c r="J33" s="179" t="s">
        <v>3139</v>
      </c>
      <c r="K33" s="179">
        <v>400</v>
      </c>
      <c r="L33" s="179" t="s">
        <v>2950</v>
      </c>
      <c r="M33" s="185"/>
      <c r="N33" s="185"/>
      <c r="O33" s="186"/>
      <c r="P33" s="185"/>
      <c r="Q33" s="182" t="s">
        <v>2933</v>
      </c>
      <c r="R33" s="182" t="s">
        <v>2934</v>
      </c>
      <c r="S33" s="182" t="s">
        <v>2952</v>
      </c>
      <c r="T33" s="179" t="s">
        <v>2953</v>
      </c>
      <c r="U33" s="179" t="s">
        <v>2954</v>
      </c>
      <c r="V33" s="187">
        <v>1895</v>
      </c>
      <c r="W33" s="179" t="s">
        <v>3140</v>
      </c>
      <c r="X33" s="188">
        <v>275.01240000000001</v>
      </c>
      <c r="Y33" s="188">
        <v>184.6104</v>
      </c>
      <c r="Z33" s="188">
        <v>142.3912</v>
      </c>
      <c r="AA33" s="188">
        <v>79.355999999999995</v>
      </c>
      <c r="AB33" s="188">
        <v>14.591999999999999</v>
      </c>
      <c r="AC33" s="188">
        <v>24.881999999999998</v>
      </c>
      <c r="AD33" s="179" t="s">
        <v>2939</v>
      </c>
      <c r="AE33" s="188" t="s">
        <v>2940</v>
      </c>
      <c r="AF33" s="189">
        <v>0.29166666666666669</v>
      </c>
      <c r="AG33" s="189">
        <v>0.91666666666666663</v>
      </c>
      <c r="AH33" s="190" t="s">
        <v>2941</v>
      </c>
      <c r="AI33" s="190" t="s">
        <v>2942</v>
      </c>
      <c r="AJ33" s="179" t="s">
        <v>395</v>
      </c>
      <c r="AK33" s="179" t="s">
        <v>48</v>
      </c>
      <c r="AL33" s="179" t="s">
        <v>48</v>
      </c>
      <c r="AM33" s="179" t="s">
        <v>3141</v>
      </c>
      <c r="AN33" s="179" t="s">
        <v>2102</v>
      </c>
      <c r="AO33" s="179" t="s">
        <v>2613</v>
      </c>
      <c r="AP33" s="191">
        <v>81139007377</v>
      </c>
      <c r="AQ33" s="184">
        <v>39688</v>
      </c>
      <c r="AR33" s="179">
        <v>216</v>
      </c>
      <c r="AS33" s="194" t="s">
        <v>3142</v>
      </c>
      <c r="AT33" s="195" t="s">
        <v>3143</v>
      </c>
      <c r="AU33" s="195" t="s">
        <v>2946</v>
      </c>
      <c r="AV33" s="192">
        <v>14464352</v>
      </c>
      <c r="AW33" s="181">
        <v>57.5</v>
      </c>
      <c r="AX33" s="179">
        <v>81119</v>
      </c>
      <c r="AY33" s="179" t="s">
        <v>3144</v>
      </c>
    </row>
    <row r="34" spans="1:51" ht="14.4" x14ac:dyDescent="0.3">
      <c r="A34" s="179" t="s">
        <v>720</v>
      </c>
      <c r="B34" s="179" t="s">
        <v>2927</v>
      </c>
      <c r="C34" s="180" t="s">
        <v>3145</v>
      </c>
      <c r="D34" s="181" t="s">
        <v>2820</v>
      </c>
      <c r="E34" s="181" t="s">
        <v>2819</v>
      </c>
      <c r="F34" s="182" t="s">
        <v>2929</v>
      </c>
      <c r="G34" s="181" t="s">
        <v>12</v>
      </c>
      <c r="H34" s="193">
        <v>45087</v>
      </c>
      <c r="I34" s="184"/>
      <c r="J34" s="179" t="s">
        <v>3146</v>
      </c>
      <c r="K34" s="179">
        <v>650</v>
      </c>
      <c r="L34" s="179" t="s">
        <v>3026</v>
      </c>
      <c r="M34" s="185"/>
      <c r="N34" s="185"/>
      <c r="O34" s="186"/>
      <c r="P34" s="185"/>
      <c r="Q34" s="182" t="s">
        <v>2934</v>
      </c>
      <c r="R34" s="182" t="s">
        <v>2933</v>
      </c>
      <c r="S34" s="182" t="s">
        <v>2952</v>
      </c>
      <c r="T34" s="179" t="s">
        <v>2953</v>
      </c>
      <c r="U34" s="179" t="s">
        <v>2937</v>
      </c>
      <c r="V34" s="179">
        <v>1790</v>
      </c>
      <c r="W34" s="179" t="s">
        <v>2955</v>
      </c>
      <c r="X34" s="188">
        <v>268.66899999999998</v>
      </c>
      <c r="Y34" s="188">
        <v>172.69359999999998</v>
      </c>
      <c r="Z34" s="188">
        <v>124.42910000000001</v>
      </c>
      <c r="AA34" s="188">
        <v>87.512200000000007</v>
      </c>
      <c r="AB34" s="188">
        <v>15.23</v>
      </c>
      <c r="AC34" s="188">
        <v>39.168600000000005</v>
      </c>
      <c r="AD34" s="179" t="s">
        <v>2984</v>
      </c>
      <c r="AE34" s="188" t="s">
        <v>2940</v>
      </c>
      <c r="AF34" s="189">
        <v>0</v>
      </c>
      <c r="AG34" s="189">
        <v>0.99930555555555556</v>
      </c>
      <c r="AH34" s="190" t="s">
        <v>2941</v>
      </c>
      <c r="AI34" s="190" t="s">
        <v>2942</v>
      </c>
      <c r="AJ34" s="179" t="s">
        <v>718</v>
      </c>
      <c r="AK34" s="179" t="s">
        <v>2958</v>
      </c>
      <c r="AL34" s="179" t="s">
        <v>4</v>
      </c>
      <c r="AM34" s="179" t="s">
        <v>3147</v>
      </c>
      <c r="AN34" s="179" t="s">
        <v>2102</v>
      </c>
      <c r="AO34" s="179" t="s">
        <v>2265</v>
      </c>
      <c r="AP34" s="191">
        <v>81139002331</v>
      </c>
      <c r="AQ34" s="184">
        <v>39703</v>
      </c>
      <c r="AR34" s="179">
        <v>215</v>
      </c>
      <c r="AS34" s="179"/>
      <c r="AT34" s="181" t="s">
        <v>3148</v>
      </c>
      <c r="AU34" s="195" t="s">
        <v>2946</v>
      </c>
      <c r="AV34" s="192">
        <v>27507000</v>
      </c>
      <c r="AW34" s="181">
        <v>19</v>
      </c>
      <c r="AX34" s="179">
        <v>80117</v>
      </c>
      <c r="AY34" s="179"/>
    </row>
    <row r="35" spans="1:51" ht="14.4" x14ac:dyDescent="0.3">
      <c r="A35" s="179" t="s">
        <v>557</v>
      </c>
      <c r="B35" s="179" t="s">
        <v>2947</v>
      </c>
      <c r="C35" s="180" t="s">
        <v>3149</v>
      </c>
      <c r="D35" s="181" t="s">
        <v>2869</v>
      </c>
      <c r="E35" s="181" t="s">
        <v>2834</v>
      </c>
      <c r="F35" s="182" t="s">
        <v>2972</v>
      </c>
      <c r="G35" s="181" t="s">
        <v>17</v>
      </c>
      <c r="H35" s="193">
        <v>45087</v>
      </c>
      <c r="I35" s="184"/>
      <c r="J35" s="179" t="s">
        <v>3150</v>
      </c>
      <c r="K35" s="179">
        <v>800</v>
      </c>
      <c r="L35" s="179" t="s">
        <v>3026</v>
      </c>
      <c r="M35" s="185"/>
      <c r="N35" s="185"/>
      <c r="O35" s="179" t="s">
        <v>2951</v>
      </c>
      <c r="P35" s="185" t="s">
        <v>2951</v>
      </c>
      <c r="Q35" s="182" t="s">
        <v>2934</v>
      </c>
      <c r="R35" s="182" t="s">
        <v>2933</v>
      </c>
      <c r="S35" s="182" t="s">
        <v>2952</v>
      </c>
      <c r="T35" s="179" t="s">
        <v>2953</v>
      </c>
      <c r="U35" s="179" t="s">
        <v>2954</v>
      </c>
      <c r="V35" s="179">
        <v>1835</v>
      </c>
      <c r="W35" s="179" t="s">
        <v>3151</v>
      </c>
      <c r="X35" s="188">
        <v>375.92680000000001</v>
      </c>
      <c r="Y35" s="188">
        <v>251.21599999999998</v>
      </c>
      <c r="Z35" s="188">
        <v>171.6935</v>
      </c>
      <c r="AA35" s="188">
        <v>96.139999999999986</v>
      </c>
      <c r="AB35" s="188">
        <v>15.209999999999999</v>
      </c>
      <c r="AC35" s="188">
        <v>38.122000000000007</v>
      </c>
      <c r="AD35" s="179" t="s">
        <v>2984</v>
      </c>
      <c r="AE35" s="188" t="s">
        <v>2940</v>
      </c>
      <c r="AF35" s="189">
        <v>0</v>
      </c>
      <c r="AG35" s="189">
        <v>0.99930555555555556</v>
      </c>
      <c r="AH35" s="190" t="s">
        <v>2941</v>
      </c>
      <c r="AI35" s="190" t="s">
        <v>2942</v>
      </c>
      <c r="AJ35" s="179" t="s">
        <v>41</v>
      </c>
      <c r="AK35" s="179" t="s">
        <v>40</v>
      </c>
      <c r="AL35" s="179" t="s">
        <v>40</v>
      </c>
      <c r="AM35" s="179" t="s">
        <v>3152</v>
      </c>
      <c r="AN35" s="179" t="s">
        <v>2102</v>
      </c>
      <c r="AO35" s="179" t="s">
        <v>2412</v>
      </c>
      <c r="AP35" s="191">
        <v>8113806158</v>
      </c>
      <c r="AQ35" s="184">
        <v>39708</v>
      </c>
      <c r="AR35" s="179">
        <v>215</v>
      </c>
      <c r="AS35" s="179"/>
      <c r="AT35" s="181"/>
      <c r="AU35" s="181"/>
      <c r="AV35" s="192">
        <v>37364931</v>
      </c>
      <c r="AW35" s="181">
        <v>80.400000000000006</v>
      </c>
      <c r="AX35" s="179">
        <v>80813</v>
      </c>
      <c r="AY35" s="179"/>
    </row>
    <row r="36" spans="1:51" ht="14.4" x14ac:dyDescent="0.3">
      <c r="A36" s="179" t="s">
        <v>180</v>
      </c>
      <c r="B36" s="179" t="s">
        <v>2947</v>
      </c>
      <c r="C36" s="180" t="s">
        <v>3153</v>
      </c>
      <c r="D36" s="181" t="s">
        <v>2829</v>
      </c>
      <c r="E36" s="181" t="s">
        <v>2815</v>
      </c>
      <c r="F36" s="182" t="s">
        <v>2929</v>
      </c>
      <c r="G36" s="181" t="s">
        <v>12</v>
      </c>
      <c r="H36" s="193">
        <v>44987</v>
      </c>
      <c r="I36" s="184"/>
      <c r="J36" s="179" t="s">
        <v>3154</v>
      </c>
      <c r="K36" s="179">
        <v>130</v>
      </c>
      <c r="L36" s="179" t="s">
        <v>2965</v>
      </c>
      <c r="M36" s="185"/>
      <c r="N36" s="185"/>
      <c r="O36" s="186"/>
      <c r="P36" s="185"/>
      <c r="Q36" s="182" t="s">
        <v>2934</v>
      </c>
      <c r="R36" s="182" t="s">
        <v>2933</v>
      </c>
      <c r="S36" s="182" t="s">
        <v>2952</v>
      </c>
      <c r="T36" s="179" t="s">
        <v>2953</v>
      </c>
      <c r="U36" s="179" t="s">
        <v>2954</v>
      </c>
      <c r="V36" s="179">
        <v>1866</v>
      </c>
      <c r="W36" s="179" t="s">
        <v>2955</v>
      </c>
      <c r="X36" s="188">
        <v>320.44299999999998</v>
      </c>
      <c r="Y36" s="188">
        <v>189.06</v>
      </c>
      <c r="Z36" s="188">
        <v>105.524</v>
      </c>
      <c r="AA36" s="188">
        <v>123.1695</v>
      </c>
      <c r="AB36" s="188">
        <v>15.689699999999998</v>
      </c>
      <c r="AC36" s="188">
        <v>48.989999999999995</v>
      </c>
      <c r="AD36" s="179" t="s">
        <v>2984</v>
      </c>
      <c r="AE36" s="188" t="s">
        <v>2940</v>
      </c>
      <c r="AF36" s="189">
        <v>0.29166666666666669</v>
      </c>
      <c r="AG36" s="189">
        <v>0.95833333333333337</v>
      </c>
      <c r="AH36" s="190" t="s">
        <v>2941</v>
      </c>
      <c r="AI36" s="190" t="s">
        <v>2985</v>
      </c>
      <c r="AJ36" s="179" t="s">
        <v>178</v>
      </c>
      <c r="AK36" s="179" t="s">
        <v>28</v>
      </c>
      <c r="AL36" s="179" t="s">
        <v>28</v>
      </c>
      <c r="AM36" s="179" t="s">
        <v>3155</v>
      </c>
      <c r="AN36" s="179" t="s">
        <v>2102</v>
      </c>
      <c r="AO36" s="179" t="s">
        <v>2418</v>
      </c>
      <c r="AP36" s="191">
        <v>8113806278</v>
      </c>
      <c r="AQ36" s="184">
        <v>39745</v>
      </c>
      <c r="AR36" s="179">
        <v>214</v>
      </c>
      <c r="AS36" s="179"/>
      <c r="AT36" s="181" t="s">
        <v>3156</v>
      </c>
      <c r="AU36" s="181" t="s">
        <v>3157</v>
      </c>
      <c r="AV36" s="192">
        <v>15262171</v>
      </c>
      <c r="AW36" s="181">
        <v>22.4</v>
      </c>
      <c r="AX36" s="179">
        <v>80511</v>
      </c>
      <c r="AY36" s="179"/>
    </row>
    <row r="37" spans="1:51" ht="14.4" x14ac:dyDescent="0.3">
      <c r="A37" s="179" t="s">
        <v>1754</v>
      </c>
      <c r="B37" s="179" t="s">
        <v>2927</v>
      </c>
      <c r="C37" s="180" t="s">
        <v>3158</v>
      </c>
      <c r="D37" s="181" t="s">
        <v>2833</v>
      </c>
      <c r="E37" s="181" t="s">
        <v>2821</v>
      </c>
      <c r="F37" s="182" t="s">
        <v>2929</v>
      </c>
      <c r="G37" s="181" t="s">
        <v>12</v>
      </c>
      <c r="H37" s="193">
        <v>43945</v>
      </c>
      <c r="I37" s="184">
        <v>43945</v>
      </c>
      <c r="J37" s="179" t="s">
        <v>3159</v>
      </c>
      <c r="K37" s="179">
        <v>180</v>
      </c>
      <c r="L37" s="179" t="s">
        <v>2950</v>
      </c>
      <c r="M37" s="185"/>
      <c r="N37" s="185"/>
      <c r="O37" s="186"/>
      <c r="P37" s="185"/>
      <c r="Q37" s="182" t="s">
        <v>2934</v>
      </c>
      <c r="R37" s="182" t="s">
        <v>2933</v>
      </c>
      <c r="S37" s="182" t="s">
        <v>2952</v>
      </c>
      <c r="T37" s="179" t="s">
        <v>2953</v>
      </c>
      <c r="U37" s="179" t="s">
        <v>2937</v>
      </c>
      <c r="V37" s="179">
        <v>1721</v>
      </c>
      <c r="W37" s="179" t="s">
        <v>2938</v>
      </c>
      <c r="X37" s="188">
        <v>233.28</v>
      </c>
      <c r="Y37" s="188">
        <v>163.19999999999999</v>
      </c>
      <c r="Z37" s="188">
        <v>108.53100000000001</v>
      </c>
      <c r="AA37" s="188">
        <v>58.59</v>
      </c>
      <c r="AB37" s="188">
        <v>13.950000000000001</v>
      </c>
      <c r="AC37" s="188">
        <v>26.775000000000002</v>
      </c>
      <c r="AD37" s="179" t="s">
        <v>2939</v>
      </c>
      <c r="AE37" s="188" t="s">
        <v>2940</v>
      </c>
      <c r="AF37" s="189">
        <v>0.29166666666666669</v>
      </c>
      <c r="AG37" s="189">
        <v>0.91666666666666663</v>
      </c>
      <c r="AH37" s="190" t="s">
        <v>2941</v>
      </c>
      <c r="AI37" s="190" t="s">
        <v>2942</v>
      </c>
      <c r="AJ37" s="179" t="s">
        <v>1415</v>
      </c>
      <c r="AK37" s="179" t="s">
        <v>36</v>
      </c>
      <c r="AL37" s="179" t="s">
        <v>36</v>
      </c>
      <c r="AM37" s="179" t="s">
        <v>3160</v>
      </c>
      <c r="AN37" s="179" t="s">
        <v>2102</v>
      </c>
      <c r="AO37" s="179" t="s">
        <v>2272</v>
      </c>
      <c r="AP37" s="191">
        <v>81139001323</v>
      </c>
      <c r="AQ37" s="184">
        <v>39777</v>
      </c>
      <c r="AR37" s="179">
        <v>213</v>
      </c>
      <c r="AS37" s="199">
        <v>46023</v>
      </c>
      <c r="AT37" s="181"/>
      <c r="AU37" s="181"/>
      <c r="AV37" s="192">
        <v>13074000</v>
      </c>
      <c r="AW37" s="181">
        <v>12.1</v>
      </c>
      <c r="AX37" s="179">
        <v>82114</v>
      </c>
      <c r="AY37" s="179" t="s">
        <v>3161</v>
      </c>
    </row>
    <row r="38" spans="1:51" ht="14.4" x14ac:dyDescent="0.3">
      <c r="A38" s="179" t="s">
        <v>767</v>
      </c>
      <c r="B38" s="179" t="s">
        <v>2947</v>
      </c>
      <c r="C38" s="180" t="s">
        <v>3162</v>
      </c>
      <c r="D38" s="181" t="s">
        <v>2872</v>
      </c>
      <c r="E38" s="181" t="s">
        <v>2840</v>
      </c>
      <c r="F38" s="182" t="s">
        <v>3086</v>
      </c>
      <c r="G38" s="181" t="s">
        <v>535</v>
      </c>
      <c r="H38" s="193">
        <v>45655</v>
      </c>
      <c r="I38" s="193">
        <v>45655</v>
      </c>
      <c r="J38" s="179" t="s">
        <v>3163</v>
      </c>
      <c r="K38" s="179">
        <v>465</v>
      </c>
      <c r="L38" s="179" t="s">
        <v>3026</v>
      </c>
      <c r="M38" s="185" t="s">
        <v>3164</v>
      </c>
      <c r="N38" s="185" t="s">
        <v>2951</v>
      </c>
      <c r="O38" s="179" t="s">
        <v>2951</v>
      </c>
      <c r="P38" s="185" t="s">
        <v>2951</v>
      </c>
      <c r="Q38" s="182" t="s">
        <v>2933</v>
      </c>
      <c r="R38" s="182" t="s">
        <v>2934</v>
      </c>
      <c r="S38" s="182" t="s">
        <v>2952</v>
      </c>
      <c r="T38" s="179" t="s">
        <v>2953</v>
      </c>
      <c r="U38" s="179" t="s">
        <v>2954</v>
      </c>
      <c r="V38" s="187">
        <v>1507</v>
      </c>
      <c r="W38" s="179" t="s">
        <v>2983</v>
      </c>
      <c r="X38" s="188">
        <v>454.24329999999998</v>
      </c>
      <c r="Y38" s="188">
        <v>293.18799999999999</v>
      </c>
      <c r="Z38" s="188">
        <v>151.2432</v>
      </c>
      <c r="AA38" s="188">
        <v>134.65200000000002</v>
      </c>
      <c r="AB38" s="188">
        <v>27.468</v>
      </c>
      <c r="AC38" s="188">
        <v>109.79439999999998</v>
      </c>
      <c r="AD38" s="179" t="s">
        <v>2956</v>
      </c>
      <c r="AE38" s="188" t="s">
        <v>2940</v>
      </c>
      <c r="AF38" s="189">
        <v>0</v>
      </c>
      <c r="AG38" s="189">
        <v>0.99930555555555556</v>
      </c>
      <c r="AH38" s="190" t="s">
        <v>2941</v>
      </c>
      <c r="AI38" s="190" t="s">
        <v>2942</v>
      </c>
      <c r="AJ38" s="179" t="s">
        <v>592</v>
      </c>
      <c r="AK38" s="179" t="s">
        <v>48</v>
      </c>
      <c r="AL38" s="179" t="s">
        <v>48</v>
      </c>
      <c r="AM38" s="179" t="s">
        <v>3165</v>
      </c>
      <c r="AN38" s="179" t="s">
        <v>2102</v>
      </c>
      <c r="AO38" s="179" t="s">
        <v>2420</v>
      </c>
      <c r="AP38" s="191">
        <v>8113806143</v>
      </c>
      <c r="AQ38" s="184">
        <v>39806</v>
      </c>
      <c r="AR38" s="179">
        <v>212</v>
      </c>
      <c r="AS38" s="179"/>
      <c r="AT38" s="181" t="s">
        <v>3166</v>
      </c>
      <c r="AU38" s="181" t="s">
        <v>3167</v>
      </c>
      <c r="AV38" s="192">
        <v>21061200</v>
      </c>
      <c r="AW38" s="181">
        <v>58.7</v>
      </c>
      <c r="AX38" s="179">
        <v>81119</v>
      </c>
      <c r="AY38" s="179"/>
    </row>
    <row r="39" spans="1:51" ht="14.4" x14ac:dyDescent="0.3">
      <c r="A39" s="179" t="s">
        <v>652</v>
      </c>
      <c r="B39" s="179" t="s">
        <v>2927</v>
      </c>
      <c r="C39" s="180" t="s">
        <v>3168</v>
      </c>
      <c r="D39" s="181" t="s">
        <v>2839</v>
      </c>
      <c r="E39" s="181" t="s">
        <v>2834</v>
      </c>
      <c r="F39" s="182" t="s">
        <v>2929</v>
      </c>
      <c r="G39" s="181" t="s">
        <v>12</v>
      </c>
      <c r="H39" s="193" t="s">
        <v>2930</v>
      </c>
      <c r="I39" s="184" t="s">
        <v>2930</v>
      </c>
      <c r="J39" s="179" t="s">
        <v>3169</v>
      </c>
      <c r="K39" s="179">
        <v>300</v>
      </c>
      <c r="L39" s="179" t="s">
        <v>2950</v>
      </c>
      <c r="M39" s="185"/>
      <c r="N39" s="185"/>
      <c r="O39" s="186"/>
      <c r="P39" s="185"/>
      <c r="Q39" s="182" t="s">
        <v>2934</v>
      </c>
      <c r="R39" s="182" t="s">
        <v>2933</v>
      </c>
      <c r="S39" s="182" t="s">
        <v>2952</v>
      </c>
      <c r="T39" s="179" t="s">
        <v>2953</v>
      </c>
      <c r="U39" s="179" t="s">
        <v>2937</v>
      </c>
      <c r="V39" s="179">
        <v>1663</v>
      </c>
      <c r="W39" s="179" t="s">
        <v>2938</v>
      </c>
      <c r="X39" s="188">
        <v>203.84359999999998</v>
      </c>
      <c r="Y39" s="188">
        <v>141.65759999999997</v>
      </c>
      <c r="Z39" s="188">
        <v>99.2256</v>
      </c>
      <c r="AA39" s="188">
        <v>42.106400000000001</v>
      </c>
      <c r="AB39" s="188">
        <v>12.0832</v>
      </c>
      <c r="AC39" s="188">
        <v>26.3264</v>
      </c>
      <c r="AD39" s="179" t="s">
        <v>2939</v>
      </c>
      <c r="AE39" s="188" t="s">
        <v>2940</v>
      </c>
      <c r="AF39" s="189">
        <v>0.29166666666666669</v>
      </c>
      <c r="AG39" s="189">
        <v>0.91666666666666663</v>
      </c>
      <c r="AH39" s="190" t="s">
        <v>2941</v>
      </c>
      <c r="AI39" s="190" t="s">
        <v>2942</v>
      </c>
      <c r="AJ39" s="179" t="s">
        <v>650</v>
      </c>
      <c r="AK39" s="179" t="s">
        <v>40</v>
      </c>
      <c r="AL39" s="179" t="s">
        <v>40</v>
      </c>
      <c r="AM39" s="179" t="s">
        <v>3170</v>
      </c>
      <c r="AN39" s="179" t="s">
        <v>2102</v>
      </c>
      <c r="AO39" s="179" t="s">
        <v>2757</v>
      </c>
      <c r="AP39" s="191">
        <v>81139000794</v>
      </c>
      <c r="AQ39" s="184">
        <v>39815</v>
      </c>
      <c r="AR39" s="179">
        <v>211</v>
      </c>
      <c r="AS39" s="179"/>
      <c r="AT39" s="181" t="s">
        <v>3171</v>
      </c>
      <c r="AU39" s="181" t="s">
        <v>2946</v>
      </c>
      <c r="AV39" s="192">
        <v>13681080</v>
      </c>
      <c r="AW39" s="181">
        <v>87</v>
      </c>
      <c r="AX39" s="179">
        <v>80811</v>
      </c>
      <c r="AY39" s="179"/>
    </row>
    <row r="40" spans="1:51" ht="14.4" x14ac:dyDescent="0.3">
      <c r="A40" s="179" t="s">
        <v>188</v>
      </c>
      <c r="B40" s="179" t="s">
        <v>2947</v>
      </c>
      <c r="C40" s="180" t="s">
        <v>3172</v>
      </c>
      <c r="D40" s="181" t="s">
        <v>2822</v>
      </c>
      <c r="E40" s="181" t="s">
        <v>2821</v>
      </c>
      <c r="F40" s="182" t="s">
        <v>2972</v>
      </c>
      <c r="G40" s="181" t="s">
        <v>17</v>
      </c>
      <c r="H40" s="193">
        <v>45821</v>
      </c>
      <c r="I40" s="193">
        <v>45821</v>
      </c>
      <c r="J40" s="179" t="s">
        <v>3173</v>
      </c>
      <c r="K40" s="179">
        <v>500</v>
      </c>
      <c r="L40" s="179" t="s">
        <v>3026</v>
      </c>
      <c r="M40" s="185"/>
      <c r="N40" s="185"/>
      <c r="O40" s="186"/>
      <c r="P40" s="185"/>
      <c r="Q40" s="182" t="s">
        <v>2934</v>
      </c>
      <c r="R40" s="182" t="s">
        <v>2933</v>
      </c>
      <c r="S40" s="182" t="s">
        <v>2952</v>
      </c>
      <c r="T40" s="179" t="s">
        <v>2974</v>
      </c>
      <c r="U40" s="179" t="s">
        <v>2954</v>
      </c>
      <c r="V40" s="179">
        <v>1486</v>
      </c>
      <c r="W40" s="179" t="s">
        <v>3140</v>
      </c>
      <c r="X40" s="188">
        <v>252.80639999999997</v>
      </c>
      <c r="Y40" s="188">
        <v>163.14359999999999</v>
      </c>
      <c r="Z40" s="188">
        <v>138.00649999999999</v>
      </c>
      <c r="AA40" s="188">
        <v>78.321599999999989</v>
      </c>
      <c r="AB40" s="188">
        <v>9.6257999999999999</v>
      </c>
      <c r="AC40" s="188">
        <v>59.779599999999995</v>
      </c>
      <c r="AD40" s="179" t="s">
        <v>2984</v>
      </c>
      <c r="AE40" s="188" t="s">
        <v>2957</v>
      </c>
      <c r="AF40" s="189">
        <v>0.29166666666666669</v>
      </c>
      <c r="AG40" s="189">
        <v>0.99930555555555556</v>
      </c>
      <c r="AH40" s="190" t="s">
        <v>2941</v>
      </c>
      <c r="AI40" s="190" t="s">
        <v>2942</v>
      </c>
      <c r="AJ40" s="179" t="s">
        <v>186</v>
      </c>
      <c r="AK40" s="179" t="s">
        <v>36</v>
      </c>
      <c r="AL40" s="179" t="s">
        <v>36</v>
      </c>
      <c r="AM40" s="179" t="s">
        <v>3174</v>
      </c>
      <c r="AN40" s="179" t="s">
        <v>2102</v>
      </c>
      <c r="AO40" s="179" t="s">
        <v>2421</v>
      </c>
      <c r="AP40" s="191">
        <v>81139002214</v>
      </c>
      <c r="AQ40" s="184">
        <v>39822</v>
      </c>
      <c r="AR40" s="179">
        <v>211</v>
      </c>
      <c r="AS40" s="179"/>
      <c r="AT40" s="181" t="s">
        <v>3175</v>
      </c>
      <c r="AU40" s="181" t="s">
        <v>2946</v>
      </c>
      <c r="AV40" s="192">
        <v>16325570</v>
      </c>
      <c r="AW40" s="181">
        <v>13.2</v>
      </c>
      <c r="AX40" s="179">
        <v>82111</v>
      </c>
      <c r="AY40" s="179"/>
    </row>
    <row r="41" spans="1:51" ht="14.4" x14ac:dyDescent="0.3">
      <c r="A41" s="179" t="s">
        <v>1667</v>
      </c>
      <c r="B41" s="179" t="s">
        <v>2947</v>
      </c>
      <c r="C41" s="180" t="s">
        <v>3176</v>
      </c>
      <c r="D41" s="181" t="s">
        <v>2829</v>
      </c>
      <c r="E41" s="181" t="s">
        <v>2815</v>
      </c>
      <c r="F41" s="182" t="s">
        <v>2929</v>
      </c>
      <c r="G41" s="181" t="s">
        <v>12</v>
      </c>
      <c r="H41" s="193">
        <v>43662</v>
      </c>
      <c r="I41" s="184">
        <v>43662</v>
      </c>
      <c r="J41" s="179" t="s">
        <v>3108</v>
      </c>
      <c r="K41" s="179">
        <v>160</v>
      </c>
      <c r="L41" s="179" t="s">
        <v>2950</v>
      </c>
      <c r="M41" s="185"/>
      <c r="N41" s="185"/>
      <c r="O41" s="186"/>
      <c r="P41" s="185"/>
      <c r="Q41" s="182" t="s">
        <v>2934</v>
      </c>
      <c r="R41" s="182" t="s">
        <v>2933</v>
      </c>
      <c r="S41" s="182" t="s">
        <v>2952</v>
      </c>
      <c r="T41" s="179" t="s">
        <v>2953</v>
      </c>
      <c r="U41" s="179" t="s">
        <v>2954</v>
      </c>
      <c r="V41" s="179">
        <v>1175</v>
      </c>
      <c r="W41" s="179" t="s">
        <v>3140</v>
      </c>
      <c r="X41" s="188">
        <v>262.00849999999997</v>
      </c>
      <c r="Y41" s="188">
        <v>192.22499999999999</v>
      </c>
      <c r="Z41" s="188">
        <v>121.09049999999999</v>
      </c>
      <c r="AA41" s="188">
        <v>61.852800000000002</v>
      </c>
      <c r="AB41" s="188">
        <v>23.308499999999995</v>
      </c>
      <c r="AC41" s="188">
        <v>29.772600000000001</v>
      </c>
      <c r="AD41" s="179" t="s">
        <v>2939</v>
      </c>
      <c r="AE41" s="188" t="s">
        <v>2940</v>
      </c>
      <c r="AF41" s="189">
        <v>0.29166666666666669</v>
      </c>
      <c r="AG41" s="189">
        <v>0.91666666666666663</v>
      </c>
      <c r="AH41" s="190" t="s">
        <v>2941</v>
      </c>
      <c r="AI41" s="190" t="s">
        <v>2985</v>
      </c>
      <c r="AJ41" s="179" t="s">
        <v>207</v>
      </c>
      <c r="AK41" s="179" t="s">
        <v>3110</v>
      </c>
      <c r="AL41" s="179" t="s">
        <v>28</v>
      </c>
      <c r="AM41" s="179" t="s">
        <v>3177</v>
      </c>
      <c r="AN41" s="179" t="s">
        <v>2102</v>
      </c>
      <c r="AO41" s="179" t="s">
        <v>2463</v>
      </c>
      <c r="AP41" s="191"/>
      <c r="AQ41" s="184">
        <v>39835</v>
      </c>
      <c r="AR41" s="179">
        <v>211</v>
      </c>
      <c r="AS41" s="179"/>
      <c r="AT41" s="181" t="s">
        <v>3178</v>
      </c>
      <c r="AU41" s="181" t="s">
        <v>3179</v>
      </c>
      <c r="AV41" s="192">
        <v>13230000</v>
      </c>
      <c r="AW41" s="181">
        <v>22</v>
      </c>
      <c r="AX41" s="179">
        <v>80581</v>
      </c>
      <c r="AY41" s="179"/>
    </row>
    <row r="42" spans="1:51" ht="14.4" x14ac:dyDescent="0.3">
      <c r="A42" s="179" t="s">
        <v>1868</v>
      </c>
      <c r="B42" s="179" t="s">
        <v>2947</v>
      </c>
      <c r="C42" s="180" t="s">
        <v>3180</v>
      </c>
      <c r="D42" s="181" t="s">
        <v>2859</v>
      </c>
      <c r="E42" s="181" t="s">
        <v>2815</v>
      </c>
      <c r="F42" s="182" t="s">
        <v>2972</v>
      </c>
      <c r="G42" s="181" t="s">
        <v>17</v>
      </c>
      <c r="H42" s="193">
        <v>45702</v>
      </c>
      <c r="I42" s="184"/>
      <c r="J42" s="179" t="s">
        <v>3181</v>
      </c>
      <c r="K42" s="179">
        <v>800</v>
      </c>
      <c r="L42" s="179" t="s">
        <v>3026</v>
      </c>
      <c r="M42" s="185"/>
      <c r="N42" s="185"/>
      <c r="O42" s="179" t="s">
        <v>2951</v>
      </c>
      <c r="P42" s="185" t="s">
        <v>2951</v>
      </c>
      <c r="Q42" s="182" t="s">
        <v>2933</v>
      </c>
      <c r="R42" s="182" t="s">
        <v>3016</v>
      </c>
      <c r="S42" s="182" t="s">
        <v>2935</v>
      </c>
      <c r="T42" s="179" t="s">
        <v>2953</v>
      </c>
      <c r="U42" s="179" t="s">
        <v>2954</v>
      </c>
      <c r="V42" s="187">
        <v>1879</v>
      </c>
      <c r="W42" s="179" t="s">
        <v>3140</v>
      </c>
      <c r="X42" s="188">
        <v>232.1319</v>
      </c>
      <c r="Y42" s="188">
        <v>172.67000000000002</v>
      </c>
      <c r="Z42" s="188">
        <v>122.79540000000001</v>
      </c>
      <c r="AA42" s="188">
        <v>63.098999999999997</v>
      </c>
      <c r="AB42" s="188">
        <v>18.483599999999999</v>
      </c>
      <c r="AC42" s="188">
        <v>133.29689999999999</v>
      </c>
      <c r="AD42" s="179" t="s">
        <v>2956</v>
      </c>
      <c r="AE42" s="188" t="s">
        <v>2957</v>
      </c>
      <c r="AF42" s="189">
        <v>0.29166666666666669</v>
      </c>
      <c r="AG42" s="189">
        <v>0.95833333333333337</v>
      </c>
      <c r="AH42" s="190" t="s">
        <v>2941</v>
      </c>
      <c r="AI42" s="190" t="s">
        <v>2985</v>
      </c>
      <c r="AJ42" s="179" t="s">
        <v>1866</v>
      </c>
      <c r="AK42" s="179" t="s">
        <v>3182</v>
      </c>
      <c r="AL42" s="179" t="s">
        <v>28</v>
      </c>
      <c r="AM42" s="179" t="s">
        <v>3183</v>
      </c>
      <c r="AN42" s="179" t="s">
        <v>2102</v>
      </c>
      <c r="AO42" s="179" t="s">
        <v>2435</v>
      </c>
      <c r="AP42" s="191">
        <v>8113806191</v>
      </c>
      <c r="AQ42" s="184">
        <v>39903</v>
      </c>
      <c r="AR42" s="179">
        <v>208</v>
      </c>
      <c r="AS42" s="179"/>
      <c r="AT42" s="181" t="s">
        <v>3184</v>
      </c>
      <c r="AU42" s="181" t="s">
        <v>2946</v>
      </c>
      <c r="AV42" s="192">
        <v>17766646</v>
      </c>
      <c r="AW42" s="181">
        <v>29.9</v>
      </c>
      <c r="AX42" s="179">
        <v>80552</v>
      </c>
      <c r="AY42" s="179"/>
    </row>
    <row r="43" spans="1:51" ht="14.4" x14ac:dyDescent="0.3">
      <c r="A43" s="179" t="s">
        <v>842</v>
      </c>
      <c r="B43" s="179" t="s">
        <v>2947</v>
      </c>
      <c r="C43" s="180" t="s">
        <v>3185</v>
      </c>
      <c r="D43" s="181" t="s">
        <v>2855</v>
      </c>
      <c r="E43" s="181" t="s">
        <v>2815</v>
      </c>
      <c r="F43" s="182" t="s">
        <v>2972</v>
      </c>
      <c r="G43" s="181" t="s">
        <v>17</v>
      </c>
      <c r="H43" s="193">
        <v>45087</v>
      </c>
      <c r="I43" s="184"/>
      <c r="J43" s="179" t="s">
        <v>3008</v>
      </c>
      <c r="K43" s="179" t="s">
        <v>3008</v>
      </c>
      <c r="L43" s="179" t="s">
        <v>2932</v>
      </c>
      <c r="M43" s="185"/>
      <c r="N43" s="185"/>
      <c r="O43" s="179" t="s">
        <v>2951</v>
      </c>
      <c r="P43" s="185"/>
      <c r="Q43" s="182" t="s">
        <v>2934</v>
      </c>
      <c r="R43" s="182" t="s">
        <v>2933</v>
      </c>
      <c r="S43" s="182" t="s">
        <v>2952</v>
      </c>
      <c r="T43" s="179" t="s">
        <v>2953</v>
      </c>
      <c r="U43" s="179" t="s">
        <v>2954</v>
      </c>
      <c r="V43" s="179">
        <v>1733</v>
      </c>
      <c r="W43" s="179" t="s">
        <v>2938</v>
      </c>
      <c r="X43" s="188">
        <v>246.27510000000001</v>
      </c>
      <c r="Y43" s="188">
        <v>166.42070000000001</v>
      </c>
      <c r="Z43" s="188">
        <v>111.64399999999999</v>
      </c>
      <c r="AA43" s="188">
        <v>65.395200000000003</v>
      </c>
      <c r="AB43" s="188">
        <v>4.88</v>
      </c>
      <c r="AC43" s="188">
        <v>31.953900000000001</v>
      </c>
      <c r="AD43" s="179" t="s">
        <v>2984</v>
      </c>
      <c r="AE43" s="188" t="s">
        <v>2940</v>
      </c>
      <c r="AF43" s="189">
        <v>0</v>
      </c>
      <c r="AG43" s="189">
        <v>0.99930555555555556</v>
      </c>
      <c r="AH43" s="190" t="s">
        <v>2941</v>
      </c>
      <c r="AI43" s="190" t="s">
        <v>2985</v>
      </c>
      <c r="AJ43" s="179" t="s">
        <v>840</v>
      </c>
      <c r="AK43" s="179" t="s">
        <v>2981</v>
      </c>
      <c r="AL43" s="179" t="s">
        <v>28</v>
      </c>
      <c r="AM43" s="179" t="s">
        <v>3186</v>
      </c>
      <c r="AN43" s="179" t="s">
        <v>2102</v>
      </c>
      <c r="AO43" s="179" t="s">
        <v>2724</v>
      </c>
      <c r="AP43" s="191">
        <v>8113806226</v>
      </c>
      <c r="AQ43" s="184">
        <v>39903</v>
      </c>
      <c r="AR43" s="179">
        <v>208</v>
      </c>
      <c r="AS43" s="179"/>
      <c r="AT43" s="181" t="s">
        <v>3187</v>
      </c>
      <c r="AU43" s="181" t="s">
        <v>2946</v>
      </c>
      <c r="AV43" s="192">
        <v>23313159</v>
      </c>
      <c r="AW43" s="181">
        <v>40.200000000000003</v>
      </c>
      <c r="AX43" s="179">
        <v>80582</v>
      </c>
      <c r="AY43" s="179"/>
    </row>
    <row r="44" spans="1:51" ht="14.4" x14ac:dyDescent="0.3">
      <c r="A44" s="179" t="s">
        <v>1392</v>
      </c>
      <c r="B44" s="179" t="s">
        <v>2947</v>
      </c>
      <c r="C44" s="180" t="s">
        <v>3188</v>
      </c>
      <c r="D44" s="181" t="s">
        <v>2856</v>
      </c>
      <c r="E44" s="181" t="s">
        <v>2819</v>
      </c>
      <c r="F44" s="182" t="s">
        <v>2929</v>
      </c>
      <c r="G44" s="181" t="s">
        <v>12</v>
      </c>
      <c r="H44" s="193">
        <v>44145</v>
      </c>
      <c r="I44" s="184">
        <v>44145</v>
      </c>
      <c r="J44" s="179" t="s">
        <v>3189</v>
      </c>
      <c r="K44" s="179">
        <v>174</v>
      </c>
      <c r="L44" s="179" t="s">
        <v>2950</v>
      </c>
      <c r="M44" s="185"/>
      <c r="N44" s="185"/>
      <c r="O44" s="186"/>
      <c r="P44" s="185"/>
      <c r="Q44" s="182" t="s">
        <v>2933</v>
      </c>
      <c r="R44" s="182" t="s">
        <v>2934</v>
      </c>
      <c r="S44" s="182" t="s">
        <v>2952</v>
      </c>
      <c r="T44" s="179" t="s">
        <v>2999</v>
      </c>
      <c r="U44" s="179" t="s">
        <v>2954</v>
      </c>
      <c r="V44" s="179">
        <v>1927</v>
      </c>
      <c r="W44" s="179" t="s">
        <v>2938</v>
      </c>
      <c r="X44" s="188">
        <v>235.22400000000002</v>
      </c>
      <c r="Y44" s="188">
        <v>166.518</v>
      </c>
      <c r="Z44" s="188">
        <v>108.38399999999999</v>
      </c>
      <c r="AA44" s="188">
        <v>65.34</v>
      </c>
      <c r="AB44" s="188">
        <v>8.0925999999999991</v>
      </c>
      <c r="AC44" s="188">
        <v>37.252800000000001</v>
      </c>
      <c r="AD44" s="179" t="s">
        <v>2984</v>
      </c>
      <c r="AE44" s="188" t="s">
        <v>2940</v>
      </c>
      <c r="AF44" s="189">
        <v>0.29166666666666669</v>
      </c>
      <c r="AG44" s="189">
        <v>0.95833333333333337</v>
      </c>
      <c r="AH44" s="190" t="s">
        <v>2941</v>
      </c>
      <c r="AI44" s="190" t="s">
        <v>2942</v>
      </c>
      <c r="AJ44" s="179" t="s">
        <v>198</v>
      </c>
      <c r="AK44" s="179" t="s">
        <v>2977</v>
      </c>
      <c r="AL44" s="179" t="s">
        <v>9</v>
      </c>
      <c r="AM44" s="179" t="s">
        <v>3190</v>
      </c>
      <c r="AN44" s="179" t="s">
        <v>2102</v>
      </c>
      <c r="AO44" s="179" t="s">
        <v>2748</v>
      </c>
      <c r="AP44" s="191">
        <v>81139004578</v>
      </c>
      <c r="AQ44" s="184">
        <v>39918</v>
      </c>
      <c r="AR44" s="179">
        <v>208</v>
      </c>
      <c r="AS44" s="179"/>
      <c r="AT44" s="181" t="s">
        <v>3191</v>
      </c>
      <c r="AU44" s="181" t="s">
        <v>2946</v>
      </c>
      <c r="AV44" s="192">
        <v>12325000</v>
      </c>
      <c r="AW44" s="181">
        <v>22.1</v>
      </c>
      <c r="AX44" s="179">
        <v>80363</v>
      </c>
      <c r="AY44" s="179"/>
    </row>
    <row r="45" spans="1:51" ht="14.4" x14ac:dyDescent="0.3">
      <c r="A45" s="179" t="s">
        <v>960</v>
      </c>
      <c r="B45" s="179" t="s">
        <v>2947</v>
      </c>
      <c r="C45" s="180" t="s">
        <v>3192</v>
      </c>
      <c r="D45" s="181" t="s">
        <v>2843</v>
      </c>
      <c r="E45" s="181" t="s">
        <v>2840</v>
      </c>
      <c r="F45" s="182" t="s">
        <v>3086</v>
      </c>
      <c r="G45" s="181" t="s">
        <v>535</v>
      </c>
      <c r="H45" s="193">
        <v>43094</v>
      </c>
      <c r="I45" s="184">
        <v>44790</v>
      </c>
      <c r="J45" s="179" t="s">
        <v>3193</v>
      </c>
      <c r="K45" s="179">
        <v>700</v>
      </c>
      <c r="L45" s="179" t="s">
        <v>3026</v>
      </c>
      <c r="M45" s="185"/>
      <c r="N45" s="185" t="s">
        <v>2951</v>
      </c>
      <c r="O45" s="179" t="s">
        <v>2951</v>
      </c>
      <c r="P45" s="185" t="s">
        <v>2951</v>
      </c>
      <c r="Q45" s="182" t="s">
        <v>2934</v>
      </c>
      <c r="R45" s="182" t="s">
        <v>2933</v>
      </c>
      <c r="S45" s="182" t="s">
        <v>2952</v>
      </c>
      <c r="T45" s="179" t="s">
        <v>2953</v>
      </c>
      <c r="U45" s="179" t="s">
        <v>2954</v>
      </c>
      <c r="V45" s="179">
        <v>1568</v>
      </c>
      <c r="W45" s="179" t="s">
        <v>3194</v>
      </c>
      <c r="X45" s="188">
        <v>484.51499999999999</v>
      </c>
      <c r="Y45" s="188">
        <v>357.26599999999996</v>
      </c>
      <c r="Z45" s="188">
        <v>240.61679999999998</v>
      </c>
      <c r="AA45" s="188">
        <v>119.74560000000001</v>
      </c>
      <c r="AB45" s="188">
        <v>17.864000000000001</v>
      </c>
      <c r="AC45" s="188">
        <v>83.414000000000001</v>
      </c>
      <c r="AD45" s="179" t="s">
        <v>2956</v>
      </c>
      <c r="AE45" s="188" t="s">
        <v>2940</v>
      </c>
      <c r="AF45" s="189">
        <v>0</v>
      </c>
      <c r="AG45" s="189">
        <v>0.99930555555555556</v>
      </c>
      <c r="AH45" s="190" t="s">
        <v>2941</v>
      </c>
      <c r="AI45" s="190" t="s">
        <v>2942</v>
      </c>
      <c r="AJ45" s="179" t="s">
        <v>958</v>
      </c>
      <c r="AK45" s="179" t="s">
        <v>90</v>
      </c>
      <c r="AL45" s="179" t="s">
        <v>90</v>
      </c>
      <c r="AM45" s="179" t="s">
        <v>3195</v>
      </c>
      <c r="AN45" s="179" t="s">
        <v>2102</v>
      </c>
      <c r="AO45" s="179" t="s">
        <v>2577</v>
      </c>
      <c r="AP45" s="191">
        <v>81139001487</v>
      </c>
      <c r="AQ45" s="184">
        <v>39945</v>
      </c>
      <c r="AR45" s="179">
        <v>207</v>
      </c>
      <c r="AS45" s="179"/>
      <c r="AT45" s="181" t="s">
        <v>3196</v>
      </c>
      <c r="AU45" s="181" t="s">
        <v>2946</v>
      </c>
      <c r="AV45" s="192">
        <v>31323262</v>
      </c>
      <c r="AW45" s="181">
        <v>84</v>
      </c>
      <c r="AX45" s="179">
        <v>82218</v>
      </c>
      <c r="AY45" s="179"/>
    </row>
    <row r="46" spans="1:51" ht="14.4" x14ac:dyDescent="0.3">
      <c r="A46" s="179" t="s">
        <v>1068</v>
      </c>
      <c r="B46" s="179" t="s">
        <v>2947</v>
      </c>
      <c r="C46" s="180" t="s">
        <v>3197</v>
      </c>
      <c r="D46" s="181" t="s">
        <v>2823</v>
      </c>
      <c r="E46" s="181" t="s">
        <v>2819</v>
      </c>
      <c r="F46" s="182" t="s">
        <v>2929</v>
      </c>
      <c r="G46" s="181" t="s">
        <v>12</v>
      </c>
      <c r="H46" s="193" t="s">
        <v>2930</v>
      </c>
      <c r="I46" s="184" t="s">
        <v>2930</v>
      </c>
      <c r="J46" s="179" t="s">
        <v>3198</v>
      </c>
      <c r="K46" s="179">
        <v>210</v>
      </c>
      <c r="L46" s="179" t="s">
        <v>2965</v>
      </c>
      <c r="M46" s="185"/>
      <c r="N46" s="185"/>
      <c r="O46" s="186"/>
      <c r="P46" s="185"/>
      <c r="Q46" s="182" t="s">
        <v>2934</v>
      </c>
      <c r="R46" s="182" t="s">
        <v>2933</v>
      </c>
      <c r="S46" s="182" t="s">
        <v>2952</v>
      </c>
      <c r="T46" s="179" t="s">
        <v>2999</v>
      </c>
      <c r="U46" s="179" t="s">
        <v>2954</v>
      </c>
      <c r="V46" s="179">
        <v>4313</v>
      </c>
      <c r="W46" s="179" t="s">
        <v>2992</v>
      </c>
      <c r="X46" s="188">
        <v>270.75420000000003</v>
      </c>
      <c r="Y46" s="188">
        <v>196.6653</v>
      </c>
      <c r="Z46" s="188">
        <v>124.6581</v>
      </c>
      <c r="AA46" s="188">
        <v>73.229399999999998</v>
      </c>
      <c r="AB46" s="188">
        <v>15.787500000000001</v>
      </c>
      <c r="AC46" s="188">
        <v>71.53649999999999</v>
      </c>
      <c r="AD46" s="179" t="s">
        <v>2956</v>
      </c>
      <c r="AE46" s="188" t="s">
        <v>3017</v>
      </c>
      <c r="AF46" s="189">
        <v>0.29166666666666669</v>
      </c>
      <c r="AG46" s="189">
        <v>0.99930555555555556</v>
      </c>
      <c r="AH46" s="190" t="s">
        <v>2941</v>
      </c>
      <c r="AI46" s="190" t="s">
        <v>2942</v>
      </c>
      <c r="AJ46" s="179" t="s">
        <v>805</v>
      </c>
      <c r="AK46" s="179" t="s">
        <v>2958</v>
      </c>
      <c r="AL46" s="179" t="s">
        <v>4</v>
      </c>
      <c r="AM46" s="179" t="s">
        <v>3199</v>
      </c>
      <c r="AN46" s="179" t="s">
        <v>2102</v>
      </c>
      <c r="AO46" s="179" t="s">
        <v>2507</v>
      </c>
      <c r="AP46" s="191">
        <v>81139607348</v>
      </c>
      <c r="AQ46" s="184">
        <v>39956</v>
      </c>
      <c r="AR46" s="179">
        <v>207</v>
      </c>
      <c r="AS46" s="199">
        <v>44564</v>
      </c>
      <c r="AT46" s="181" t="s">
        <v>3200</v>
      </c>
      <c r="AU46" s="181" t="s">
        <v>3201</v>
      </c>
      <c r="AV46" s="192">
        <v>18385500</v>
      </c>
      <c r="AW46" s="181">
        <v>21.8</v>
      </c>
      <c r="AX46" s="179">
        <v>80119</v>
      </c>
      <c r="AY46" s="179" t="s">
        <v>3202</v>
      </c>
    </row>
    <row r="47" spans="1:51" ht="14.4" x14ac:dyDescent="0.3">
      <c r="A47" s="179" t="s">
        <v>1671</v>
      </c>
      <c r="B47" s="179" t="s">
        <v>2947</v>
      </c>
      <c r="C47" s="180" t="s">
        <v>3203</v>
      </c>
      <c r="D47" s="181" t="s">
        <v>2857</v>
      </c>
      <c r="E47" s="181" t="s">
        <v>2815</v>
      </c>
      <c r="F47" s="182" t="s">
        <v>2929</v>
      </c>
      <c r="G47" s="181" t="s">
        <v>12</v>
      </c>
      <c r="H47" s="193">
        <v>44023</v>
      </c>
      <c r="I47" s="184">
        <v>44023</v>
      </c>
      <c r="J47" s="179" t="s">
        <v>3204</v>
      </c>
      <c r="K47" s="179">
        <v>290</v>
      </c>
      <c r="L47" s="179" t="s">
        <v>2950</v>
      </c>
      <c r="M47" s="185"/>
      <c r="N47" s="185"/>
      <c r="O47" s="186"/>
      <c r="P47" s="185" t="s">
        <v>2951</v>
      </c>
      <c r="Q47" s="182" t="s">
        <v>2934</v>
      </c>
      <c r="R47" s="182" t="s">
        <v>2933</v>
      </c>
      <c r="S47" s="182" t="s">
        <v>2935</v>
      </c>
      <c r="T47" s="179" t="s">
        <v>2953</v>
      </c>
      <c r="U47" s="179" t="s">
        <v>2954</v>
      </c>
      <c r="V47" s="179">
        <v>1522</v>
      </c>
      <c r="W47" s="179" t="s">
        <v>2992</v>
      </c>
      <c r="X47" s="188">
        <v>324.392</v>
      </c>
      <c r="Y47" s="188">
        <v>254.51399999999998</v>
      </c>
      <c r="Z47" s="188">
        <v>133.98650000000001</v>
      </c>
      <c r="AA47" s="188">
        <v>54.208000000000006</v>
      </c>
      <c r="AB47" s="188">
        <v>18.2</v>
      </c>
      <c r="AC47" s="188">
        <v>89.283999999999992</v>
      </c>
      <c r="AD47" s="179" t="s">
        <v>2956</v>
      </c>
      <c r="AE47" s="188" t="s">
        <v>2940</v>
      </c>
      <c r="AF47" s="189">
        <v>0.29166666666666669</v>
      </c>
      <c r="AG47" s="189">
        <v>0.95833333333333337</v>
      </c>
      <c r="AH47" s="190" t="s">
        <v>2941</v>
      </c>
      <c r="AI47" s="190" t="s">
        <v>2985</v>
      </c>
      <c r="AJ47" s="179" t="s">
        <v>103</v>
      </c>
      <c r="AK47" s="179" t="s">
        <v>3000</v>
      </c>
      <c r="AL47" s="179" t="s">
        <v>28</v>
      </c>
      <c r="AM47" s="179" t="s">
        <v>3205</v>
      </c>
      <c r="AN47" s="179" t="s">
        <v>2102</v>
      </c>
      <c r="AO47" s="179" t="s">
        <v>2580</v>
      </c>
      <c r="AP47" s="191">
        <v>8113806174</v>
      </c>
      <c r="AQ47" s="184">
        <v>39962</v>
      </c>
      <c r="AR47" s="179">
        <v>206</v>
      </c>
      <c r="AS47" s="179"/>
      <c r="AT47" s="181" t="s">
        <v>3206</v>
      </c>
      <c r="AU47" s="181" t="s">
        <v>2946</v>
      </c>
      <c r="AV47" s="192">
        <v>13880536</v>
      </c>
      <c r="AW47" s="181">
        <v>19.399999999999999</v>
      </c>
      <c r="AX47" s="179">
        <v>80571</v>
      </c>
      <c r="AY47" s="179"/>
    </row>
    <row r="48" spans="1:51" ht="14.4" x14ac:dyDescent="0.3">
      <c r="A48" s="179" t="s">
        <v>362</v>
      </c>
      <c r="B48" s="179" t="s">
        <v>2947</v>
      </c>
      <c r="C48" s="180" t="s">
        <v>3207</v>
      </c>
      <c r="D48" s="181" t="s">
        <v>2872</v>
      </c>
      <c r="E48" s="181" t="s">
        <v>2840</v>
      </c>
      <c r="F48" s="182" t="s">
        <v>2972</v>
      </c>
      <c r="G48" s="181" t="s">
        <v>17</v>
      </c>
      <c r="H48" s="193">
        <v>45667</v>
      </c>
      <c r="I48" s="184"/>
      <c r="J48" s="179" t="s">
        <v>3208</v>
      </c>
      <c r="K48" s="179">
        <v>96</v>
      </c>
      <c r="L48" s="179" t="s">
        <v>2965</v>
      </c>
      <c r="M48" s="185"/>
      <c r="N48" s="185"/>
      <c r="O48" s="186"/>
      <c r="P48" s="185" t="s">
        <v>2951</v>
      </c>
      <c r="Q48" s="182" t="s">
        <v>2933</v>
      </c>
      <c r="R48" s="182" t="s">
        <v>3016</v>
      </c>
      <c r="S48" s="182" t="s">
        <v>2952</v>
      </c>
      <c r="T48" s="179" t="s">
        <v>2953</v>
      </c>
      <c r="U48" s="179" t="s">
        <v>2954</v>
      </c>
      <c r="V48" s="179">
        <v>1915</v>
      </c>
      <c r="W48" s="179" t="s">
        <v>3067</v>
      </c>
      <c r="X48" s="188">
        <v>255.28100000000001</v>
      </c>
      <c r="Y48" s="188">
        <v>187.52189999999999</v>
      </c>
      <c r="Z48" s="188">
        <v>116.5104</v>
      </c>
      <c r="AA48" s="188">
        <v>62.540800000000011</v>
      </c>
      <c r="AB48" s="188">
        <v>16.141400000000001</v>
      </c>
      <c r="AC48" s="188">
        <v>39.125399999999999</v>
      </c>
      <c r="AD48" s="179" t="s">
        <v>2984</v>
      </c>
      <c r="AE48" s="188" t="s">
        <v>2940</v>
      </c>
      <c r="AF48" s="189">
        <v>0</v>
      </c>
      <c r="AG48" s="189">
        <v>0.99930555555555556</v>
      </c>
      <c r="AH48" s="190" t="s">
        <v>2941</v>
      </c>
      <c r="AI48" s="190" t="s">
        <v>2942</v>
      </c>
      <c r="AJ48" s="179" t="s">
        <v>360</v>
      </c>
      <c r="AK48" s="179" t="s">
        <v>143</v>
      </c>
      <c r="AL48" s="179" t="s">
        <v>48</v>
      </c>
      <c r="AM48" s="179" t="s">
        <v>3209</v>
      </c>
      <c r="AN48" s="179" t="s">
        <v>2102</v>
      </c>
      <c r="AO48" s="179" t="s">
        <v>2578</v>
      </c>
      <c r="AP48" s="191"/>
      <c r="AQ48" s="184">
        <v>39963</v>
      </c>
      <c r="AR48" s="179">
        <v>206</v>
      </c>
      <c r="AS48" s="179"/>
      <c r="AT48" s="181" t="s">
        <v>3210</v>
      </c>
      <c r="AU48" s="181" t="s">
        <v>3211</v>
      </c>
      <c r="AV48" s="192">
        <v>18262379</v>
      </c>
      <c r="AW48" s="181">
        <v>62.5</v>
      </c>
      <c r="AX48" s="179">
        <v>81171</v>
      </c>
      <c r="AY48" s="179"/>
    </row>
    <row r="49" spans="1:51" ht="14.4" x14ac:dyDescent="0.3">
      <c r="A49" s="179" t="s">
        <v>1442</v>
      </c>
      <c r="B49" s="179" t="s">
        <v>2947</v>
      </c>
      <c r="C49" s="180" t="s">
        <v>3212</v>
      </c>
      <c r="D49" s="181" t="s">
        <v>2835</v>
      </c>
      <c r="E49" s="181" t="s">
        <v>2834</v>
      </c>
      <c r="F49" s="182" t="s">
        <v>2972</v>
      </c>
      <c r="G49" s="181" t="s">
        <v>17</v>
      </c>
      <c r="H49" s="193">
        <v>45087</v>
      </c>
      <c r="I49" s="184"/>
      <c r="J49" s="179" t="s">
        <v>3213</v>
      </c>
      <c r="K49" s="179">
        <v>1100</v>
      </c>
      <c r="L49" s="179" t="s">
        <v>2932</v>
      </c>
      <c r="M49" s="185"/>
      <c r="N49" s="185"/>
      <c r="O49" s="186"/>
      <c r="P49" s="185"/>
      <c r="Q49" s="182" t="s">
        <v>2934</v>
      </c>
      <c r="R49" s="182" t="s">
        <v>2933</v>
      </c>
      <c r="S49" s="182" t="s">
        <v>2952</v>
      </c>
      <c r="T49" s="179" t="s">
        <v>2953</v>
      </c>
      <c r="U49" s="179" t="s">
        <v>2954</v>
      </c>
      <c r="V49" s="179">
        <v>1440</v>
      </c>
      <c r="W49" s="179" t="s">
        <v>3093</v>
      </c>
      <c r="X49" s="188">
        <v>216.0018</v>
      </c>
      <c r="Y49" s="188">
        <v>157.69980000000001</v>
      </c>
      <c r="Z49" s="188">
        <v>100.17179999999999</v>
      </c>
      <c r="AA49" s="188">
        <v>43.152000000000001</v>
      </c>
      <c r="AB49" s="188">
        <v>19.285</v>
      </c>
      <c r="AC49" s="188">
        <v>25.591999999999999</v>
      </c>
      <c r="AD49" s="179" t="s">
        <v>2939</v>
      </c>
      <c r="AE49" s="188" t="s">
        <v>2940</v>
      </c>
      <c r="AF49" s="189">
        <v>0.29166666666666669</v>
      </c>
      <c r="AG49" s="189">
        <v>0.95833333333333337</v>
      </c>
      <c r="AH49" s="190" t="s">
        <v>2941</v>
      </c>
      <c r="AI49" s="190" t="s">
        <v>2942</v>
      </c>
      <c r="AJ49" s="179" t="s">
        <v>159</v>
      </c>
      <c r="AK49" s="179" t="s">
        <v>32</v>
      </c>
      <c r="AL49" s="179" t="s">
        <v>32</v>
      </c>
      <c r="AM49" s="179" t="s">
        <v>3214</v>
      </c>
      <c r="AN49" s="179" t="s">
        <v>2102</v>
      </c>
      <c r="AO49" s="179" t="s">
        <v>2579</v>
      </c>
      <c r="AP49" s="191">
        <v>81139001390</v>
      </c>
      <c r="AQ49" s="184">
        <v>39963</v>
      </c>
      <c r="AR49" s="179">
        <v>206</v>
      </c>
      <c r="AS49" s="179"/>
      <c r="AT49" s="181" t="s">
        <v>3215</v>
      </c>
      <c r="AU49" s="181" t="s">
        <v>3216</v>
      </c>
      <c r="AV49" s="192">
        <v>31697502</v>
      </c>
      <c r="AW49" s="181">
        <v>41.4</v>
      </c>
      <c r="AX49" s="179">
        <v>80613</v>
      </c>
      <c r="AY49" s="179"/>
    </row>
    <row r="50" spans="1:51" ht="14.4" x14ac:dyDescent="0.3">
      <c r="A50" s="179" t="s">
        <v>1261</v>
      </c>
      <c r="B50" s="179" t="s">
        <v>2947</v>
      </c>
      <c r="C50" s="180" t="s">
        <v>3217</v>
      </c>
      <c r="D50" s="181" t="s">
        <v>2846</v>
      </c>
      <c r="E50" s="181" t="s">
        <v>2821</v>
      </c>
      <c r="F50" s="182" t="s">
        <v>2972</v>
      </c>
      <c r="G50" s="181" t="s">
        <v>17</v>
      </c>
      <c r="H50" s="193" t="s">
        <v>2930</v>
      </c>
      <c r="I50" s="184"/>
      <c r="J50" s="179" t="s">
        <v>3218</v>
      </c>
      <c r="K50" s="179">
        <v>120</v>
      </c>
      <c r="L50" s="179" t="s">
        <v>2950</v>
      </c>
      <c r="M50" s="185"/>
      <c r="N50" s="185"/>
      <c r="O50" s="186"/>
      <c r="P50" s="185"/>
      <c r="Q50" s="182" t="s">
        <v>2934</v>
      </c>
      <c r="R50" s="182" t="s">
        <v>2933</v>
      </c>
      <c r="S50" s="182" t="s">
        <v>2952</v>
      </c>
      <c r="T50" s="179" t="s">
        <v>2953</v>
      </c>
      <c r="U50" s="179" t="s">
        <v>2954</v>
      </c>
      <c r="V50" s="179">
        <v>1471</v>
      </c>
      <c r="W50" s="179" t="s">
        <v>3003</v>
      </c>
      <c r="X50" s="188">
        <v>292.09799999999996</v>
      </c>
      <c r="Y50" s="188">
        <v>222.84780000000001</v>
      </c>
      <c r="Z50" s="188">
        <v>118.97280000000001</v>
      </c>
      <c r="AA50" s="188">
        <v>59.452899999999993</v>
      </c>
      <c r="AB50" s="188">
        <v>18.759599999999999</v>
      </c>
      <c r="AC50" s="188">
        <v>63.337299999999999</v>
      </c>
      <c r="AD50" s="179" t="s">
        <v>2956</v>
      </c>
      <c r="AE50" s="188" t="s">
        <v>2940</v>
      </c>
      <c r="AF50" s="189">
        <v>0.29166666666666669</v>
      </c>
      <c r="AG50" s="189">
        <v>0.99930555555555556</v>
      </c>
      <c r="AH50" s="190" t="s">
        <v>2941</v>
      </c>
      <c r="AI50" s="190" t="s">
        <v>2942</v>
      </c>
      <c r="AJ50" s="179" t="s">
        <v>186</v>
      </c>
      <c r="AK50" s="179" t="s">
        <v>36</v>
      </c>
      <c r="AL50" s="179" t="s">
        <v>36</v>
      </c>
      <c r="AM50" s="179" t="s">
        <v>3219</v>
      </c>
      <c r="AN50" s="179" t="s">
        <v>2102</v>
      </c>
      <c r="AO50" s="179" t="s">
        <v>2772</v>
      </c>
      <c r="AP50" s="191">
        <v>81139001064</v>
      </c>
      <c r="AQ50" s="184">
        <v>39975</v>
      </c>
      <c r="AR50" s="179">
        <v>206</v>
      </c>
      <c r="AS50" s="179"/>
      <c r="AT50" s="181" t="s">
        <v>3220</v>
      </c>
      <c r="AU50" s="181" t="s">
        <v>2946</v>
      </c>
      <c r="AV50" s="192">
        <v>7452000</v>
      </c>
      <c r="AW50" s="181">
        <v>13.5</v>
      </c>
      <c r="AX50" s="179">
        <v>82111</v>
      </c>
      <c r="AY50" s="179"/>
    </row>
    <row r="51" spans="1:51" ht="14.4" x14ac:dyDescent="0.3">
      <c r="A51" s="179" t="s">
        <v>1355</v>
      </c>
      <c r="B51" s="179" t="s">
        <v>2947</v>
      </c>
      <c r="C51" s="180" t="s">
        <v>3221</v>
      </c>
      <c r="D51" s="181" t="s">
        <v>2828</v>
      </c>
      <c r="E51" s="181" t="s">
        <v>2827</v>
      </c>
      <c r="F51" s="182" t="s">
        <v>2972</v>
      </c>
      <c r="G51" s="181" t="s">
        <v>17</v>
      </c>
      <c r="H51" s="193">
        <v>45931</v>
      </c>
      <c r="I51" s="184"/>
      <c r="J51" s="179" t="s">
        <v>3222</v>
      </c>
      <c r="K51" s="179">
        <v>41</v>
      </c>
      <c r="L51" s="179" t="s">
        <v>2965</v>
      </c>
      <c r="M51" s="185"/>
      <c r="N51" s="185"/>
      <c r="O51" s="186"/>
      <c r="P51" s="185"/>
      <c r="Q51" s="182" t="s">
        <v>2933</v>
      </c>
      <c r="R51" s="182" t="s">
        <v>2934</v>
      </c>
      <c r="S51" s="182" t="s">
        <v>2952</v>
      </c>
      <c r="T51" s="179" t="s">
        <v>2953</v>
      </c>
      <c r="U51" s="179" t="s">
        <v>2954</v>
      </c>
      <c r="V51" s="187">
        <v>1896</v>
      </c>
      <c r="W51" s="179" t="s">
        <v>2938</v>
      </c>
      <c r="X51" s="188">
        <v>219.2877</v>
      </c>
      <c r="Y51" s="188">
        <v>146.24189999999999</v>
      </c>
      <c r="Z51" s="188">
        <v>99.960000000000008</v>
      </c>
      <c r="AA51" s="188">
        <v>62.224199999999989</v>
      </c>
      <c r="AB51" s="188">
        <v>12.905600000000002</v>
      </c>
      <c r="AC51" s="188">
        <v>21.758099999999999</v>
      </c>
      <c r="AD51" s="179" t="s">
        <v>2939</v>
      </c>
      <c r="AE51" s="188" t="s">
        <v>2940</v>
      </c>
      <c r="AF51" s="189">
        <v>0.29166666666666669</v>
      </c>
      <c r="AG51" s="189">
        <v>0.95833333333333337</v>
      </c>
      <c r="AH51" s="190" t="s">
        <v>2941</v>
      </c>
      <c r="AI51" s="190" t="s">
        <v>2942</v>
      </c>
      <c r="AJ51" s="179" t="s">
        <v>1353</v>
      </c>
      <c r="AK51" s="179" t="s">
        <v>48</v>
      </c>
      <c r="AL51" s="179" t="s">
        <v>48</v>
      </c>
      <c r="AM51" s="179" t="s">
        <v>3223</v>
      </c>
      <c r="AN51" s="179" t="s">
        <v>2102</v>
      </c>
      <c r="AO51" s="179" t="s">
        <v>2727</v>
      </c>
      <c r="AP51" s="191">
        <v>81139002294</v>
      </c>
      <c r="AQ51" s="184">
        <v>39990</v>
      </c>
      <c r="AR51" s="179">
        <v>206</v>
      </c>
      <c r="AS51" s="194" t="s">
        <v>3224</v>
      </c>
      <c r="AT51" s="195" t="s">
        <v>3225</v>
      </c>
      <c r="AU51" s="195" t="s">
        <v>2946</v>
      </c>
      <c r="AV51" s="192">
        <v>14993694</v>
      </c>
      <c r="AW51" s="181">
        <v>54.9</v>
      </c>
      <c r="AX51" s="179">
        <v>81119</v>
      </c>
      <c r="AY51" s="179" t="s">
        <v>3226</v>
      </c>
    </row>
    <row r="52" spans="1:51" ht="14.4" x14ac:dyDescent="0.3">
      <c r="A52" s="179" t="s">
        <v>1775</v>
      </c>
      <c r="B52" s="179" t="s">
        <v>2927</v>
      </c>
      <c r="C52" s="180" t="s">
        <v>3227</v>
      </c>
      <c r="D52" s="181" t="s">
        <v>2853</v>
      </c>
      <c r="E52" s="181" t="s">
        <v>2825</v>
      </c>
      <c r="F52" s="182" t="s">
        <v>2929</v>
      </c>
      <c r="G52" s="181" t="s">
        <v>12</v>
      </c>
      <c r="H52" s="193" t="s">
        <v>2930</v>
      </c>
      <c r="I52" s="184"/>
      <c r="J52" s="179" t="s">
        <v>3228</v>
      </c>
      <c r="K52" s="179">
        <v>150</v>
      </c>
      <c r="L52" s="179" t="s">
        <v>2965</v>
      </c>
      <c r="M52" s="185"/>
      <c r="N52" s="185"/>
      <c r="O52" s="186"/>
      <c r="P52" s="185"/>
      <c r="Q52" s="182" t="s">
        <v>2934</v>
      </c>
      <c r="R52" s="182" t="s">
        <v>2933</v>
      </c>
      <c r="S52" s="182" t="s">
        <v>2952</v>
      </c>
      <c r="T52" s="179" t="s">
        <v>2953</v>
      </c>
      <c r="U52" s="179" t="s">
        <v>2937</v>
      </c>
      <c r="V52" s="179">
        <v>1815</v>
      </c>
      <c r="W52" s="179" t="s">
        <v>3140</v>
      </c>
      <c r="X52" s="188">
        <v>238.94040000000001</v>
      </c>
      <c r="Y52" s="188">
        <v>166.1328</v>
      </c>
      <c r="Z52" s="188">
        <v>106.74300000000001</v>
      </c>
      <c r="AA52" s="188">
        <v>61.824000000000005</v>
      </c>
      <c r="AB52" s="188">
        <v>7.7280000000000006</v>
      </c>
      <c r="AC52" s="188">
        <v>35.144999999999996</v>
      </c>
      <c r="AD52" s="179" t="s">
        <v>2984</v>
      </c>
      <c r="AE52" s="188" t="s">
        <v>2940</v>
      </c>
      <c r="AF52" s="189">
        <v>0.29166666666666669</v>
      </c>
      <c r="AG52" s="189">
        <v>0.91666666666666663</v>
      </c>
      <c r="AH52" s="190" t="s">
        <v>2941</v>
      </c>
      <c r="AI52" s="190" t="s">
        <v>2942</v>
      </c>
      <c r="AJ52" s="179" t="s">
        <v>1773</v>
      </c>
      <c r="AK52" s="179" t="s">
        <v>3229</v>
      </c>
      <c r="AL52" s="179" t="s">
        <v>9</v>
      </c>
      <c r="AM52" s="179" t="s">
        <v>3230</v>
      </c>
      <c r="AN52" s="179" t="s">
        <v>2102</v>
      </c>
      <c r="AO52" s="179" t="s">
        <v>2380</v>
      </c>
      <c r="AP52" s="191">
        <v>81139001237</v>
      </c>
      <c r="AQ52" s="184">
        <v>39994</v>
      </c>
      <c r="AR52" s="179">
        <v>205</v>
      </c>
      <c r="AS52" s="194">
        <v>42583</v>
      </c>
      <c r="AT52" s="195" t="s">
        <v>3231</v>
      </c>
      <c r="AU52" s="195" t="s">
        <v>3232</v>
      </c>
      <c r="AV52" s="192">
        <v>13300000</v>
      </c>
      <c r="AW52" s="181">
        <v>7</v>
      </c>
      <c r="AX52" s="179">
        <v>80352</v>
      </c>
      <c r="AY52" s="179" t="s">
        <v>3233</v>
      </c>
    </row>
    <row r="53" spans="1:51" ht="14.4" x14ac:dyDescent="0.3">
      <c r="A53" s="179" t="s">
        <v>1264</v>
      </c>
      <c r="B53" s="179" t="s">
        <v>2947</v>
      </c>
      <c r="C53" s="180" t="s">
        <v>3234</v>
      </c>
      <c r="D53" s="181" t="s">
        <v>2874</v>
      </c>
      <c r="E53" s="181" t="s">
        <v>2867</v>
      </c>
      <c r="F53" s="182" t="s">
        <v>3086</v>
      </c>
      <c r="G53" s="181" t="s">
        <v>535</v>
      </c>
      <c r="H53" s="193">
        <v>44467</v>
      </c>
      <c r="I53" s="184">
        <v>44467</v>
      </c>
      <c r="J53" s="179" t="s">
        <v>3235</v>
      </c>
      <c r="K53" s="179">
        <v>70</v>
      </c>
      <c r="L53" s="179" t="s">
        <v>2965</v>
      </c>
      <c r="M53" s="185"/>
      <c r="N53" s="185" t="s">
        <v>2951</v>
      </c>
      <c r="O53" s="179" t="s">
        <v>2951</v>
      </c>
      <c r="P53" s="185" t="s">
        <v>2951</v>
      </c>
      <c r="Q53" s="182" t="s">
        <v>2934</v>
      </c>
      <c r="R53" s="182" t="s">
        <v>2933</v>
      </c>
      <c r="S53" s="182" t="s">
        <v>2952</v>
      </c>
      <c r="T53" s="179" t="s">
        <v>2999</v>
      </c>
      <c r="U53" s="179" t="s">
        <v>2954</v>
      </c>
      <c r="V53" s="179">
        <v>1871</v>
      </c>
      <c r="W53" s="179" t="s">
        <v>3236</v>
      </c>
      <c r="X53" s="188">
        <v>374.69579999999996</v>
      </c>
      <c r="Y53" s="188">
        <v>233.65779999999998</v>
      </c>
      <c r="Z53" s="188">
        <v>182.55680000000001</v>
      </c>
      <c r="AA53" s="188">
        <v>127.39999999999999</v>
      </c>
      <c r="AB53" s="188">
        <v>7.95</v>
      </c>
      <c r="AC53" s="188">
        <v>219.4384</v>
      </c>
      <c r="AD53" s="179" t="s">
        <v>2956</v>
      </c>
      <c r="AE53" s="188" t="s">
        <v>2957</v>
      </c>
      <c r="AF53" s="189">
        <v>0</v>
      </c>
      <c r="AG53" s="189">
        <v>0.99930555555555556</v>
      </c>
      <c r="AH53" s="190" t="s">
        <v>2976</v>
      </c>
      <c r="AI53" s="190" t="s">
        <v>2942</v>
      </c>
      <c r="AJ53" s="179" t="s">
        <v>879</v>
      </c>
      <c r="AK53" s="179" t="s">
        <v>2958</v>
      </c>
      <c r="AL53" s="179" t="s">
        <v>4</v>
      </c>
      <c r="AM53" s="179" t="s">
        <v>3237</v>
      </c>
      <c r="AN53" s="179" t="s">
        <v>2102</v>
      </c>
      <c r="AO53" s="179" t="s">
        <v>2800</v>
      </c>
      <c r="AP53" s="191">
        <v>81139607356</v>
      </c>
      <c r="AQ53" s="184">
        <v>40024</v>
      </c>
      <c r="AR53" s="179">
        <v>204</v>
      </c>
      <c r="AS53" s="179"/>
      <c r="AT53" s="181" t="s">
        <v>3238</v>
      </c>
      <c r="AU53" s="181" t="s">
        <v>2946</v>
      </c>
      <c r="AV53" s="192">
        <v>39344161</v>
      </c>
      <c r="AW53" s="181">
        <v>31.2</v>
      </c>
      <c r="AX53" s="179">
        <v>80114</v>
      </c>
      <c r="AY53" s="179"/>
    </row>
    <row r="54" spans="1:51" ht="14.4" x14ac:dyDescent="0.3">
      <c r="A54" s="179" t="s">
        <v>1599</v>
      </c>
      <c r="B54" s="179" t="s">
        <v>2927</v>
      </c>
      <c r="C54" s="180" t="s">
        <v>3239</v>
      </c>
      <c r="D54" s="181" t="s">
        <v>2824</v>
      </c>
      <c r="E54" s="181" t="s">
        <v>2813</v>
      </c>
      <c r="F54" s="182" t="s">
        <v>2929</v>
      </c>
      <c r="G54" s="181" t="s">
        <v>12</v>
      </c>
      <c r="H54" s="193" t="s">
        <v>2930</v>
      </c>
      <c r="I54" s="184" t="s">
        <v>2930</v>
      </c>
      <c r="J54" s="179" t="s">
        <v>3240</v>
      </c>
      <c r="K54" s="179">
        <v>250</v>
      </c>
      <c r="L54" s="179" t="s">
        <v>2950</v>
      </c>
      <c r="M54" s="185"/>
      <c r="N54" s="185"/>
      <c r="O54" s="186"/>
      <c r="P54" s="185"/>
      <c r="Q54" s="182" t="s">
        <v>2934</v>
      </c>
      <c r="R54" s="182" t="s">
        <v>2933</v>
      </c>
      <c r="S54" s="182" t="s">
        <v>2952</v>
      </c>
      <c r="T54" s="179" t="s">
        <v>2953</v>
      </c>
      <c r="U54" s="179" t="s">
        <v>2937</v>
      </c>
      <c r="V54" s="187">
        <v>1463</v>
      </c>
      <c r="W54" s="179" t="s">
        <v>2992</v>
      </c>
      <c r="X54" s="188">
        <v>240.7</v>
      </c>
      <c r="Y54" s="188">
        <v>175.7</v>
      </c>
      <c r="Z54" s="188">
        <v>115.13899999999998</v>
      </c>
      <c r="AA54" s="188">
        <v>53.349999999999994</v>
      </c>
      <c r="AB54" s="188">
        <v>19.399999999999999</v>
      </c>
      <c r="AC54" s="188">
        <v>26.532</v>
      </c>
      <c r="AD54" s="179" t="s">
        <v>2939</v>
      </c>
      <c r="AE54" s="188" t="s">
        <v>2940</v>
      </c>
      <c r="AF54" s="189">
        <v>0.29166666666666669</v>
      </c>
      <c r="AG54" s="189">
        <v>0.95833333333333337</v>
      </c>
      <c r="AH54" s="190" t="s">
        <v>2941</v>
      </c>
      <c r="AI54" s="190" t="s">
        <v>2985</v>
      </c>
      <c r="AJ54" s="179" t="s">
        <v>167</v>
      </c>
      <c r="AK54" s="179" t="s">
        <v>3241</v>
      </c>
      <c r="AL54" s="179" t="s">
        <v>9</v>
      </c>
      <c r="AM54" s="179" t="s">
        <v>3242</v>
      </c>
      <c r="AN54" s="179" t="s">
        <v>2102</v>
      </c>
      <c r="AO54" s="179" t="s">
        <v>2318</v>
      </c>
      <c r="AP54" s="191">
        <v>81139008439</v>
      </c>
      <c r="AQ54" s="184">
        <v>40025</v>
      </c>
      <c r="AR54" s="179">
        <v>204</v>
      </c>
      <c r="AS54" s="179"/>
      <c r="AT54" s="181" t="s">
        <v>3243</v>
      </c>
      <c r="AU54" s="181" t="s">
        <v>3244</v>
      </c>
      <c r="AV54" s="192">
        <v>6971632</v>
      </c>
      <c r="AW54" s="181">
        <v>40.4</v>
      </c>
      <c r="AX54" s="179">
        <v>80362</v>
      </c>
      <c r="AY54" s="179"/>
    </row>
    <row r="55" spans="1:51" ht="14.4" x14ac:dyDescent="0.3">
      <c r="A55" s="179" t="s">
        <v>1377</v>
      </c>
      <c r="B55" s="179" t="s">
        <v>2947</v>
      </c>
      <c r="C55" s="180" t="s">
        <v>3245</v>
      </c>
      <c r="D55" s="181" t="s">
        <v>2854</v>
      </c>
      <c r="E55" s="181" t="s">
        <v>2821</v>
      </c>
      <c r="F55" s="182" t="s">
        <v>2972</v>
      </c>
      <c r="G55" s="181" t="s">
        <v>17</v>
      </c>
      <c r="H55" s="193">
        <v>45632</v>
      </c>
      <c r="I55" s="184"/>
      <c r="J55" s="179" t="s">
        <v>3246</v>
      </c>
      <c r="K55" s="179">
        <v>120</v>
      </c>
      <c r="L55" s="179" t="s">
        <v>2965</v>
      </c>
      <c r="M55" s="185"/>
      <c r="N55" s="185" t="s">
        <v>2951</v>
      </c>
      <c r="O55" s="179" t="s">
        <v>2951</v>
      </c>
      <c r="P55" s="185"/>
      <c r="Q55" s="182" t="s">
        <v>2934</v>
      </c>
      <c r="R55" s="182" t="s">
        <v>2933</v>
      </c>
      <c r="S55" s="182" t="s">
        <v>2952</v>
      </c>
      <c r="T55" s="179" t="s">
        <v>2953</v>
      </c>
      <c r="U55" s="179" t="s">
        <v>2954</v>
      </c>
      <c r="V55" s="179">
        <v>1978</v>
      </c>
      <c r="W55" s="179" t="s">
        <v>2992</v>
      </c>
      <c r="X55" s="188">
        <v>256.45520000000005</v>
      </c>
      <c r="Y55" s="188">
        <v>179.02160000000003</v>
      </c>
      <c r="Z55" s="188">
        <v>152.90719999999999</v>
      </c>
      <c r="AA55" s="188">
        <v>64.160399999999996</v>
      </c>
      <c r="AB55" s="188">
        <v>13.472000000000001</v>
      </c>
      <c r="AC55" s="188">
        <v>127.6704</v>
      </c>
      <c r="AD55" s="179" t="s">
        <v>2956</v>
      </c>
      <c r="AE55" s="188" t="s">
        <v>2957</v>
      </c>
      <c r="AF55" s="189">
        <v>0</v>
      </c>
      <c r="AG55" s="189">
        <v>0.99930555555555556</v>
      </c>
      <c r="AH55" s="190" t="s">
        <v>2941</v>
      </c>
      <c r="AI55" s="190" t="s">
        <v>2942</v>
      </c>
      <c r="AJ55" s="179" t="s">
        <v>776</v>
      </c>
      <c r="AK55" s="179" t="s">
        <v>3034</v>
      </c>
      <c r="AL55" s="179" t="s">
        <v>4</v>
      </c>
      <c r="AM55" s="179" t="s">
        <v>3247</v>
      </c>
      <c r="AN55" s="179" t="s">
        <v>2102</v>
      </c>
      <c r="AO55" s="179" t="s">
        <v>2413</v>
      </c>
      <c r="AP55" s="191">
        <v>81139002524</v>
      </c>
      <c r="AQ55" s="184">
        <v>40053</v>
      </c>
      <c r="AR55" s="179">
        <v>204</v>
      </c>
      <c r="AS55" s="179"/>
      <c r="AT55" s="181" t="s">
        <v>3248</v>
      </c>
      <c r="AU55" s="181" t="s">
        <v>2946</v>
      </c>
      <c r="AV55" s="192">
        <v>29586685</v>
      </c>
      <c r="AW55" s="181">
        <v>15</v>
      </c>
      <c r="AX55" s="179">
        <v>80115</v>
      </c>
      <c r="AY55" s="179"/>
    </row>
    <row r="56" spans="1:51" ht="14.4" x14ac:dyDescent="0.3">
      <c r="A56" s="179" t="s">
        <v>1051</v>
      </c>
      <c r="B56" s="179" t="s">
        <v>2947</v>
      </c>
      <c r="C56" s="180" t="s">
        <v>3249</v>
      </c>
      <c r="D56" s="181" t="s">
        <v>2820</v>
      </c>
      <c r="E56" s="181" t="s">
        <v>2819</v>
      </c>
      <c r="F56" s="182" t="s">
        <v>2929</v>
      </c>
      <c r="G56" s="181" t="s">
        <v>12</v>
      </c>
      <c r="H56" s="193">
        <v>43771</v>
      </c>
      <c r="I56" s="184">
        <v>43771</v>
      </c>
      <c r="J56" s="179" t="s">
        <v>3250</v>
      </c>
      <c r="K56" s="179">
        <v>100</v>
      </c>
      <c r="L56" s="179" t="s">
        <v>2965</v>
      </c>
      <c r="M56" s="185"/>
      <c r="N56" s="185"/>
      <c r="O56" s="186"/>
      <c r="P56" s="185" t="s">
        <v>2951</v>
      </c>
      <c r="Q56" s="182" t="s">
        <v>2934</v>
      </c>
      <c r="R56" s="182" t="s">
        <v>2933</v>
      </c>
      <c r="S56" s="182" t="s">
        <v>2952</v>
      </c>
      <c r="T56" s="179" t="s">
        <v>2999</v>
      </c>
      <c r="U56" s="179" t="s">
        <v>2954</v>
      </c>
      <c r="V56" s="179">
        <v>1205</v>
      </c>
      <c r="W56" s="179" t="s">
        <v>3093</v>
      </c>
      <c r="X56" s="188">
        <v>203.79599999999999</v>
      </c>
      <c r="Y56" s="188">
        <v>123.012</v>
      </c>
      <c r="Z56" s="188">
        <v>114.34500000000001</v>
      </c>
      <c r="AA56" s="188">
        <v>69.498000000000005</v>
      </c>
      <c r="AB56" s="188">
        <v>8.91</v>
      </c>
      <c r="AC56" s="188">
        <v>116.42400000000001</v>
      </c>
      <c r="AD56" s="179" t="s">
        <v>2956</v>
      </c>
      <c r="AE56" s="188" t="s">
        <v>2957</v>
      </c>
      <c r="AF56" s="189">
        <v>0</v>
      </c>
      <c r="AG56" s="189">
        <v>0.99930555555555556</v>
      </c>
      <c r="AH56" s="190" t="s">
        <v>2941</v>
      </c>
      <c r="AI56" s="190" t="s">
        <v>2942</v>
      </c>
      <c r="AJ56" s="179" t="s">
        <v>192</v>
      </c>
      <c r="AK56" s="179" t="s">
        <v>2977</v>
      </c>
      <c r="AL56" s="179" t="s">
        <v>9</v>
      </c>
      <c r="AM56" s="179" t="s">
        <v>3251</v>
      </c>
      <c r="AN56" s="179" t="s">
        <v>2102</v>
      </c>
      <c r="AO56" s="179" t="s">
        <v>2788</v>
      </c>
      <c r="AP56" s="191">
        <v>81139000812</v>
      </c>
      <c r="AQ56" s="184">
        <v>40074</v>
      </c>
      <c r="AR56" s="179">
        <v>203</v>
      </c>
      <c r="AS56" s="179"/>
      <c r="AT56" s="181" t="s">
        <v>3252</v>
      </c>
      <c r="AU56" s="181" t="s">
        <v>3253</v>
      </c>
      <c r="AV56" s="192">
        <v>15225552</v>
      </c>
      <c r="AW56" s="181">
        <v>18.399999999999999</v>
      </c>
      <c r="AX56" s="179">
        <v>80363</v>
      </c>
      <c r="AY56" s="179"/>
    </row>
    <row r="57" spans="1:51" ht="14.4" x14ac:dyDescent="0.3">
      <c r="A57" s="179" t="s">
        <v>1298</v>
      </c>
      <c r="B57" s="179" t="s">
        <v>2947</v>
      </c>
      <c r="C57" s="180" t="s">
        <v>3254</v>
      </c>
      <c r="D57" s="181" t="s">
        <v>2847</v>
      </c>
      <c r="E57" s="181" t="s">
        <v>2830</v>
      </c>
      <c r="F57" s="182" t="s">
        <v>2972</v>
      </c>
      <c r="G57" s="181" t="s">
        <v>17</v>
      </c>
      <c r="H57" s="193">
        <v>45788</v>
      </c>
      <c r="I57" s="184"/>
      <c r="J57" s="179" t="s">
        <v>3255</v>
      </c>
      <c r="K57" s="179">
        <v>57</v>
      </c>
      <c r="L57" s="179" t="s">
        <v>2965</v>
      </c>
      <c r="M57" s="185"/>
      <c r="N57" s="185" t="s">
        <v>2951</v>
      </c>
      <c r="O57" s="186"/>
      <c r="P57" s="185"/>
      <c r="Q57" s="182" t="s">
        <v>2934</v>
      </c>
      <c r="R57" s="182" t="s">
        <v>2933</v>
      </c>
      <c r="S57" s="182" t="s">
        <v>2952</v>
      </c>
      <c r="T57" s="179" t="s">
        <v>2953</v>
      </c>
      <c r="U57" s="179" t="s">
        <v>2954</v>
      </c>
      <c r="V57" s="179">
        <v>1221</v>
      </c>
      <c r="W57" s="179" t="s">
        <v>3140</v>
      </c>
      <c r="X57" s="188">
        <v>345.39779999999996</v>
      </c>
      <c r="Y57" s="188">
        <v>200.8168</v>
      </c>
      <c r="Z57" s="188">
        <v>158.52960000000002</v>
      </c>
      <c r="AA57" s="188">
        <v>142.13600000000002</v>
      </c>
      <c r="AB57" s="188">
        <v>34.880000000000003</v>
      </c>
      <c r="AC57" s="188">
        <v>195.60079999999999</v>
      </c>
      <c r="AD57" s="179" t="s">
        <v>2956</v>
      </c>
      <c r="AE57" s="188" t="s">
        <v>2957</v>
      </c>
      <c r="AF57" s="189">
        <v>0.29166666666666669</v>
      </c>
      <c r="AG57" s="189">
        <v>0.91666666666666663</v>
      </c>
      <c r="AH57" s="190" t="s">
        <v>2941</v>
      </c>
      <c r="AI57" s="190" t="s">
        <v>2985</v>
      </c>
      <c r="AJ57" s="179" t="s">
        <v>536</v>
      </c>
      <c r="AK57" s="179" t="s">
        <v>3256</v>
      </c>
      <c r="AL57" s="179" t="s">
        <v>4</v>
      </c>
      <c r="AM57" s="179" t="s">
        <v>3257</v>
      </c>
      <c r="AN57" s="179" t="s">
        <v>2102</v>
      </c>
      <c r="AO57" s="179" t="s">
        <v>2789</v>
      </c>
      <c r="AP57" s="191">
        <v>81139002213</v>
      </c>
      <c r="AQ57" s="184">
        <v>40085</v>
      </c>
      <c r="AR57" s="179">
        <v>202</v>
      </c>
      <c r="AS57" s="179"/>
      <c r="AT57" s="181" t="s">
        <v>3258</v>
      </c>
      <c r="AU57" s="181" t="s">
        <v>3259</v>
      </c>
      <c r="AV57" s="192">
        <v>23398008</v>
      </c>
      <c r="AW57" s="181">
        <v>26.4</v>
      </c>
      <c r="AX57" s="179">
        <v>80225</v>
      </c>
      <c r="AY57" s="179"/>
    </row>
    <row r="58" spans="1:51" ht="14.4" x14ac:dyDescent="0.3">
      <c r="A58" s="179" t="s">
        <v>1330</v>
      </c>
      <c r="B58" s="179" t="s">
        <v>2947</v>
      </c>
      <c r="C58" s="180" t="s">
        <v>3260</v>
      </c>
      <c r="D58" s="181" t="s">
        <v>2818</v>
      </c>
      <c r="E58" s="181" t="s">
        <v>2817</v>
      </c>
      <c r="F58" s="182" t="s">
        <v>2929</v>
      </c>
      <c r="G58" s="181" t="s">
        <v>12</v>
      </c>
      <c r="H58" s="193">
        <v>45087</v>
      </c>
      <c r="I58" s="184"/>
      <c r="J58" s="179" t="s">
        <v>3261</v>
      </c>
      <c r="K58" s="179">
        <v>450</v>
      </c>
      <c r="L58" s="179" t="s">
        <v>3026</v>
      </c>
      <c r="M58" s="185"/>
      <c r="N58" s="185"/>
      <c r="O58" s="186"/>
      <c r="P58" s="185" t="s">
        <v>2951</v>
      </c>
      <c r="Q58" s="182" t="s">
        <v>2934</v>
      </c>
      <c r="R58" s="182" t="s">
        <v>2933</v>
      </c>
      <c r="S58" s="182" t="s">
        <v>2952</v>
      </c>
      <c r="T58" s="179" t="s">
        <v>2974</v>
      </c>
      <c r="U58" s="179" t="s">
        <v>2954</v>
      </c>
      <c r="V58" s="179">
        <v>1470</v>
      </c>
      <c r="W58" s="179" t="s">
        <v>2992</v>
      </c>
      <c r="X58" s="188">
        <v>308.93520000000001</v>
      </c>
      <c r="Y58" s="188">
        <v>230.51</v>
      </c>
      <c r="Z58" s="188">
        <v>139.33459999999999</v>
      </c>
      <c r="AA58" s="188">
        <v>72.727199999999996</v>
      </c>
      <c r="AB58" s="188">
        <v>18.718</v>
      </c>
      <c r="AC58" s="188">
        <v>47.443499999999993</v>
      </c>
      <c r="AD58" s="179" t="s">
        <v>2984</v>
      </c>
      <c r="AE58" s="188" t="s">
        <v>2940</v>
      </c>
      <c r="AF58" s="189">
        <v>0.29166666666666669</v>
      </c>
      <c r="AG58" s="189">
        <v>0.95833333333333337</v>
      </c>
      <c r="AH58" s="190" t="s">
        <v>2941</v>
      </c>
      <c r="AI58" s="190" t="s">
        <v>2985</v>
      </c>
      <c r="AJ58" s="179" t="s">
        <v>373</v>
      </c>
      <c r="AK58" s="179" t="s">
        <v>3256</v>
      </c>
      <c r="AL58" s="179" t="s">
        <v>4</v>
      </c>
      <c r="AM58" s="179" t="s">
        <v>3262</v>
      </c>
      <c r="AN58" s="179" t="s">
        <v>2102</v>
      </c>
      <c r="AO58" s="179" t="s">
        <v>2736</v>
      </c>
      <c r="AP58" s="191">
        <v>81139001228</v>
      </c>
      <c r="AQ58" s="184">
        <v>40109</v>
      </c>
      <c r="AR58" s="179">
        <v>202</v>
      </c>
      <c r="AS58" s="179"/>
      <c r="AT58" s="181" t="s">
        <v>3263</v>
      </c>
      <c r="AU58" s="181" t="s">
        <v>3264</v>
      </c>
      <c r="AV58" s="192">
        <v>20461996</v>
      </c>
      <c r="AW58" s="181">
        <v>26.5</v>
      </c>
      <c r="AX58" s="179">
        <v>80223</v>
      </c>
      <c r="AY58" s="179"/>
    </row>
    <row r="59" spans="1:51" ht="14.4" x14ac:dyDescent="0.3">
      <c r="A59" s="179" t="s">
        <v>1625</v>
      </c>
      <c r="B59" s="179" t="s">
        <v>2947</v>
      </c>
      <c r="C59" s="180" t="s">
        <v>3265</v>
      </c>
      <c r="D59" s="181" t="s">
        <v>2847</v>
      </c>
      <c r="E59" s="181" t="s">
        <v>2830</v>
      </c>
      <c r="F59" s="182" t="s">
        <v>2972</v>
      </c>
      <c r="G59" s="181" t="s">
        <v>17</v>
      </c>
      <c r="H59" s="193">
        <v>45087</v>
      </c>
      <c r="I59" s="184"/>
      <c r="J59" s="179" t="s">
        <v>3266</v>
      </c>
      <c r="K59" s="179">
        <v>400</v>
      </c>
      <c r="L59" s="179" t="s">
        <v>2950</v>
      </c>
      <c r="M59" s="185"/>
      <c r="N59" s="185"/>
      <c r="O59" s="179" t="s">
        <v>2951</v>
      </c>
      <c r="P59" s="185"/>
      <c r="Q59" s="182" t="s">
        <v>2934</v>
      </c>
      <c r="R59" s="182" t="s">
        <v>2933</v>
      </c>
      <c r="S59" s="182" t="s">
        <v>2952</v>
      </c>
      <c r="T59" s="179" t="s">
        <v>2999</v>
      </c>
      <c r="U59" s="179" t="s">
        <v>2954</v>
      </c>
      <c r="V59" s="179">
        <v>1544</v>
      </c>
      <c r="W59" s="179" t="s">
        <v>3140</v>
      </c>
      <c r="X59" s="188">
        <v>342.98879999999997</v>
      </c>
      <c r="Y59" s="188">
        <v>211.60719999999998</v>
      </c>
      <c r="Z59" s="188">
        <v>140.2347</v>
      </c>
      <c r="AA59" s="188">
        <v>109.13279999999999</v>
      </c>
      <c r="AB59" s="188">
        <v>10.329000000000001</v>
      </c>
      <c r="AC59" s="188">
        <v>93.267500000000013</v>
      </c>
      <c r="AD59" s="179" t="s">
        <v>2956</v>
      </c>
      <c r="AE59" s="188" t="s">
        <v>3017</v>
      </c>
      <c r="AF59" s="189">
        <v>0</v>
      </c>
      <c r="AG59" s="189">
        <v>0.99930555555555556</v>
      </c>
      <c r="AH59" s="190" t="s">
        <v>2976</v>
      </c>
      <c r="AI59" s="190" t="s">
        <v>2985</v>
      </c>
      <c r="AJ59" s="179" t="s">
        <v>536</v>
      </c>
      <c r="AK59" s="179" t="s">
        <v>3256</v>
      </c>
      <c r="AL59" s="179" t="s">
        <v>4</v>
      </c>
      <c r="AM59" s="179" t="s">
        <v>3267</v>
      </c>
      <c r="AN59" s="179" t="s">
        <v>2102</v>
      </c>
      <c r="AO59" s="179" t="s">
        <v>2439</v>
      </c>
      <c r="AP59" s="191">
        <v>8113890532</v>
      </c>
      <c r="AQ59" s="184">
        <v>40112</v>
      </c>
      <c r="AR59" s="179">
        <v>202</v>
      </c>
      <c r="AS59" s="179"/>
      <c r="AT59" s="181" t="s">
        <v>3268</v>
      </c>
      <c r="AU59" s="181" t="s">
        <v>3269</v>
      </c>
      <c r="AV59" s="192">
        <v>39869036</v>
      </c>
      <c r="AW59" s="181">
        <v>27.9</v>
      </c>
      <c r="AX59" s="179">
        <v>80225</v>
      </c>
      <c r="AY59" s="179"/>
    </row>
    <row r="60" spans="1:51" ht="14.4" x14ac:dyDescent="0.3">
      <c r="A60" s="179" t="s">
        <v>200</v>
      </c>
      <c r="B60" s="179" t="s">
        <v>2947</v>
      </c>
      <c r="C60" s="180" t="s">
        <v>3270</v>
      </c>
      <c r="D60" s="181" t="s">
        <v>2856</v>
      </c>
      <c r="E60" s="181" t="s">
        <v>2819</v>
      </c>
      <c r="F60" s="182" t="s">
        <v>2929</v>
      </c>
      <c r="G60" s="181" t="s">
        <v>12</v>
      </c>
      <c r="H60" s="193">
        <v>44075</v>
      </c>
      <c r="I60" s="184">
        <v>44075</v>
      </c>
      <c r="J60" s="179" t="s">
        <v>3271</v>
      </c>
      <c r="K60" s="179">
        <v>65</v>
      </c>
      <c r="L60" s="179" t="s">
        <v>2965</v>
      </c>
      <c r="M60" s="185"/>
      <c r="N60" s="185"/>
      <c r="O60" s="186"/>
      <c r="P60" s="185"/>
      <c r="Q60" s="182" t="s">
        <v>2934</v>
      </c>
      <c r="R60" s="182" t="s">
        <v>2933</v>
      </c>
      <c r="S60" s="182" t="s">
        <v>2952</v>
      </c>
      <c r="T60" s="179" t="s">
        <v>2999</v>
      </c>
      <c r="U60" s="179" t="s">
        <v>2954</v>
      </c>
      <c r="V60" s="179">
        <v>1195</v>
      </c>
      <c r="W60" s="179" t="s">
        <v>3140</v>
      </c>
      <c r="X60" s="188">
        <v>260.79860000000002</v>
      </c>
      <c r="Y60" s="188">
        <v>168.9298</v>
      </c>
      <c r="Z60" s="188">
        <v>120.65759999999999</v>
      </c>
      <c r="AA60" s="188">
        <v>78.048699999999997</v>
      </c>
      <c r="AB60" s="188">
        <v>26.535</v>
      </c>
      <c r="AC60" s="188">
        <v>54.073599999999999</v>
      </c>
      <c r="AD60" s="179" t="s">
        <v>2984</v>
      </c>
      <c r="AE60" s="188" t="s">
        <v>2957</v>
      </c>
      <c r="AF60" s="189">
        <v>0.29166666666666669</v>
      </c>
      <c r="AG60" s="189">
        <v>0.95833333333333337</v>
      </c>
      <c r="AH60" s="190" t="s">
        <v>2941</v>
      </c>
      <c r="AI60" s="190" t="s">
        <v>2942</v>
      </c>
      <c r="AJ60" s="179" t="s">
        <v>198</v>
      </c>
      <c r="AK60" s="179" t="s">
        <v>2977</v>
      </c>
      <c r="AL60" s="179" t="s">
        <v>9</v>
      </c>
      <c r="AM60" s="179" t="s">
        <v>3272</v>
      </c>
      <c r="AN60" s="179" t="s">
        <v>2102</v>
      </c>
      <c r="AO60" s="179" t="s">
        <v>2465</v>
      </c>
      <c r="AP60" s="191">
        <v>81139002324</v>
      </c>
      <c r="AQ60" s="184">
        <v>40147</v>
      </c>
      <c r="AR60" s="179">
        <v>200</v>
      </c>
      <c r="AS60" s="179"/>
      <c r="AT60" s="198" t="s">
        <v>3273</v>
      </c>
      <c r="AU60" s="181" t="s">
        <v>2946</v>
      </c>
      <c r="AV60" s="192">
        <v>17608201</v>
      </c>
      <c r="AW60" s="181">
        <v>22</v>
      </c>
      <c r="AX60" s="179">
        <v>80363</v>
      </c>
      <c r="AY60" s="179"/>
    </row>
    <row r="61" spans="1:51" ht="14.4" x14ac:dyDescent="0.3">
      <c r="A61" s="179" t="s">
        <v>881</v>
      </c>
      <c r="B61" s="179" t="s">
        <v>2947</v>
      </c>
      <c r="C61" s="180" t="s">
        <v>3274</v>
      </c>
      <c r="D61" s="181" t="s">
        <v>2874</v>
      </c>
      <c r="E61" s="181" t="s">
        <v>2867</v>
      </c>
      <c r="F61" s="182" t="s">
        <v>2972</v>
      </c>
      <c r="G61" s="181" t="s">
        <v>17</v>
      </c>
      <c r="H61" s="193">
        <v>45087</v>
      </c>
      <c r="I61" s="184"/>
      <c r="J61" s="179" t="s">
        <v>3275</v>
      </c>
      <c r="K61" s="179">
        <v>430</v>
      </c>
      <c r="L61" s="179" t="s">
        <v>3026</v>
      </c>
      <c r="M61" s="185"/>
      <c r="N61" s="185"/>
      <c r="O61" s="179" t="s">
        <v>2951</v>
      </c>
      <c r="P61" s="185"/>
      <c r="Q61" s="182" t="s">
        <v>2933</v>
      </c>
      <c r="R61" s="182" t="s">
        <v>2934</v>
      </c>
      <c r="S61" s="182" t="s">
        <v>2952</v>
      </c>
      <c r="T61" s="179" t="s">
        <v>2999</v>
      </c>
      <c r="U61" s="179" t="s">
        <v>2954</v>
      </c>
      <c r="V61" s="187">
        <v>1553</v>
      </c>
      <c r="W61" s="179" t="s">
        <v>2938</v>
      </c>
      <c r="X61" s="188">
        <v>295.93799999999999</v>
      </c>
      <c r="Y61" s="188">
        <v>191.19540000000001</v>
      </c>
      <c r="Z61" s="188">
        <v>139.66560000000001</v>
      </c>
      <c r="AA61" s="188">
        <v>105.74560000000001</v>
      </c>
      <c r="AB61" s="188">
        <v>12.16</v>
      </c>
      <c r="AC61" s="188">
        <v>64.847999999999999</v>
      </c>
      <c r="AD61" s="179" t="s">
        <v>2956</v>
      </c>
      <c r="AE61" s="188" t="s">
        <v>3017</v>
      </c>
      <c r="AF61" s="189">
        <v>0</v>
      </c>
      <c r="AG61" s="189">
        <v>0.99930555555555556</v>
      </c>
      <c r="AH61" s="190" t="s">
        <v>2941</v>
      </c>
      <c r="AI61" s="190" t="s">
        <v>2942</v>
      </c>
      <c r="AJ61" s="179" t="s">
        <v>879</v>
      </c>
      <c r="AK61" s="179" t="s">
        <v>2958</v>
      </c>
      <c r="AL61" s="179" t="s">
        <v>4</v>
      </c>
      <c r="AM61" s="179" t="s">
        <v>3276</v>
      </c>
      <c r="AN61" s="179" t="s">
        <v>2102</v>
      </c>
      <c r="AO61" s="179" t="s">
        <v>2498</v>
      </c>
      <c r="AP61" s="191">
        <v>8113890544</v>
      </c>
      <c r="AQ61" s="184">
        <v>40169</v>
      </c>
      <c r="AR61" s="179">
        <v>200</v>
      </c>
      <c r="AS61" s="179"/>
      <c r="AT61" s="181" t="s">
        <v>3277</v>
      </c>
      <c r="AU61" s="181" t="s">
        <v>3278</v>
      </c>
      <c r="AV61" s="192">
        <v>32951067</v>
      </c>
      <c r="AW61" s="181">
        <v>31.3</v>
      </c>
      <c r="AX61" s="179">
        <v>80114</v>
      </c>
      <c r="AY61" s="179"/>
    </row>
    <row r="62" spans="1:51" ht="14.4" x14ac:dyDescent="0.3">
      <c r="A62" s="179" t="s">
        <v>273</v>
      </c>
      <c r="B62" s="179" t="s">
        <v>2947</v>
      </c>
      <c r="C62" s="180" t="s">
        <v>3279</v>
      </c>
      <c r="D62" s="181" t="s">
        <v>2846</v>
      </c>
      <c r="E62" s="181" t="s">
        <v>2821</v>
      </c>
      <c r="F62" s="182" t="s">
        <v>2929</v>
      </c>
      <c r="G62" s="181" t="s">
        <v>12</v>
      </c>
      <c r="H62" s="193" t="s">
        <v>2930</v>
      </c>
      <c r="I62" s="184" t="s">
        <v>2930</v>
      </c>
      <c r="J62" s="179" t="s">
        <v>3280</v>
      </c>
      <c r="K62" s="179">
        <v>12</v>
      </c>
      <c r="L62" s="179" t="s">
        <v>2965</v>
      </c>
      <c r="M62" s="185"/>
      <c r="N62" s="185" t="s">
        <v>2951</v>
      </c>
      <c r="O62" s="186"/>
      <c r="P62" s="185"/>
      <c r="Q62" s="182" t="s">
        <v>2933</v>
      </c>
      <c r="R62" s="182" t="s">
        <v>2934</v>
      </c>
      <c r="S62" s="182" t="s">
        <v>2952</v>
      </c>
      <c r="T62" s="179" t="s">
        <v>2953</v>
      </c>
      <c r="U62" s="179" t="s">
        <v>2954</v>
      </c>
      <c r="V62" s="187">
        <v>1541</v>
      </c>
      <c r="W62" s="179" t="s">
        <v>2955</v>
      </c>
      <c r="X62" s="188">
        <v>242.00800000000001</v>
      </c>
      <c r="Y62" s="188">
        <v>173.26400000000001</v>
      </c>
      <c r="Z62" s="188">
        <v>107.565</v>
      </c>
      <c r="AA62" s="188">
        <v>58.782000000000004</v>
      </c>
      <c r="AB62" s="188">
        <v>4.0430000000000001</v>
      </c>
      <c r="AC62" s="188">
        <v>52.620999999999995</v>
      </c>
      <c r="AD62" s="179" t="s">
        <v>2984</v>
      </c>
      <c r="AE62" s="188" t="s">
        <v>2940</v>
      </c>
      <c r="AF62" s="189">
        <v>0.29166666666666669</v>
      </c>
      <c r="AG62" s="189">
        <v>0.91666666666666663</v>
      </c>
      <c r="AH62" s="190" t="s">
        <v>2941</v>
      </c>
      <c r="AI62" s="190" t="s">
        <v>2942</v>
      </c>
      <c r="AJ62" s="179" t="s">
        <v>271</v>
      </c>
      <c r="AK62" s="179" t="s">
        <v>3281</v>
      </c>
      <c r="AL62" s="179" t="s">
        <v>36</v>
      </c>
      <c r="AM62" s="179" t="s">
        <v>3282</v>
      </c>
      <c r="AN62" s="179" t="s">
        <v>2102</v>
      </c>
      <c r="AO62" s="179" t="s">
        <v>2708</v>
      </c>
      <c r="AP62" s="191">
        <v>81139001107</v>
      </c>
      <c r="AQ62" s="184">
        <v>40204</v>
      </c>
      <c r="AR62" s="179">
        <v>199</v>
      </c>
      <c r="AS62" s="194" t="s">
        <v>3283</v>
      </c>
      <c r="AT62" s="195" t="s">
        <v>3284</v>
      </c>
      <c r="AU62" s="181" t="s">
        <v>2946</v>
      </c>
      <c r="AV62" s="192">
        <v>12015238</v>
      </c>
      <c r="AW62" s="181">
        <v>20.5</v>
      </c>
      <c r="AX62" s="179">
        <v>82161</v>
      </c>
      <c r="AY62" s="179" t="s">
        <v>3285</v>
      </c>
    </row>
    <row r="63" spans="1:51" ht="14.4" x14ac:dyDescent="0.3">
      <c r="A63" s="179" t="s">
        <v>1094</v>
      </c>
      <c r="B63" s="179" t="s">
        <v>2947</v>
      </c>
      <c r="C63" s="180" t="s">
        <v>3286</v>
      </c>
      <c r="D63" s="181" t="s">
        <v>2846</v>
      </c>
      <c r="E63" s="181" t="s">
        <v>2821</v>
      </c>
      <c r="F63" s="182" t="s">
        <v>2929</v>
      </c>
      <c r="G63" s="181" t="s">
        <v>12</v>
      </c>
      <c r="H63" s="193" t="s">
        <v>2930</v>
      </c>
      <c r="I63" s="184" t="s">
        <v>2930</v>
      </c>
      <c r="J63" s="179" t="s">
        <v>3287</v>
      </c>
      <c r="K63" s="179">
        <v>290</v>
      </c>
      <c r="L63" s="179" t="s">
        <v>2950</v>
      </c>
      <c r="M63" s="185"/>
      <c r="N63" s="185" t="s">
        <v>2951</v>
      </c>
      <c r="O63" s="186"/>
      <c r="P63" s="185" t="s">
        <v>2951</v>
      </c>
      <c r="Q63" s="182" t="s">
        <v>2933</v>
      </c>
      <c r="R63" s="182" t="s">
        <v>2934</v>
      </c>
      <c r="S63" s="182" t="s">
        <v>2952</v>
      </c>
      <c r="T63" s="179" t="s">
        <v>2999</v>
      </c>
      <c r="U63" s="179" t="s">
        <v>2954</v>
      </c>
      <c r="V63" s="187">
        <v>1297</v>
      </c>
      <c r="W63" s="179" t="s">
        <v>3140</v>
      </c>
      <c r="X63" s="188">
        <v>248.42280000000002</v>
      </c>
      <c r="Y63" s="188">
        <v>155.87880000000001</v>
      </c>
      <c r="Z63" s="188">
        <v>104.01559999999999</v>
      </c>
      <c r="AA63" s="188">
        <v>92.543999999999997</v>
      </c>
      <c r="AB63" s="188">
        <v>7.4720000000000004</v>
      </c>
      <c r="AC63" s="188">
        <v>63.018700000000003</v>
      </c>
      <c r="AD63" s="179" t="s">
        <v>2956</v>
      </c>
      <c r="AE63" s="188" t="s">
        <v>2957</v>
      </c>
      <c r="AF63" s="189">
        <v>0.29166666666666669</v>
      </c>
      <c r="AG63" s="189">
        <v>0.91666666666666663</v>
      </c>
      <c r="AH63" s="190" t="s">
        <v>2941</v>
      </c>
      <c r="AI63" s="190" t="s">
        <v>2942</v>
      </c>
      <c r="AJ63" s="179" t="s">
        <v>186</v>
      </c>
      <c r="AK63" s="179" t="s">
        <v>36</v>
      </c>
      <c r="AL63" s="179" t="s">
        <v>36</v>
      </c>
      <c r="AM63" s="179" t="s">
        <v>3288</v>
      </c>
      <c r="AN63" s="179" t="s">
        <v>2102</v>
      </c>
      <c r="AO63" s="179" t="s">
        <v>2531</v>
      </c>
      <c r="AP63" s="191">
        <v>81139000847</v>
      </c>
      <c r="AQ63" s="184">
        <v>40232</v>
      </c>
      <c r="AR63" s="179">
        <v>198</v>
      </c>
      <c r="AS63" s="194">
        <v>42583</v>
      </c>
      <c r="AT63" s="195"/>
      <c r="AU63" s="195"/>
      <c r="AV63" s="192">
        <v>8671000</v>
      </c>
      <c r="AW63" s="181">
        <v>14.3</v>
      </c>
      <c r="AX63" s="179">
        <v>82111</v>
      </c>
      <c r="AY63" s="179" t="s">
        <v>3289</v>
      </c>
    </row>
    <row r="64" spans="1:51" ht="14.4" x14ac:dyDescent="0.3">
      <c r="A64" s="179" t="s">
        <v>133</v>
      </c>
      <c r="B64" s="179" t="s">
        <v>2947</v>
      </c>
      <c r="C64" s="180" t="s">
        <v>3290</v>
      </c>
      <c r="D64" s="181" t="s">
        <v>2871</v>
      </c>
      <c r="E64" s="181" t="s">
        <v>2813</v>
      </c>
      <c r="F64" s="182" t="s">
        <v>2929</v>
      </c>
      <c r="G64" s="181" t="s">
        <v>12</v>
      </c>
      <c r="H64" s="193" t="s">
        <v>2930</v>
      </c>
      <c r="I64" s="184"/>
      <c r="J64" s="179" t="s">
        <v>3291</v>
      </c>
      <c r="K64" s="179">
        <v>120</v>
      </c>
      <c r="L64" s="179" t="s">
        <v>2950</v>
      </c>
      <c r="M64" s="185"/>
      <c r="N64" s="185"/>
      <c r="O64" s="186"/>
      <c r="P64" s="185"/>
      <c r="Q64" s="182" t="s">
        <v>2933</v>
      </c>
      <c r="R64" s="182" t="s">
        <v>2934</v>
      </c>
      <c r="S64" s="182" t="s">
        <v>2952</v>
      </c>
      <c r="T64" s="179" t="s">
        <v>2999</v>
      </c>
      <c r="U64" s="179" t="s">
        <v>2954</v>
      </c>
      <c r="V64" s="187">
        <v>1517</v>
      </c>
      <c r="W64" s="179" t="s">
        <v>3292</v>
      </c>
      <c r="X64" s="188">
        <v>192.65989999999999</v>
      </c>
      <c r="Y64" s="188">
        <v>115.38789999999999</v>
      </c>
      <c r="Z64" s="188">
        <v>78.028999999999996</v>
      </c>
      <c r="AA64" s="188">
        <v>67.106000000000009</v>
      </c>
      <c r="AB64" s="188">
        <v>5.3959999999999999</v>
      </c>
      <c r="AC64" s="188">
        <v>12.834000000000001</v>
      </c>
      <c r="AD64" s="179" t="s">
        <v>2939</v>
      </c>
      <c r="AE64" s="188" t="s">
        <v>2940</v>
      </c>
      <c r="AF64" s="189">
        <v>0.29166666666666669</v>
      </c>
      <c r="AG64" s="189">
        <v>0.95833333333333337</v>
      </c>
      <c r="AH64" s="190" t="s">
        <v>2941</v>
      </c>
      <c r="AI64" s="190" t="s">
        <v>2942</v>
      </c>
      <c r="AJ64" s="179" t="s">
        <v>131</v>
      </c>
      <c r="AK64" s="179" t="s">
        <v>3293</v>
      </c>
      <c r="AL64" s="179" t="s">
        <v>9</v>
      </c>
      <c r="AM64" s="179" t="s">
        <v>3294</v>
      </c>
      <c r="AN64" s="179" t="s">
        <v>2102</v>
      </c>
      <c r="AO64" s="179" t="s">
        <v>2573</v>
      </c>
      <c r="AP64" s="191">
        <v>81139008144</v>
      </c>
      <c r="AQ64" s="184">
        <v>40235</v>
      </c>
      <c r="AR64" s="179">
        <v>198</v>
      </c>
      <c r="AS64" s="179"/>
      <c r="AT64" s="181" t="s">
        <v>3295</v>
      </c>
      <c r="AU64" s="181" t="s">
        <v>2946</v>
      </c>
      <c r="AV64" s="192">
        <v>7920000</v>
      </c>
      <c r="AW64" s="181">
        <v>31</v>
      </c>
      <c r="AX64" s="179">
        <v>80361</v>
      </c>
      <c r="AY64" s="179"/>
    </row>
    <row r="65" spans="1:51" ht="14.4" x14ac:dyDescent="0.3">
      <c r="A65" s="179" t="s">
        <v>61</v>
      </c>
      <c r="B65" s="179" t="s">
        <v>2947</v>
      </c>
      <c r="C65" s="180" t="s">
        <v>3296</v>
      </c>
      <c r="D65" s="181" t="s">
        <v>2844</v>
      </c>
      <c r="E65" s="181" t="s">
        <v>2834</v>
      </c>
      <c r="F65" s="182" t="s">
        <v>2972</v>
      </c>
      <c r="G65" s="181" t="s">
        <v>17</v>
      </c>
      <c r="H65" s="193">
        <v>45475</v>
      </c>
      <c r="I65" s="184"/>
      <c r="J65" s="179" t="s">
        <v>3008</v>
      </c>
      <c r="K65" s="179" t="s">
        <v>3008</v>
      </c>
      <c r="L65" s="179" t="s">
        <v>2932</v>
      </c>
      <c r="M65" s="185"/>
      <c r="N65" s="185" t="s">
        <v>2951</v>
      </c>
      <c r="O65" s="186"/>
      <c r="P65" s="185"/>
      <c r="Q65" s="182" t="s">
        <v>2934</v>
      </c>
      <c r="R65" s="182" t="s">
        <v>2933</v>
      </c>
      <c r="S65" s="182" t="s">
        <v>2952</v>
      </c>
      <c r="T65" s="179" t="s">
        <v>2953</v>
      </c>
      <c r="U65" s="179" t="s">
        <v>2954</v>
      </c>
      <c r="V65" s="179">
        <v>1768</v>
      </c>
      <c r="W65" s="179" t="s">
        <v>3140</v>
      </c>
      <c r="X65" s="188">
        <v>418.96479999999997</v>
      </c>
      <c r="Y65" s="188">
        <v>272.69279999999998</v>
      </c>
      <c r="Z65" s="188">
        <v>127.6</v>
      </c>
      <c r="AA65" s="188">
        <v>136.40439999999998</v>
      </c>
      <c r="AB65" s="188">
        <v>25.52</v>
      </c>
      <c r="AC65" s="188">
        <v>109.09800000000001</v>
      </c>
      <c r="AD65" s="179" t="s">
        <v>2956</v>
      </c>
      <c r="AE65" s="188" t="s">
        <v>2940</v>
      </c>
      <c r="AF65" s="189">
        <v>0.29166666666666669</v>
      </c>
      <c r="AG65" s="189">
        <v>0.91666666666666663</v>
      </c>
      <c r="AH65" s="190" t="s">
        <v>2941</v>
      </c>
      <c r="AI65" s="190" t="s">
        <v>2942</v>
      </c>
      <c r="AJ65" s="179" t="s">
        <v>59</v>
      </c>
      <c r="AK65" s="179" t="s">
        <v>58</v>
      </c>
      <c r="AL65" s="179" t="s">
        <v>58</v>
      </c>
      <c r="AM65" s="179" t="s">
        <v>3297</v>
      </c>
      <c r="AN65" s="179" t="s">
        <v>2102</v>
      </c>
      <c r="AO65" s="179" t="s">
        <v>2574</v>
      </c>
      <c r="AP65" s="191">
        <v>81139009385</v>
      </c>
      <c r="AQ65" s="184">
        <v>40237</v>
      </c>
      <c r="AR65" s="179">
        <v>198</v>
      </c>
      <c r="AS65" s="179"/>
      <c r="AT65" s="181" t="s">
        <v>3298</v>
      </c>
      <c r="AU65" s="181" t="s">
        <v>2946</v>
      </c>
      <c r="AV65" s="192">
        <v>23159200</v>
      </c>
      <c r="AW65" s="181">
        <v>42.1</v>
      </c>
      <c r="AX65" s="179">
        <v>80711</v>
      </c>
      <c r="AY65" s="179"/>
    </row>
    <row r="66" spans="1:51" ht="14.4" x14ac:dyDescent="0.3">
      <c r="A66" s="179" t="s">
        <v>1184</v>
      </c>
      <c r="B66" s="179" t="s">
        <v>2947</v>
      </c>
      <c r="C66" s="180" t="s">
        <v>3299</v>
      </c>
      <c r="D66" s="181" t="s">
        <v>2826</v>
      </c>
      <c r="E66" s="181" t="s">
        <v>2825</v>
      </c>
      <c r="F66" s="182" t="s">
        <v>2929</v>
      </c>
      <c r="G66" s="181" t="s">
        <v>12</v>
      </c>
      <c r="H66" s="193">
        <v>45087</v>
      </c>
      <c r="I66" s="184"/>
      <c r="J66" s="179" t="s">
        <v>3300</v>
      </c>
      <c r="K66" s="179">
        <v>459</v>
      </c>
      <c r="L66" s="179" t="s">
        <v>3026</v>
      </c>
      <c r="M66" s="185"/>
      <c r="N66" s="185"/>
      <c r="O66" s="186"/>
      <c r="P66" s="185"/>
      <c r="Q66" s="182" t="s">
        <v>2933</v>
      </c>
      <c r="R66" s="182" t="s">
        <v>2934</v>
      </c>
      <c r="S66" s="182" t="s">
        <v>2952</v>
      </c>
      <c r="T66" s="179" t="s">
        <v>2953</v>
      </c>
      <c r="U66" s="179" t="s">
        <v>2954</v>
      </c>
      <c r="V66" s="187">
        <v>1250</v>
      </c>
      <c r="W66" s="179" t="s">
        <v>3301</v>
      </c>
      <c r="X66" s="188">
        <v>284.38920000000002</v>
      </c>
      <c r="Y66" s="188">
        <v>156.0692</v>
      </c>
      <c r="Z66" s="188">
        <v>102.82260000000001</v>
      </c>
      <c r="AA66" s="188">
        <v>87.88</v>
      </c>
      <c r="AB66" s="188">
        <v>16.375999999999998</v>
      </c>
      <c r="AC66" s="188">
        <v>50.832899999999995</v>
      </c>
      <c r="AD66" s="179" t="s">
        <v>2984</v>
      </c>
      <c r="AE66" s="188" t="s">
        <v>3017</v>
      </c>
      <c r="AF66" s="189">
        <v>0.29166666666666669</v>
      </c>
      <c r="AG66" s="189">
        <v>0.91666666666666663</v>
      </c>
      <c r="AH66" s="190" t="s">
        <v>2941</v>
      </c>
      <c r="AI66" s="190" t="s">
        <v>2942</v>
      </c>
      <c r="AJ66" s="179" t="s">
        <v>249</v>
      </c>
      <c r="AK66" s="179" t="s">
        <v>3302</v>
      </c>
      <c r="AL66" s="179" t="s">
        <v>9</v>
      </c>
      <c r="AM66" s="179" t="s">
        <v>3303</v>
      </c>
      <c r="AN66" s="179" t="s">
        <v>2102</v>
      </c>
      <c r="AO66" s="179" t="s">
        <v>2503</v>
      </c>
      <c r="AP66" s="191">
        <v>8113890569</v>
      </c>
      <c r="AQ66" s="184">
        <v>40261</v>
      </c>
      <c r="AR66" s="179">
        <v>197</v>
      </c>
      <c r="AS66" s="179"/>
      <c r="AT66" s="181"/>
      <c r="AU66" s="181"/>
      <c r="AV66" s="192">
        <v>19398800</v>
      </c>
      <c r="AW66" s="181">
        <v>11.7</v>
      </c>
      <c r="AX66" s="179">
        <v>80363</v>
      </c>
      <c r="AY66" s="179"/>
    </row>
    <row r="67" spans="1:51" ht="14.4" x14ac:dyDescent="0.3">
      <c r="A67" s="179" t="s">
        <v>1104</v>
      </c>
      <c r="B67" s="179" t="s">
        <v>2947</v>
      </c>
      <c r="C67" s="180" t="s">
        <v>3304</v>
      </c>
      <c r="D67" s="181" t="s">
        <v>2828</v>
      </c>
      <c r="E67" s="181" t="s">
        <v>2827</v>
      </c>
      <c r="F67" s="182" t="s">
        <v>2972</v>
      </c>
      <c r="G67" s="181" t="s">
        <v>17</v>
      </c>
      <c r="H67" s="193">
        <v>45087</v>
      </c>
      <c r="I67" s="184"/>
      <c r="J67" s="179" t="s">
        <v>3305</v>
      </c>
      <c r="K67" s="179">
        <v>600</v>
      </c>
      <c r="L67" s="179" t="s">
        <v>3026</v>
      </c>
      <c r="M67" s="185"/>
      <c r="N67" s="185"/>
      <c r="O67" s="179" t="s">
        <v>2951</v>
      </c>
      <c r="P67" s="185" t="s">
        <v>2951</v>
      </c>
      <c r="Q67" s="182" t="s">
        <v>2934</v>
      </c>
      <c r="R67" s="182" t="s">
        <v>2933</v>
      </c>
      <c r="S67" s="182" t="s">
        <v>2952</v>
      </c>
      <c r="T67" s="179" t="s">
        <v>2999</v>
      </c>
      <c r="U67" s="179" t="s">
        <v>2954</v>
      </c>
      <c r="V67" s="179">
        <v>1251</v>
      </c>
      <c r="W67" s="179" t="s">
        <v>3306</v>
      </c>
      <c r="X67" s="188">
        <v>322.84880000000004</v>
      </c>
      <c r="Y67" s="188">
        <v>218.74880000000002</v>
      </c>
      <c r="Z67" s="188">
        <v>140.86599999999999</v>
      </c>
      <c r="AA67" s="188">
        <v>81.48</v>
      </c>
      <c r="AB67" s="188">
        <v>20.22</v>
      </c>
      <c r="AC67" s="188">
        <v>40.994399999999999</v>
      </c>
      <c r="AD67" s="179" t="s">
        <v>2984</v>
      </c>
      <c r="AE67" s="188" t="s">
        <v>2940</v>
      </c>
      <c r="AF67" s="189">
        <v>0.25</v>
      </c>
      <c r="AG67" s="189">
        <v>0.95833333333333337</v>
      </c>
      <c r="AH67" s="190" t="s">
        <v>2941</v>
      </c>
      <c r="AI67" s="190" t="s">
        <v>2942</v>
      </c>
      <c r="AJ67" s="179" t="s">
        <v>1102</v>
      </c>
      <c r="AK67" s="179" t="s">
        <v>48</v>
      </c>
      <c r="AL67" s="179" t="s">
        <v>48</v>
      </c>
      <c r="AM67" s="179" t="s">
        <v>3307</v>
      </c>
      <c r="AN67" s="179" t="s">
        <v>2102</v>
      </c>
      <c r="AO67" s="179" t="s">
        <v>2575</v>
      </c>
      <c r="AP67" s="191">
        <v>8113806089</v>
      </c>
      <c r="AQ67" s="184">
        <v>40263</v>
      </c>
      <c r="AR67" s="179">
        <v>197</v>
      </c>
      <c r="AS67" s="179"/>
      <c r="AT67" s="181" t="s">
        <v>3308</v>
      </c>
      <c r="AU67" s="181" t="s">
        <v>2946</v>
      </c>
      <c r="AV67" s="192">
        <v>20970000</v>
      </c>
      <c r="AW67" s="181">
        <v>58</v>
      </c>
      <c r="AX67" s="179">
        <v>81115</v>
      </c>
      <c r="AY67" s="179"/>
    </row>
    <row r="68" spans="1:51" ht="14.4" x14ac:dyDescent="0.3">
      <c r="A68" s="179" t="s">
        <v>278</v>
      </c>
      <c r="B68" s="179" t="s">
        <v>2947</v>
      </c>
      <c r="C68" s="180" t="s">
        <v>3309</v>
      </c>
      <c r="D68" s="181" t="s">
        <v>2869</v>
      </c>
      <c r="E68" s="181" t="s">
        <v>2834</v>
      </c>
      <c r="F68" s="182" t="s">
        <v>2972</v>
      </c>
      <c r="G68" s="181" t="s">
        <v>17</v>
      </c>
      <c r="H68" s="193">
        <v>45087</v>
      </c>
      <c r="I68" s="184"/>
      <c r="J68" s="179" t="s">
        <v>3310</v>
      </c>
      <c r="K68" s="179">
        <v>110</v>
      </c>
      <c r="L68" s="179" t="s">
        <v>2950</v>
      </c>
      <c r="M68" s="185" t="s">
        <v>3164</v>
      </c>
      <c r="N68" s="185" t="s">
        <v>2951</v>
      </c>
      <c r="O68" s="179" t="s">
        <v>2951</v>
      </c>
      <c r="P68" s="185" t="s">
        <v>2951</v>
      </c>
      <c r="Q68" s="182" t="s">
        <v>2933</v>
      </c>
      <c r="R68" s="182" t="s">
        <v>2998</v>
      </c>
      <c r="S68" s="182" t="s">
        <v>2952</v>
      </c>
      <c r="T68" s="179" t="s">
        <v>2953</v>
      </c>
      <c r="U68" s="179" t="s">
        <v>2954</v>
      </c>
      <c r="V68" s="179">
        <v>1074</v>
      </c>
      <c r="W68" s="179" t="s">
        <v>3140</v>
      </c>
      <c r="X68" s="188">
        <v>397.79159999999996</v>
      </c>
      <c r="Y68" s="188">
        <v>292.10579999999999</v>
      </c>
      <c r="Z68" s="188">
        <v>143.7696</v>
      </c>
      <c r="AA68" s="188">
        <v>97.858799999999988</v>
      </c>
      <c r="AB68" s="188">
        <v>26.675999999999998</v>
      </c>
      <c r="AC68" s="188">
        <v>110.21399999999998</v>
      </c>
      <c r="AD68" s="179" t="s">
        <v>2956</v>
      </c>
      <c r="AE68" s="188" t="s">
        <v>2940</v>
      </c>
      <c r="AF68" s="189">
        <v>0.29166666666666669</v>
      </c>
      <c r="AG68" s="189">
        <v>0.99930555555555556</v>
      </c>
      <c r="AH68" s="190" t="s">
        <v>2941</v>
      </c>
      <c r="AI68" s="190" t="s">
        <v>2942</v>
      </c>
      <c r="AJ68" s="179" t="s">
        <v>276</v>
      </c>
      <c r="AK68" s="179" t="s">
        <v>40</v>
      </c>
      <c r="AL68" s="179" t="s">
        <v>40</v>
      </c>
      <c r="AM68" s="179" t="s">
        <v>3311</v>
      </c>
      <c r="AN68" s="179" t="s">
        <v>2102</v>
      </c>
      <c r="AO68" s="179" t="s">
        <v>2576</v>
      </c>
      <c r="AP68" s="191"/>
      <c r="AQ68" s="184">
        <v>40263</v>
      </c>
      <c r="AR68" s="179">
        <v>197</v>
      </c>
      <c r="AS68" s="179"/>
      <c r="AT68" s="181" t="s">
        <v>3312</v>
      </c>
      <c r="AU68" s="181" t="s">
        <v>2946</v>
      </c>
      <c r="AV68" s="192">
        <v>25032842</v>
      </c>
      <c r="AW68" s="181">
        <v>62.5</v>
      </c>
      <c r="AX68" s="179">
        <v>80811</v>
      </c>
      <c r="AY68" s="179"/>
    </row>
    <row r="69" spans="1:51" ht="14.4" x14ac:dyDescent="0.3">
      <c r="A69" s="179" t="s">
        <v>1489</v>
      </c>
      <c r="B69" s="179" t="s">
        <v>2947</v>
      </c>
      <c r="C69" s="180" t="s">
        <v>3313</v>
      </c>
      <c r="D69" s="181" t="s">
        <v>2841</v>
      </c>
      <c r="E69" s="181" t="s">
        <v>2840</v>
      </c>
      <c r="F69" s="182" t="s">
        <v>2929</v>
      </c>
      <c r="G69" s="181" t="s">
        <v>12</v>
      </c>
      <c r="H69" s="193" t="s">
        <v>2930</v>
      </c>
      <c r="I69" s="184" t="s">
        <v>2930</v>
      </c>
      <c r="J69" s="179"/>
      <c r="K69" s="179"/>
      <c r="L69" s="179"/>
      <c r="M69" s="185"/>
      <c r="N69" s="185"/>
      <c r="O69" s="179" t="s">
        <v>2951</v>
      </c>
      <c r="P69" s="185"/>
      <c r="Q69" s="182" t="s">
        <v>2934</v>
      </c>
      <c r="R69" s="182" t="s">
        <v>2933</v>
      </c>
      <c r="S69" s="182" t="s">
        <v>2952</v>
      </c>
      <c r="T69" s="179" t="s">
        <v>2953</v>
      </c>
      <c r="U69" s="179" t="s">
        <v>2954</v>
      </c>
      <c r="V69" s="179">
        <v>1837</v>
      </c>
      <c r="W69" s="179" t="s">
        <v>3314</v>
      </c>
      <c r="X69" s="188">
        <v>250.52599999999998</v>
      </c>
      <c r="Y69" s="188">
        <v>174.04</v>
      </c>
      <c r="Z69" s="188">
        <v>100.35000000000001</v>
      </c>
      <c r="AA69" s="188">
        <v>74.481999999999999</v>
      </c>
      <c r="AB69" s="188">
        <v>13.799999999999999</v>
      </c>
      <c r="AC69" s="188">
        <v>52.899000000000001</v>
      </c>
      <c r="AD69" s="179" t="s">
        <v>2984</v>
      </c>
      <c r="AE69" s="188" t="s">
        <v>2940</v>
      </c>
      <c r="AF69" s="189">
        <v>0.29166666666666669</v>
      </c>
      <c r="AG69" s="189">
        <v>0.95833333333333337</v>
      </c>
      <c r="AH69" s="190" t="s">
        <v>2941</v>
      </c>
      <c r="AI69" s="190" t="s">
        <v>2985</v>
      </c>
      <c r="AJ69" s="179" t="s">
        <v>986</v>
      </c>
      <c r="AK69" s="179" t="s">
        <v>2981</v>
      </c>
      <c r="AL69" s="179" t="s">
        <v>28</v>
      </c>
      <c r="AM69" s="179" t="s">
        <v>3315</v>
      </c>
      <c r="AN69" s="179" t="s">
        <v>2102</v>
      </c>
      <c r="AO69" s="179" t="s">
        <v>2688</v>
      </c>
      <c r="AP69" s="191">
        <v>8113806237</v>
      </c>
      <c r="AQ69" s="184">
        <v>40267</v>
      </c>
      <c r="AR69" s="179">
        <v>196</v>
      </c>
      <c r="AS69" s="194" t="s">
        <v>3316</v>
      </c>
      <c r="AT69" s="195" t="s">
        <v>3317</v>
      </c>
      <c r="AU69" s="195" t="s">
        <v>2946</v>
      </c>
      <c r="AV69" s="192">
        <v>21214333</v>
      </c>
      <c r="AW69" s="181">
        <v>24.1</v>
      </c>
      <c r="AX69" s="179">
        <v>80582</v>
      </c>
      <c r="AY69" s="179" t="s">
        <v>3318</v>
      </c>
    </row>
    <row r="70" spans="1:51" ht="14.4" x14ac:dyDescent="0.3">
      <c r="A70" s="179" t="s">
        <v>822</v>
      </c>
      <c r="B70" s="179" t="s">
        <v>2947</v>
      </c>
      <c r="C70" s="180" t="s">
        <v>3319</v>
      </c>
      <c r="D70" s="181" t="s">
        <v>2826</v>
      </c>
      <c r="E70" s="181" t="s">
        <v>2825</v>
      </c>
      <c r="F70" s="182" t="s">
        <v>2972</v>
      </c>
      <c r="G70" s="181" t="s">
        <v>17</v>
      </c>
      <c r="H70" s="193">
        <v>45550</v>
      </c>
      <c r="I70" s="184"/>
      <c r="J70" s="179" t="s">
        <v>3008</v>
      </c>
      <c r="K70" s="179" t="s">
        <v>3008</v>
      </c>
      <c r="L70" s="179" t="s">
        <v>2932</v>
      </c>
      <c r="M70" s="185"/>
      <c r="N70" s="185"/>
      <c r="O70" s="186"/>
      <c r="P70" s="185"/>
      <c r="Q70" s="182" t="s">
        <v>2934</v>
      </c>
      <c r="R70" s="182" t="s">
        <v>2933</v>
      </c>
      <c r="S70" s="182" t="s">
        <v>2935</v>
      </c>
      <c r="T70" s="179" t="s">
        <v>2953</v>
      </c>
      <c r="U70" s="179" t="s">
        <v>2954</v>
      </c>
      <c r="V70" s="179">
        <v>1935</v>
      </c>
      <c r="W70" s="179" t="s">
        <v>2983</v>
      </c>
      <c r="X70" s="188">
        <v>400.6551</v>
      </c>
      <c r="Y70" s="188">
        <v>237.18449999999999</v>
      </c>
      <c r="Z70" s="188">
        <v>143.83160000000001</v>
      </c>
      <c r="AA70" s="188">
        <v>149.77709999999999</v>
      </c>
      <c r="AB70" s="188">
        <v>23.327500000000001</v>
      </c>
      <c r="AC70" s="188">
        <v>51.612000000000009</v>
      </c>
      <c r="AD70" s="179" t="s">
        <v>2984</v>
      </c>
      <c r="AE70" s="188" t="s">
        <v>2940</v>
      </c>
      <c r="AF70" s="189">
        <v>0.29166666666666669</v>
      </c>
      <c r="AG70" s="189">
        <v>0.95833333333333337</v>
      </c>
      <c r="AH70" s="190" t="s">
        <v>2941</v>
      </c>
      <c r="AI70" s="190" t="s">
        <v>2942</v>
      </c>
      <c r="AJ70" s="179" t="s">
        <v>820</v>
      </c>
      <c r="AK70" s="179" t="s">
        <v>3302</v>
      </c>
      <c r="AL70" s="179" t="s">
        <v>9</v>
      </c>
      <c r="AM70" s="179" t="s">
        <v>3320</v>
      </c>
      <c r="AN70" s="179" t="s">
        <v>2102</v>
      </c>
      <c r="AO70" s="179" t="s">
        <v>2504</v>
      </c>
      <c r="AP70" s="191">
        <v>8113890570</v>
      </c>
      <c r="AQ70" s="184">
        <v>40288</v>
      </c>
      <c r="AR70" s="179">
        <v>196</v>
      </c>
      <c r="AS70" s="179"/>
      <c r="AT70" s="181"/>
      <c r="AU70" s="181"/>
      <c r="AV70" s="192">
        <v>22780000</v>
      </c>
      <c r="AW70" s="181">
        <v>15.4</v>
      </c>
      <c r="AX70" s="179">
        <v>80351</v>
      </c>
      <c r="AY70" s="179"/>
    </row>
    <row r="71" spans="1:51" ht="14.4" x14ac:dyDescent="0.3">
      <c r="A71" s="179" t="s">
        <v>981</v>
      </c>
      <c r="B71" s="179" t="s">
        <v>2947</v>
      </c>
      <c r="C71" s="180" t="s">
        <v>3321</v>
      </c>
      <c r="D71" s="181" t="s">
        <v>2860</v>
      </c>
      <c r="E71" s="181" t="s">
        <v>2830</v>
      </c>
      <c r="F71" s="182" t="s">
        <v>2972</v>
      </c>
      <c r="G71" s="181" t="s">
        <v>17</v>
      </c>
      <c r="H71" s="193">
        <v>45867</v>
      </c>
      <c r="I71" s="184"/>
      <c r="J71" s="179" t="s">
        <v>3322</v>
      </c>
      <c r="K71" s="179">
        <v>120</v>
      </c>
      <c r="L71" s="179" t="s">
        <v>2950</v>
      </c>
      <c r="M71" s="185"/>
      <c r="N71" s="185"/>
      <c r="O71" s="186"/>
      <c r="P71" s="185"/>
      <c r="Q71" s="182" t="s">
        <v>2933</v>
      </c>
      <c r="R71" s="182" t="s">
        <v>2934</v>
      </c>
      <c r="S71" s="182" t="s">
        <v>2952</v>
      </c>
      <c r="T71" s="179" t="s">
        <v>2974</v>
      </c>
      <c r="U71" s="179" t="s">
        <v>2954</v>
      </c>
      <c r="V71" s="187">
        <v>1751</v>
      </c>
      <c r="W71" s="179" t="s">
        <v>2955</v>
      </c>
      <c r="X71" s="188">
        <v>268.45080000000002</v>
      </c>
      <c r="Y71" s="188">
        <v>173.19820000000001</v>
      </c>
      <c r="Z71" s="188">
        <v>109.2996</v>
      </c>
      <c r="AA71" s="188">
        <v>80.503599999999992</v>
      </c>
      <c r="AB71" s="188">
        <v>16.902000000000001</v>
      </c>
      <c r="AC71" s="188">
        <v>33.696999999999996</v>
      </c>
      <c r="AD71" s="179" t="s">
        <v>2984</v>
      </c>
      <c r="AE71" s="188" t="s">
        <v>2940</v>
      </c>
      <c r="AF71" s="189">
        <v>0</v>
      </c>
      <c r="AG71" s="189">
        <v>0.99930555555555556</v>
      </c>
      <c r="AH71" s="190" t="s">
        <v>2941</v>
      </c>
      <c r="AI71" s="190" t="s">
        <v>2942</v>
      </c>
      <c r="AJ71" s="179" t="s">
        <v>979</v>
      </c>
      <c r="AK71" s="179" t="s">
        <v>3229</v>
      </c>
      <c r="AL71" s="179" t="s">
        <v>9</v>
      </c>
      <c r="AM71" s="179" t="s">
        <v>3323</v>
      </c>
      <c r="AN71" s="179" t="s">
        <v>2102</v>
      </c>
      <c r="AO71" s="179" t="s">
        <v>2728</v>
      </c>
      <c r="AP71" s="191">
        <v>81138113809</v>
      </c>
      <c r="AQ71" s="184">
        <v>40297</v>
      </c>
      <c r="AR71" s="179">
        <v>195</v>
      </c>
      <c r="AS71" s="179"/>
      <c r="AT71" s="181" t="s">
        <v>3324</v>
      </c>
      <c r="AU71" s="195" t="s">
        <v>2946</v>
      </c>
      <c r="AV71" s="192">
        <v>20048792</v>
      </c>
      <c r="AW71" s="181">
        <v>11.2</v>
      </c>
      <c r="AX71" s="179">
        <v>80352</v>
      </c>
      <c r="AY71" s="179"/>
    </row>
    <row r="72" spans="1:51" ht="14.4" x14ac:dyDescent="0.3">
      <c r="A72" s="179" t="s">
        <v>1872</v>
      </c>
      <c r="B72" s="179" t="s">
        <v>2947</v>
      </c>
      <c r="C72" s="180" t="s">
        <v>3245</v>
      </c>
      <c r="D72" s="181" t="s">
        <v>2873</v>
      </c>
      <c r="E72" s="181" t="s">
        <v>2840</v>
      </c>
      <c r="F72" s="182" t="s">
        <v>2972</v>
      </c>
      <c r="G72" s="181" t="s">
        <v>17</v>
      </c>
      <c r="H72" s="193">
        <v>45087</v>
      </c>
      <c r="I72" s="184"/>
      <c r="J72" s="179" t="s">
        <v>3325</v>
      </c>
      <c r="K72" s="179">
        <v>110</v>
      </c>
      <c r="L72" s="179" t="s">
        <v>2950</v>
      </c>
      <c r="M72" s="185"/>
      <c r="N72" s="185"/>
      <c r="O72" s="179" t="s">
        <v>2951</v>
      </c>
      <c r="P72" s="185" t="s">
        <v>2951</v>
      </c>
      <c r="Q72" s="182" t="s">
        <v>2933</v>
      </c>
      <c r="R72" s="182" t="s">
        <v>2934</v>
      </c>
      <c r="S72" s="182" t="s">
        <v>2952</v>
      </c>
      <c r="T72" s="179" t="s">
        <v>2953</v>
      </c>
      <c r="U72" s="179" t="s">
        <v>2954</v>
      </c>
      <c r="V72" s="187">
        <v>1320</v>
      </c>
      <c r="W72" s="179" t="s">
        <v>3140</v>
      </c>
      <c r="X72" s="188">
        <v>326.02500000000003</v>
      </c>
      <c r="Y72" s="188">
        <v>243.07499999999999</v>
      </c>
      <c r="Z72" s="188">
        <v>144.02399999999997</v>
      </c>
      <c r="AA72" s="188">
        <v>71.807999999999993</v>
      </c>
      <c r="AB72" s="188">
        <v>18.36</v>
      </c>
      <c r="AC72" s="188">
        <v>70.38</v>
      </c>
      <c r="AD72" s="179" t="s">
        <v>2956</v>
      </c>
      <c r="AE72" s="188" t="s">
        <v>2940</v>
      </c>
      <c r="AF72" s="189">
        <v>0</v>
      </c>
      <c r="AG72" s="189">
        <v>0.99930555555555556</v>
      </c>
      <c r="AH72" s="190" t="s">
        <v>2941</v>
      </c>
      <c r="AI72" s="190" t="s">
        <v>2942</v>
      </c>
      <c r="AJ72" s="179" t="s">
        <v>339</v>
      </c>
      <c r="AK72" s="179" t="s">
        <v>3010</v>
      </c>
      <c r="AL72" s="179" t="s">
        <v>36</v>
      </c>
      <c r="AM72" s="179" t="s">
        <v>3326</v>
      </c>
      <c r="AN72" s="179" t="s">
        <v>2102</v>
      </c>
      <c r="AO72" s="179" t="s">
        <v>2505</v>
      </c>
      <c r="AP72" s="191">
        <v>81139009550</v>
      </c>
      <c r="AQ72" s="184">
        <v>40305</v>
      </c>
      <c r="AR72" s="179">
        <v>195</v>
      </c>
      <c r="AS72" s="179"/>
      <c r="AT72" s="181" t="s">
        <v>3327</v>
      </c>
      <c r="AU72" s="181" t="s">
        <v>3328</v>
      </c>
      <c r="AV72" s="192">
        <v>25291375</v>
      </c>
      <c r="AW72" s="181">
        <v>10.5</v>
      </c>
      <c r="AX72" s="179">
        <v>82121</v>
      </c>
      <c r="AY72" s="179"/>
    </row>
    <row r="73" spans="1:51" ht="14.4" x14ac:dyDescent="0.3">
      <c r="A73" s="179" t="s">
        <v>1281</v>
      </c>
      <c r="B73" s="179" t="s">
        <v>2947</v>
      </c>
      <c r="C73" s="180" t="s">
        <v>3329</v>
      </c>
      <c r="D73" s="181" t="s">
        <v>2826</v>
      </c>
      <c r="E73" s="181" t="s">
        <v>2825</v>
      </c>
      <c r="F73" s="182" t="s">
        <v>2972</v>
      </c>
      <c r="G73" s="181" t="s">
        <v>17</v>
      </c>
      <c r="H73" s="193">
        <v>45725</v>
      </c>
      <c r="I73" s="193">
        <v>45725</v>
      </c>
      <c r="J73" s="179" t="s">
        <v>3330</v>
      </c>
      <c r="K73" s="179">
        <v>600</v>
      </c>
      <c r="L73" s="179" t="s">
        <v>3026</v>
      </c>
      <c r="M73" s="185"/>
      <c r="N73" s="185"/>
      <c r="O73" s="186"/>
      <c r="P73" s="185"/>
      <c r="Q73" s="182" t="s">
        <v>2933</v>
      </c>
      <c r="R73" s="182" t="s">
        <v>2934</v>
      </c>
      <c r="S73" s="182" t="s">
        <v>2952</v>
      </c>
      <c r="T73" s="179" t="s">
        <v>2936</v>
      </c>
      <c r="U73" s="179" t="s">
        <v>2954</v>
      </c>
      <c r="V73" s="187">
        <v>1204</v>
      </c>
      <c r="W73" s="179" t="s">
        <v>2992</v>
      </c>
      <c r="X73" s="188">
        <v>347.51679999999999</v>
      </c>
      <c r="Y73" s="188">
        <v>179.44040000000001</v>
      </c>
      <c r="Z73" s="188">
        <v>120.75</v>
      </c>
      <c r="AA73" s="188">
        <v>115.1476</v>
      </c>
      <c r="AB73" s="188">
        <v>13.8</v>
      </c>
      <c r="AC73" s="188">
        <v>30.353399999999997</v>
      </c>
      <c r="AD73" s="179" t="s">
        <v>2984</v>
      </c>
      <c r="AE73" s="188" t="s">
        <v>2940</v>
      </c>
      <c r="AF73" s="189">
        <v>0</v>
      </c>
      <c r="AG73" s="189">
        <v>0.99930555555555556</v>
      </c>
      <c r="AH73" s="190" t="s">
        <v>2941</v>
      </c>
      <c r="AI73" s="190" t="s">
        <v>2942</v>
      </c>
      <c r="AJ73" s="179" t="s">
        <v>1187</v>
      </c>
      <c r="AK73" s="179" t="s">
        <v>3302</v>
      </c>
      <c r="AL73" s="179" t="s">
        <v>9</v>
      </c>
      <c r="AM73" s="179" t="s">
        <v>3331</v>
      </c>
      <c r="AN73" s="179" t="s">
        <v>2102</v>
      </c>
      <c r="AO73" s="179" t="s">
        <v>2590</v>
      </c>
      <c r="AP73" s="191">
        <v>81138113810</v>
      </c>
      <c r="AQ73" s="184">
        <v>40312</v>
      </c>
      <c r="AR73" s="179">
        <v>195</v>
      </c>
      <c r="AS73" s="194" t="s">
        <v>3332</v>
      </c>
      <c r="AT73" s="195" t="s">
        <v>3333</v>
      </c>
      <c r="AU73" s="195" t="s">
        <v>2946</v>
      </c>
      <c r="AV73" s="192">
        <v>17709561</v>
      </c>
      <c r="AW73" s="181">
        <v>21.5</v>
      </c>
      <c r="AX73" s="179">
        <v>80351</v>
      </c>
      <c r="AY73" s="179" t="s">
        <v>3334</v>
      </c>
    </row>
    <row r="74" spans="1:51" ht="14.4" x14ac:dyDescent="0.3">
      <c r="A74" s="179" t="s">
        <v>781</v>
      </c>
      <c r="B74" s="179" t="s">
        <v>2947</v>
      </c>
      <c r="C74" s="180" t="s">
        <v>3335</v>
      </c>
      <c r="D74" s="181" t="s">
        <v>2868</v>
      </c>
      <c r="E74" s="181" t="s">
        <v>2867</v>
      </c>
      <c r="F74" s="182" t="s">
        <v>3086</v>
      </c>
      <c r="G74" s="181" t="s">
        <v>535</v>
      </c>
      <c r="H74" s="193">
        <v>45087</v>
      </c>
      <c r="I74" s="184"/>
      <c r="J74" s="179" t="s">
        <v>3336</v>
      </c>
      <c r="K74" s="179">
        <v>43</v>
      </c>
      <c r="L74" s="179" t="s">
        <v>2965</v>
      </c>
      <c r="M74" s="185"/>
      <c r="N74" s="185"/>
      <c r="O74" s="179" t="s">
        <v>2951</v>
      </c>
      <c r="P74" s="185" t="s">
        <v>2951</v>
      </c>
      <c r="Q74" s="182" t="s">
        <v>2933</v>
      </c>
      <c r="R74" s="182" t="s">
        <v>2934</v>
      </c>
      <c r="S74" s="182" t="s">
        <v>2952</v>
      </c>
      <c r="T74" s="179" t="s">
        <v>2999</v>
      </c>
      <c r="U74" s="179" t="s">
        <v>2954</v>
      </c>
      <c r="V74" s="187">
        <v>1998</v>
      </c>
      <c r="W74" s="179" t="s">
        <v>2992</v>
      </c>
      <c r="X74" s="188">
        <v>316.7004</v>
      </c>
      <c r="Y74" s="188">
        <v>214.15939999999998</v>
      </c>
      <c r="Z74" s="188">
        <v>165.92550000000003</v>
      </c>
      <c r="AA74" s="188">
        <v>71.867999999999995</v>
      </c>
      <c r="AB74" s="188">
        <v>13.422499999999999</v>
      </c>
      <c r="AC74" s="188">
        <v>92.435199999999995</v>
      </c>
      <c r="AD74" s="179" t="s">
        <v>2956</v>
      </c>
      <c r="AE74" s="188" t="s">
        <v>2957</v>
      </c>
      <c r="AF74" s="189">
        <v>0</v>
      </c>
      <c r="AG74" s="189">
        <v>0.99930555555555556</v>
      </c>
      <c r="AH74" s="190" t="s">
        <v>2976</v>
      </c>
      <c r="AI74" s="190" t="s">
        <v>2942</v>
      </c>
      <c r="AJ74" s="179" t="s">
        <v>779</v>
      </c>
      <c r="AK74" s="179" t="s">
        <v>2977</v>
      </c>
      <c r="AL74" s="179" t="s">
        <v>9</v>
      </c>
      <c r="AM74" s="179" t="s">
        <v>3337</v>
      </c>
      <c r="AN74" s="179" t="s">
        <v>2102</v>
      </c>
      <c r="AO74" s="179" t="s">
        <v>2790</v>
      </c>
      <c r="AP74" s="191">
        <v>81139004579</v>
      </c>
      <c r="AQ74" s="184">
        <v>40322</v>
      </c>
      <c r="AR74" s="179">
        <v>195</v>
      </c>
      <c r="AS74" s="179"/>
      <c r="AT74" s="181" t="s">
        <v>3338</v>
      </c>
      <c r="AU74" s="181" t="s">
        <v>3339</v>
      </c>
      <c r="AV74" s="192">
        <v>46046931</v>
      </c>
      <c r="AW74" s="181">
        <v>21</v>
      </c>
      <c r="AX74" s="179">
        <v>80363</v>
      </c>
      <c r="AY74" s="179"/>
    </row>
    <row r="75" spans="1:51" ht="14.4" x14ac:dyDescent="0.3">
      <c r="A75" s="179" t="s">
        <v>1779</v>
      </c>
      <c r="B75" s="179" t="s">
        <v>2947</v>
      </c>
      <c r="C75" s="180" t="s">
        <v>3340</v>
      </c>
      <c r="D75" s="181" t="s">
        <v>2848</v>
      </c>
      <c r="E75" s="181" t="s">
        <v>2827</v>
      </c>
      <c r="F75" s="182" t="s">
        <v>2929</v>
      </c>
      <c r="G75" s="181" t="s">
        <v>12</v>
      </c>
      <c r="H75" s="193">
        <v>45087</v>
      </c>
      <c r="I75" s="184"/>
      <c r="J75" s="179" t="s">
        <v>3341</v>
      </c>
      <c r="K75" s="179">
        <v>594</v>
      </c>
      <c r="L75" s="179" t="s">
        <v>3026</v>
      </c>
      <c r="M75" s="185"/>
      <c r="N75" s="185"/>
      <c r="O75" s="186"/>
      <c r="P75" s="185"/>
      <c r="Q75" s="182" t="s">
        <v>2933</v>
      </c>
      <c r="R75" s="182" t="s">
        <v>2934</v>
      </c>
      <c r="S75" s="182" t="s">
        <v>2952</v>
      </c>
      <c r="T75" s="179" t="s">
        <v>2953</v>
      </c>
      <c r="U75" s="179" t="s">
        <v>2954</v>
      </c>
      <c r="V75" s="179">
        <v>1394</v>
      </c>
      <c r="W75" s="179" t="s">
        <v>3342</v>
      </c>
      <c r="X75" s="188">
        <v>249.39000000000001</v>
      </c>
      <c r="Y75" s="188">
        <v>159.57</v>
      </c>
      <c r="Z75" s="188">
        <v>104.48699999999999</v>
      </c>
      <c r="AA75" s="188">
        <v>89.320999999999998</v>
      </c>
      <c r="AB75" s="188">
        <v>7.16</v>
      </c>
      <c r="AC75" s="188">
        <v>31.915799999999997</v>
      </c>
      <c r="AD75" s="179" t="s">
        <v>2984</v>
      </c>
      <c r="AE75" s="188" t="s">
        <v>2940</v>
      </c>
      <c r="AF75" s="189">
        <v>0.29166666666666669</v>
      </c>
      <c r="AG75" s="189">
        <v>0.95833333333333337</v>
      </c>
      <c r="AH75" s="190" t="s">
        <v>2941</v>
      </c>
      <c r="AI75" s="190" t="s">
        <v>2942</v>
      </c>
      <c r="AJ75" s="179" t="s">
        <v>562</v>
      </c>
      <c r="AK75" s="179" t="s">
        <v>3055</v>
      </c>
      <c r="AL75" s="179" t="s">
        <v>48</v>
      </c>
      <c r="AM75" s="179" t="s">
        <v>3343</v>
      </c>
      <c r="AN75" s="179" t="s">
        <v>2102</v>
      </c>
      <c r="AO75" s="179" t="s">
        <v>2471</v>
      </c>
      <c r="AP75" s="191">
        <v>81139008249</v>
      </c>
      <c r="AQ75" s="184">
        <v>40323</v>
      </c>
      <c r="AR75" s="179">
        <v>195</v>
      </c>
      <c r="AS75" s="179"/>
      <c r="AT75" s="181" t="s">
        <v>3344</v>
      </c>
      <c r="AU75" s="181" t="s">
        <v>2946</v>
      </c>
      <c r="AV75" s="192">
        <v>18092590</v>
      </c>
      <c r="AW75" s="181">
        <v>80.2</v>
      </c>
      <c r="AX75" s="179">
        <v>81153</v>
      </c>
      <c r="AY75" s="179"/>
    </row>
    <row r="76" spans="1:51" ht="14.4" x14ac:dyDescent="0.3">
      <c r="A76" s="179" t="s">
        <v>628</v>
      </c>
      <c r="B76" s="179" t="s">
        <v>2927</v>
      </c>
      <c r="C76" s="180" t="s">
        <v>3345</v>
      </c>
      <c r="D76" s="181" t="s">
        <v>2836</v>
      </c>
      <c r="E76" s="181" t="s">
        <v>2825</v>
      </c>
      <c r="F76" s="182" t="s">
        <v>2929</v>
      </c>
      <c r="G76" s="181" t="s">
        <v>12</v>
      </c>
      <c r="H76" s="193" t="s">
        <v>2930</v>
      </c>
      <c r="I76" s="184" t="s">
        <v>2930</v>
      </c>
      <c r="J76" s="179"/>
      <c r="K76" s="179"/>
      <c r="L76" s="179"/>
      <c r="M76" s="185"/>
      <c r="N76" s="185"/>
      <c r="O76" s="186"/>
      <c r="P76" s="185"/>
      <c r="Q76" s="182" t="s">
        <v>2933</v>
      </c>
      <c r="R76" s="182" t="s">
        <v>2934</v>
      </c>
      <c r="S76" s="182" t="s">
        <v>2952</v>
      </c>
      <c r="T76" s="179" t="s">
        <v>2953</v>
      </c>
      <c r="U76" s="179" t="s">
        <v>2937</v>
      </c>
      <c r="V76" s="187">
        <v>1701</v>
      </c>
      <c r="W76" s="179" t="s">
        <v>3140</v>
      </c>
      <c r="X76" s="188">
        <v>214.49949999999998</v>
      </c>
      <c r="Y76" s="188">
        <v>151.32149999999999</v>
      </c>
      <c r="Z76" s="188">
        <v>104.34059999999999</v>
      </c>
      <c r="AA76" s="188">
        <v>50.318399999999997</v>
      </c>
      <c r="AB76" s="188">
        <v>14.669999999999998</v>
      </c>
      <c r="AC76" s="188">
        <v>72.910499999999999</v>
      </c>
      <c r="AD76" s="179" t="s">
        <v>2956</v>
      </c>
      <c r="AE76" s="188" t="s">
        <v>3017</v>
      </c>
      <c r="AF76" s="189">
        <v>0.25</v>
      </c>
      <c r="AG76" s="189">
        <v>0.91666666666666663</v>
      </c>
      <c r="AH76" s="190" t="s">
        <v>2941</v>
      </c>
      <c r="AI76" s="190" t="s">
        <v>2942</v>
      </c>
      <c r="AJ76" s="179" t="s">
        <v>626</v>
      </c>
      <c r="AK76" s="179" t="s">
        <v>3345</v>
      </c>
      <c r="AL76" s="179" t="s">
        <v>36</v>
      </c>
      <c r="AM76" s="179" t="s">
        <v>3346</v>
      </c>
      <c r="AN76" s="179" t="s">
        <v>2102</v>
      </c>
      <c r="AO76" s="179" t="s">
        <v>2775</v>
      </c>
      <c r="AP76" s="191">
        <v>81139000782</v>
      </c>
      <c r="AQ76" s="184">
        <v>40323</v>
      </c>
      <c r="AR76" s="179">
        <v>195</v>
      </c>
      <c r="AS76" s="194">
        <v>41122</v>
      </c>
      <c r="AT76" s="195" t="s">
        <v>3347</v>
      </c>
      <c r="AU76" s="195" t="s">
        <v>3348</v>
      </c>
      <c r="AV76" s="192">
        <v>30490368</v>
      </c>
      <c r="AW76" s="181">
        <v>19.2</v>
      </c>
      <c r="AX76" s="179">
        <v>82191</v>
      </c>
      <c r="AY76" s="179" t="s">
        <v>3349</v>
      </c>
    </row>
    <row r="77" spans="1:51" ht="14.4" x14ac:dyDescent="0.3">
      <c r="A77" s="179" t="s">
        <v>171</v>
      </c>
      <c r="B77" s="179" t="s">
        <v>2947</v>
      </c>
      <c r="C77" s="180" t="s">
        <v>3350</v>
      </c>
      <c r="D77" s="181" t="s">
        <v>2832</v>
      </c>
      <c r="E77" s="181" t="s">
        <v>2813</v>
      </c>
      <c r="F77" s="182" t="s">
        <v>2929</v>
      </c>
      <c r="G77" s="181" t="s">
        <v>12</v>
      </c>
      <c r="H77" s="193">
        <v>45087</v>
      </c>
      <c r="I77" s="184"/>
      <c r="J77" s="179" t="s">
        <v>3351</v>
      </c>
      <c r="K77" s="179">
        <v>150</v>
      </c>
      <c r="L77" s="179" t="s">
        <v>2950</v>
      </c>
      <c r="M77" s="185"/>
      <c r="N77" s="185"/>
      <c r="O77" s="186"/>
      <c r="P77" s="185"/>
      <c r="Q77" s="182" t="s">
        <v>2934</v>
      </c>
      <c r="R77" s="182" t="s">
        <v>2933</v>
      </c>
      <c r="S77" s="182" t="s">
        <v>2952</v>
      </c>
      <c r="T77" s="179" t="s">
        <v>2953</v>
      </c>
      <c r="U77" s="179" t="s">
        <v>2954</v>
      </c>
      <c r="V77" s="179">
        <v>1034</v>
      </c>
      <c r="W77" s="179" t="s">
        <v>3352</v>
      </c>
      <c r="X77" s="188">
        <v>180.83350000000002</v>
      </c>
      <c r="Y77" s="188">
        <v>108.68229999999998</v>
      </c>
      <c r="Z77" s="188">
        <v>103.854</v>
      </c>
      <c r="AA77" s="188">
        <v>47.189799999999991</v>
      </c>
      <c r="AB77" s="188">
        <v>11.023099999999999</v>
      </c>
      <c r="AC77" s="188">
        <v>116.328</v>
      </c>
      <c r="AD77" s="179" t="s">
        <v>2956</v>
      </c>
      <c r="AE77" s="188" t="s">
        <v>2957</v>
      </c>
      <c r="AF77" s="189">
        <v>0.29166666666666669</v>
      </c>
      <c r="AG77" s="189">
        <v>0.95833333333333337</v>
      </c>
      <c r="AH77" s="190" t="s">
        <v>2941</v>
      </c>
      <c r="AI77" s="190" t="s">
        <v>2985</v>
      </c>
      <c r="AJ77" s="179" t="s">
        <v>167</v>
      </c>
      <c r="AK77" s="179" t="s">
        <v>3241</v>
      </c>
      <c r="AL77" s="179" t="s">
        <v>9</v>
      </c>
      <c r="AM77" s="179" t="s">
        <v>3353</v>
      </c>
      <c r="AN77" s="179" t="s">
        <v>2102</v>
      </c>
      <c r="AO77" s="179" t="s">
        <v>2473</v>
      </c>
      <c r="AP77" s="191">
        <v>81139008441</v>
      </c>
      <c r="AQ77" s="184">
        <v>40329</v>
      </c>
      <c r="AR77" s="179">
        <v>194</v>
      </c>
      <c r="AS77" s="179"/>
      <c r="AT77" s="181" t="s">
        <v>3354</v>
      </c>
      <c r="AU77" s="181" t="s">
        <v>2946</v>
      </c>
      <c r="AV77" s="192">
        <v>26885990</v>
      </c>
      <c r="AW77" s="181">
        <v>41.4</v>
      </c>
      <c r="AX77" s="179">
        <v>80362</v>
      </c>
      <c r="AY77" s="179"/>
    </row>
    <row r="78" spans="1:51" ht="14.4" x14ac:dyDescent="0.3">
      <c r="A78" s="179" t="s">
        <v>988</v>
      </c>
      <c r="B78" s="179" t="s">
        <v>2947</v>
      </c>
      <c r="C78" s="180" t="s">
        <v>3355</v>
      </c>
      <c r="D78" s="181" t="s">
        <v>2855</v>
      </c>
      <c r="E78" s="181" t="s">
        <v>2815</v>
      </c>
      <c r="F78" s="182" t="s">
        <v>2972</v>
      </c>
      <c r="G78" s="181" t="s">
        <v>17</v>
      </c>
      <c r="H78" s="193">
        <v>45087</v>
      </c>
      <c r="I78" s="184"/>
      <c r="J78" s="179" t="s">
        <v>3356</v>
      </c>
      <c r="K78" s="179">
        <v>150</v>
      </c>
      <c r="L78" s="179" t="s">
        <v>2950</v>
      </c>
      <c r="M78" s="185"/>
      <c r="N78" s="185"/>
      <c r="O78" s="179" t="s">
        <v>2951</v>
      </c>
      <c r="P78" s="185"/>
      <c r="Q78" s="182" t="s">
        <v>2933</v>
      </c>
      <c r="R78" s="182" t="s">
        <v>2934</v>
      </c>
      <c r="S78" s="182" t="s">
        <v>2952</v>
      </c>
      <c r="T78" s="179" t="s">
        <v>2953</v>
      </c>
      <c r="U78" s="179" t="s">
        <v>2954</v>
      </c>
      <c r="V78" s="187">
        <v>1397</v>
      </c>
      <c r="W78" s="179" t="s">
        <v>3140</v>
      </c>
      <c r="X78" s="188">
        <v>320.2038</v>
      </c>
      <c r="Y78" s="188">
        <v>210.15960000000001</v>
      </c>
      <c r="Z78" s="188">
        <v>144.31130000000002</v>
      </c>
      <c r="AA78" s="188">
        <v>99.907399999999996</v>
      </c>
      <c r="AB78" s="188">
        <v>16.804600000000001</v>
      </c>
      <c r="AC78" s="188">
        <v>88.633600000000001</v>
      </c>
      <c r="AD78" s="179" t="s">
        <v>2956</v>
      </c>
      <c r="AE78" s="188" t="s">
        <v>3017</v>
      </c>
      <c r="AF78" s="189">
        <v>0</v>
      </c>
      <c r="AG78" s="189">
        <v>0.99930555555555556</v>
      </c>
      <c r="AH78" s="190" t="s">
        <v>2941</v>
      </c>
      <c r="AI78" s="190" t="s">
        <v>2985</v>
      </c>
      <c r="AJ78" s="179" t="s">
        <v>986</v>
      </c>
      <c r="AK78" s="179" t="s">
        <v>2981</v>
      </c>
      <c r="AL78" s="179" t="s">
        <v>28</v>
      </c>
      <c r="AM78" s="179" t="s">
        <v>3357</v>
      </c>
      <c r="AN78" s="179" t="s">
        <v>2102</v>
      </c>
      <c r="AO78" s="179" t="s">
        <v>2621</v>
      </c>
      <c r="AP78" s="191">
        <v>81139607367</v>
      </c>
      <c r="AQ78" s="184">
        <v>40336</v>
      </c>
      <c r="AR78" s="179">
        <v>194</v>
      </c>
      <c r="AS78" s="179"/>
      <c r="AT78" s="181" t="s">
        <v>3358</v>
      </c>
      <c r="AU78" s="181" t="s">
        <v>2946</v>
      </c>
      <c r="AV78" s="192">
        <v>21624830</v>
      </c>
      <c r="AW78" s="181">
        <v>23.2</v>
      </c>
      <c r="AX78" s="179">
        <v>80582</v>
      </c>
      <c r="AY78" s="179"/>
    </row>
    <row r="79" spans="1:51" ht="14.4" x14ac:dyDescent="0.3">
      <c r="A79" s="179" t="s">
        <v>1110</v>
      </c>
      <c r="B79" s="179" t="s">
        <v>2947</v>
      </c>
      <c r="C79" s="180" t="s">
        <v>3359</v>
      </c>
      <c r="D79" s="181" t="s">
        <v>2824</v>
      </c>
      <c r="E79" s="181" t="s">
        <v>2813</v>
      </c>
      <c r="F79" s="182" t="s">
        <v>2929</v>
      </c>
      <c r="G79" s="181" t="s">
        <v>12</v>
      </c>
      <c r="H79" s="193">
        <v>44987</v>
      </c>
      <c r="I79" s="184"/>
      <c r="J79" s="179" t="s">
        <v>3360</v>
      </c>
      <c r="K79" s="179">
        <v>17</v>
      </c>
      <c r="L79" s="179" t="s">
        <v>2965</v>
      </c>
      <c r="M79" s="185"/>
      <c r="N79" s="185"/>
      <c r="O79" s="186"/>
      <c r="P79" s="185"/>
      <c r="Q79" s="182" t="s">
        <v>2933</v>
      </c>
      <c r="R79" s="182" t="s">
        <v>2998</v>
      </c>
      <c r="S79" s="182" t="s">
        <v>2952</v>
      </c>
      <c r="T79" s="179" t="s">
        <v>2953</v>
      </c>
      <c r="U79" s="179" t="s">
        <v>2954</v>
      </c>
      <c r="V79" s="179">
        <v>1556</v>
      </c>
      <c r="W79" s="179" t="s">
        <v>3342</v>
      </c>
      <c r="X79" s="188">
        <v>182.9485</v>
      </c>
      <c r="Y79" s="188">
        <v>133.59359999999998</v>
      </c>
      <c r="Z79" s="188">
        <v>104.89859999999999</v>
      </c>
      <c r="AA79" s="188">
        <v>44.307100000000005</v>
      </c>
      <c r="AB79" s="188">
        <v>6.9975000000000005</v>
      </c>
      <c r="AC79" s="188">
        <v>50.244</v>
      </c>
      <c r="AD79" s="179" t="s">
        <v>2984</v>
      </c>
      <c r="AE79" s="188" t="s">
        <v>2957</v>
      </c>
      <c r="AF79" s="189">
        <v>0.29166666666666669</v>
      </c>
      <c r="AG79" s="189">
        <v>0.91666666666666663</v>
      </c>
      <c r="AH79" s="190" t="s">
        <v>2941</v>
      </c>
      <c r="AI79" s="190" t="s">
        <v>2985</v>
      </c>
      <c r="AJ79" s="179" t="s">
        <v>298</v>
      </c>
      <c r="AK79" s="179" t="s">
        <v>3241</v>
      </c>
      <c r="AL79" s="179" t="s">
        <v>9</v>
      </c>
      <c r="AM79" s="179" t="s">
        <v>3361</v>
      </c>
      <c r="AN79" s="179" t="s">
        <v>2102</v>
      </c>
      <c r="AO79" s="179" t="s">
        <v>2475</v>
      </c>
      <c r="AP79" s="191">
        <v>81139002237</v>
      </c>
      <c r="AQ79" s="184">
        <v>40337</v>
      </c>
      <c r="AR79" s="179">
        <v>194</v>
      </c>
      <c r="AS79" s="179"/>
      <c r="AT79" s="198" t="s">
        <v>3362</v>
      </c>
      <c r="AU79" s="181" t="s">
        <v>3363</v>
      </c>
      <c r="AV79" s="192">
        <v>24899412</v>
      </c>
      <c r="AW79" s="181">
        <v>42.3</v>
      </c>
      <c r="AX79" s="179">
        <v>80362</v>
      </c>
      <c r="AY79" s="179"/>
    </row>
    <row r="80" spans="1:51" ht="14.4" x14ac:dyDescent="0.3">
      <c r="A80" s="179" t="s">
        <v>865</v>
      </c>
      <c r="B80" s="179" t="s">
        <v>2947</v>
      </c>
      <c r="C80" s="180" t="s">
        <v>3364</v>
      </c>
      <c r="D80" s="181" t="s">
        <v>2828</v>
      </c>
      <c r="E80" s="181" t="s">
        <v>2827</v>
      </c>
      <c r="F80" s="182" t="s">
        <v>2972</v>
      </c>
      <c r="G80" s="181" t="s">
        <v>17</v>
      </c>
      <c r="H80" s="193">
        <v>45931</v>
      </c>
      <c r="I80" s="184"/>
      <c r="J80" s="179" t="s">
        <v>3365</v>
      </c>
      <c r="K80" s="179">
        <v>140</v>
      </c>
      <c r="L80" s="179" t="s">
        <v>2965</v>
      </c>
      <c r="M80" s="185"/>
      <c r="N80" s="185"/>
      <c r="O80" s="186"/>
      <c r="P80" s="185" t="s">
        <v>2951</v>
      </c>
      <c r="Q80" s="182" t="s">
        <v>2933</v>
      </c>
      <c r="R80" s="182" t="s">
        <v>2934</v>
      </c>
      <c r="S80" s="182" t="s">
        <v>2952</v>
      </c>
      <c r="T80" s="179" t="s">
        <v>2953</v>
      </c>
      <c r="U80" s="179" t="s">
        <v>2954</v>
      </c>
      <c r="V80" s="187">
        <v>1569</v>
      </c>
      <c r="W80" s="179" t="s">
        <v>3140</v>
      </c>
      <c r="X80" s="188">
        <v>326.45249999999999</v>
      </c>
      <c r="Y80" s="188">
        <v>239.03100000000001</v>
      </c>
      <c r="Z80" s="188">
        <v>147.86429999999999</v>
      </c>
      <c r="AA80" s="188">
        <v>70.179999999999993</v>
      </c>
      <c r="AB80" s="188">
        <v>19.263999999999999</v>
      </c>
      <c r="AC80" s="188">
        <v>64.436999999999998</v>
      </c>
      <c r="AD80" s="179" t="s">
        <v>2956</v>
      </c>
      <c r="AE80" s="188" t="s">
        <v>2940</v>
      </c>
      <c r="AF80" s="189">
        <v>0</v>
      </c>
      <c r="AG80" s="189">
        <v>0.99930555555555556</v>
      </c>
      <c r="AH80" s="190" t="s">
        <v>2941</v>
      </c>
      <c r="AI80" s="190" t="s">
        <v>2942</v>
      </c>
      <c r="AJ80" s="179" t="s">
        <v>863</v>
      </c>
      <c r="AK80" s="179" t="s">
        <v>3364</v>
      </c>
      <c r="AL80" s="179" t="s">
        <v>48</v>
      </c>
      <c r="AM80" s="179" t="s">
        <v>3366</v>
      </c>
      <c r="AN80" s="179" t="s">
        <v>2102</v>
      </c>
      <c r="AO80" s="179" t="s">
        <v>2477</v>
      </c>
      <c r="AP80" s="191">
        <v>81139003851</v>
      </c>
      <c r="AQ80" s="184">
        <v>40340</v>
      </c>
      <c r="AR80" s="179">
        <v>194</v>
      </c>
      <c r="AS80" s="179"/>
      <c r="AT80" s="181" t="s">
        <v>3367</v>
      </c>
      <c r="AU80" s="181" t="s">
        <v>3368</v>
      </c>
      <c r="AV80" s="192">
        <v>24395929</v>
      </c>
      <c r="AW80" s="181">
        <v>53.6</v>
      </c>
      <c r="AX80" s="179">
        <v>81161</v>
      </c>
      <c r="AY80" s="179"/>
    </row>
    <row r="81" spans="1:51" ht="14.4" x14ac:dyDescent="0.3">
      <c r="A81" s="179" t="s">
        <v>1437</v>
      </c>
      <c r="B81" s="179" t="s">
        <v>2927</v>
      </c>
      <c r="C81" s="180" t="s">
        <v>3369</v>
      </c>
      <c r="D81" s="181" t="s">
        <v>2835</v>
      </c>
      <c r="E81" s="181" t="s">
        <v>2834</v>
      </c>
      <c r="F81" s="182" t="s">
        <v>2929</v>
      </c>
      <c r="G81" s="181" t="s">
        <v>12</v>
      </c>
      <c r="H81" s="193" t="s">
        <v>2930</v>
      </c>
      <c r="I81" s="184" t="s">
        <v>2930</v>
      </c>
      <c r="J81" s="179" t="s">
        <v>3370</v>
      </c>
      <c r="K81" s="179">
        <v>77</v>
      </c>
      <c r="L81" s="179" t="s">
        <v>2965</v>
      </c>
      <c r="M81" s="185"/>
      <c r="N81" s="185"/>
      <c r="O81" s="186"/>
      <c r="P81" s="185"/>
      <c r="Q81" s="182" t="s">
        <v>2934</v>
      </c>
      <c r="R81" s="182" t="s">
        <v>2933</v>
      </c>
      <c r="S81" s="182" t="s">
        <v>2952</v>
      </c>
      <c r="T81" s="179" t="s">
        <v>2953</v>
      </c>
      <c r="U81" s="179" t="s">
        <v>2937</v>
      </c>
      <c r="V81" s="179">
        <v>1130</v>
      </c>
      <c r="W81" s="179" t="s">
        <v>2992</v>
      </c>
      <c r="X81" s="188">
        <v>213.642</v>
      </c>
      <c r="Y81" s="188">
        <v>147.47899999999998</v>
      </c>
      <c r="Z81" s="188">
        <v>102.2804</v>
      </c>
      <c r="AA81" s="188">
        <v>53.8611</v>
      </c>
      <c r="AB81" s="188">
        <v>11.605099999999998</v>
      </c>
      <c r="AC81" s="188">
        <v>25.564</v>
      </c>
      <c r="AD81" s="179" t="s">
        <v>2939</v>
      </c>
      <c r="AE81" s="188" t="s">
        <v>2940</v>
      </c>
      <c r="AF81" s="189">
        <v>0.29166666666666669</v>
      </c>
      <c r="AG81" s="189">
        <v>0.91666666666666663</v>
      </c>
      <c r="AH81" s="190" t="s">
        <v>2941</v>
      </c>
      <c r="AI81" s="190" t="s">
        <v>2942</v>
      </c>
      <c r="AJ81" s="179" t="s">
        <v>1270</v>
      </c>
      <c r="AK81" s="179" t="s">
        <v>32</v>
      </c>
      <c r="AL81" s="179" t="s">
        <v>32</v>
      </c>
      <c r="AM81" s="179" t="s">
        <v>3371</v>
      </c>
      <c r="AN81" s="179" t="s">
        <v>2102</v>
      </c>
      <c r="AO81" s="179" t="s">
        <v>2275</v>
      </c>
      <c r="AP81" s="191">
        <v>81139001308</v>
      </c>
      <c r="AQ81" s="184">
        <v>40372</v>
      </c>
      <c r="AR81" s="179">
        <v>193</v>
      </c>
      <c r="AS81" s="194">
        <v>41334</v>
      </c>
      <c r="AT81" s="195" t="s">
        <v>3372</v>
      </c>
      <c r="AU81" s="195" t="s">
        <v>2946</v>
      </c>
      <c r="AV81" s="192">
        <v>22027140</v>
      </c>
      <c r="AW81" s="181">
        <v>41.5</v>
      </c>
      <c r="AX81" s="179">
        <v>80612</v>
      </c>
      <c r="AY81" s="179" t="s">
        <v>3373</v>
      </c>
    </row>
    <row r="82" spans="1:51" ht="14.4" x14ac:dyDescent="0.3">
      <c r="A82" s="179" t="s">
        <v>1348</v>
      </c>
      <c r="B82" s="200" t="s">
        <v>2947</v>
      </c>
      <c r="C82" s="180" t="s">
        <v>3374</v>
      </c>
      <c r="D82" s="181" t="s">
        <v>2863</v>
      </c>
      <c r="E82" s="181" t="s">
        <v>2813</v>
      </c>
      <c r="F82" s="182" t="s">
        <v>2929</v>
      </c>
      <c r="G82" s="181" t="s">
        <v>12</v>
      </c>
      <c r="H82" s="193">
        <v>44672</v>
      </c>
      <c r="I82" s="184"/>
      <c r="J82" s="179" t="s">
        <v>3375</v>
      </c>
      <c r="K82" s="179">
        <v>400</v>
      </c>
      <c r="L82" s="179" t="s">
        <v>2950</v>
      </c>
      <c r="M82" s="185"/>
      <c r="N82" s="185"/>
      <c r="O82" s="186"/>
      <c r="P82" s="185"/>
      <c r="Q82" s="182" t="s">
        <v>2934</v>
      </c>
      <c r="R82" s="182" t="s">
        <v>2933</v>
      </c>
      <c r="S82" s="182" t="s">
        <v>2952</v>
      </c>
      <c r="T82" s="179" t="s">
        <v>3376</v>
      </c>
      <c r="U82" s="179" t="s">
        <v>2954</v>
      </c>
      <c r="V82" s="179">
        <v>864</v>
      </c>
      <c r="W82" s="179" t="s">
        <v>3301</v>
      </c>
      <c r="X82" s="188">
        <v>221.55600000000001</v>
      </c>
      <c r="Y82" s="188">
        <v>163.78450000000001</v>
      </c>
      <c r="Z82" s="188">
        <v>129.24699999999999</v>
      </c>
      <c r="AA82" s="188">
        <v>41.238800000000005</v>
      </c>
      <c r="AB82" s="188">
        <v>30.84</v>
      </c>
      <c r="AC82" s="188">
        <v>131.65449999999998</v>
      </c>
      <c r="AD82" s="179" t="s">
        <v>2956</v>
      </c>
      <c r="AE82" s="188" t="s">
        <v>2957</v>
      </c>
      <c r="AF82" s="189">
        <v>0.29166666666666669</v>
      </c>
      <c r="AG82" s="189">
        <v>0.91666666666666663</v>
      </c>
      <c r="AH82" s="190" t="s">
        <v>2941</v>
      </c>
      <c r="AI82" s="190" t="s">
        <v>2942</v>
      </c>
      <c r="AJ82" s="179" t="s">
        <v>131</v>
      </c>
      <c r="AK82" s="179" t="s">
        <v>3293</v>
      </c>
      <c r="AL82" s="179" t="s">
        <v>9</v>
      </c>
      <c r="AM82" s="179" t="s">
        <v>3377</v>
      </c>
      <c r="AN82" s="179" t="s">
        <v>2102</v>
      </c>
      <c r="AO82" s="179" t="s">
        <v>2766</v>
      </c>
      <c r="AP82" s="191">
        <v>81139002440</v>
      </c>
      <c r="AQ82" s="184">
        <v>40379</v>
      </c>
      <c r="AR82" s="179">
        <v>193</v>
      </c>
      <c r="AS82" s="179"/>
      <c r="AT82" s="181" t="s">
        <v>3378</v>
      </c>
      <c r="AU82" s="181" t="s">
        <v>3379</v>
      </c>
      <c r="AV82" s="192">
        <v>14805830</v>
      </c>
      <c r="AW82" s="181">
        <v>30</v>
      </c>
      <c r="AX82" s="179">
        <v>80361</v>
      </c>
      <c r="AY82" s="179"/>
    </row>
    <row r="83" spans="1:51" ht="14.4" x14ac:dyDescent="0.3">
      <c r="A83" s="179" t="s">
        <v>1502</v>
      </c>
      <c r="B83" s="179" t="s">
        <v>2927</v>
      </c>
      <c r="C83" s="180" t="s">
        <v>3380</v>
      </c>
      <c r="D83" s="181" t="s">
        <v>2826</v>
      </c>
      <c r="E83" s="181" t="s">
        <v>2825</v>
      </c>
      <c r="F83" s="182" t="s">
        <v>2972</v>
      </c>
      <c r="G83" s="181" t="s">
        <v>17</v>
      </c>
      <c r="H83" s="193" t="s">
        <v>2930</v>
      </c>
      <c r="I83" s="184" t="s">
        <v>2930</v>
      </c>
      <c r="J83" s="179" t="s">
        <v>3381</v>
      </c>
      <c r="K83" s="179">
        <v>556</v>
      </c>
      <c r="L83" s="179" t="s">
        <v>3026</v>
      </c>
      <c r="M83" s="185"/>
      <c r="N83" s="185"/>
      <c r="O83" s="179" t="s">
        <v>2951</v>
      </c>
      <c r="P83" s="185"/>
      <c r="Q83" s="182" t="s">
        <v>2934</v>
      </c>
      <c r="R83" s="182" t="s">
        <v>2933</v>
      </c>
      <c r="S83" s="182" t="s">
        <v>2952</v>
      </c>
      <c r="T83" s="179" t="s">
        <v>2953</v>
      </c>
      <c r="U83" s="179" t="s">
        <v>2937</v>
      </c>
      <c r="V83" s="179">
        <v>1857</v>
      </c>
      <c r="W83" s="179" t="s">
        <v>3003</v>
      </c>
      <c r="X83" s="188">
        <v>445.8682</v>
      </c>
      <c r="Y83" s="188">
        <v>242.88479999999998</v>
      </c>
      <c r="Z83" s="188">
        <v>127.4875</v>
      </c>
      <c r="AA83" s="188">
        <v>188.38050000000001</v>
      </c>
      <c r="AB83" s="188">
        <v>16.411200000000001</v>
      </c>
      <c r="AC83" s="188">
        <v>282.17149999999998</v>
      </c>
      <c r="AD83" s="179" t="s">
        <v>2956</v>
      </c>
      <c r="AE83" s="188" t="s">
        <v>2940</v>
      </c>
      <c r="AF83" s="189">
        <v>0</v>
      </c>
      <c r="AG83" s="189">
        <v>0.99930555555555556</v>
      </c>
      <c r="AH83" s="190" t="s">
        <v>2976</v>
      </c>
      <c r="AI83" s="190" t="s">
        <v>2942</v>
      </c>
      <c r="AJ83" s="179" t="s">
        <v>1500</v>
      </c>
      <c r="AK83" s="179" t="s">
        <v>3302</v>
      </c>
      <c r="AL83" s="179" t="s">
        <v>9</v>
      </c>
      <c r="AM83" s="179" t="s">
        <v>3382</v>
      </c>
      <c r="AN83" s="179" t="s">
        <v>2102</v>
      </c>
      <c r="AO83" s="179" t="s">
        <v>2342</v>
      </c>
      <c r="AP83" s="191">
        <v>81139008265</v>
      </c>
      <c r="AQ83" s="184">
        <v>40382</v>
      </c>
      <c r="AR83" s="179">
        <v>193</v>
      </c>
      <c r="AS83" s="194">
        <v>41395</v>
      </c>
      <c r="AT83" s="195" t="s">
        <v>3383</v>
      </c>
      <c r="AU83" s="195" t="s">
        <v>2946</v>
      </c>
      <c r="AV83" s="192">
        <v>25408000</v>
      </c>
      <c r="AW83" s="181">
        <v>15.1</v>
      </c>
      <c r="AX83" s="179">
        <v>80351</v>
      </c>
      <c r="AY83" s="179" t="s">
        <v>3384</v>
      </c>
    </row>
    <row r="84" spans="1:51" ht="14.4" x14ac:dyDescent="0.3">
      <c r="A84" s="179" t="s">
        <v>386</v>
      </c>
      <c r="B84" s="179" t="s">
        <v>2947</v>
      </c>
      <c r="C84" s="180" t="s">
        <v>3385</v>
      </c>
      <c r="D84" s="181" t="s">
        <v>2847</v>
      </c>
      <c r="E84" s="181" t="s">
        <v>2830</v>
      </c>
      <c r="F84" s="182" t="s">
        <v>2929</v>
      </c>
      <c r="G84" s="181" t="s">
        <v>12</v>
      </c>
      <c r="H84" s="193">
        <v>45569</v>
      </c>
      <c r="I84" s="184"/>
      <c r="J84" s="179" t="s">
        <v>3386</v>
      </c>
      <c r="K84" s="179">
        <v>350</v>
      </c>
      <c r="L84" s="179" t="s">
        <v>2950</v>
      </c>
      <c r="M84" s="185"/>
      <c r="N84" s="185"/>
      <c r="O84" s="186"/>
      <c r="P84" s="185" t="s">
        <v>2951</v>
      </c>
      <c r="Q84" s="182" t="s">
        <v>2934</v>
      </c>
      <c r="R84" s="182" t="s">
        <v>2933</v>
      </c>
      <c r="S84" s="182" t="s">
        <v>2952</v>
      </c>
      <c r="T84" s="179" t="s">
        <v>2999</v>
      </c>
      <c r="U84" s="179" t="s">
        <v>2954</v>
      </c>
      <c r="V84" s="179">
        <v>2305</v>
      </c>
      <c r="W84" s="179" t="s">
        <v>3109</v>
      </c>
      <c r="X84" s="188">
        <v>220.935</v>
      </c>
      <c r="Y84" s="188">
        <v>164.90300000000002</v>
      </c>
      <c r="Z84" s="188">
        <v>128.1</v>
      </c>
      <c r="AA84" s="188">
        <v>38</v>
      </c>
      <c r="AB84" s="188">
        <v>11.899999999999999</v>
      </c>
      <c r="AC84" s="188">
        <v>152.9956</v>
      </c>
      <c r="AD84" s="179" t="s">
        <v>2956</v>
      </c>
      <c r="AE84" s="188" t="s">
        <v>2957</v>
      </c>
      <c r="AF84" s="189">
        <v>0</v>
      </c>
      <c r="AG84" s="189">
        <v>0.99930555555555556</v>
      </c>
      <c r="AH84" s="190" t="s">
        <v>2976</v>
      </c>
      <c r="AI84" s="190" t="s">
        <v>2985</v>
      </c>
      <c r="AJ84" s="179" t="s">
        <v>384</v>
      </c>
      <c r="AK84" s="179" t="s">
        <v>3387</v>
      </c>
      <c r="AL84" s="179" t="s">
        <v>4</v>
      </c>
      <c r="AM84" s="179" t="s">
        <v>3388</v>
      </c>
      <c r="AN84" s="179" t="s">
        <v>2102</v>
      </c>
      <c r="AO84" s="179" t="s">
        <v>2623</v>
      </c>
      <c r="AP84" s="191">
        <v>81139003425</v>
      </c>
      <c r="AQ84" s="184">
        <v>40385</v>
      </c>
      <c r="AR84" s="179">
        <v>193</v>
      </c>
      <c r="AS84" s="179"/>
      <c r="AT84" s="181" t="s">
        <v>3389</v>
      </c>
      <c r="AU84" s="181" t="s">
        <v>3390</v>
      </c>
      <c r="AV84" s="192">
        <v>25768998</v>
      </c>
      <c r="AW84" s="181">
        <v>23.7</v>
      </c>
      <c r="AX84" s="179">
        <v>80236</v>
      </c>
      <c r="AY84" s="179"/>
    </row>
    <row r="85" spans="1:51" ht="14.4" x14ac:dyDescent="0.3">
      <c r="A85" s="179" t="s">
        <v>1127</v>
      </c>
      <c r="B85" s="179" t="s">
        <v>2947</v>
      </c>
      <c r="C85" s="180" t="s">
        <v>3391</v>
      </c>
      <c r="D85" s="181" t="s">
        <v>2841</v>
      </c>
      <c r="E85" s="181" t="s">
        <v>2840</v>
      </c>
      <c r="F85" s="182" t="s">
        <v>3086</v>
      </c>
      <c r="G85" s="181" t="s">
        <v>535</v>
      </c>
      <c r="H85" s="193">
        <v>44497</v>
      </c>
      <c r="I85" s="184">
        <v>44497</v>
      </c>
      <c r="J85" s="179" t="s">
        <v>3392</v>
      </c>
      <c r="K85" s="179">
        <v>45</v>
      </c>
      <c r="L85" s="179" t="s">
        <v>2965</v>
      </c>
      <c r="M85" s="185"/>
      <c r="N85" s="185" t="s">
        <v>2951</v>
      </c>
      <c r="O85" s="179" t="s">
        <v>2951</v>
      </c>
      <c r="P85" s="185" t="s">
        <v>2951</v>
      </c>
      <c r="Q85" s="182" t="s">
        <v>2934</v>
      </c>
      <c r="R85" s="182" t="s">
        <v>2933</v>
      </c>
      <c r="S85" s="182" t="s">
        <v>2952</v>
      </c>
      <c r="T85" s="179" t="s">
        <v>2999</v>
      </c>
      <c r="U85" s="179" t="s">
        <v>2954</v>
      </c>
      <c r="V85" s="179">
        <v>1783</v>
      </c>
      <c r="W85" s="179" t="s">
        <v>3393</v>
      </c>
      <c r="X85" s="188">
        <v>405.55440000000004</v>
      </c>
      <c r="Y85" s="188">
        <v>309.14</v>
      </c>
      <c r="Z85" s="188">
        <v>210.28630000000001</v>
      </c>
      <c r="AA85" s="188">
        <v>70.488</v>
      </c>
      <c r="AB85" s="188">
        <v>14.745000000000001</v>
      </c>
      <c r="AC85" s="188">
        <v>217.459</v>
      </c>
      <c r="AD85" s="179" t="s">
        <v>2956</v>
      </c>
      <c r="AE85" s="188" t="s">
        <v>3017</v>
      </c>
      <c r="AF85" s="189">
        <v>0</v>
      </c>
      <c r="AG85" s="189">
        <v>0.99930555555555556</v>
      </c>
      <c r="AH85" s="190" t="s">
        <v>2941</v>
      </c>
      <c r="AI85" s="190" t="s">
        <v>2942</v>
      </c>
      <c r="AJ85" s="179" t="s">
        <v>968</v>
      </c>
      <c r="AK85" s="179" t="s">
        <v>3034</v>
      </c>
      <c r="AL85" s="179" t="s">
        <v>4</v>
      </c>
      <c r="AM85" s="179" t="s">
        <v>3394</v>
      </c>
      <c r="AN85" s="179" t="s">
        <v>2102</v>
      </c>
      <c r="AO85" s="179" t="s">
        <v>2731</v>
      </c>
      <c r="AP85" s="191">
        <v>8113806120</v>
      </c>
      <c r="AQ85" s="184">
        <v>40386</v>
      </c>
      <c r="AR85" s="179">
        <v>193</v>
      </c>
      <c r="AS85" s="179"/>
      <c r="AT85" s="181" t="s">
        <v>3395</v>
      </c>
      <c r="AU85" s="181" t="s">
        <v>2946</v>
      </c>
      <c r="AV85" s="192">
        <v>29084973.487698413</v>
      </c>
      <c r="AW85" s="181">
        <v>17</v>
      </c>
      <c r="AX85" s="179">
        <v>80239</v>
      </c>
      <c r="AY85" s="179"/>
    </row>
    <row r="86" spans="1:51" ht="14.4" x14ac:dyDescent="0.3">
      <c r="A86" s="179" t="s">
        <v>1695</v>
      </c>
      <c r="B86" s="179" t="s">
        <v>2947</v>
      </c>
      <c r="C86" s="180" t="s">
        <v>3396</v>
      </c>
      <c r="D86" s="181" t="s">
        <v>2836</v>
      </c>
      <c r="E86" s="181" t="s">
        <v>2825</v>
      </c>
      <c r="F86" s="182" t="s">
        <v>2929</v>
      </c>
      <c r="G86" s="181" t="s">
        <v>12</v>
      </c>
      <c r="H86" s="193">
        <v>43993</v>
      </c>
      <c r="I86" s="184">
        <v>43993</v>
      </c>
      <c r="J86" s="179" t="s">
        <v>3397</v>
      </c>
      <c r="K86" s="179">
        <v>88</v>
      </c>
      <c r="L86" s="179" t="s">
        <v>2965</v>
      </c>
      <c r="M86" s="185"/>
      <c r="N86" s="185"/>
      <c r="O86" s="186"/>
      <c r="P86" s="185"/>
      <c r="Q86" s="182" t="s">
        <v>2933</v>
      </c>
      <c r="R86" s="182" t="s">
        <v>2934</v>
      </c>
      <c r="S86" s="182" t="s">
        <v>2952</v>
      </c>
      <c r="T86" s="179" t="s">
        <v>2953</v>
      </c>
      <c r="U86" s="179" t="s">
        <v>2954</v>
      </c>
      <c r="V86" s="187">
        <v>661</v>
      </c>
      <c r="W86" s="179" t="s">
        <v>2992</v>
      </c>
      <c r="X86" s="188">
        <v>335.10470000000004</v>
      </c>
      <c r="Y86" s="188">
        <v>186.8683</v>
      </c>
      <c r="Z86" s="188">
        <v>115.31299999999999</v>
      </c>
      <c r="AA86" s="188">
        <v>137.26239999999999</v>
      </c>
      <c r="AB86" s="188">
        <v>12.180999999999999</v>
      </c>
      <c r="AC86" s="188">
        <v>39.811199999999999</v>
      </c>
      <c r="AD86" s="179" t="s">
        <v>2984</v>
      </c>
      <c r="AE86" s="188" t="s">
        <v>2940</v>
      </c>
      <c r="AF86" s="189">
        <v>0.29166666666666669</v>
      </c>
      <c r="AG86" s="189">
        <v>0.91666666666666663</v>
      </c>
      <c r="AH86" s="190" t="s">
        <v>2941</v>
      </c>
      <c r="AI86" s="190" t="s">
        <v>2942</v>
      </c>
      <c r="AJ86" s="179" t="s">
        <v>626</v>
      </c>
      <c r="AK86" s="179" t="s">
        <v>3345</v>
      </c>
      <c r="AL86" s="179" t="s">
        <v>36</v>
      </c>
      <c r="AM86" s="179" t="s">
        <v>3398</v>
      </c>
      <c r="AN86" s="179" t="s">
        <v>2102</v>
      </c>
      <c r="AO86" s="179" t="s">
        <v>2624</v>
      </c>
      <c r="AP86" s="191">
        <v>81139003774</v>
      </c>
      <c r="AQ86" s="184">
        <v>40393</v>
      </c>
      <c r="AR86" s="179">
        <v>192</v>
      </c>
      <c r="AS86" s="179"/>
      <c r="AT86" s="181" t="s">
        <v>3399</v>
      </c>
      <c r="AU86" s="181" t="s">
        <v>2946</v>
      </c>
      <c r="AV86" s="192">
        <v>13387246</v>
      </c>
      <c r="AW86" s="181">
        <v>26.8</v>
      </c>
      <c r="AX86" s="179">
        <v>82191</v>
      </c>
      <c r="AY86" s="179"/>
    </row>
    <row r="87" spans="1:51" ht="14.4" x14ac:dyDescent="0.3">
      <c r="A87" s="179" t="s">
        <v>1186</v>
      </c>
      <c r="B87" s="179" t="s">
        <v>2947</v>
      </c>
      <c r="C87" s="180" t="s">
        <v>3400</v>
      </c>
      <c r="D87" s="181" t="s">
        <v>2837</v>
      </c>
      <c r="E87" s="181" t="s">
        <v>2825</v>
      </c>
      <c r="F87" s="182" t="s">
        <v>2972</v>
      </c>
      <c r="G87" s="181" t="s">
        <v>17</v>
      </c>
      <c r="H87" s="193">
        <v>45087</v>
      </c>
      <c r="I87" s="184"/>
      <c r="J87" s="179" t="s">
        <v>3401</v>
      </c>
      <c r="K87" s="179">
        <v>160</v>
      </c>
      <c r="L87" s="179" t="s">
        <v>2950</v>
      </c>
      <c r="M87" s="185"/>
      <c r="N87" s="185"/>
      <c r="O87" s="186"/>
      <c r="P87" s="185"/>
      <c r="Q87" s="182" t="s">
        <v>2933</v>
      </c>
      <c r="R87" s="182" t="s">
        <v>2934</v>
      </c>
      <c r="S87" s="182" t="s">
        <v>2952</v>
      </c>
      <c r="T87" s="179" t="s">
        <v>2953</v>
      </c>
      <c r="U87" s="179" t="s">
        <v>2954</v>
      </c>
      <c r="V87" s="187">
        <v>1139</v>
      </c>
      <c r="W87" s="179" t="s">
        <v>3140</v>
      </c>
      <c r="X87" s="188">
        <v>270.60000000000002</v>
      </c>
      <c r="Y87" s="188">
        <v>181.8</v>
      </c>
      <c r="Z87" s="188">
        <v>115.47899999999998</v>
      </c>
      <c r="AA87" s="188">
        <v>79.325999999999993</v>
      </c>
      <c r="AB87" s="188">
        <v>11.7</v>
      </c>
      <c r="AC87" s="188">
        <v>39.697500000000005</v>
      </c>
      <c r="AD87" s="179" t="s">
        <v>2984</v>
      </c>
      <c r="AE87" s="188" t="s">
        <v>2940</v>
      </c>
      <c r="AF87" s="189">
        <v>0.29166666666666669</v>
      </c>
      <c r="AG87" s="189">
        <v>0.95833333333333337</v>
      </c>
      <c r="AH87" s="190" t="s">
        <v>2941</v>
      </c>
      <c r="AI87" s="190" t="s">
        <v>2942</v>
      </c>
      <c r="AJ87" s="179" t="s">
        <v>164</v>
      </c>
      <c r="AK87" s="179" t="s">
        <v>3302</v>
      </c>
      <c r="AL87" s="179" t="s">
        <v>9</v>
      </c>
      <c r="AM87" s="179" t="s">
        <v>3402</v>
      </c>
      <c r="AN87" s="179" t="s">
        <v>2102</v>
      </c>
      <c r="AO87" s="179" t="s">
        <v>2626</v>
      </c>
      <c r="AP87" s="191">
        <v>81139002105</v>
      </c>
      <c r="AQ87" s="184">
        <v>40406</v>
      </c>
      <c r="AR87" s="179">
        <v>192</v>
      </c>
      <c r="AS87" s="179"/>
      <c r="AT87" s="181" t="s">
        <v>3403</v>
      </c>
      <c r="AU87" s="181" t="s">
        <v>2946</v>
      </c>
      <c r="AV87" s="192">
        <v>15727246</v>
      </c>
      <c r="AW87" s="181">
        <v>11.6</v>
      </c>
      <c r="AX87" s="179">
        <v>80351</v>
      </c>
      <c r="AY87" s="179"/>
    </row>
    <row r="88" spans="1:51" ht="14.4" x14ac:dyDescent="0.3">
      <c r="A88" s="179" t="s">
        <v>570</v>
      </c>
      <c r="B88" s="179" t="s">
        <v>2947</v>
      </c>
      <c r="C88" s="180" t="s">
        <v>3404</v>
      </c>
      <c r="D88" s="181" t="s">
        <v>2835</v>
      </c>
      <c r="E88" s="181" t="s">
        <v>2834</v>
      </c>
      <c r="F88" s="182" t="s">
        <v>2972</v>
      </c>
      <c r="G88" s="181" t="s">
        <v>17</v>
      </c>
      <c r="H88" s="193">
        <v>45702</v>
      </c>
      <c r="I88" s="193">
        <v>45702</v>
      </c>
      <c r="J88" s="179" t="s">
        <v>3405</v>
      </c>
      <c r="K88" s="179">
        <v>400</v>
      </c>
      <c r="L88" s="179" t="s">
        <v>2950</v>
      </c>
      <c r="M88" s="185"/>
      <c r="N88" s="185"/>
      <c r="O88" s="186"/>
      <c r="P88" s="185"/>
      <c r="Q88" s="182" t="s">
        <v>2933</v>
      </c>
      <c r="R88" s="182" t="s">
        <v>3016</v>
      </c>
      <c r="S88" s="182" t="s">
        <v>2952</v>
      </c>
      <c r="T88" s="179" t="s">
        <v>2953</v>
      </c>
      <c r="U88" s="179" t="s">
        <v>2954</v>
      </c>
      <c r="V88" s="187">
        <v>1207</v>
      </c>
      <c r="W88" s="179" t="s">
        <v>3406</v>
      </c>
      <c r="X88" s="188">
        <v>297.63580000000002</v>
      </c>
      <c r="Y88" s="188">
        <v>225.1326</v>
      </c>
      <c r="Z88" s="188">
        <v>133.32149999999999</v>
      </c>
      <c r="AA88" s="188">
        <v>62.5822</v>
      </c>
      <c r="AB88" s="188">
        <v>15.44</v>
      </c>
      <c r="AC88" s="188">
        <v>46.1524</v>
      </c>
      <c r="AD88" s="179" t="s">
        <v>2984</v>
      </c>
      <c r="AE88" s="188" t="s">
        <v>2940</v>
      </c>
      <c r="AF88" s="189">
        <v>0.29166666666666669</v>
      </c>
      <c r="AG88" s="189">
        <v>0.95833333333333337</v>
      </c>
      <c r="AH88" s="190" t="s">
        <v>2941</v>
      </c>
      <c r="AI88" s="190" t="s">
        <v>2942</v>
      </c>
      <c r="AJ88" s="179" t="s">
        <v>568</v>
      </c>
      <c r="AK88" s="179" t="s">
        <v>3404</v>
      </c>
      <c r="AL88" s="179" t="s">
        <v>32</v>
      </c>
      <c r="AM88" s="179" t="s">
        <v>3407</v>
      </c>
      <c r="AN88" s="179" t="s">
        <v>2102</v>
      </c>
      <c r="AO88" s="179" t="s">
        <v>2625</v>
      </c>
      <c r="AP88" s="191">
        <v>81139008269</v>
      </c>
      <c r="AQ88" s="184">
        <v>40415</v>
      </c>
      <c r="AR88" s="179">
        <v>192</v>
      </c>
      <c r="AS88" s="179"/>
      <c r="AT88" s="181" t="s">
        <v>3408</v>
      </c>
      <c r="AU88" s="181" t="s">
        <v>2946</v>
      </c>
      <c r="AV88" s="192">
        <v>31398800</v>
      </c>
      <c r="AW88" s="181">
        <v>53.3</v>
      </c>
      <c r="AX88" s="179">
        <v>80652</v>
      </c>
      <c r="AY88" s="179"/>
    </row>
    <row r="89" spans="1:51" ht="14.4" x14ac:dyDescent="0.3">
      <c r="A89" s="179" t="s">
        <v>1697</v>
      </c>
      <c r="B89" s="179" t="s">
        <v>2927</v>
      </c>
      <c r="C89" s="180" t="s">
        <v>3409</v>
      </c>
      <c r="D89" s="181" t="s">
        <v>2857</v>
      </c>
      <c r="E89" s="181" t="s">
        <v>2815</v>
      </c>
      <c r="F89" s="182" t="s">
        <v>2929</v>
      </c>
      <c r="G89" s="181" t="s">
        <v>12</v>
      </c>
      <c r="H89" s="193" t="s">
        <v>2930</v>
      </c>
      <c r="I89" s="184" t="s">
        <v>2930</v>
      </c>
      <c r="J89" s="179" t="s">
        <v>3410</v>
      </c>
      <c r="K89" s="179">
        <v>750</v>
      </c>
      <c r="L89" s="179" t="s">
        <v>3026</v>
      </c>
      <c r="M89" s="185"/>
      <c r="N89" s="185"/>
      <c r="O89" s="186"/>
      <c r="P89" s="185"/>
      <c r="Q89" s="182" t="s">
        <v>2933</v>
      </c>
      <c r="R89" s="182" t="s">
        <v>2998</v>
      </c>
      <c r="S89" s="182" t="s">
        <v>2952</v>
      </c>
      <c r="T89" s="179" t="s">
        <v>2953</v>
      </c>
      <c r="U89" s="179" t="s">
        <v>2937</v>
      </c>
      <c r="V89" s="179">
        <v>1604</v>
      </c>
      <c r="W89" s="179" t="s">
        <v>2955</v>
      </c>
      <c r="X89" s="188">
        <v>427.42</v>
      </c>
      <c r="Y89" s="188">
        <v>229.59999999999997</v>
      </c>
      <c r="Z89" s="188">
        <v>124.67200000000001</v>
      </c>
      <c r="AA89" s="188">
        <v>190.31400000000002</v>
      </c>
      <c r="AB89" s="188">
        <v>17.7682</v>
      </c>
      <c r="AC89" s="188">
        <v>43.673999999999992</v>
      </c>
      <c r="AD89" s="179" t="s">
        <v>2984</v>
      </c>
      <c r="AE89" s="188" t="s">
        <v>2940</v>
      </c>
      <c r="AF89" s="189">
        <v>0.29166666666666669</v>
      </c>
      <c r="AG89" s="189">
        <v>0.91666666666666663</v>
      </c>
      <c r="AH89" s="190" t="s">
        <v>2941</v>
      </c>
      <c r="AI89" s="190" t="s">
        <v>2985</v>
      </c>
      <c r="AJ89" s="179" t="s">
        <v>823</v>
      </c>
      <c r="AK89" s="179" t="s">
        <v>3000</v>
      </c>
      <c r="AL89" s="179" t="s">
        <v>28</v>
      </c>
      <c r="AM89" s="179" t="s">
        <v>3411</v>
      </c>
      <c r="AN89" s="179" t="s">
        <v>2102</v>
      </c>
      <c r="AO89" s="179" t="s">
        <v>2374</v>
      </c>
      <c r="AP89" s="191">
        <v>81139607358</v>
      </c>
      <c r="AQ89" s="184">
        <v>40433</v>
      </c>
      <c r="AR89" s="179">
        <v>191</v>
      </c>
      <c r="AS89" s="179"/>
      <c r="AT89" s="181" t="s">
        <v>3412</v>
      </c>
      <c r="AU89" s="181" t="s">
        <v>2946</v>
      </c>
      <c r="AV89" s="192">
        <v>9851193</v>
      </c>
      <c r="AW89" s="181">
        <v>16.600000000000001</v>
      </c>
      <c r="AX89" s="179">
        <v>80571</v>
      </c>
      <c r="AY89" s="179"/>
    </row>
    <row r="90" spans="1:51" ht="14.4" x14ac:dyDescent="0.3">
      <c r="A90" s="179" t="s">
        <v>1125</v>
      </c>
      <c r="B90" s="179" t="s">
        <v>2947</v>
      </c>
      <c r="C90" s="180" t="s">
        <v>3413</v>
      </c>
      <c r="D90" s="181" t="s">
        <v>2861</v>
      </c>
      <c r="E90" s="181" t="s">
        <v>2840</v>
      </c>
      <c r="F90" s="182" t="s">
        <v>3086</v>
      </c>
      <c r="G90" s="181" t="s">
        <v>535</v>
      </c>
      <c r="H90" s="193">
        <v>44905</v>
      </c>
      <c r="I90" s="184">
        <v>44905</v>
      </c>
      <c r="J90" s="179" t="s">
        <v>3414</v>
      </c>
      <c r="K90" s="179">
        <v>500</v>
      </c>
      <c r="L90" s="179" t="s">
        <v>3026</v>
      </c>
      <c r="M90" s="185" t="s">
        <v>3164</v>
      </c>
      <c r="N90" s="185" t="s">
        <v>2951</v>
      </c>
      <c r="O90" s="179" t="s">
        <v>2951</v>
      </c>
      <c r="P90" s="185"/>
      <c r="Q90" s="182" t="s">
        <v>2933</v>
      </c>
      <c r="R90" s="182" t="s">
        <v>2934</v>
      </c>
      <c r="S90" s="182" t="s">
        <v>2952</v>
      </c>
      <c r="T90" s="179" t="s">
        <v>2974</v>
      </c>
      <c r="U90" s="179" t="s">
        <v>2954</v>
      </c>
      <c r="V90" s="187">
        <v>1693</v>
      </c>
      <c r="W90" s="179" t="s">
        <v>3415</v>
      </c>
      <c r="X90" s="188">
        <v>395.5</v>
      </c>
      <c r="Y90" s="188">
        <v>283.5</v>
      </c>
      <c r="Z90" s="188">
        <v>149.32999999999998</v>
      </c>
      <c r="AA90" s="188">
        <v>102.75</v>
      </c>
      <c r="AB90" s="188">
        <v>29.044</v>
      </c>
      <c r="AC90" s="188">
        <v>81.515000000000001</v>
      </c>
      <c r="AD90" s="179" t="s">
        <v>2956</v>
      </c>
      <c r="AE90" s="188" t="s">
        <v>2940</v>
      </c>
      <c r="AF90" s="189">
        <v>0</v>
      </c>
      <c r="AG90" s="189">
        <v>0.99930555555555556</v>
      </c>
      <c r="AH90" s="190" t="s">
        <v>2976</v>
      </c>
      <c r="AI90" s="190" t="s">
        <v>2985</v>
      </c>
      <c r="AJ90" s="179" t="s">
        <v>857</v>
      </c>
      <c r="AK90" s="179" t="s">
        <v>3000</v>
      </c>
      <c r="AL90" s="179" t="s">
        <v>28</v>
      </c>
      <c r="AM90" s="179" t="s">
        <v>3416</v>
      </c>
      <c r="AN90" s="179" t="s">
        <v>2102</v>
      </c>
      <c r="AO90" s="179" t="s">
        <v>2739</v>
      </c>
      <c r="AP90" s="191">
        <v>8113890599</v>
      </c>
      <c r="AQ90" s="184">
        <v>40437</v>
      </c>
      <c r="AR90" s="179">
        <v>191</v>
      </c>
      <c r="AS90" s="179"/>
      <c r="AT90" s="181" t="s">
        <v>3417</v>
      </c>
      <c r="AU90" s="181"/>
      <c r="AV90" s="192">
        <v>29595300</v>
      </c>
      <c r="AW90" s="181">
        <v>17</v>
      </c>
      <c r="AX90" s="179">
        <v>80571</v>
      </c>
      <c r="AY90" s="179"/>
    </row>
    <row r="91" spans="1:51" ht="14.4" x14ac:dyDescent="0.3">
      <c r="A91" s="179" t="s">
        <v>1537</v>
      </c>
      <c r="B91" s="179" t="s">
        <v>2947</v>
      </c>
      <c r="C91" s="180" t="s">
        <v>3418</v>
      </c>
      <c r="D91" s="181" t="s">
        <v>2874</v>
      </c>
      <c r="E91" s="181" t="s">
        <v>2867</v>
      </c>
      <c r="F91" s="182" t="s">
        <v>3086</v>
      </c>
      <c r="G91" s="181" t="s">
        <v>535</v>
      </c>
      <c r="H91" s="193">
        <v>44432</v>
      </c>
      <c r="I91" s="184">
        <v>44432</v>
      </c>
      <c r="J91" s="179" t="s">
        <v>3419</v>
      </c>
      <c r="K91" s="179">
        <v>500</v>
      </c>
      <c r="L91" s="179" t="s">
        <v>3026</v>
      </c>
      <c r="M91" s="185"/>
      <c r="N91" s="185" t="s">
        <v>2951</v>
      </c>
      <c r="O91" s="179" t="s">
        <v>2951</v>
      </c>
      <c r="P91" s="185" t="s">
        <v>2951</v>
      </c>
      <c r="Q91" s="182" t="s">
        <v>2933</v>
      </c>
      <c r="R91" s="182" t="s">
        <v>2934</v>
      </c>
      <c r="S91" s="182" t="s">
        <v>2952</v>
      </c>
      <c r="T91" s="179" t="s">
        <v>2999</v>
      </c>
      <c r="U91" s="179" t="s">
        <v>2954</v>
      </c>
      <c r="V91" s="187">
        <v>1183</v>
      </c>
      <c r="W91" s="179" t="s">
        <v>3420</v>
      </c>
      <c r="X91" s="188">
        <v>661.39379999999994</v>
      </c>
      <c r="Y91" s="188">
        <v>342.47459999999995</v>
      </c>
      <c r="Z91" s="188">
        <v>228.4119</v>
      </c>
      <c r="AA91" s="188">
        <v>163.21949999999998</v>
      </c>
      <c r="AB91" s="188">
        <v>29.396400000000003</v>
      </c>
      <c r="AC91" s="188">
        <v>265.21019999999999</v>
      </c>
      <c r="AD91" s="179" t="s">
        <v>2956</v>
      </c>
      <c r="AE91" s="188" t="s">
        <v>2957</v>
      </c>
      <c r="AF91" s="189">
        <v>0</v>
      </c>
      <c r="AG91" s="189">
        <v>0.99930555555555556</v>
      </c>
      <c r="AH91" s="190" t="s">
        <v>2976</v>
      </c>
      <c r="AI91" s="190" t="s">
        <v>2942</v>
      </c>
      <c r="AJ91" s="179" t="s">
        <v>718</v>
      </c>
      <c r="AK91" s="179" t="s">
        <v>2958</v>
      </c>
      <c r="AL91" s="179" t="s">
        <v>4</v>
      </c>
      <c r="AM91" s="179" t="s">
        <v>3421</v>
      </c>
      <c r="AN91" s="179" t="s">
        <v>2102</v>
      </c>
      <c r="AO91" s="179" t="s">
        <v>2513</v>
      </c>
      <c r="AP91" s="191">
        <v>81139000813</v>
      </c>
      <c r="AQ91" s="184">
        <v>40442</v>
      </c>
      <c r="AR91" s="179">
        <v>191</v>
      </c>
      <c r="AS91" s="179"/>
      <c r="AT91" s="181" t="s">
        <v>3422</v>
      </c>
      <c r="AU91" s="181" t="s">
        <v>3423</v>
      </c>
      <c r="AV91" s="192">
        <v>31552233</v>
      </c>
      <c r="AW91" s="181">
        <v>20.100000000000001</v>
      </c>
      <c r="AX91" s="179">
        <v>80117</v>
      </c>
      <c r="AY91" s="179"/>
    </row>
    <row r="92" spans="1:51" ht="14.4" x14ac:dyDescent="0.3">
      <c r="A92" s="179" t="s">
        <v>383</v>
      </c>
      <c r="B92" s="179" t="s">
        <v>2947</v>
      </c>
      <c r="C92" s="180" t="s">
        <v>3424</v>
      </c>
      <c r="D92" s="181" t="s">
        <v>2851</v>
      </c>
      <c r="E92" s="181" t="s">
        <v>2817</v>
      </c>
      <c r="F92" s="182" t="s">
        <v>2929</v>
      </c>
      <c r="G92" s="181" t="s">
        <v>12</v>
      </c>
      <c r="H92" s="193">
        <v>45087</v>
      </c>
      <c r="I92" s="184"/>
      <c r="J92" s="179" t="s">
        <v>3425</v>
      </c>
      <c r="K92" s="179">
        <v>30</v>
      </c>
      <c r="L92" s="179" t="s">
        <v>2965</v>
      </c>
      <c r="M92" s="185"/>
      <c r="N92" s="185"/>
      <c r="O92" s="186"/>
      <c r="P92" s="185" t="s">
        <v>2951</v>
      </c>
      <c r="Q92" s="182" t="s">
        <v>2934</v>
      </c>
      <c r="R92" s="182" t="s">
        <v>2933</v>
      </c>
      <c r="S92" s="182" t="s">
        <v>2952</v>
      </c>
      <c r="T92" s="179" t="s">
        <v>2999</v>
      </c>
      <c r="U92" s="179" t="s">
        <v>2954</v>
      </c>
      <c r="V92" s="179">
        <v>2071</v>
      </c>
      <c r="W92" s="179" t="s">
        <v>3426</v>
      </c>
      <c r="X92" s="188">
        <v>300.60899999999998</v>
      </c>
      <c r="Y92" s="188">
        <v>115.57</v>
      </c>
      <c r="Z92" s="188">
        <v>88.908000000000001</v>
      </c>
      <c r="AA92" s="188">
        <v>45.352999999999994</v>
      </c>
      <c r="AB92" s="188">
        <v>12.7</v>
      </c>
      <c r="AC92" s="188">
        <v>103.05609999999999</v>
      </c>
      <c r="AD92" s="179" t="s">
        <v>2956</v>
      </c>
      <c r="AE92" s="188" t="s">
        <v>2957</v>
      </c>
      <c r="AF92" s="189">
        <v>0</v>
      </c>
      <c r="AG92" s="189">
        <v>0.99930555555555556</v>
      </c>
      <c r="AH92" s="190" t="s">
        <v>2941</v>
      </c>
      <c r="AI92" s="190" t="s">
        <v>2985</v>
      </c>
      <c r="AJ92" s="179" t="s">
        <v>373</v>
      </c>
      <c r="AK92" s="179" t="s">
        <v>3256</v>
      </c>
      <c r="AL92" s="179" t="s">
        <v>4</v>
      </c>
      <c r="AM92" s="179" t="s">
        <v>3427</v>
      </c>
      <c r="AN92" s="179" t="s">
        <v>2102</v>
      </c>
      <c r="AO92" s="179" t="s">
        <v>2628</v>
      </c>
      <c r="AP92" s="191">
        <v>81139000845</v>
      </c>
      <c r="AQ92" s="184">
        <v>40445</v>
      </c>
      <c r="AR92" s="179">
        <v>191</v>
      </c>
      <c r="AS92" s="179"/>
      <c r="AT92" s="181" t="s">
        <v>3428</v>
      </c>
      <c r="AU92" s="181" t="s">
        <v>3429</v>
      </c>
      <c r="AV92" s="192">
        <v>15953877</v>
      </c>
      <c r="AW92" s="181">
        <v>26.5</v>
      </c>
      <c r="AX92" s="179">
        <v>80223</v>
      </c>
      <c r="AY92" s="179"/>
    </row>
    <row r="93" spans="1:51" ht="14.4" x14ac:dyDescent="0.3">
      <c r="A93" s="179" t="s">
        <v>797</v>
      </c>
      <c r="B93" s="179" t="s">
        <v>2927</v>
      </c>
      <c r="C93" s="180" t="s">
        <v>3430</v>
      </c>
      <c r="D93" s="181" t="s">
        <v>2823</v>
      </c>
      <c r="E93" s="181" t="s">
        <v>2819</v>
      </c>
      <c r="F93" s="182" t="s">
        <v>2929</v>
      </c>
      <c r="G93" s="181" t="s">
        <v>12</v>
      </c>
      <c r="H93" s="193" t="s">
        <v>2930</v>
      </c>
      <c r="I93" s="184" t="s">
        <v>2930</v>
      </c>
      <c r="J93" s="179" t="s">
        <v>3431</v>
      </c>
      <c r="K93" s="179">
        <v>150</v>
      </c>
      <c r="L93" s="179" t="s">
        <v>2950</v>
      </c>
      <c r="M93" s="185"/>
      <c r="N93" s="185"/>
      <c r="O93" s="186"/>
      <c r="P93" s="185"/>
      <c r="Q93" s="182" t="s">
        <v>2934</v>
      </c>
      <c r="R93" s="182" t="s">
        <v>2933</v>
      </c>
      <c r="S93" s="182" t="s">
        <v>2952</v>
      </c>
      <c r="T93" s="179" t="s">
        <v>2974</v>
      </c>
      <c r="U93" s="179" t="s">
        <v>2937</v>
      </c>
      <c r="V93" s="179">
        <v>2335</v>
      </c>
      <c r="W93" s="179" t="s">
        <v>2992</v>
      </c>
      <c r="X93" s="188">
        <v>247.64739999999998</v>
      </c>
      <c r="Y93" s="188">
        <v>174.07390000000001</v>
      </c>
      <c r="Z93" s="188">
        <v>113.99540000000002</v>
      </c>
      <c r="AA93" s="188">
        <v>59.258599999999994</v>
      </c>
      <c r="AB93" s="188">
        <v>17.046000000000003</v>
      </c>
      <c r="AC93" s="188">
        <v>29.004799999999999</v>
      </c>
      <c r="AD93" s="179" t="s">
        <v>2939</v>
      </c>
      <c r="AE93" s="188" t="s">
        <v>2940</v>
      </c>
      <c r="AF93" s="189">
        <v>0.25</v>
      </c>
      <c r="AG93" s="189">
        <v>0.95833333333333337</v>
      </c>
      <c r="AH93" s="190" t="s">
        <v>2941</v>
      </c>
      <c r="AI93" s="190" t="s">
        <v>2942</v>
      </c>
      <c r="AJ93" s="179" t="s">
        <v>795</v>
      </c>
      <c r="AK93" s="179" t="s">
        <v>2958</v>
      </c>
      <c r="AL93" s="179" t="s">
        <v>4</v>
      </c>
      <c r="AM93" s="179" t="s">
        <v>3432</v>
      </c>
      <c r="AN93" s="179" t="s">
        <v>2102</v>
      </c>
      <c r="AO93" s="179" t="s">
        <v>2267</v>
      </c>
      <c r="AP93" s="191">
        <v>81139001528</v>
      </c>
      <c r="AQ93" s="184">
        <v>40445</v>
      </c>
      <c r="AR93" s="179">
        <v>191</v>
      </c>
      <c r="AS93" s="179"/>
      <c r="AT93" s="181" t="s">
        <v>3433</v>
      </c>
      <c r="AU93" s="181" t="s">
        <v>2946</v>
      </c>
      <c r="AV93" s="192">
        <v>18782582</v>
      </c>
      <c r="AW93" s="181">
        <v>20.5</v>
      </c>
      <c r="AX93" s="179">
        <v>80117</v>
      </c>
      <c r="AY93" s="179"/>
    </row>
    <row r="94" spans="1:51" ht="14.4" x14ac:dyDescent="0.3">
      <c r="A94" s="179" t="s">
        <v>1414</v>
      </c>
      <c r="B94" s="179" t="s">
        <v>2947</v>
      </c>
      <c r="C94" s="180" t="s">
        <v>3434</v>
      </c>
      <c r="D94" s="181" t="s">
        <v>2863</v>
      </c>
      <c r="E94" s="181" t="s">
        <v>2813</v>
      </c>
      <c r="F94" s="182" t="s">
        <v>2929</v>
      </c>
      <c r="G94" s="181" t="s">
        <v>12</v>
      </c>
      <c r="H94" s="193" t="s">
        <v>2930</v>
      </c>
      <c r="I94" s="184"/>
      <c r="J94" s="179" t="s">
        <v>3435</v>
      </c>
      <c r="K94" s="179">
        <v>67</v>
      </c>
      <c r="L94" s="179" t="s">
        <v>2965</v>
      </c>
      <c r="M94" s="185"/>
      <c r="N94" s="185"/>
      <c r="O94" s="186"/>
      <c r="P94" s="185"/>
      <c r="Q94" s="182" t="s">
        <v>2933</v>
      </c>
      <c r="R94" s="182" t="s">
        <v>2934</v>
      </c>
      <c r="S94" s="182" t="s">
        <v>2952</v>
      </c>
      <c r="T94" s="179" t="s">
        <v>2953</v>
      </c>
      <c r="U94" s="179" t="s">
        <v>2954</v>
      </c>
      <c r="V94" s="187">
        <v>879</v>
      </c>
      <c r="W94" s="179" t="s">
        <v>3436</v>
      </c>
      <c r="X94" s="188">
        <v>200.214</v>
      </c>
      <c r="Y94" s="188">
        <v>137.06280000000001</v>
      </c>
      <c r="Z94" s="188">
        <v>86.515500000000003</v>
      </c>
      <c r="AA94" s="188">
        <v>54.331200000000003</v>
      </c>
      <c r="AB94" s="188">
        <v>11.168900000000002</v>
      </c>
      <c r="AC94" s="188">
        <v>21.262499999999999</v>
      </c>
      <c r="AD94" s="179" t="s">
        <v>2939</v>
      </c>
      <c r="AE94" s="188" t="s">
        <v>2940</v>
      </c>
      <c r="AF94" s="189">
        <v>0.29166666666666669</v>
      </c>
      <c r="AG94" s="189">
        <v>0.91666666666666663</v>
      </c>
      <c r="AH94" s="190" t="s">
        <v>2941</v>
      </c>
      <c r="AI94" s="190" t="s">
        <v>2942</v>
      </c>
      <c r="AJ94" s="179" t="s">
        <v>131</v>
      </c>
      <c r="AK94" s="179" t="s">
        <v>3293</v>
      </c>
      <c r="AL94" s="179" t="s">
        <v>9</v>
      </c>
      <c r="AM94" s="179" t="s">
        <v>3437</v>
      </c>
      <c r="AN94" s="179" t="s">
        <v>2102</v>
      </c>
      <c r="AO94" s="179" t="s">
        <v>2511</v>
      </c>
      <c r="AP94" s="191">
        <v>81139006905</v>
      </c>
      <c r="AQ94" s="184">
        <v>40451</v>
      </c>
      <c r="AR94" s="179">
        <v>190</v>
      </c>
      <c r="AS94" s="179"/>
      <c r="AT94" s="181"/>
      <c r="AU94" s="181"/>
      <c r="AV94" s="192">
        <v>10776000</v>
      </c>
      <c r="AW94" s="181">
        <v>31.3</v>
      </c>
      <c r="AX94" s="179">
        <v>80361</v>
      </c>
      <c r="AY94" s="179"/>
    </row>
    <row r="95" spans="1:51" ht="14.4" x14ac:dyDescent="0.3">
      <c r="A95" s="179" t="s">
        <v>1218</v>
      </c>
      <c r="B95" s="179" t="s">
        <v>2947</v>
      </c>
      <c r="C95" s="180" t="s">
        <v>3438</v>
      </c>
      <c r="D95" s="181" t="s">
        <v>2857</v>
      </c>
      <c r="E95" s="181" t="s">
        <v>2815</v>
      </c>
      <c r="F95" s="182" t="s">
        <v>2929</v>
      </c>
      <c r="G95" s="181" t="s">
        <v>12</v>
      </c>
      <c r="H95" s="193">
        <v>45087</v>
      </c>
      <c r="I95" s="184"/>
      <c r="J95" s="179" t="s">
        <v>3439</v>
      </c>
      <c r="K95" s="179">
        <v>260</v>
      </c>
      <c r="L95" s="179" t="s">
        <v>2950</v>
      </c>
      <c r="M95" s="185"/>
      <c r="N95" s="185"/>
      <c r="O95" s="186"/>
      <c r="P95" s="185" t="s">
        <v>2951</v>
      </c>
      <c r="Q95" s="182" t="s">
        <v>2934</v>
      </c>
      <c r="R95" s="182" t="s">
        <v>2933</v>
      </c>
      <c r="S95" s="182" t="s">
        <v>2935</v>
      </c>
      <c r="T95" s="179" t="s">
        <v>2999</v>
      </c>
      <c r="U95" s="179" t="s">
        <v>2954</v>
      </c>
      <c r="V95" s="179">
        <v>1557</v>
      </c>
      <c r="W95" s="179" t="s">
        <v>3063</v>
      </c>
      <c r="X95" s="188">
        <v>226.20000000000002</v>
      </c>
      <c r="Y95" s="188">
        <v>135.60000000000002</v>
      </c>
      <c r="Z95" s="188">
        <v>93.362499999999997</v>
      </c>
      <c r="AA95" s="188">
        <v>76.634999999999991</v>
      </c>
      <c r="AB95" s="188">
        <v>0</v>
      </c>
      <c r="AC95" s="188">
        <v>30.21</v>
      </c>
      <c r="AD95" s="179" t="s">
        <v>2984</v>
      </c>
      <c r="AE95" s="188" t="s">
        <v>2940</v>
      </c>
      <c r="AF95" s="189">
        <v>0.29166666666666669</v>
      </c>
      <c r="AG95" s="189">
        <v>0.95833333333333337</v>
      </c>
      <c r="AH95" s="190" t="s">
        <v>2941</v>
      </c>
      <c r="AI95" s="190" t="s">
        <v>2985</v>
      </c>
      <c r="AJ95" s="179" t="s">
        <v>857</v>
      </c>
      <c r="AK95" s="179" t="s">
        <v>3000</v>
      </c>
      <c r="AL95" s="179" t="s">
        <v>28</v>
      </c>
      <c r="AM95" s="179" t="s">
        <v>3440</v>
      </c>
      <c r="AN95" s="179" t="s">
        <v>2102</v>
      </c>
      <c r="AO95" s="179" t="s">
        <v>2793</v>
      </c>
      <c r="AP95" s="191">
        <v>81139001302</v>
      </c>
      <c r="AQ95" s="184">
        <v>40456</v>
      </c>
      <c r="AR95" s="179">
        <v>190</v>
      </c>
      <c r="AS95" s="179"/>
      <c r="AT95" s="181" t="s">
        <v>3441</v>
      </c>
      <c r="AU95" s="181" t="s">
        <v>2946</v>
      </c>
      <c r="AV95" s="192">
        <v>20565880</v>
      </c>
      <c r="AW95" s="181">
        <v>18</v>
      </c>
      <c r="AX95" s="179">
        <v>80571</v>
      </c>
      <c r="AY95" s="179"/>
    </row>
    <row r="96" spans="1:51" ht="14.4" x14ac:dyDescent="0.3">
      <c r="A96" s="179" t="s">
        <v>43</v>
      </c>
      <c r="B96" s="179" t="s">
        <v>2947</v>
      </c>
      <c r="C96" s="180" t="s">
        <v>3442</v>
      </c>
      <c r="D96" s="181" t="s">
        <v>2869</v>
      </c>
      <c r="E96" s="181" t="s">
        <v>2834</v>
      </c>
      <c r="F96" s="182" t="s">
        <v>2972</v>
      </c>
      <c r="G96" s="181" t="s">
        <v>17</v>
      </c>
      <c r="H96" s="193">
        <v>45842</v>
      </c>
      <c r="I96" s="184"/>
      <c r="J96" s="179" t="s">
        <v>3443</v>
      </c>
      <c r="K96" s="179">
        <v>1400</v>
      </c>
      <c r="L96" s="179" t="s">
        <v>2932</v>
      </c>
      <c r="M96" s="185"/>
      <c r="N96" s="185" t="s">
        <v>2951</v>
      </c>
      <c r="O96" s="186"/>
      <c r="P96" s="185"/>
      <c r="Q96" s="182" t="s">
        <v>2933</v>
      </c>
      <c r="R96" s="182" t="s">
        <v>2934</v>
      </c>
      <c r="S96" s="182" t="s">
        <v>2952</v>
      </c>
      <c r="T96" s="179" t="s">
        <v>2953</v>
      </c>
      <c r="U96" s="179" t="s">
        <v>2954</v>
      </c>
      <c r="V96" s="179">
        <v>1475</v>
      </c>
      <c r="W96" s="179" t="s">
        <v>3140</v>
      </c>
      <c r="X96" s="188">
        <v>248.47349999999997</v>
      </c>
      <c r="Y96" s="188">
        <v>182.077</v>
      </c>
      <c r="Z96" s="188">
        <v>121.9829</v>
      </c>
      <c r="AA96" s="188">
        <v>53.254100000000001</v>
      </c>
      <c r="AB96" s="188">
        <v>12.863999999999999</v>
      </c>
      <c r="AC96" s="188">
        <v>123.5476</v>
      </c>
      <c r="AD96" s="179" t="s">
        <v>2956</v>
      </c>
      <c r="AE96" s="188" t="s">
        <v>3017</v>
      </c>
      <c r="AF96" s="189">
        <v>0.29166666666666669</v>
      </c>
      <c r="AG96" s="189">
        <v>0.95833333333333337</v>
      </c>
      <c r="AH96" s="190" t="s">
        <v>2941</v>
      </c>
      <c r="AI96" s="190" t="s">
        <v>2942</v>
      </c>
      <c r="AJ96" s="179" t="s">
        <v>41</v>
      </c>
      <c r="AK96" s="179" t="s">
        <v>40</v>
      </c>
      <c r="AL96" s="179" t="s">
        <v>40</v>
      </c>
      <c r="AM96" s="179" t="s">
        <v>3444</v>
      </c>
      <c r="AN96" s="179" t="s">
        <v>2102</v>
      </c>
      <c r="AO96" s="179" t="s">
        <v>2630</v>
      </c>
      <c r="AP96" s="191">
        <v>81139006791</v>
      </c>
      <c r="AQ96" s="184">
        <v>40456</v>
      </c>
      <c r="AR96" s="179">
        <v>190</v>
      </c>
      <c r="AS96" s="179"/>
      <c r="AT96" s="181" t="s">
        <v>3445</v>
      </c>
      <c r="AU96" s="181" t="s">
        <v>2946</v>
      </c>
      <c r="AV96" s="192">
        <v>17671045</v>
      </c>
      <c r="AW96" s="181">
        <v>80.2</v>
      </c>
      <c r="AX96" s="179">
        <v>80813</v>
      </c>
      <c r="AY96" s="179"/>
    </row>
    <row r="97" spans="1:51" ht="14.4" x14ac:dyDescent="0.3">
      <c r="A97" s="179" t="s">
        <v>906</v>
      </c>
      <c r="B97" s="179" t="s">
        <v>2947</v>
      </c>
      <c r="C97" s="180" t="s">
        <v>3446</v>
      </c>
      <c r="D97" s="181" t="s">
        <v>2850</v>
      </c>
      <c r="E97" s="181" t="s">
        <v>2817</v>
      </c>
      <c r="F97" s="182" t="s">
        <v>2929</v>
      </c>
      <c r="G97" s="181" t="s">
        <v>12</v>
      </c>
      <c r="H97" s="193">
        <v>45087</v>
      </c>
      <c r="I97" s="184"/>
      <c r="J97" s="179" t="s">
        <v>3447</v>
      </c>
      <c r="K97" s="179">
        <v>53</v>
      </c>
      <c r="L97" s="179" t="s">
        <v>2965</v>
      </c>
      <c r="M97" s="185"/>
      <c r="N97" s="185"/>
      <c r="O97" s="186"/>
      <c r="P97" s="185"/>
      <c r="Q97" s="182" t="s">
        <v>2934</v>
      </c>
      <c r="R97" s="182" t="s">
        <v>2933</v>
      </c>
      <c r="S97" s="182" t="s">
        <v>2952</v>
      </c>
      <c r="T97" s="179" t="s">
        <v>2953</v>
      </c>
      <c r="U97" s="179" t="s">
        <v>2954</v>
      </c>
      <c r="V97" s="179">
        <v>1803</v>
      </c>
      <c r="W97" s="179" t="s">
        <v>3448</v>
      </c>
      <c r="X97" s="188">
        <v>165.16520000000003</v>
      </c>
      <c r="Y97" s="188">
        <v>114.77120000000001</v>
      </c>
      <c r="Z97" s="188">
        <v>90.521799999999999</v>
      </c>
      <c r="AA97" s="188">
        <v>44.203499999999998</v>
      </c>
      <c r="AB97" s="188">
        <v>3.8384999999999998</v>
      </c>
      <c r="AC97" s="188">
        <v>120.63719999999999</v>
      </c>
      <c r="AD97" s="179" t="s">
        <v>2956</v>
      </c>
      <c r="AE97" s="188" t="s">
        <v>2957</v>
      </c>
      <c r="AF97" s="189">
        <v>0.29166666666666669</v>
      </c>
      <c r="AG97" s="189">
        <v>0.95833333333333337</v>
      </c>
      <c r="AH97" s="190" t="s">
        <v>2941</v>
      </c>
      <c r="AI97" s="190" t="s">
        <v>2985</v>
      </c>
      <c r="AJ97" s="179" t="s">
        <v>78</v>
      </c>
      <c r="AK97" s="179" t="s">
        <v>3256</v>
      </c>
      <c r="AL97" s="179" t="s">
        <v>4</v>
      </c>
      <c r="AM97" s="179" t="s">
        <v>3449</v>
      </c>
      <c r="AN97" s="179" t="s">
        <v>2102</v>
      </c>
      <c r="AO97" s="179" t="s">
        <v>2755</v>
      </c>
      <c r="AP97" s="191">
        <v>81139001232</v>
      </c>
      <c r="AQ97" s="184">
        <v>40471</v>
      </c>
      <c r="AR97" s="179">
        <v>190</v>
      </c>
      <c r="AS97" s="179"/>
      <c r="AT97" s="181" t="s">
        <v>3450</v>
      </c>
      <c r="AU97" s="181" t="s">
        <v>2946</v>
      </c>
      <c r="AV97" s="192">
        <v>18247104</v>
      </c>
      <c r="AW97" s="181">
        <v>25.4</v>
      </c>
      <c r="AX97" s="179">
        <v>80226</v>
      </c>
      <c r="AY97" s="179"/>
    </row>
    <row r="98" spans="1:51" ht="14.4" x14ac:dyDescent="0.3">
      <c r="A98" s="179" t="s">
        <v>1076</v>
      </c>
      <c r="B98" s="179" t="s">
        <v>2947</v>
      </c>
      <c r="C98" s="180" t="s">
        <v>3451</v>
      </c>
      <c r="D98" s="181" t="s">
        <v>2858</v>
      </c>
      <c r="E98" s="181" t="s">
        <v>2813</v>
      </c>
      <c r="F98" s="182" t="s">
        <v>2972</v>
      </c>
      <c r="G98" s="181" t="s">
        <v>17</v>
      </c>
      <c r="H98" s="193">
        <v>45135</v>
      </c>
      <c r="I98" s="184"/>
      <c r="J98" s="179" t="s">
        <v>3452</v>
      </c>
      <c r="K98" s="179">
        <v>270</v>
      </c>
      <c r="L98" s="179" t="s">
        <v>2950</v>
      </c>
      <c r="M98" s="185"/>
      <c r="N98" s="185"/>
      <c r="O98" s="179" t="s">
        <v>2951</v>
      </c>
      <c r="P98" s="185"/>
      <c r="Q98" s="182" t="s">
        <v>2933</v>
      </c>
      <c r="R98" s="182" t="s">
        <v>2934</v>
      </c>
      <c r="S98" s="182" t="s">
        <v>2952</v>
      </c>
      <c r="T98" s="179" t="s">
        <v>2953</v>
      </c>
      <c r="U98" s="179" t="s">
        <v>2954</v>
      </c>
      <c r="V98" s="187">
        <v>1780</v>
      </c>
      <c r="W98" s="179" t="s">
        <v>3067</v>
      </c>
      <c r="X98" s="188">
        <v>375.05430000000001</v>
      </c>
      <c r="Y98" s="188">
        <v>216.35059999999999</v>
      </c>
      <c r="Z98" s="188">
        <v>139.416</v>
      </c>
      <c r="AA98" s="188">
        <v>136.5093</v>
      </c>
      <c r="AB98" s="188">
        <v>8.73</v>
      </c>
      <c r="AC98" s="188">
        <v>49.451499999999996</v>
      </c>
      <c r="AD98" s="179" t="s">
        <v>2984</v>
      </c>
      <c r="AE98" s="188" t="s">
        <v>2940</v>
      </c>
      <c r="AF98" s="189">
        <v>0</v>
      </c>
      <c r="AG98" s="189">
        <v>0.99930555555555556</v>
      </c>
      <c r="AH98" s="190" t="s">
        <v>2941</v>
      </c>
      <c r="AI98" s="190" t="s">
        <v>2942</v>
      </c>
      <c r="AJ98" s="179" t="s">
        <v>673</v>
      </c>
      <c r="AK98" s="179" t="s">
        <v>3302</v>
      </c>
      <c r="AL98" s="179" t="s">
        <v>9</v>
      </c>
      <c r="AM98" s="179" t="s">
        <v>3453</v>
      </c>
      <c r="AN98" s="179" t="s">
        <v>2102</v>
      </c>
      <c r="AO98" s="179" t="s">
        <v>2631</v>
      </c>
      <c r="AP98" s="191">
        <v>81139609916</v>
      </c>
      <c r="AQ98" s="184">
        <v>40472</v>
      </c>
      <c r="AR98" s="179">
        <v>190</v>
      </c>
      <c r="AS98" s="179"/>
      <c r="AT98" s="181" t="s">
        <v>3454</v>
      </c>
      <c r="AU98" s="181" t="s">
        <v>3455</v>
      </c>
      <c r="AV98" s="192">
        <v>20536000</v>
      </c>
      <c r="AW98" s="181">
        <v>19.2</v>
      </c>
      <c r="AX98" s="179">
        <v>80351</v>
      </c>
      <c r="AY98" s="179"/>
    </row>
    <row r="99" spans="1:51" ht="14.4" x14ac:dyDescent="0.3">
      <c r="A99" s="179" t="s">
        <v>31</v>
      </c>
      <c r="B99" s="179" t="s">
        <v>2927</v>
      </c>
      <c r="C99" s="180" t="s">
        <v>3456</v>
      </c>
      <c r="D99" s="181" t="s">
        <v>2842</v>
      </c>
      <c r="E99" s="181" t="s">
        <v>2834</v>
      </c>
      <c r="F99" s="182" t="s">
        <v>2929</v>
      </c>
      <c r="G99" s="181" t="s">
        <v>12</v>
      </c>
      <c r="H99" s="193" t="s">
        <v>2930</v>
      </c>
      <c r="I99" s="184" t="s">
        <v>2930</v>
      </c>
      <c r="J99" s="179"/>
      <c r="K99" s="179"/>
      <c r="L99" s="179"/>
      <c r="M99" s="185"/>
      <c r="N99" s="185"/>
      <c r="O99" s="186"/>
      <c r="P99" s="185"/>
      <c r="Q99" s="182" t="s">
        <v>2934</v>
      </c>
      <c r="R99" s="182" t="s">
        <v>2933</v>
      </c>
      <c r="S99" s="182" t="s">
        <v>2935</v>
      </c>
      <c r="T99" s="179" t="s">
        <v>2953</v>
      </c>
      <c r="U99" s="179" t="s">
        <v>2937</v>
      </c>
      <c r="V99" s="179">
        <v>1004</v>
      </c>
      <c r="W99" s="179" t="s">
        <v>3009</v>
      </c>
      <c r="X99" s="188">
        <v>239.85319999999999</v>
      </c>
      <c r="Y99" s="188">
        <v>161.6123</v>
      </c>
      <c r="Z99" s="188">
        <v>103.94999999999999</v>
      </c>
      <c r="AA99" s="188">
        <v>68.769000000000005</v>
      </c>
      <c r="AB99" s="188">
        <v>3.2640000000000002</v>
      </c>
      <c r="AC99" s="188">
        <v>40.351199999999999</v>
      </c>
      <c r="AD99" s="179" t="s">
        <v>2984</v>
      </c>
      <c r="AE99" s="188" t="s">
        <v>2940</v>
      </c>
      <c r="AF99" s="189">
        <v>0.29166666666666669</v>
      </c>
      <c r="AG99" s="189">
        <v>0.99930555555555556</v>
      </c>
      <c r="AH99" s="190" t="s">
        <v>2941</v>
      </c>
      <c r="AI99" s="190" t="s">
        <v>2985</v>
      </c>
      <c r="AJ99" s="179" t="s">
        <v>29</v>
      </c>
      <c r="AK99" s="179" t="s">
        <v>28</v>
      </c>
      <c r="AL99" s="179" t="s">
        <v>28</v>
      </c>
      <c r="AM99" s="179" t="s">
        <v>3457</v>
      </c>
      <c r="AN99" s="179" t="s">
        <v>2102</v>
      </c>
      <c r="AO99" s="179" t="s">
        <v>2360</v>
      </c>
      <c r="AP99" s="191">
        <v>81139008173</v>
      </c>
      <c r="AQ99" s="184">
        <v>40479</v>
      </c>
      <c r="AR99" s="179">
        <v>190</v>
      </c>
      <c r="AS99" s="199">
        <v>45005</v>
      </c>
      <c r="AT99" s="181"/>
      <c r="AU99" s="181"/>
      <c r="AV99" s="192">
        <v>19028640</v>
      </c>
      <c r="AW99" s="181">
        <v>27.2</v>
      </c>
      <c r="AX99" s="179">
        <v>80515</v>
      </c>
      <c r="AY99" s="179" t="s">
        <v>3458</v>
      </c>
    </row>
    <row r="100" spans="1:51" ht="14.4" x14ac:dyDescent="0.3">
      <c r="A100" s="179" t="s">
        <v>606</v>
      </c>
      <c r="B100" s="179" t="s">
        <v>2927</v>
      </c>
      <c r="C100" s="180" t="s">
        <v>3459</v>
      </c>
      <c r="D100" s="181" t="s">
        <v>2854</v>
      </c>
      <c r="E100" s="181" t="s">
        <v>2821</v>
      </c>
      <c r="F100" s="182" t="s">
        <v>2929</v>
      </c>
      <c r="G100" s="181" t="s">
        <v>12</v>
      </c>
      <c r="H100" s="193" t="s">
        <v>2930</v>
      </c>
      <c r="I100" s="184" t="s">
        <v>2930</v>
      </c>
      <c r="J100" s="179" t="s">
        <v>3460</v>
      </c>
      <c r="K100" s="179">
        <v>780</v>
      </c>
      <c r="L100" s="179" t="s">
        <v>3026</v>
      </c>
      <c r="M100" s="185"/>
      <c r="N100" s="185"/>
      <c r="O100" s="186"/>
      <c r="P100" s="185"/>
      <c r="Q100" s="182" t="s">
        <v>2933</v>
      </c>
      <c r="R100" s="182" t="s">
        <v>2934</v>
      </c>
      <c r="S100" s="182" t="s">
        <v>2952</v>
      </c>
      <c r="T100" s="179" t="s">
        <v>2953</v>
      </c>
      <c r="U100" s="179" t="s">
        <v>2937</v>
      </c>
      <c r="V100" s="187">
        <v>1373</v>
      </c>
      <c r="W100" s="179" t="s">
        <v>3461</v>
      </c>
      <c r="X100" s="188">
        <v>217.00509999999997</v>
      </c>
      <c r="Y100" s="188">
        <v>114.51049999999999</v>
      </c>
      <c r="Z100" s="188">
        <v>90.705299999999994</v>
      </c>
      <c r="AA100" s="188">
        <v>74.970999999999989</v>
      </c>
      <c r="AB100" s="188">
        <v>19.307599999999997</v>
      </c>
      <c r="AC100" s="188">
        <v>106.28020000000001</v>
      </c>
      <c r="AD100" s="179" t="s">
        <v>2956</v>
      </c>
      <c r="AE100" s="188" t="s">
        <v>2957</v>
      </c>
      <c r="AF100" s="189">
        <v>0</v>
      </c>
      <c r="AG100" s="189">
        <v>0.99930555555555556</v>
      </c>
      <c r="AH100" s="190" t="s">
        <v>2941</v>
      </c>
      <c r="AI100" s="190" t="s">
        <v>2942</v>
      </c>
      <c r="AJ100" s="179" t="s">
        <v>508</v>
      </c>
      <c r="AK100" s="179" t="s">
        <v>3034</v>
      </c>
      <c r="AL100" s="179" t="s">
        <v>4</v>
      </c>
      <c r="AM100" s="179" t="s">
        <v>3462</v>
      </c>
      <c r="AN100" s="179" t="s">
        <v>2102</v>
      </c>
      <c r="AO100" s="179" t="s">
        <v>2313</v>
      </c>
      <c r="AP100" s="191">
        <v>8113806109</v>
      </c>
      <c r="AQ100" s="184">
        <v>40480</v>
      </c>
      <c r="AR100" s="179">
        <v>189</v>
      </c>
      <c r="AS100" s="179"/>
      <c r="AT100" s="181" t="s">
        <v>3463</v>
      </c>
      <c r="AU100" s="181" t="s">
        <v>3463</v>
      </c>
      <c r="AV100" s="192">
        <v>18540747</v>
      </c>
      <c r="AW100" s="181">
        <v>17.100000000000001</v>
      </c>
      <c r="AX100" s="179">
        <v>80116</v>
      </c>
      <c r="AY100" s="179"/>
    </row>
    <row r="101" spans="1:51" ht="14.4" x14ac:dyDescent="0.3">
      <c r="A101" s="179" t="s">
        <v>525</v>
      </c>
      <c r="B101" s="179" t="s">
        <v>2947</v>
      </c>
      <c r="C101" s="180" t="s">
        <v>3464</v>
      </c>
      <c r="D101" s="181" t="s">
        <v>2831</v>
      </c>
      <c r="E101" s="181" t="s">
        <v>2830</v>
      </c>
      <c r="F101" s="182" t="s">
        <v>2929</v>
      </c>
      <c r="G101" s="181" t="s">
        <v>12</v>
      </c>
      <c r="H101" s="193">
        <v>45550</v>
      </c>
      <c r="I101" s="184"/>
      <c r="J101" s="179" t="s">
        <v>3465</v>
      </c>
      <c r="K101" s="179">
        <v>100</v>
      </c>
      <c r="L101" s="179" t="s">
        <v>2965</v>
      </c>
      <c r="M101" s="185"/>
      <c r="N101" s="185"/>
      <c r="O101" s="186"/>
      <c r="P101" s="185"/>
      <c r="Q101" s="182" t="s">
        <v>2934</v>
      </c>
      <c r="R101" s="182" t="s">
        <v>2933</v>
      </c>
      <c r="S101" s="182" t="s">
        <v>2952</v>
      </c>
      <c r="T101" s="179" t="s">
        <v>2953</v>
      </c>
      <c r="U101" s="179" t="s">
        <v>2954</v>
      </c>
      <c r="V101" s="179">
        <v>1603</v>
      </c>
      <c r="W101" s="179" t="s">
        <v>3151</v>
      </c>
      <c r="X101" s="188">
        <v>248.43</v>
      </c>
      <c r="Y101" s="188">
        <v>151.98820000000001</v>
      </c>
      <c r="Z101" s="188">
        <v>125.64399999999999</v>
      </c>
      <c r="AA101" s="188">
        <v>69.560400000000001</v>
      </c>
      <c r="AB101" s="188">
        <v>26.881399999999999</v>
      </c>
      <c r="AC101" s="188">
        <v>154.13200000000001</v>
      </c>
      <c r="AD101" s="179" t="s">
        <v>2956</v>
      </c>
      <c r="AE101" s="188" t="s">
        <v>2957</v>
      </c>
      <c r="AF101" s="189">
        <v>0</v>
      </c>
      <c r="AG101" s="189">
        <v>0.99930555555555556</v>
      </c>
      <c r="AH101" s="190" t="s">
        <v>2976</v>
      </c>
      <c r="AI101" s="190" t="s">
        <v>2985</v>
      </c>
      <c r="AJ101" s="179" t="s">
        <v>523</v>
      </c>
      <c r="AK101" s="179" t="s">
        <v>3387</v>
      </c>
      <c r="AL101" s="179" t="s">
        <v>4</v>
      </c>
      <c r="AM101" s="179" t="s">
        <v>3466</v>
      </c>
      <c r="AN101" s="179" t="s">
        <v>2102</v>
      </c>
      <c r="AO101" s="179" t="s">
        <v>2634</v>
      </c>
      <c r="AP101" s="191">
        <v>81139607362</v>
      </c>
      <c r="AQ101" s="184">
        <v>40498</v>
      </c>
      <c r="AR101" s="179">
        <v>189</v>
      </c>
      <c r="AS101" s="179"/>
      <c r="AT101" s="181" t="s">
        <v>3467</v>
      </c>
      <c r="AU101" s="181" t="s">
        <v>2946</v>
      </c>
      <c r="AV101" s="192">
        <v>43360000</v>
      </c>
      <c r="AW101" s="181">
        <v>25.7</v>
      </c>
      <c r="AX101" s="179">
        <v>80239</v>
      </c>
      <c r="AY101" s="179"/>
    </row>
    <row r="102" spans="1:51" ht="14.4" x14ac:dyDescent="0.3">
      <c r="A102" s="179" t="s">
        <v>1121</v>
      </c>
      <c r="B102" s="179" t="s">
        <v>2947</v>
      </c>
      <c r="C102" s="180" t="s">
        <v>3468</v>
      </c>
      <c r="D102" s="181" t="s">
        <v>2831</v>
      </c>
      <c r="E102" s="181" t="s">
        <v>2830</v>
      </c>
      <c r="F102" s="182" t="s">
        <v>2972</v>
      </c>
      <c r="G102" s="181" t="s">
        <v>17</v>
      </c>
      <c r="H102" s="193">
        <v>45550</v>
      </c>
      <c r="I102" s="184"/>
      <c r="J102" s="179" t="s">
        <v>3469</v>
      </c>
      <c r="K102" s="179">
        <v>400</v>
      </c>
      <c r="L102" s="179" t="s">
        <v>2950</v>
      </c>
      <c r="M102" s="185"/>
      <c r="N102" s="185"/>
      <c r="O102" s="186"/>
      <c r="P102" s="185" t="s">
        <v>2951</v>
      </c>
      <c r="Q102" s="182" t="s">
        <v>2934</v>
      </c>
      <c r="R102" s="182" t="s">
        <v>2933</v>
      </c>
      <c r="S102" s="182" t="s">
        <v>2952</v>
      </c>
      <c r="T102" s="179" t="s">
        <v>2953</v>
      </c>
      <c r="U102" s="179" t="s">
        <v>2954</v>
      </c>
      <c r="V102" s="179">
        <v>2084</v>
      </c>
      <c r="W102" s="179" t="s">
        <v>3470</v>
      </c>
      <c r="X102" s="188">
        <v>240.36479999999997</v>
      </c>
      <c r="Y102" s="188">
        <v>141.49679999999998</v>
      </c>
      <c r="Z102" s="188">
        <v>114.9918</v>
      </c>
      <c r="AA102" s="188">
        <v>76.774499999999989</v>
      </c>
      <c r="AB102" s="188">
        <v>16.497</v>
      </c>
      <c r="AC102" s="188">
        <v>125.19800000000001</v>
      </c>
      <c r="AD102" s="179" t="s">
        <v>2956</v>
      </c>
      <c r="AE102" s="188" t="s">
        <v>2957</v>
      </c>
      <c r="AF102" s="189">
        <v>0.29166666666666669</v>
      </c>
      <c r="AG102" s="189">
        <v>0.95833333333333337</v>
      </c>
      <c r="AH102" s="190" t="s">
        <v>2941</v>
      </c>
      <c r="AI102" s="190" t="s">
        <v>2985</v>
      </c>
      <c r="AJ102" s="179" t="s">
        <v>1119</v>
      </c>
      <c r="AK102" s="179" t="s">
        <v>3256</v>
      </c>
      <c r="AL102" s="179" t="s">
        <v>4</v>
      </c>
      <c r="AM102" s="179" t="s">
        <v>3471</v>
      </c>
      <c r="AN102" s="179" t="s">
        <v>2102</v>
      </c>
      <c r="AO102" s="179" t="s">
        <v>2767</v>
      </c>
      <c r="AP102" s="191">
        <v>81139001235</v>
      </c>
      <c r="AQ102" s="184">
        <v>40498</v>
      </c>
      <c r="AR102" s="179">
        <v>189</v>
      </c>
      <c r="AS102" s="179"/>
      <c r="AT102" s="181" t="s">
        <v>3472</v>
      </c>
      <c r="AU102" s="181" t="s">
        <v>2946</v>
      </c>
      <c r="AV102" s="192">
        <v>25500000</v>
      </c>
      <c r="AW102" s="181">
        <v>33.1</v>
      </c>
      <c r="AX102" s="179">
        <v>80224</v>
      </c>
      <c r="AY102" s="179"/>
    </row>
    <row r="103" spans="1:51" ht="14.4" x14ac:dyDescent="0.3">
      <c r="A103" s="179" t="s">
        <v>940</v>
      </c>
      <c r="B103" s="179" t="s">
        <v>2947</v>
      </c>
      <c r="C103" s="180" t="s">
        <v>3296</v>
      </c>
      <c r="D103" s="181" t="s">
        <v>2872</v>
      </c>
      <c r="E103" s="181" t="s">
        <v>2840</v>
      </c>
      <c r="F103" s="182" t="s">
        <v>2972</v>
      </c>
      <c r="G103" s="181" t="s">
        <v>17</v>
      </c>
      <c r="H103" s="193">
        <v>45475</v>
      </c>
      <c r="I103" s="184"/>
      <c r="J103" s="179" t="s">
        <v>3473</v>
      </c>
      <c r="K103" s="179">
        <v>48</v>
      </c>
      <c r="L103" s="179" t="s">
        <v>2965</v>
      </c>
      <c r="M103" s="185"/>
      <c r="N103" s="185"/>
      <c r="O103" s="179" t="s">
        <v>2951</v>
      </c>
      <c r="P103" s="185" t="s">
        <v>2951</v>
      </c>
      <c r="Q103" s="182" t="s">
        <v>2933</v>
      </c>
      <c r="R103" s="182" t="s">
        <v>2934</v>
      </c>
      <c r="S103" s="182" t="s">
        <v>2952</v>
      </c>
      <c r="T103" s="179" t="s">
        <v>2974</v>
      </c>
      <c r="U103" s="179" t="s">
        <v>2954</v>
      </c>
      <c r="V103" s="187">
        <v>1603</v>
      </c>
      <c r="W103" s="179" t="s">
        <v>3474</v>
      </c>
      <c r="X103" s="188">
        <v>399.85250000000002</v>
      </c>
      <c r="Y103" s="188">
        <v>262.96499999999997</v>
      </c>
      <c r="Z103" s="188">
        <v>162.7045</v>
      </c>
      <c r="AA103" s="188">
        <v>127.66749999999999</v>
      </c>
      <c r="AB103" s="188">
        <v>15.824000000000002</v>
      </c>
      <c r="AC103" s="188">
        <v>70.875500000000002</v>
      </c>
      <c r="AD103" s="179" t="s">
        <v>2956</v>
      </c>
      <c r="AE103" s="188" t="s">
        <v>2940</v>
      </c>
      <c r="AF103" s="189">
        <v>0</v>
      </c>
      <c r="AG103" s="189">
        <v>0.99930555555555556</v>
      </c>
      <c r="AH103" s="190" t="s">
        <v>2941</v>
      </c>
      <c r="AI103" s="190" t="s">
        <v>2942</v>
      </c>
      <c r="AJ103" s="179" t="s">
        <v>938</v>
      </c>
      <c r="AK103" s="179" t="s">
        <v>48</v>
      </c>
      <c r="AL103" s="179" t="s">
        <v>48</v>
      </c>
      <c r="AM103" s="179" t="s">
        <v>3475</v>
      </c>
      <c r="AN103" s="179" t="s">
        <v>2102</v>
      </c>
      <c r="AO103" s="179" t="s">
        <v>2635</v>
      </c>
      <c r="AP103" s="191"/>
      <c r="AQ103" s="184">
        <v>40505</v>
      </c>
      <c r="AR103" s="179">
        <v>189</v>
      </c>
      <c r="AS103" s="179"/>
      <c r="AT103" s="181" t="s">
        <v>3476</v>
      </c>
      <c r="AU103" s="181" t="s">
        <v>2946</v>
      </c>
      <c r="AV103" s="192">
        <v>26424000</v>
      </c>
      <c r="AW103" s="181">
        <v>60.2</v>
      </c>
      <c r="AX103" s="179">
        <v>81113</v>
      </c>
      <c r="AY103" s="179"/>
    </row>
    <row r="104" spans="1:51" ht="14.4" x14ac:dyDescent="0.3">
      <c r="A104" s="179" t="s">
        <v>1152</v>
      </c>
      <c r="B104" s="179" t="s">
        <v>2947</v>
      </c>
      <c r="C104" s="180" t="s">
        <v>3477</v>
      </c>
      <c r="D104" s="181" t="s">
        <v>2873</v>
      </c>
      <c r="E104" s="181" t="s">
        <v>2840</v>
      </c>
      <c r="F104" s="182" t="s">
        <v>3086</v>
      </c>
      <c r="G104" s="181" t="s">
        <v>535</v>
      </c>
      <c r="H104" s="193">
        <v>44984</v>
      </c>
      <c r="I104" s="184">
        <v>44984</v>
      </c>
      <c r="J104" s="179" t="s">
        <v>3478</v>
      </c>
      <c r="K104" s="179">
        <v>140</v>
      </c>
      <c r="L104" s="179" t="s">
        <v>2950</v>
      </c>
      <c r="M104" s="185"/>
      <c r="N104" s="185" t="s">
        <v>2951</v>
      </c>
      <c r="O104" s="179" t="s">
        <v>2951</v>
      </c>
      <c r="P104" s="185" t="s">
        <v>2951</v>
      </c>
      <c r="Q104" s="182" t="s">
        <v>2933</v>
      </c>
      <c r="R104" s="182" t="s">
        <v>2934</v>
      </c>
      <c r="S104" s="182" t="s">
        <v>2952</v>
      </c>
      <c r="T104" s="179" t="s">
        <v>2953</v>
      </c>
      <c r="U104" s="179" t="s">
        <v>2954</v>
      </c>
      <c r="V104" s="187">
        <v>2044</v>
      </c>
      <c r="W104" s="179" t="s">
        <v>3479</v>
      </c>
      <c r="X104" s="188">
        <v>420.39449999999999</v>
      </c>
      <c r="Y104" s="188">
        <v>280.72649999999999</v>
      </c>
      <c r="Z104" s="188">
        <v>157.7115</v>
      </c>
      <c r="AA104" s="188">
        <v>133.32000000000002</v>
      </c>
      <c r="AB104" s="188">
        <v>23.296499999999998</v>
      </c>
      <c r="AC104" s="188">
        <v>78.631499999999988</v>
      </c>
      <c r="AD104" s="179" t="s">
        <v>2956</v>
      </c>
      <c r="AE104" s="188" t="s">
        <v>2940</v>
      </c>
      <c r="AF104" s="189">
        <v>0</v>
      </c>
      <c r="AG104" s="189">
        <v>0.99930555555555556</v>
      </c>
      <c r="AH104" s="190" t="s">
        <v>2941</v>
      </c>
      <c r="AI104" s="190" t="s">
        <v>2942</v>
      </c>
      <c r="AJ104" s="179" t="s">
        <v>1150</v>
      </c>
      <c r="AK104" s="179" t="s">
        <v>3010</v>
      </c>
      <c r="AL104" s="179" t="s">
        <v>36</v>
      </c>
      <c r="AM104" s="179" t="s">
        <v>3480</v>
      </c>
      <c r="AN104" s="179" t="s">
        <v>2102</v>
      </c>
      <c r="AO104" s="179" t="s">
        <v>2740</v>
      </c>
      <c r="AP104" s="191">
        <v>81139001488</v>
      </c>
      <c r="AQ104" s="184">
        <v>40506</v>
      </c>
      <c r="AR104" s="179">
        <v>189</v>
      </c>
      <c r="AS104" s="179"/>
      <c r="AT104" s="181" t="s">
        <v>3481</v>
      </c>
      <c r="AU104" s="181" t="s">
        <v>2946</v>
      </c>
      <c r="AV104" s="192">
        <v>31552233</v>
      </c>
      <c r="AW104" s="181">
        <v>14</v>
      </c>
      <c r="AX104" s="179">
        <v>82123</v>
      </c>
      <c r="AY104" s="179"/>
    </row>
    <row r="105" spans="1:51" ht="14.4" x14ac:dyDescent="0.3">
      <c r="A105" s="179" t="s">
        <v>635</v>
      </c>
      <c r="B105" s="179" t="s">
        <v>2947</v>
      </c>
      <c r="C105" s="180" t="s">
        <v>3482</v>
      </c>
      <c r="D105" s="181" t="s">
        <v>2846</v>
      </c>
      <c r="E105" s="181" t="s">
        <v>2821</v>
      </c>
      <c r="F105" s="182" t="s">
        <v>2972</v>
      </c>
      <c r="G105" s="181" t="s">
        <v>17</v>
      </c>
      <c r="H105" s="193">
        <v>45087</v>
      </c>
      <c r="I105" s="184"/>
      <c r="J105" s="179" t="s">
        <v>3483</v>
      </c>
      <c r="K105" s="179">
        <v>22</v>
      </c>
      <c r="L105" s="179" t="s">
        <v>2965</v>
      </c>
      <c r="M105" s="185"/>
      <c r="N105" s="185"/>
      <c r="O105" s="179" t="s">
        <v>2951</v>
      </c>
      <c r="P105" s="185" t="s">
        <v>2951</v>
      </c>
      <c r="Q105" s="182" t="s">
        <v>2933</v>
      </c>
      <c r="R105" s="182" t="s">
        <v>2934</v>
      </c>
      <c r="S105" s="182" t="s">
        <v>2952</v>
      </c>
      <c r="T105" s="179" t="s">
        <v>2953</v>
      </c>
      <c r="U105" s="179" t="s">
        <v>2954</v>
      </c>
      <c r="V105" s="187">
        <v>1821</v>
      </c>
      <c r="W105" s="179" t="s">
        <v>3009</v>
      </c>
      <c r="X105" s="188">
        <v>540.95399999999995</v>
      </c>
      <c r="Y105" s="188">
        <v>254.49760000000001</v>
      </c>
      <c r="Z105" s="188">
        <v>197.46780000000001</v>
      </c>
      <c r="AA105" s="188">
        <v>289.48509999999999</v>
      </c>
      <c r="AB105" s="188">
        <v>15.475000000000001</v>
      </c>
      <c r="AC105" s="188">
        <v>198.26859999999999</v>
      </c>
      <c r="AD105" s="179" t="s">
        <v>2956</v>
      </c>
      <c r="AE105" s="188" t="s">
        <v>3017</v>
      </c>
      <c r="AF105" s="189">
        <v>0</v>
      </c>
      <c r="AG105" s="189">
        <v>0.99930555555555556</v>
      </c>
      <c r="AH105" s="190" t="s">
        <v>2941</v>
      </c>
      <c r="AI105" s="190" t="s">
        <v>2942</v>
      </c>
      <c r="AJ105" s="179" t="s">
        <v>452</v>
      </c>
      <c r="AK105" s="179" t="s">
        <v>3281</v>
      </c>
      <c r="AL105" s="179" t="s">
        <v>36</v>
      </c>
      <c r="AM105" s="179" t="s">
        <v>3484</v>
      </c>
      <c r="AN105" s="179" t="s">
        <v>2102</v>
      </c>
      <c r="AO105" s="179" t="s">
        <v>2782</v>
      </c>
      <c r="AP105" s="191">
        <v>81139001502</v>
      </c>
      <c r="AQ105" s="184">
        <v>40508</v>
      </c>
      <c r="AR105" s="179">
        <v>189</v>
      </c>
      <c r="AS105" s="179"/>
      <c r="AT105" s="181" t="s">
        <v>3485</v>
      </c>
      <c r="AU105" s="181" t="s">
        <v>2946</v>
      </c>
      <c r="AV105" s="192">
        <v>24371309</v>
      </c>
      <c r="AW105" s="181">
        <v>14.9</v>
      </c>
      <c r="AX105" s="179">
        <v>82161</v>
      </c>
      <c r="AY105" s="179"/>
    </row>
    <row r="106" spans="1:51" ht="14.4" x14ac:dyDescent="0.3">
      <c r="A106" s="179" t="s">
        <v>804</v>
      </c>
      <c r="B106" s="179" t="s">
        <v>2947</v>
      </c>
      <c r="C106" s="180" t="s">
        <v>3486</v>
      </c>
      <c r="D106" s="181" t="s">
        <v>2871</v>
      </c>
      <c r="E106" s="181" t="s">
        <v>2813</v>
      </c>
      <c r="F106" s="182" t="s">
        <v>2972</v>
      </c>
      <c r="G106" s="181" t="s">
        <v>17</v>
      </c>
      <c r="H106" s="193">
        <v>45899</v>
      </c>
      <c r="I106" s="184"/>
      <c r="J106" s="179" t="s">
        <v>3487</v>
      </c>
      <c r="K106" s="179">
        <v>170</v>
      </c>
      <c r="L106" s="179" t="s">
        <v>2950</v>
      </c>
      <c r="M106" s="185"/>
      <c r="N106" s="185"/>
      <c r="O106" s="179" t="s">
        <v>2951</v>
      </c>
      <c r="P106" s="185"/>
      <c r="Q106" s="182" t="s">
        <v>2934</v>
      </c>
      <c r="R106" s="182" t="s">
        <v>2933</v>
      </c>
      <c r="S106" s="182" t="s">
        <v>2952</v>
      </c>
      <c r="T106" s="179" t="s">
        <v>2953</v>
      </c>
      <c r="U106" s="179" t="s">
        <v>2954</v>
      </c>
      <c r="V106" s="179">
        <v>1106</v>
      </c>
      <c r="W106" s="179" t="s">
        <v>2955</v>
      </c>
      <c r="X106" s="188">
        <v>341.88000000000005</v>
      </c>
      <c r="Y106" s="188">
        <v>190.68</v>
      </c>
      <c r="Z106" s="188">
        <v>111.60000000000001</v>
      </c>
      <c r="AA106" s="188">
        <v>113.2</v>
      </c>
      <c r="AB106" s="188">
        <v>34.020000000000003</v>
      </c>
      <c r="AC106" s="188">
        <v>29.2</v>
      </c>
      <c r="AD106" s="179" t="s">
        <v>2939</v>
      </c>
      <c r="AE106" s="188" t="s">
        <v>2940</v>
      </c>
      <c r="AF106" s="189">
        <v>0</v>
      </c>
      <c r="AG106" s="189">
        <v>0.99930555555555556</v>
      </c>
      <c r="AH106" s="190" t="s">
        <v>2941</v>
      </c>
      <c r="AI106" s="190" t="s">
        <v>2942</v>
      </c>
      <c r="AJ106" s="179" t="s">
        <v>167</v>
      </c>
      <c r="AK106" s="179" t="s">
        <v>3293</v>
      </c>
      <c r="AL106" s="179" t="s">
        <v>9</v>
      </c>
      <c r="AM106" s="179" t="s">
        <v>3488</v>
      </c>
      <c r="AN106" s="179" t="s">
        <v>2102</v>
      </c>
      <c r="AO106" s="179" t="s">
        <v>2781</v>
      </c>
      <c r="AP106" s="191">
        <v>81139004572</v>
      </c>
      <c r="AQ106" s="184">
        <v>40511</v>
      </c>
      <c r="AR106" s="179">
        <v>188</v>
      </c>
      <c r="AS106" s="179"/>
      <c r="AT106" s="181" t="s">
        <v>3489</v>
      </c>
      <c r="AU106" s="181" t="s">
        <v>2946</v>
      </c>
      <c r="AV106" s="192">
        <v>25755930</v>
      </c>
      <c r="AW106" s="181">
        <v>40.1</v>
      </c>
      <c r="AX106" s="179">
        <v>82161</v>
      </c>
      <c r="AY106" s="179"/>
    </row>
    <row r="107" spans="1:51" ht="14.4" x14ac:dyDescent="0.3">
      <c r="A107" s="179" t="s">
        <v>1825</v>
      </c>
      <c r="B107" s="179" t="s">
        <v>2947</v>
      </c>
      <c r="C107" s="180" t="s">
        <v>3245</v>
      </c>
      <c r="D107" s="181" t="s">
        <v>2866</v>
      </c>
      <c r="E107" s="181" t="s">
        <v>2827</v>
      </c>
      <c r="F107" s="182" t="s">
        <v>2929</v>
      </c>
      <c r="G107" s="181" t="s">
        <v>12</v>
      </c>
      <c r="H107" s="193">
        <v>45596</v>
      </c>
      <c r="I107" s="184"/>
      <c r="J107" s="179" t="s">
        <v>3490</v>
      </c>
      <c r="K107" s="179">
        <v>41</v>
      </c>
      <c r="L107" s="179" t="s">
        <v>2965</v>
      </c>
      <c r="M107" s="185"/>
      <c r="N107" s="185"/>
      <c r="O107" s="179" t="s">
        <v>2951</v>
      </c>
      <c r="P107" s="185" t="s">
        <v>2951</v>
      </c>
      <c r="Q107" s="182" t="s">
        <v>2933</v>
      </c>
      <c r="R107" s="182" t="s">
        <v>2934</v>
      </c>
      <c r="S107" s="182" t="s">
        <v>2952</v>
      </c>
      <c r="T107" s="179" t="s">
        <v>2953</v>
      </c>
      <c r="U107" s="179" t="s">
        <v>2954</v>
      </c>
      <c r="V107" s="187">
        <v>995</v>
      </c>
      <c r="W107" s="179" t="s">
        <v>3491</v>
      </c>
      <c r="X107" s="188">
        <v>214.43759999999997</v>
      </c>
      <c r="Y107" s="188">
        <v>145.62859999999998</v>
      </c>
      <c r="Z107" s="188">
        <v>144.53399999999999</v>
      </c>
      <c r="AA107" s="188">
        <v>62.811</v>
      </c>
      <c r="AB107" s="188">
        <v>0</v>
      </c>
      <c r="AC107" s="188">
        <v>137.88510000000002</v>
      </c>
      <c r="AD107" s="179" t="s">
        <v>2956</v>
      </c>
      <c r="AE107" s="188" t="s">
        <v>2957</v>
      </c>
      <c r="AF107" s="189">
        <v>0</v>
      </c>
      <c r="AG107" s="189">
        <v>0.99930555555555556</v>
      </c>
      <c r="AH107" s="190" t="s">
        <v>2941</v>
      </c>
      <c r="AI107" s="190" t="s">
        <v>2942</v>
      </c>
      <c r="AJ107" s="179" t="s">
        <v>423</v>
      </c>
      <c r="AK107" s="179" t="s">
        <v>48</v>
      </c>
      <c r="AL107" s="179" t="s">
        <v>48</v>
      </c>
      <c r="AM107" s="179" t="s">
        <v>3492</v>
      </c>
      <c r="AN107" s="179" t="s">
        <v>2102</v>
      </c>
      <c r="AO107" s="179" t="s">
        <v>2637</v>
      </c>
      <c r="AP107" s="191">
        <v>81139006901</v>
      </c>
      <c r="AQ107" s="184">
        <v>40512</v>
      </c>
      <c r="AR107" s="179">
        <v>188</v>
      </c>
      <c r="AS107" s="179"/>
      <c r="AT107" s="181" t="s">
        <v>3493</v>
      </c>
      <c r="AU107" s="181" t="s">
        <v>3494</v>
      </c>
      <c r="AV107" s="192">
        <v>23946400</v>
      </c>
      <c r="AW107" s="181">
        <v>58.1</v>
      </c>
      <c r="AX107" s="179">
        <v>81116</v>
      </c>
      <c r="AY107" s="179"/>
    </row>
    <row r="108" spans="1:51" ht="14.4" x14ac:dyDescent="0.3">
      <c r="A108" s="179" t="s">
        <v>251</v>
      </c>
      <c r="B108" s="179" t="s">
        <v>2927</v>
      </c>
      <c r="C108" s="180" t="s">
        <v>3495</v>
      </c>
      <c r="D108" s="181" t="s">
        <v>2829</v>
      </c>
      <c r="E108" s="181" t="s">
        <v>2815</v>
      </c>
      <c r="F108" s="182" t="s">
        <v>2929</v>
      </c>
      <c r="G108" s="181" t="s">
        <v>12</v>
      </c>
      <c r="H108" s="193" t="s">
        <v>2930</v>
      </c>
      <c r="I108" s="184" t="s">
        <v>2930</v>
      </c>
      <c r="J108" s="179" t="s">
        <v>3496</v>
      </c>
      <c r="K108" s="179">
        <v>400</v>
      </c>
      <c r="L108" s="179" t="s">
        <v>2950</v>
      </c>
      <c r="M108" s="185"/>
      <c r="N108" s="185"/>
      <c r="O108" s="186"/>
      <c r="P108" s="185"/>
      <c r="Q108" s="182" t="s">
        <v>2934</v>
      </c>
      <c r="R108" s="182" t="s">
        <v>2933</v>
      </c>
      <c r="S108" s="182" t="s">
        <v>2935</v>
      </c>
      <c r="T108" s="179" t="s">
        <v>2953</v>
      </c>
      <c r="U108" s="179" t="s">
        <v>2937</v>
      </c>
      <c r="V108" s="179">
        <v>1264</v>
      </c>
      <c r="W108" s="179" t="s">
        <v>2992</v>
      </c>
      <c r="X108" s="188">
        <v>210.1344</v>
      </c>
      <c r="Y108" s="188">
        <v>144.0257</v>
      </c>
      <c r="Z108" s="188">
        <v>110.57700000000001</v>
      </c>
      <c r="AA108" s="188">
        <v>68.00500000000001</v>
      </c>
      <c r="AB108" s="188">
        <v>7.52</v>
      </c>
      <c r="AC108" s="188">
        <v>47.766399999999997</v>
      </c>
      <c r="AD108" s="179" t="s">
        <v>2984</v>
      </c>
      <c r="AE108" s="188" t="s">
        <v>2957</v>
      </c>
      <c r="AF108" s="189">
        <v>0.29166666666666669</v>
      </c>
      <c r="AG108" s="189">
        <v>0.91666666666666663</v>
      </c>
      <c r="AH108" s="190" t="s">
        <v>2941</v>
      </c>
      <c r="AI108" s="190" t="s">
        <v>2985</v>
      </c>
      <c r="AJ108" s="179" t="s">
        <v>249</v>
      </c>
      <c r="AK108" s="179" t="s">
        <v>28</v>
      </c>
      <c r="AL108" s="179" t="s">
        <v>28</v>
      </c>
      <c r="AM108" s="179" t="s">
        <v>3497</v>
      </c>
      <c r="AN108" s="179" t="s">
        <v>2102</v>
      </c>
      <c r="AO108" s="179" t="s">
        <v>2337</v>
      </c>
      <c r="AP108" s="191">
        <v>81139001301</v>
      </c>
      <c r="AQ108" s="184">
        <v>40512</v>
      </c>
      <c r="AR108" s="179">
        <v>188</v>
      </c>
      <c r="AS108" s="194">
        <v>41944</v>
      </c>
      <c r="AT108" s="195" t="s">
        <v>3498</v>
      </c>
      <c r="AU108" s="195" t="s">
        <v>3499</v>
      </c>
      <c r="AV108" s="192">
        <v>11750000</v>
      </c>
      <c r="AW108" s="181">
        <v>22.5</v>
      </c>
      <c r="AX108" s="179">
        <v>80515</v>
      </c>
      <c r="AY108" s="179" t="s">
        <v>3500</v>
      </c>
    </row>
    <row r="109" spans="1:51" ht="14.4" x14ac:dyDescent="0.3">
      <c r="A109" s="179" t="s">
        <v>194</v>
      </c>
      <c r="B109" s="179" t="s">
        <v>2927</v>
      </c>
      <c r="C109" s="180" t="s">
        <v>3501</v>
      </c>
      <c r="D109" s="181" t="s">
        <v>2826</v>
      </c>
      <c r="E109" s="181" t="s">
        <v>2825</v>
      </c>
      <c r="F109" s="182" t="s">
        <v>2929</v>
      </c>
      <c r="G109" s="181" t="s">
        <v>12</v>
      </c>
      <c r="H109" s="193" t="s">
        <v>2930</v>
      </c>
      <c r="I109" s="184"/>
      <c r="J109" s="179" t="s">
        <v>3502</v>
      </c>
      <c r="K109" s="179">
        <v>100</v>
      </c>
      <c r="L109" s="179" t="s">
        <v>2965</v>
      </c>
      <c r="M109" s="185"/>
      <c r="N109" s="185"/>
      <c r="O109" s="186"/>
      <c r="P109" s="185"/>
      <c r="Q109" s="182" t="s">
        <v>2934</v>
      </c>
      <c r="R109" s="182" t="s">
        <v>2933</v>
      </c>
      <c r="S109" s="182" t="s">
        <v>2952</v>
      </c>
      <c r="T109" s="179" t="s">
        <v>2953</v>
      </c>
      <c r="U109" s="179" t="s">
        <v>2937</v>
      </c>
      <c r="V109" s="179">
        <v>1305</v>
      </c>
      <c r="W109" s="179" t="s">
        <v>3003</v>
      </c>
      <c r="X109" s="188">
        <v>279.25960000000003</v>
      </c>
      <c r="Y109" s="188">
        <v>178.74340000000001</v>
      </c>
      <c r="Z109" s="188">
        <v>111.93390000000001</v>
      </c>
      <c r="AA109" s="188">
        <v>87.155200000000008</v>
      </c>
      <c r="AB109" s="188">
        <v>23.231999999999999</v>
      </c>
      <c r="AC109" s="188">
        <v>29.480000000000004</v>
      </c>
      <c r="AD109" s="179" t="s">
        <v>2939</v>
      </c>
      <c r="AE109" s="188" t="s">
        <v>2940</v>
      </c>
      <c r="AF109" s="189">
        <v>0.29166666666666669</v>
      </c>
      <c r="AG109" s="189">
        <v>0.91666666666666663</v>
      </c>
      <c r="AH109" s="190" t="s">
        <v>2941</v>
      </c>
      <c r="AI109" s="190" t="s">
        <v>2942</v>
      </c>
      <c r="AJ109" s="179" t="s">
        <v>192</v>
      </c>
      <c r="AK109" s="179" t="s">
        <v>2977</v>
      </c>
      <c r="AL109" s="179" t="s">
        <v>9</v>
      </c>
      <c r="AM109" s="179" t="s">
        <v>3503</v>
      </c>
      <c r="AN109" s="179" t="s">
        <v>2102</v>
      </c>
      <c r="AO109" s="179" t="s">
        <v>2365</v>
      </c>
      <c r="AP109" s="191">
        <v>81139004585</v>
      </c>
      <c r="AQ109" s="184">
        <v>40518</v>
      </c>
      <c r="AR109" s="179">
        <v>188</v>
      </c>
      <c r="AS109" s="194">
        <v>42370</v>
      </c>
      <c r="AT109" s="195" t="s">
        <v>3504</v>
      </c>
      <c r="AU109" s="195" t="s">
        <v>2946</v>
      </c>
      <c r="AV109" s="192">
        <v>13463000</v>
      </c>
      <c r="AW109" s="181">
        <v>16.3</v>
      </c>
      <c r="AX109" s="179">
        <v>80363</v>
      </c>
      <c r="AY109" s="179" t="s">
        <v>3505</v>
      </c>
    </row>
    <row r="110" spans="1:51" ht="14.4" x14ac:dyDescent="0.3">
      <c r="A110" s="179" t="s">
        <v>1758</v>
      </c>
      <c r="B110" s="179" t="s">
        <v>2947</v>
      </c>
      <c r="C110" s="180" t="s">
        <v>3506</v>
      </c>
      <c r="D110" s="181" t="s">
        <v>2856</v>
      </c>
      <c r="E110" s="181" t="s">
        <v>2819</v>
      </c>
      <c r="F110" s="182" t="s">
        <v>2929</v>
      </c>
      <c r="G110" s="181" t="s">
        <v>12</v>
      </c>
      <c r="H110" s="193">
        <v>43991</v>
      </c>
      <c r="I110" s="184">
        <v>43991</v>
      </c>
      <c r="J110" s="179" t="s">
        <v>3507</v>
      </c>
      <c r="K110" s="179">
        <v>130</v>
      </c>
      <c r="L110" s="179" t="s">
        <v>2950</v>
      </c>
      <c r="M110" s="185"/>
      <c r="N110" s="185"/>
      <c r="O110" s="186"/>
      <c r="P110" s="185"/>
      <c r="Q110" s="182" t="s">
        <v>2934</v>
      </c>
      <c r="R110" s="182" t="s">
        <v>2933</v>
      </c>
      <c r="S110" s="182" t="s">
        <v>2952</v>
      </c>
      <c r="T110" s="179" t="s">
        <v>2999</v>
      </c>
      <c r="U110" s="179" t="s">
        <v>2954</v>
      </c>
      <c r="V110" s="179">
        <v>1386</v>
      </c>
      <c r="W110" s="179" t="s">
        <v>3508</v>
      </c>
      <c r="X110" s="188">
        <v>163.71719999999999</v>
      </c>
      <c r="Y110" s="188">
        <v>134.37719999999999</v>
      </c>
      <c r="Z110" s="188">
        <v>81.66640000000001</v>
      </c>
      <c r="AA110" s="188">
        <v>29.34</v>
      </c>
      <c r="AB110" s="188">
        <v>25.147499999999997</v>
      </c>
      <c r="AC110" s="188">
        <v>123.06910000000001</v>
      </c>
      <c r="AD110" s="179" t="s">
        <v>2956</v>
      </c>
      <c r="AE110" s="188" t="s">
        <v>2957</v>
      </c>
      <c r="AF110" s="189">
        <v>0.29166666666666669</v>
      </c>
      <c r="AG110" s="189">
        <v>0.91666666666666663</v>
      </c>
      <c r="AH110" s="190" t="s">
        <v>2941</v>
      </c>
      <c r="AI110" s="190" t="s">
        <v>2942</v>
      </c>
      <c r="AJ110" s="179" t="s">
        <v>316</v>
      </c>
      <c r="AK110" s="179" t="s">
        <v>2977</v>
      </c>
      <c r="AL110" s="179" t="s">
        <v>9</v>
      </c>
      <c r="AM110" s="179" t="s">
        <v>3509</v>
      </c>
      <c r="AN110" s="179" t="s">
        <v>2102</v>
      </c>
      <c r="AO110" s="179" t="s">
        <v>2636</v>
      </c>
      <c r="AP110" s="191">
        <v>81139607366</v>
      </c>
      <c r="AQ110" s="184">
        <v>40525</v>
      </c>
      <c r="AR110" s="179">
        <v>188</v>
      </c>
      <c r="AS110" s="179"/>
      <c r="AT110" s="181" t="s">
        <v>3510</v>
      </c>
      <c r="AU110" s="181" t="s">
        <v>2946</v>
      </c>
      <c r="AV110" s="192">
        <v>16495502</v>
      </c>
      <c r="AW110" s="181">
        <v>18.100000000000001</v>
      </c>
      <c r="AX110" s="179">
        <v>80363</v>
      </c>
      <c r="AY110" s="179"/>
    </row>
    <row r="111" spans="1:51" ht="14.4" x14ac:dyDescent="0.3">
      <c r="A111" s="179" t="s">
        <v>1777</v>
      </c>
      <c r="B111" s="179" t="s">
        <v>2947</v>
      </c>
      <c r="C111" s="180" t="s">
        <v>3511</v>
      </c>
      <c r="D111" s="181" t="s">
        <v>2866</v>
      </c>
      <c r="E111" s="181" t="s">
        <v>2827</v>
      </c>
      <c r="F111" s="182" t="s">
        <v>2929</v>
      </c>
      <c r="G111" s="181" t="s">
        <v>12</v>
      </c>
      <c r="H111" s="193" t="s">
        <v>2930</v>
      </c>
      <c r="I111" s="184"/>
      <c r="J111" s="179" t="s">
        <v>3512</v>
      </c>
      <c r="K111" s="179">
        <v>700</v>
      </c>
      <c r="L111" s="179" t="s">
        <v>3026</v>
      </c>
      <c r="M111" s="185"/>
      <c r="N111" s="185"/>
      <c r="O111" s="186"/>
      <c r="P111" s="185"/>
      <c r="Q111" s="182" t="s">
        <v>2933</v>
      </c>
      <c r="R111" s="182" t="s">
        <v>2934</v>
      </c>
      <c r="S111" s="182" t="s">
        <v>2952</v>
      </c>
      <c r="T111" s="179" t="s">
        <v>2953</v>
      </c>
      <c r="U111" s="179" t="s">
        <v>2954</v>
      </c>
      <c r="V111" s="187">
        <v>1415</v>
      </c>
      <c r="W111" s="179" t="s">
        <v>3140</v>
      </c>
      <c r="X111" s="188">
        <v>306.88800000000003</v>
      </c>
      <c r="Y111" s="188">
        <v>202.3038</v>
      </c>
      <c r="Z111" s="188">
        <v>112.36199999999999</v>
      </c>
      <c r="AA111" s="188">
        <v>69.568399999999997</v>
      </c>
      <c r="AB111" s="188">
        <v>23.725000000000001</v>
      </c>
      <c r="AC111" s="188">
        <v>36.687600000000003</v>
      </c>
      <c r="AD111" s="179" t="s">
        <v>2984</v>
      </c>
      <c r="AE111" s="188" t="s">
        <v>2940</v>
      </c>
      <c r="AF111" s="189">
        <v>0.29166666666666669</v>
      </c>
      <c r="AG111" s="189">
        <v>0.91666666666666663</v>
      </c>
      <c r="AH111" s="190" t="s">
        <v>2941</v>
      </c>
      <c r="AI111" s="190" t="s">
        <v>2942</v>
      </c>
      <c r="AJ111" s="179" t="s">
        <v>711</v>
      </c>
      <c r="AK111" s="179" t="s">
        <v>3511</v>
      </c>
      <c r="AL111" s="179" t="s">
        <v>48</v>
      </c>
      <c r="AM111" s="179" t="s">
        <v>3513</v>
      </c>
      <c r="AN111" s="179" t="s">
        <v>2102</v>
      </c>
      <c r="AO111" s="179" t="s">
        <v>2640</v>
      </c>
      <c r="AP111" s="191">
        <v>8113806130</v>
      </c>
      <c r="AQ111" s="184">
        <v>40527</v>
      </c>
      <c r="AR111" s="179">
        <v>188</v>
      </c>
      <c r="AS111" s="179"/>
      <c r="AT111" s="181"/>
      <c r="AU111" s="181"/>
      <c r="AV111" s="192">
        <v>8400000</v>
      </c>
      <c r="AW111" s="181">
        <v>60</v>
      </c>
      <c r="AX111" s="179">
        <v>81152</v>
      </c>
      <c r="AY111" s="179"/>
    </row>
    <row r="112" spans="1:51" ht="14.4" x14ac:dyDescent="0.3">
      <c r="A112" s="179" t="s">
        <v>1419</v>
      </c>
      <c r="B112" s="179" t="s">
        <v>2947</v>
      </c>
      <c r="C112" s="180" t="s">
        <v>3514</v>
      </c>
      <c r="D112" s="181" t="s">
        <v>2838</v>
      </c>
      <c r="E112" s="181" t="s">
        <v>2830</v>
      </c>
      <c r="F112" s="182" t="s">
        <v>2929</v>
      </c>
      <c r="G112" s="181" t="s">
        <v>12</v>
      </c>
      <c r="H112" s="193">
        <v>44987</v>
      </c>
      <c r="I112" s="184"/>
      <c r="J112" s="179" t="s">
        <v>3515</v>
      </c>
      <c r="K112" s="179">
        <v>120</v>
      </c>
      <c r="L112" s="179" t="s">
        <v>2950</v>
      </c>
      <c r="M112" s="185"/>
      <c r="N112" s="185"/>
      <c r="O112" s="186"/>
      <c r="P112" s="185"/>
      <c r="Q112" s="182" t="s">
        <v>2934</v>
      </c>
      <c r="R112" s="182" t="s">
        <v>2933</v>
      </c>
      <c r="S112" s="182" t="s">
        <v>2952</v>
      </c>
      <c r="T112" s="179" t="s">
        <v>2953</v>
      </c>
      <c r="U112" s="179" t="s">
        <v>2954</v>
      </c>
      <c r="V112" s="179">
        <v>1433</v>
      </c>
      <c r="W112" s="179" t="s">
        <v>3109</v>
      </c>
      <c r="X112" s="188">
        <v>165.72600000000003</v>
      </c>
      <c r="Y112" s="188">
        <v>103.486</v>
      </c>
      <c r="Z112" s="188">
        <v>87.236400000000003</v>
      </c>
      <c r="AA112" s="188">
        <v>62.075400000000009</v>
      </c>
      <c r="AB112" s="188">
        <v>3.3280000000000003</v>
      </c>
      <c r="AC112" s="188">
        <v>69.042600000000007</v>
      </c>
      <c r="AD112" s="179" t="s">
        <v>2956</v>
      </c>
      <c r="AE112" s="188" t="s">
        <v>2957</v>
      </c>
      <c r="AF112" s="189">
        <v>0.29166666666666669</v>
      </c>
      <c r="AG112" s="189">
        <v>0.95833333333333337</v>
      </c>
      <c r="AH112" s="190" t="s">
        <v>2941</v>
      </c>
      <c r="AI112" s="190" t="s">
        <v>2942</v>
      </c>
      <c r="AJ112" s="179" t="s">
        <v>1178</v>
      </c>
      <c r="AK112" s="179" t="s">
        <v>3034</v>
      </c>
      <c r="AL112" s="179" t="s">
        <v>4</v>
      </c>
      <c r="AM112" s="179" t="s">
        <v>3516</v>
      </c>
      <c r="AN112" s="179" t="s">
        <v>2102</v>
      </c>
      <c r="AO112" s="179" t="s">
        <v>2639</v>
      </c>
      <c r="AP112" s="191">
        <v>81139607365</v>
      </c>
      <c r="AQ112" s="184">
        <v>40536</v>
      </c>
      <c r="AR112" s="179">
        <v>188</v>
      </c>
      <c r="AS112" s="179"/>
      <c r="AT112" s="181" t="s">
        <v>3517</v>
      </c>
      <c r="AU112" s="181" t="s">
        <v>2946</v>
      </c>
      <c r="AV112" s="192">
        <v>24385283</v>
      </c>
      <c r="AW112" s="181">
        <v>26.1</v>
      </c>
      <c r="AX112" s="179">
        <v>80115</v>
      </c>
      <c r="AY112" s="179"/>
    </row>
    <row r="113" spans="1:51" ht="14.4" x14ac:dyDescent="0.3">
      <c r="A113" s="179" t="s">
        <v>970</v>
      </c>
      <c r="B113" s="179" t="s">
        <v>2947</v>
      </c>
      <c r="C113" s="180" t="s">
        <v>3518</v>
      </c>
      <c r="D113" s="181" t="s">
        <v>2841</v>
      </c>
      <c r="E113" s="181" t="s">
        <v>2840</v>
      </c>
      <c r="F113" s="182" t="s">
        <v>3086</v>
      </c>
      <c r="G113" s="181" t="s">
        <v>535</v>
      </c>
      <c r="H113" s="193">
        <v>44497</v>
      </c>
      <c r="I113" s="184">
        <v>44497</v>
      </c>
      <c r="J113" s="179" t="s">
        <v>3519</v>
      </c>
      <c r="K113" s="179">
        <v>13</v>
      </c>
      <c r="L113" s="179" t="s">
        <v>2965</v>
      </c>
      <c r="M113" s="185" t="s">
        <v>3164</v>
      </c>
      <c r="N113" s="185" t="s">
        <v>2951</v>
      </c>
      <c r="O113" s="179" t="s">
        <v>2951</v>
      </c>
      <c r="P113" s="185" t="s">
        <v>2951</v>
      </c>
      <c r="Q113" s="182" t="s">
        <v>2933</v>
      </c>
      <c r="R113" s="182" t="s">
        <v>2934</v>
      </c>
      <c r="S113" s="182" t="s">
        <v>2952</v>
      </c>
      <c r="T113" s="179" t="s">
        <v>2999</v>
      </c>
      <c r="U113" s="179" t="s">
        <v>2954</v>
      </c>
      <c r="V113" s="187">
        <v>1633</v>
      </c>
      <c r="W113" s="179" t="s">
        <v>3520</v>
      </c>
      <c r="X113" s="188">
        <v>516.61760000000004</v>
      </c>
      <c r="Y113" s="188">
        <v>301.17959999999999</v>
      </c>
      <c r="Z113" s="188">
        <v>208.07920000000001</v>
      </c>
      <c r="AA113" s="188">
        <v>165.9933</v>
      </c>
      <c r="AB113" s="188">
        <v>22.16</v>
      </c>
      <c r="AC113" s="188">
        <v>130.6944</v>
      </c>
      <c r="AD113" s="179" t="s">
        <v>2956</v>
      </c>
      <c r="AE113" s="188" t="s">
        <v>3017</v>
      </c>
      <c r="AF113" s="189">
        <v>0</v>
      </c>
      <c r="AG113" s="189">
        <v>0.99930555555555556</v>
      </c>
      <c r="AH113" s="190" t="s">
        <v>2941</v>
      </c>
      <c r="AI113" s="190" t="s">
        <v>2942</v>
      </c>
      <c r="AJ113" s="179" t="s">
        <v>968</v>
      </c>
      <c r="AK113" s="179" t="s">
        <v>3034</v>
      </c>
      <c r="AL113" s="179" t="s">
        <v>4</v>
      </c>
      <c r="AM113" s="179" t="s">
        <v>3521</v>
      </c>
      <c r="AN113" s="179" t="s">
        <v>2102</v>
      </c>
      <c r="AO113" s="179" t="s">
        <v>2783</v>
      </c>
      <c r="AP113" s="191">
        <v>8113806105</v>
      </c>
      <c r="AQ113" s="184">
        <v>40536</v>
      </c>
      <c r="AR113" s="179">
        <v>188</v>
      </c>
      <c r="AS113" s="201"/>
      <c r="AT113" s="202" t="s">
        <v>3522</v>
      </c>
      <c r="AU113" s="202" t="s">
        <v>3523</v>
      </c>
      <c r="AV113" s="192">
        <v>37242644.908294931</v>
      </c>
      <c r="AW113" s="181">
        <v>19.100000000000001</v>
      </c>
      <c r="AX113" s="179">
        <v>80239</v>
      </c>
      <c r="AY113" s="179"/>
    </row>
    <row r="114" spans="1:51" ht="14.4" x14ac:dyDescent="0.3">
      <c r="A114" s="179" t="s">
        <v>1541</v>
      </c>
      <c r="B114" s="179" t="s">
        <v>2947</v>
      </c>
      <c r="C114" s="180" t="s">
        <v>3524</v>
      </c>
      <c r="D114" s="181" t="s">
        <v>2841</v>
      </c>
      <c r="E114" s="181" t="s">
        <v>2840</v>
      </c>
      <c r="F114" s="182" t="s">
        <v>3086</v>
      </c>
      <c r="G114" s="181" t="s">
        <v>535</v>
      </c>
      <c r="H114" s="193">
        <v>43131</v>
      </c>
      <c r="I114" s="184">
        <v>44784</v>
      </c>
      <c r="J114" s="179" t="s">
        <v>3008</v>
      </c>
      <c r="K114" s="179" t="s">
        <v>3008</v>
      </c>
      <c r="L114" s="179" t="s">
        <v>2932</v>
      </c>
      <c r="M114" s="185"/>
      <c r="N114" s="185" t="s">
        <v>2951</v>
      </c>
      <c r="O114" s="179" t="s">
        <v>2951</v>
      </c>
      <c r="P114" s="185"/>
      <c r="Q114" s="182" t="s">
        <v>2934</v>
      </c>
      <c r="R114" s="182" t="s">
        <v>2933</v>
      </c>
      <c r="S114" s="182" t="s">
        <v>2952</v>
      </c>
      <c r="T114" s="179" t="s">
        <v>2974</v>
      </c>
      <c r="U114" s="179" t="s">
        <v>2954</v>
      </c>
      <c r="V114" s="179">
        <v>1379</v>
      </c>
      <c r="W114" s="179" t="s">
        <v>3525</v>
      </c>
      <c r="X114" s="188">
        <v>447.86280000000005</v>
      </c>
      <c r="Y114" s="188">
        <v>322.65090000000004</v>
      </c>
      <c r="Z114" s="188">
        <v>166.2903</v>
      </c>
      <c r="AA114" s="188">
        <v>73.203199999999995</v>
      </c>
      <c r="AB114" s="188">
        <v>20.340000000000003</v>
      </c>
      <c r="AC114" s="188">
        <v>110.05119999999999</v>
      </c>
      <c r="AD114" s="179" t="s">
        <v>2956</v>
      </c>
      <c r="AE114" s="188" t="s">
        <v>3017</v>
      </c>
      <c r="AF114" s="189">
        <v>0.29166666666666669</v>
      </c>
      <c r="AG114" s="189">
        <v>0.99930555555555556</v>
      </c>
      <c r="AH114" s="190" t="s">
        <v>2941</v>
      </c>
      <c r="AI114" s="190" t="s">
        <v>2985</v>
      </c>
      <c r="AJ114" s="179" t="s">
        <v>647</v>
      </c>
      <c r="AK114" s="179" t="s">
        <v>3387</v>
      </c>
      <c r="AL114" s="179" t="s">
        <v>4</v>
      </c>
      <c r="AM114" s="179" t="s">
        <v>3526</v>
      </c>
      <c r="AN114" s="179" t="s">
        <v>2102</v>
      </c>
      <c r="AO114" s="179" t="s">
        <v>2638</v>
      </c>
      <c r="AP114" s="191">
        <v>81139001397</v>
      </c>
      <c r="AQ114" s="184">
        <v>40536</v>
      </c>
      <c r="AR114" s="179">
        <v>188</v>
      </c>
      <c r="AS114" s="179"/>
      <c r="AT114" s="181" t="s">
        <v>3527</v>
      </c>
      <c r="AU114" s="181" t="s">
        <v>2946</v>
      </c>
      <c r="AV114" s="192">
        <v>29729930</v>
      </c>
      <c r="AW114" s="181">
        <v>20.399999999999999</v>
      </c>
      <c r="AX114" s="179">
        <v>80238</v>
      </c>
      <c r="AY114" s="179"/>
    </row>
    <row r="115" spans="1:51" ht="14.4" x14ac:dyDescent="0.3">
      <c r="A115" s="179" t="s">
        <v>324</v>
      </c>
      <c r="B115" s="179" t="s">
        <v>2947</v>
      </c>
      <c r="C115" s="180" t="s">
        <v>3528</v>
      </c>
      <c r="D115" s="181" t="s">
        <v>2859</v>
      </c>
      <c r="E115" s="181" t="s">
        <v>2815</v>
      </c>
      <c r="F115" s="182" t="s">
        <v>2929</v>
      </c>
      <c r="G115" s="181" t="s">
        <v>12</v>
      </c>
      <c r="H115" s="193">
        <v>44035</v>
      </c>
      <c r="I115" s="184">
        <v>44035</v>
      </c>
      <c r="J115" s="179" t="s">
        <v>3529</v>
      </c>
      <c r="K115" s="179">
        <v>449</v>
      </c>
      <c r="L115" s="179" t="s">
        <v>3026</v>
      </c>
      <c r="M115" s="185"/>
      <c r="N115" s="185"/>
      <c r="O115" s="186"/>
      <c r="P115" s="185"/>
      <c r="Q115" s="182" t="s">
        <v>2933</v>
      </c>
      <c r="R115" s="182" t="s">
        <v>2934</v>
      </c>
      <c r="S115" s="182" t="s">
        <v>2935</v>
      </c>
      <c r="T115" s="179" t="s">
        <v>2953</v>
      </c>
      <c r="U115" s="179" t="s">
        <v>2954</v>
      </c>
      <c r="V115" s="187">
        <v>1116</v>
      </c>
      <c r="W115" s="179" t="s">
        <v>3140</v>
      </c>
      <c r="X115" s="188">
        <v>234.726</v>
      </c>
      <c r="Y115" s="188">
        <v>156.48399999999998</v>
      </c>
      <c r="Z115" s="188">
        <v>106.12800000000001</v>
      </c>
      <c r="AA115" s="188">
        <v>74.664000000000001</v>
      </c>
      <c r="AB115" s="188">
        <v>9.6480000000000015</v>
      </c>
      <c r="AC115" s="188">
        <v>27.244800000000001</v>
      </c>
      <c r="AD115" s="179" t="s">
        <v>2939</v>
      </c>
      <c r="AE115" s="188" t="s">
        <v>2940</v>
      </c>
      <c r="AF115" s="189">
        <v>0.29166666666666669</v>
      </c>
      <c r="AG115" s="189">
        <v>0.99930555555555556</v>
      </c>
      <c r="AH115" s="190" t="s">
        <v>2941</v>
      </c>
      <c r="AI115" s="190" t="s">
        <v>2985</v>
      </c>
      <c r="AJ115" s="179" t="s">
        <v>322</v>
      </c>
      <c r="AK115" s="179" t="s">
        <v>3110</v>
      </c>
      <c r="AL115" s="179" t="s">
        <v>28</v>
      </c>
      <c r="AM115" s="179" t="s">
        <v>3530</v>
      </c>
      <c r="AN115" s="179" t="s">
        <v>2102</v>
      </c>
      <c r="AO115" s="179" t="s">
        <v>2643</v>
      </c>
      <c r="AP115" s="191">
        <v>81139001330</v>
      </c>
      <c r="AQ115" s="184">
        <v>40541</v>
      </c>
      <c r="AR115" s="179">
        <v>187</v>
      </c>
      <c r="AS115" s="179"/>
      <c r="AT115" s="181" t="s">
        <v>3531</v>
      </c>
      <c r="AU115" s="181" t="s">
        <v>2946</v>
      </c>
      <c r="AV115" s="192">
        <v>14577902</v>
      </c>
      <c r="AW115" s="181">
        <v>23.2</v>
      </c>
      <c r="AX115" s="179">
        <v>80581</v>
      </c>
      <c r="AY115" s="179"/>
    </row>
    <row r="116" spans="1:51" ht="14.4" x14ac:dyDescent="0.3">
      <c r="A116" s="179" t="s">
        <v>1848</v>
      </c>
      <c r="B116" s="179" t="s">
        <v>2947</v>
      </c>
      <c r="C116" s="180" t="s">
        <v>3532</v>
      </c>
      <c r="D116" s="181" t="s">
        <v>2864</v>
      </c>
      <c r="E116" s="181" t="s">
        <v>2827</v>
      </c>
      <c r="F116" s="182" t="s">
        <v>2929</v>
      </c>
      <c r="G116" s="181" t="s">
        <v>12</v>
      </c>
      <c r="H116" s="193" t="s">
        <v>2930</v>
      </c>
      <c r="I116" s="184" t="s">
        <v>2930</v>
      </c>
      <c r="J116" s="179" t="s">
        <v>3533</v>
      </c>
      <c r="K116" s="179">
        <v>110</v>
      </c>
      <c r="L116" s="179" t="s">
        <v>2965</v>
      </c>
      <c r="M116" s="185"/>
      <c r="N116" s="185" t="s">
        <v>2951</v>
      </c>
      <c r="O116" s="186"/>
      <c r="P116" s="185"/>
      <c r="Q116" s="182" t="s">
        <v>2933</v>
      </c>
      <c r="R116" s="182" t="s">
        <v>2934</v>
      </c>
      <c r="S116" s="182" t="s">
        <v>2952</v>
      </c>
      <c r="T116" s="179" t="s">
        <v>2953</v>
      </c>
      <c r="U116" s="179" t="s">
        <v>2954</v>
      </c>
      <c r="V116" s="187">
        <v>1175</v>
      </c>
      <c r="W116" s="179" t="s">
        <v>2992</v>
      </c>
      <c r="X116" s="188">
        <v>213.67559999999997</v>
      </c>
      <c r="Y116" s="188">
        <v>131.75699999999998</v>
      </c>
      <c r="Z116" s="188">
        <v>100.48320000000001</v>
      </c>
      <c r="AA116" s="188">
        <v>74.58</v>
      </c>
      <c r="AB116" s="188">
        <v>6.7105999999999995</v>
      </c>
      <c r="AC116" s="188">
        <v>58.854600000000005</v>
      </c>
      <c r="AD116" s="179" t="s">
        <v>2984</v>
      </c>
      <c r="AE116" s="188" t="s">
        <v>2957</v>
      </c>
      <c r="AF116" s="189">
        <v>0</v>
      </c>
      <c r="AG116" s="189">
        <v>0.99930555555555556</v>
      </c>
      <c r="AH116" s="190" t="s">
        <v>2941</v>
      </c>
      <c r="AI116" s="190" t="s">
        <v>2942</v>
      </c>
      <c r="AJ116" s="179" t="s">
        <v>287</v>
      </c>
      <c r="AK116" s="179" t="s">
        <v>48</v>
      </c>
      <c r="AL116" s="179" t="s">
        <v>48</v>
      </c>
      <c r="AM116" s="179" t="s">
        <v>3534</v>
      </c>
      <c r="AN116" s="179" t="s">
        <v>2102</v>
      </c>
      <c r="AO116" s="179" t="s">
        <v>2430</v>
      </c>
      <c r="AP116" s="191">
        <v>81139006752</v>
      </c>
      <c r="AQ116" s="184">
        <v>40545</v>
      </c>
      <c r="AR116" s="179">
        <v>187</v>
      </c>
      <c r="AS116" s="179"/>
      <c r="AT116" s="181" t="s">
        <v>3535</v>
      </c>
      <c r="AU116" s="181" t="s">
        <v>3536</v>
      </c>
      <c r="AV116" s="192">
        <v>8855000</v>
      </c>
      <c r="AW116" s="181">
        <v>59.6</v>
      </c>
      <c r="AX116" s="179">
        <v>81119</v>
      </c>
      <c r="AY116" s="179"/>
    </row>
    <row r="117" spans="1:51" ht="14.4" x14ac:dyDescent="0.3">
      <c r="A117" s="179" t="s">
        <v>1631</v>
      </c>
      <c r="B117" s="179" t="s">
        <v>2927</v>
      </c>
      <c r="C117" s="180" t="s">
        <v>3537</v>
      </c>
      <c r="D117" s="181" t="s">
        <v>2826</v>
      </c>
      <c r="E117" s="181" t="s">
        <v>2825</v>
      </c>
      <c r="F117" s="182" t="s">
        <v>2929</v>
      </c>
      <c r="G117" s="181" t="s">
        <v>12</v>
      </c>
      <c r="H117" s="193" t="s">
        <v>2930</v>
      </c>
      <c r="I117" s="184" t="s">
        <v>2930</v>
      </c>
      <c r="J117" s="179" t="s">
        <v>3538</v>
      </c>
      <c r="K117" s="179">
        <v>160</v>
      </c>
      <c r="L117" s="179" t="s">
        <v>2950</v>
      </c>
      <c r="M117" s="185"/>
      <c r="N117" s="185"/>
      <c r="O117" s="186"/>
      <c r="P117" s="185"/>
      <c r="Q117" s="182" t="s">
        <v>2933</v>
      </c>
      <c r="R117" s="182" t="s">
        <v>2934</v>
      </c>
      <c r="S117" s="182" t="s">
        <v>2952</v>
      </c>
      <c r="T117" s="179" t="s">
        <v>2936</v>
      </c>
      <c r="U117" s="179" t="s">
        <v>2937</v>
      </c>
      <c r="V117" s="187">
        <v>1341</v>
      </c>
      <c r="W117" s="179" t="s">
        <v>2955</v>
      </c>
      <c r="X117" s="188">
        <v>259.85599999999999</v>
      </c>
      <c r="Y117" s="188">
        <v>174.94500000000002</v>
      </c>
      <c r="Z117" s="188">
        <v>110.876</v>
      </c>
      <c r="AA117" s="188">
        <v>77.274000000000001</v>
      </c>
      <c r="AB117" s="188">
        <v>8.24</v>
      </c>
      <c r="AC117" s="188">
        <v>39.560199999999995</v>
      </c>
      <c r="AD117" s="179" t="s">
        <v>2984</v>
      </c>
      <c r="AE117" s="188" t="s">
        <v>2940</v>
      </c>
      <c r="AF117" s="189">
        <v>0.29166666666666669</v>
      </c>
      <c r="AG117" s="189">
        <v>0.91666666666666663</v>
      </c>
      <c r="AH117" s="190" t="s">
        <v>2941</v>
      </c>
      <c r="AI117" s="190" t="s">
        <v>2942</v>
      </c>
      <c r="AJ117" s="179" t="s">
        <v>1187</v>
      </c>
      <c r="AK117" s="179" t="s">
        <v>3302</v>
      </c>
      <c r="AL117" s="179" t="s">
        <v>9</v>
      </c>
      <c r="AM117" s="179" t="s">
        <v>3539</v>
      </c>
      <c r="AN117" s="179" t="s">
        <v>2102</v>
      </c>
      <c r="AO117" s="179" t="s">
        <v>2329</v>
      </c>
      <c r="AP117" s="191">
        <v>81139004583</v>
      </c>
      <c r="AQ117" s="184">
        <v>40545</v>
      </c>
      <c r="AR117" s="179">
        <v>187</v>
      </c>
      <c r="AS117" s="194">
        <v>42401</v>
      </c>
      <c r="AT117" s="195" t="s">
        <v>3540</v>
      </c>
      <c r="AU117" s="195" t="s">
        <v>3541</v>
      </c>
      <c r="AV117" s="192">
        <v>12515000</v>
      </c>
      <c r="AW117" s="181">
        <v>12.8</v>
      </c>
      <c r="AX117" s="179">
        <v>80351</v>
      </c>
      <c r="AY117" s="179" t="s">
        <v>3542</v>
      </c>
    </row>
    <row r="118" spans="1:51" ht="14.4" x14ac:dyDescent="0.3">
      <c r="A118" s="179" t="s">
        <v>955</v>
      </c>
      <c r="B118" s="179" t="s">
        <v>2947</v>
      </c>
      <c r="C118" s="180" t="s">
        <v>3543</v>
      </c>
      <c r="D118" s="181" t="s">
        <v>2823</v>
      </c>
      <c r="E118" s="181" t="s">
        <v>2819</v>
      </c>
      <c r="F118" s="182" t="s">
        <v>2972</v>
      </c>
      <c r="G118" s="181" t="s">
        <v>17</v>
      </c>
      <c r="H118" s="193">
        <v>45087</v>
      </c>
      <c r="I118" s="184"/>
      <c r="J118" s="179" t="s">
        <v>3544</v>
      </c>
      <c r="K118" s="179">
        <v>22</v>
      </c>
      <c r="L118" s="179" t="s">
        <v>2965</v>
      </c>
      <c r="M118" s="185"/>
      <c r="N118" s="185"/>
      <c r="O118" s="179" t="s">
        <v>2951</v>
      </c>
      <c r="P118" s="185"/>
      <c r="Q118" s="182" t="s">
        <v>2934</v>
      </c>
      <c r="R118" s="182" t="s">
        <v>2933</v>
      </c>
      <c r="S118" s="182" t="s">
        <v>2952</v>
      </c>
      <c r="T118" s="179" t="s">
        <v>2953</v>
      </c>
      <c r="U118" s="179" t="s">
        <v>2954</v>
      </c>
      <c r="V118" s="179">
        <v>1791</v>
      </c>
      <c r="W118" s="179" t="s">
        <v>3140</v>
      </c>
      <c r="X118" s="188">
        <v>349.5564</v>
      </c>
      <c r="Y118" s="188">
        <v>229.7268</v>
      </c>
      <c r="Z118" s="188">
        <v>159.55800000000002</v>
      </c>
      <c r="AA118" s="188">
        <v>92.204699999999988</v>
      </c>
      <c r="AB118" s="188">
        <v>12.576000000000001</v>
      </c>
      <c r="AC118" s="188">
        <v>241.4085</v>
      </c>
      <c r="AD118" s="179" t="s">
        <v>2956</v>
      </c>
      <c r="AE118" s="188" t="s">
        <v>3017</v>
      </c>
      <c r="AF118" s="189">
        <v>0</v>
      </c>
      <c r="AG118" s="189">
        <v>0.99930555555555556</v>
      </c>
      <c r="AH118" s="190" t="s">
        <v>2976</v>
      </c>
      <c r="AI118" s="190" t="s">
        <v>2942</v>
      </c>
      <c r="AJ118" s="179" t="s">
        <v>953</v>
      </c>
      <c r="AK118" s="179" t="s">
        <v>2958</v>
      </c>
      <c r="AL118" s="179" t="s">
        <v>4</v>
      </c>
      <c r="AM118" s="179" t="s">
        <v>3545</v>
      </c>
      <c r="AN118" s="179" t="s">
        <v>2102</v>
      </c>
      <c r="AO118" s="179" t="s">
        <v>2633</v>
      </c>
      <c r="AP118" s="191">
        <v>8113806107</v>
      </c>
      <c r="AQ118" s="184">
        <v>40545</v>
      </c>
      <c r="AR118" s="179">
        <v>187</v>
      </c>
      <c r="AS118" s="179"/>
      <c r="AT118" s="181" t="s">
        <v>3546</v>
      </c>
      <c r="AU118" s="181" t="s">
        <v>2946</v>
      </c>
      <c r="AV118" s="192">
        <v>27528840</v>
      </c>
      <c r="AW118" s="181">
        <v>21.2</v>
      </c>
      <c r="AX118" s="179">
        <v>80117</v>
      </c>
      <c r="AY118" s="179"/>
    </row>
    <row r="119" spans="1:51" ht="14.4" x14ac:dyDescent="0.3">
      <c r="A119" s="179" t="s">
        <v>1724</v>
      </c>
      <c r="B119" s="179" t="s">
        <v>2947</v>
      </c>
      <c r="C119" s="180" t="s">
        <v>3547</v>
      </c>
      <c r="D119" s="181" t="s">
        <v>2851</v>
      </c>
      <c r="E119" s="181" t="s">
        <v>2817</v>
      </c>
      <c r="F119" s="182" t="s">
        <v>2972</v>
      </c>
      <c r="G119" s="181" t="s">
        <v>17</v>
      </c>
      <c r="H119" s="193">
        <v>45725</v>
      </c>
      <c r="I119" s="184"/>
      <c r="J119" s="179" t="s">
        <v>3548</v>
      </c>
      <c r="K119" s="179">
        <v>170</v>
      </c>
      <c r="L119" s="179" t="s">
        <v>2950</v>
      </c>
      <c r="M119" s="185"/>
      <c r="N119" s="185"/>
      <c r="O119" s="186"/>
      <c r="P119" s="185"/>
      <c r="Q119" s="182" t="s">
        <v>2934</v>
      </c>
      <c r="R119" s="182" t="s">
        <v>2933</v>
      </c>
      <c r="S119" s="182" t="s">
        <v>2952</v>
      </c>
      <c r="T119" s="179" t="s">
        <v>2953</v>
      </c>
      <c r="U119" s="179" t="s">
        <v>2954</v>
      </c>
      <c r="V119" s="179">
        <v>1971</v>
      </c>
      <c r="W119" s="179" t="s">
        <v>3549</v>
      </c>
      <c r="X119" s="188">
        <v>377.1832</v>
      </c>
      <c r="Y119" s="188">
        <v>220.24520000000001</v>
      </c>
      <c r="Z119" s="188">
        <v>128.68020000000001</v>
      </c>
      <c r="AA119" s="188">
        <v>78.680700000000002</v>
      </c>
      <c r="AB119" s="188">
        <v>19.304799999999997</v>
      </c>
      <c r="AC119" s="188">
        <v>34.669600000000003</v>
      </c>
      <c r="AD119" s="179" t="s">
        <v>2984</v>
      </c>
      <c r="AE119" s="188" t="s">
        <v>2940</v>
      </c>
      <c r="AF119" s="189">
        <v>0</v>
      </c>
      <c r="AG119" s="189">
        <v>0.99930555555555556</v>
      </c>
      <c r="AH119" s="190" t="s">
        <v>2941</v>
      </c>
      <c r="AI119" s="190" t="s">
        <v>2985</v>
      </c>
      <c r="AJ119" s="179" t="s">
        <v>373</v>
      </c>
      <c r="AK119" s="179" t="s">
        <v>3256</v>
      </c>
      <c r="AL119" s="179" t="s">
        <v>4</v>
      </c>
      <c r="AM119" s="179" t="s">
        <v>3550</v>
      </c>
      <c r="AN119" s="179" t="s">
        <v>2102</v>
      </c>
      <c r="AO119" s="179" t="s">
        <v>2417</v>
      </c>
      <c r="AP119" s="191">
        <v>81139001395</v>
      </c>
      <c r="AQ119" s="184">
        <v>40568</v>
      </c>
      <c r="AR119" s="179">
        <v>187</v>
      </c>
      <c r="AS119" s="179"/>
      <c r="AT119" s="181"/>
      <c r="AU119" s="181"/>
      <c r="AV119" s="192">
        <v>39335500</v>
      </c>
      <c r="AW119" s="181">
        <v>28.2</v>
      </c>
      <c r="AX119" s="179">
        <v>80223</v>
      </c>
      <c r="AY119" s="179"/>
    </row>
    <row r="120" spans="1:51" ht="14.4" x14ac:dyDescent="0.3">
      <c r="A120" s="179" t="s">
        <v>1786</v>
      </c>
      <c r="B120" s="179" t="s">
        <v>2947</v>
      </c>
      <c r="C120" s="180" t="s">
        <v>3551</v>
      </c>
      <c r="D120" s="181" t="s">
        <v>2820</v>
      </c>
      <c r="E120" s="181" t="s">
        <v>2819</v>
      </c>
      <c r="F120" s="182" t="s">
        <v>2929</v>
      </c>
      <c r="G120" s="181" t="s">
        <v>12</v>
      </c>
      <c r="H120" s="193">
        <v>45087</v>
      </c>
      <c r="I120" s="184"/>
      <c r="J120" s="179" t="s">
        <v>3552</v>
      </c>
      <c r="K120" s="179">
        <v>750</v>
      </c>
      <c r="L120" s="179" t="s">
        <v>3026</v>
      </c>
      <c r="M120" s="185"/>
      <c r="N120" s="185"/>
      <c r="O120" s="186"/>
      <c r="P120" s="185"/>
      <c r="Q120" s="182" t="s">
        <v>2934</v>
      </c>
      <c r="R120" s="182" t="s">
        <v>2933</v>
      </c>
      <c r="S120" s="182" t="s">
        <v>2952</v>
      </c>
      <c r="T120" s="179" t="s">
        <v>2953</v>
      </c>
      <c r="U120" s="179" t="s">
        <v>2954</v>
      </c>
      <c r="V120" s="179">
        <v>1866</v>
      </c>
      <c r="W120" s="179" t="s">
        <v>2975</v>
      </c>
      <c r="X120" s="188">
        <v>291.6216</v>
      </c>
      <c r="Y120" s="188">
        <v>200.7072</v>
      </c>
      <c r="Z120" s="188">
        <v>136.47119999999998</v>
      </c>
      <c r="AA120" s="188">
        <v>78.494399999999999</v>
      </c>
      <c r="AB120" s="188">
        <v>4.3734000000000002</v>
      </c>
      <c r="AC120" s="188">
        <v>42.517799999999994</v>
      </c>
      <c r="AD120" s="179" t="s">
        <v>2984</v>
      </c>
      <c r="AE120" s="188" t="s">
        <v>2940</v>
      </c>
      <c r="AF120" s="189">
        <v>0.29166666666666669</v>
      </c>
      <c r="AG120" s="189">
        <v>0.95833333333333337</v>
      </c>
      <c r="AH120" s="190" t="s">
        <v>2941</v>
      </c>
      <c r="AI120" s="190" t="s">
        <v>2942</v>
      </c>
      <c r="AJ120" s="179" t="s">
        <v>953</v>
      </c>
      <c r="AK120" s="179" t="s">
        <v>2958</v>
      </c>
      <c r="AL120" s="179" t="s">
        <v>4</v>
      </c>
      <c r="AM120" s="179" t="s">
        <v>3553</v>
      </c>
      <c r="AN120" s="179" t="s">
        <v>2102</v>
      </c>
      <c r="AO120" s="179" t="s">
        <v>2419</v>
      </c>
      <c r="AP120" s="191">
        <v>8113890513</v>
      </c>
      <c r="AQ120" s="184">
        <v>40570</v>
      </c>
      <c r="AR120" s="179">
        <v>187</v>
      </c>
      <c r="AS120" s="179"/>
      <c r="AT120" s="181" t="s">
        <v>3554</v>
      </c>
      <c r="AU120" s="181" t="s">
        <v>3555</v>
      </c>
      <c r="AV120" s="192">
        <v>19255653</v>
      </c>
      <c r="AW120" s="181">
        <v>19.2</v>
      </c>
      <c r="AX120" s="179">
        <v>80117</v>
      </c>
      <c r="AY120" s="179"/>
    </row>
    <row r="121" spans="1:51" ht="14.4" x14ac:dyDescent="0.3">
      <c r="A121" s="179" t="s">
        <v>1539</v>
      </c>
      <c r="B121" s="179" t="s">
        <v>2947</v>
      </c>
      <c r="C121" s="180" t="s">
        <v>3123</v>
      </c>
      <c r="D121" s="181" t="s">
        <v>2849</v>
      </c>
      <c r="E121" s="181" t="s">
        <v>2830</v>
      </c>
      <c r="F121" s="182" t="s">
        <v>2972</v>
      </c>
      <c r="G121" s="181" t="s">
        <v>17</v>
      </c>
      <c r="H121" s="193">
        <v>45475</v>
      </c>
      <c r="I121" s="184"/>
      <c r="J121" s="179" t="s">
        <v>3556</v>
      </c>
      <c r="K121" s="179">
        <v>48</v>
      </c>
      <c r="L121" s="179" t="s">
        <v>2965</v>
      </c>
      <c r="M121" s="185"/>
      <c r="N121" s="185"/>
      <c r="O121" s="179" t="s">
        <v>2951</v>
      </c>
      <c r="P121" s="185" t="s">
        <v>2951</v>
      </c>
      <c r="Q121" s="182" t="s">
        <v>2933</v>
      </c>
      <c r="R121" s="182" t="s">
        <v>2934</v>
      </c>
      <c r="S121" s="182" t="s">
        <v>2952</v>
      </c>
      <c r="T121" s="179" t="s">
        <v>2953</v>
      </c>
      <c r="U121" s="179" t="s">
        <v>2954</v>
      </c>
      <c r="V121" s="179">
        <v>1672</v>
      </c>
      <c r="W121" s="179" t="s">
        <v>3003</v>
      </c>
      <c r="X121" s="188">
        <v>399.00899999999996</v>
      </c>
      <c r="Y121" s="188">
        <v>215.81299999999999</v>
      </c>
      <c r="Z121" s="188">
        <v>165.76559999999998</v>
      </c>
      <c r="AA121" s="188">
        <v>135.19999999999999</v>
      </c>
      <c r="AB121" s="188">
        <v>22.355999999999998</v>
      </c>
      <c r="AC121" s="188">
        <v>32.603400000000001</v>
      </c>
      <c r="AD121" s="179" t="s">
        <v>2984</v>
      </c>
      <c r="AE121" s="188" t="s">
        <v>2940</v>
      </c>
      <c r="AF121" s="189">
        <v>0</v>
      </c>
      <c r="AG121" s="189">
        <v>0.99930555555555556</v>
      </c>
      <c r="AH121" s="190" t="s">
        <v>2976</v>
      </c>
      <c r="AI121" s="190" t="s">
        <v>2985</v>
      </c>
      <c r="AJ121" s="179" t="s">
        <v>829</v>
      </c>
      <c r="AK121" s="179" t="s">
        <v>3387</v>
      </c>
      <c r="AL121" s="179" t="s">
        <v>4</v>
      </c>
      <c r="AM121" s="179" t="s">
        <v>3557</v>
      </c>
      <c r="AN121" s="179" t="s">
        <v>2102</v>
      </c>
      <c r="AO121" s="179" t="s">
        <v>2429</v>
      </c>
      <c r="AP121" s="191">
        <v>81139001945</v>
      </c>
      <c r="AQ121" s="184">
        <v>40582</v>
      </c>
      <c r="AR121" s="179">
        <v>186</v>
      </c>
      <c r="AS121" s="179"/>
      <c r="AT121" s="181" t="s">
        <v>3558</v>
      </c>
      <c r="AU121" s="181" t="s">
        <v>3559</v>
      </c>
      <c r="AV121" s="192">
        <v>37792270</v>
      </c>
      <c r="AW121" s="181">
        <v>23.6</v>
      </c>
      <c r="AX121" s="179">
        <v>80236</v>
      </c>
      <c r="AY121" s="179"/>
    </row>
    <row r="122" spans="1:51" ht="14.4" x14ac:dyDescent="0.3">
      <c r="A122" s="179" t="s">
        <v>1559</v>
      </c>
      <c r="B122" s="179" t="s">
        <v>2947</v>
      </c>
      <c r="C122" s="180" t="s">
        <v>3560</v>
      </c>
      <c r="D122" s="181" t="s">
        <v>2863</v>
      </c>
      <c r="E122" s="181" t="s">
        <v>2813</v>
      </c>
      <c r="F122" s="182" t="s">
        <v>2929</v>
      </c>
      <c r="G122" s="181" t="s">
        <v>12</v>
      </c>
      <c r="H122" s="193" t="s">
        <v>2930</v>
      </c>
      <c r="I122" s="184"/>
      <c r="J122" s="179" t="s">
        <v>3561</v>
      </c>
      <c r="K122" s="179">
        <v>650</v>
      </c>
      <c r="L122" s="179" t="s">
        <v>3026</v>
      </c>
      <c r="M122" s="185"/>
      <c r="N122" s="185"/>
      <c r="O122" s="186"/>
      <c r="P122" s="185"/>
      <c r="Q122" s="182" t="s">
        <v>2934</v>
      </c>
      <c r="R122" s="182" t="s">
        <v>2933</v>
      </c>
      <c r="S122" s="182" t="s">
        <v>2952</v>
      </c>
      <c r="T122" s="179" t="s">
        <v>2953</v>
      </c>
      <c r="U122" s="179" t="s">
        <v>2954</v>
      </c>
      <c r="V122" s="179">
        <v>692</v>
      </c>
      <c r="W122" s="179" t="s">
        <v>3562</v>
      </c>
      <c r="X122" s="188">
        <v>97.835400000000007</v>
      </c>
      <c r="Y122" s="188">
        <v>80.885400000000004</v>
      </c>
      <c r="Z122" s="188">
        <v>55.387500000000003</v>
      </c>
      <c r="AA122" s="188">
        <v>16.95</v>
      </c>
      <c r="AB122" s="188">
        <v>2.7135000000000002</v>
      </c>
      <c r="AC122" s="188">
        <v>10.175500000000001</v>
      </c>
      <c r="AD122" s="179" t="s">
        <v>2939</v>
      </c>
      <c r="AE122" s="188" t="s">
        <v>2940</v>
      </c>
      <c r="AF122" s="189">
        <v>0.29166666666666669</v>
      </c>
      <c r="AG122" s="189">
        <v>0.95833333333333337</v>
      </c>
      <c r="AH122" s="190" t="s">
        <v>2941</v>
      </c>
      <c r="AI122" s="190" t="s">
        <v>2942</v>
      </c>
      <c r="AJ122" s="179" t="s">
        <v>125</v>
      </c>
      <c r="AK122" s="179" t="s">
        <v>3293</v>
      </c>
      <c r="AL122" s="179" t="s">
        <v>9</v>
      </c>
      <c r="AM122" s="179" t="s">
        <v>3563</v>
      </c>
      <c r="AN122" s="179" t="s">
        <v>2102</v>
      </c>
      <c r="AO122" s="179" t="s">
        <v>2642</v>
      </c>
      <c r="AP122" s="191">
        <v>81139004562</v>
      </c>
      <c r="AQ122" s="184">
        <v>40585</v>
      </c>
      <c r="AR122" s="179">
        <v>186</v>
      </c>
      <c r="AS122" s="179"/>
      <c r="AT122" s="181"/>
      <c r="AU122" s="181"/>
      <c r="AV122" s="192">
        <v>7061000</v>
      </c>
      <c r="AW122" s="181">
        <v>29.5</v>
      </c>
      <c r="AX122" s="179">
        <v>80361</v>
      </c>
      <c r="AY122" s="179"/>
    </row>
    <row r="123" spans="1:51" ht="14.4" x14ac:dyDescent="0.3">
      <c r="A123" s="179" t="s">
        <v>1034</v>
      </c>
      <c r="B123" s="179" t="s">
        <v>2947</v>
      </c>
      <c r="C123" s="180" t="s">
        <v>3564</v>
      </c>
      <c r="D123" s="181" t="s">
        <v>2838</v>
      </c>
      <c r="E123" s="181" t="s">
        <v>2830</v>
      </c>
      <c r="F123" s="182" t="s">
        <v>2929</v>
      </c>
      <c r="G123" s="181" t="s">
        <v>12</v>
      </c>
      <c r="H123" s="193">
        <v>45087</v>
      </c>
      <c r="I123" s="184"/>
      <c r="J123" s="179" t="s">
        <v>3565</v>
      </c>
      <c r="K123" s="179">
        <v>24</v>
      </c>
      <c r="L123" s="179" t="s">
        <v>2965</v>
      </c>
      <c r="M123" s="185"/>
      <c r="N123" s="185" t="s">
        <v>2951</v>
      </c>
      <c r="O123" s="186"/>
      <c r="P123" s="185"/>
      <c r="Q123" s="182" t="s">
        <v>2934</v>
      </c>
      <c r="R123" s="182" t="s">
        <v>2933</v>
      </c>
      <c r="S123" s="182" t="s">
        <v>2952</v>
      </c>
      <c r="T123" s="179" t="s">
        <v>2953</v>
      </c>
      <c r="U123" s="179" t="s">
        <v>2954</v>
      </c>
      <c r="V123" s="179">
        <v>1132</v>
      </c>
      <c r="W123" s="179" t="s">
        <v>2983</v>
      </c>
      <c r="X123" s="188">
        <v>413.52160000000003</v>
      </c>
      <c r="Y123" s="188">
        <v>318.61</v>
      </c>
      <c r="Z123" s="188">
        <v>156.45650000000001</v>
      </c>
      <c r="AA123" s="188">
        <v>94.272299999999987</v>
      </c>
      <c r="AB123" s="188">
        <v>30.9771</v>
      </c>
      <c r="AC123" s="188">
        <v>92.82</v>
      </c>
      <c r="AD123" s="179" t="s">
        <v>2956</v>
      </c>
      <c r="AE123" s="188" t="s">
        <v>2940</v>
      </c>
      <c r="AF123" s="189">
        <v>0.29166666666666669</v>
      </c>
      <c r="AG123" s="189">
        <v>0.91666666666666663</v>
      </c>
      <c r="AH123" s="190" t="s">
        <v>2941</v>
      </c>
      <c r="AI123" s="190" t="s">
        <v>2942</v>
      </c>
      <c r="AJ123" s="179" t="s">
        <v>968</v>
      </c>
      <c r="AK123" s="179" t="s">
        <v>3034</v>
      </c>
      <c r="AL123" s="179" t="s">
        <v>4</v>
      </c>
      <c r="AM123" s="179" t="s">
        <v>3566</v>
      </c>
      <c r="AN123" s="179" t="s">
        <v>2102</v>
      </c>
      <c r="AO123" s="179" t="s">
        <v>2762</v>
      </c>
      <c r="AP123" s="191">
        <v>81139001398</v>
      </c>
      <c r="AQ123" s="184">
        <v>40603</v>
      </c>
      <c r="AR123" s="179">
        <v>185</v>
      </c>
      <c r="AS123" s="179"/>
      <c r="AT123" s="181" t="s">
        <v>3567</v>
      </c>
      <c r="AU123" s="181" t="s">
        <v>3568</v>
      </c>
      <c r="AV123" s="192">
        <v>18412527</v>
      </c>
      <c r="AW123" s="181">
        <v>26</v>
      </c>
      <c r="AX123" s="179">
        <v>80239</v>
      </c>
      <c r="AY123" s="179"/>
    </row>
    <row r="124" spans="1:51" ht="14.4" x14ac:dyDescent="0.3">
      <c r="A124" s="179" t="s">
        <v>574</v>
      </c>
      <c r="B124" s="179" t="s">
        <v>2947</v>
      </c>
      <c r="C124" s="180" t="s">
        <v>3569</v>
      </c>
      <c r="D124" s="181" t="s">
        <v>2832</v>
      </c>
      <c r="E124" s="181" t="s">
        <v>2813</v>
      </c>
      <c r="F124" s="182" t="s">
        <v>2972</v>
      </c>
      <c r="G124" s="181" t="s">
        <v>17</v>
      </c>
      <c r="H124" s="193">
        <v>45550</v>
      </c>
      <c r="I124" s="184"/>
      <c r="J124" s="179" t="s">
        <v>3570</v>
      </c>
      <c r="K124" s="179">
        <v>600</v>
      </c>
      <c r="L124" s="179" t="s">
        <v>3026</v>
      </c>
      <c r="M124" s="185"/>
      <c r="N124" s="185"/>
      <c r="O124" s="186"/>
      <c r="P124" s="185" t="s">
        <v>2951</v>
      </c>
      <c r="Q124" s="182" t="s">
        <v>2933</v>
      </c>
      <c r="R124" s="182" t="s">
        <v>2934</v>
      </c>
      <c r="S124" s="182" t="s">
        <v>2952</v>
      </c>
      <c r="T124" s="179" t="s">
        <v>2999</v>
      </c>
      <c r="U124" s="179" t="s">
        <v>2954</v>
      </c>
      <c r="V124" s="187">
        <v>1082</v>
      </c>
      <c r="W124" s="179" t="s">
        <v>3314</v>
      </c>
      <c r="X124" s="188">
        <v>297.54599999999999</v>
      </c>
      <c r="Y124" s="188">
        <v>209.31239999999997</v>
      </c>
      <c r="Z124" s="188">
        <v>136.6336</v>
      </c>
      <c r="AA124" s="188">
        <v>81.36</v>
      </c>
      <c r="AB124" s="188">
        <v>21.520900000000001</v>
      </c>
      <c r="AC124" s="188">
        <v>103.5672</v>
      </c>
      <c r="AD124" s="179" t="s">
        <v>2956</v>
      </c>
      <c r="AE124" s="188" t="s">
        <v>3017</v>
      </c>
      <c r="AF124" s="189">
        <v>0</v>
      </c>
      <c r="AG124" s="189">
        <v>0.99930555555555556</v>
      </c>
      <c r="AH124" s="190" t="s">
        <v>2941</v>
      </c>
      <c r="AI124" s="190" t="s">
        <v>2985</v>
      </c>
      <c r="AJ124" s="179" t="s">
        <v>426</v>
      </c>
      <c r="AK124" s="179" t="s">
        <v>3241</v>
      </c>
      <c r="AL124" s="179" t="s">
        <v>9</v>
      </c>
      <c r="AM124" s="179" t="s">
        <v>3571</v>
      </c>
      <c r="AN124" s="179" t="s">
        <v>2102</v>
      </c>
      <c r="AO124" s="179" t="s">
        <v>2462</v>
      </c>
      <c r="AP124" s="191">
        <v>81139001931</v>
      </c>
      <c r="AQ124" s="184">
        <v>40610</v>
      </c>
      <c r="AR124" s="179">
        <v>185</v>
      </c>
      <c r="AS124" s="179"/>
      <c r="AT124" s="181" t="s">
        <v>3572</v>
      </c>
      <c r="AU124" s="181" t="s">
        <v>3573</v>
      </c>
      <c r="AV124" s="192">
        <v>35019000</v>
      </c>
      <c r="AW124" s="181">
        <v>41.3</v>
      </c>
      <c r="AX124" s="179">
        <v>80362</v>
      </c>
      <c r="AY124" s="179"/>
    </row>
    <row r="125" spans="1:51" ht="14.4" x14ac:dyDescent="0.3">
      <c r="A125" s="179" t="s">
        <v>1505</v>
      </c>
      <c r="B125" s="179" t="s">
        <v>2947</v>
      </c>
      <c r="C125" s="180" t="s">
        <v>3574</v>
      </c>
      <c r="D125" s="181" t="s">
        <v>2854</v>
      </c>
      <c r="E125" s="181" t="s">
        <v>2821</v>
      </c>
      <c r="F125" s="182" t="s">
        <v>2929</v>
      </c>
      <c r="G125" s="181" t="s">
        <v>12</v>
      </c>
      <c r="H125" s="193">
        <v>44426</v>
      </c>
      <c r="I125" s="184">
        <v>44426</v>
      </c>
      <c r="J125" s="179" t="s">
        <v>3575</v>
      </c>
      <c r="K125" s="179">
        <v>150</v>
      </c>
      <c r="L125" s="179" t="s">
        <v>2950</v>
      </c>
      <c r="M125" s="185"/>
      <c r="N125" s="185"/>
      <c r="O125" s="186"/>
      <c r="P125" s="185"/>
      <c r="Q125" s="182" t="s">
        <v>2933</v>
      </c>
      <c r="R125" s="182" t="s">
        <v>2934</v>
      </c>
      <c r="S125" s="182" t="s">
        <v>2952</v>
      </c>
      <c r="T125" s="179" t="s">
        <v>2936</v>
      </c>
      <c r="U125" s="179" t="s">
        <v>2954</v>
      </c>
      <c r="V125" s="187">
        <v>949</v>
      </c>
      <c r="W125" s="179" t="s">
        <v>3063</v>
      </c>
      <c r="X125" s="188">
        <v>201.4316</v>
      </c>
      <c r="Y125" s="188">
        <v>123.76139999999999</v>
      </c>
      <c r="Z125" s="188">
        <v>96.03</v>
      </c>
      <c r="AA125" s="188">
        <v>64.627499999999998</v>
      </c>
      <c r="AB125" s="188">
        <v>11.5139</v>
      </c>
      <c r="AC125" s="188">
        <v>68.164299999999997</v>
      </c>
      <c r="AD125" s="179" t="s">
        <v>2956</v>
      </c>
      <c r="AE125" s="188" t="s">
        <v>3017</v>
      </c>
      <c r="AF125" s="189">
        <v>0.29166666666666669</v>
      </c>
      <c r="AG125" s="189">
        <v>0.99930555555555556</v>
      </c>
      <c r="AH125" s="190" t="s">
        <v>2941</v>
      </c>
      <c r="AI125" s="190" t="s">
        <v>2942</v>
      </c>
      <c r="AJ125" s="179" t="s">
        <v>1503</v>
      </c>
      <c r="AK125" s="179" t="s">
        <v>3034</v>
      </c>
      <c r="AL125" s="179" t="s">
        <v>4</v>
      </c>
      <c r="AM125" s="179" t="s">
        <v>3576</v>
      </c>
      <c r="AN125" s="179" t="s">
        <v>2102</v>
      </c>
      <c r="AO125" s="179" t="s">
        <v>2700</v>
      </c>
      <c r="AP125" s="191">
        <v>81139002289</v>
      </c>
      <c r="AQ125" s="184">
        <v>40627</v>
      </c>
      <c r="AR125" s="179">
        <v>185</v>
      </c>
      <c r="AS125" s="194" t="s">
        <v>3577</v>
      </c>
      <c r="AT125" s="195" t="s">
        <v>3578</v>
      </c>
      <c r="AU125" s="195" t="s">
        <v>3579</v>
      </c>
      <c r="AV125" s="192">
        <v>14791972</v>
      </c>
      <c r="AW125" s="181">
        <v>18</v>
      </c>
      <c r="AX125" s="179">
        <v>80116</v>
      </c>
      <c r="AY125" s="179" t="s">
        <v>3580</v>
      </c>
    </row>
    <row r="126" spans="1:51" ht="14.4" x14ac:dyDescent="0.3">
      <c r="A126" s="179" t="s">
        <v>1709</v>
      </c>
      <c r="B126" s="179" t="s">
        <v>2927</v>
      </c>
      <c r="C126" s="180" t="s">
        <v>3581</v>
      </c>
      <c r="D126" s="181" t="s">
        <v>2816</v>
      </c>
      <c r="E126" s="181" t="s">
        <v>2815</v>
      </c>
      <c r="F126" s="182" t="s">
        <v>2929</v>
      </c>
      <c r="G126" s="181" t="s">
        <v>12</v>
      </c>
      <c r="H126" s="193" t="s">
        <v>2930</v>
      </c>
      <c r="I126" s="184"/>
      <c r="J126" s="179" t="s">
        <v>3582</v>
      </c>
      <c r="K126" s="179">
        <v>300</v>
      </c>
      <c r="L126" s="179" t="s">
        <v>2950</v>
      </c>
      <c r="M126" s="185"/>
      <c r="N126" s="185"/>
      <c r="O126" s="186"/>
      <c r="P126" s="185"/>
      <c r="Q126" s="182" t="s">
        <v>2933</v>
      </c>
      <c r="R126" s="182" t="s">
        <v>2934</v>
      </c>
      <c r="S126" s="182" t="s">
        <v>2952</v>
      </c>
      <c r="T126" s="179" t="s">
        <v>2953</v>
      </c>
      <c r="U126" s="179" t="s">
        <v>2937</v>
      </c>
      <c r="V126" s="187">
        <v>889</v>
      </c>
      <c r="W126" s="179" t="s">
        <v>3301</v>
      </c>
      <c r="X126" s="188">
        <v>234.74550000000002</v>
      </c>
      <c r="Y126" s="188">
        <v>132.05279999999999</v>
      </c>
      <c r="Z126" s="188">
        <v>91.791699999999992</v>
      </c>
      <c r="AA126" s="188">
        <v>93.627600000000001</v>
      </c>
      <c r="AB126" s="188">
        <v>3.4919999999999995</v>
      </c>
      <c r="AC126" s="188">
        <v>24.492000000000001</v>
      </c>
      <c r="AD126" s="179" t="s">
        <v>2939</v>
      </c>
      <c r="AE126" s="188" t="s">
        <v>2940</v>
      </c>
      <c r="AF126" s="189">
        <v>0.29166666666666669</v>
      </c>
      <c r="AG126" s="189">
        <v>0.91666666666666663</v>
      </c>
      <c r="AH126" s="190" t="s">
        <v>2941</v>
      </c>
      <c r="AI126" s="190" t="s">
        <v>2985</v>
      </c>
      <c r="AJ126" s="179" t="s">
        <v>1707</v>
      </c>
      <c r="AK126" s="179" t="s">
        <v>2981</v>
      </c>
      <c r="AL126" s="179" t="s">
        <v>28</v>
      </c>
      <c r="AM126" s="179" t="s">
        <v>3583</v>
      </c>
      <c r="AN126" s="179" t="s">
        <v>2102</v>
      </c>
      <c r="AO126" s="179" t="s">
        <v>2359</v>
      </c>
      <c r="AP126" s="191">
        <v>8113806246</v>
      </c>
      <c r="AQ126" s="184">
        <v>40632</v>
      </c>
      <c r="AR126" s="179">
        <v>184</v>
      </c>
      <c r="AS126" s="194">
        <v>42339</v>
      </c>
      <c r="AT126" s="195" t="s">
        <v>3584</v>
      </c>
      <c r="AU126" s="195" t="s">
        <v>3585</v>
      </c>
      <c r="AV126" s="192">
        <v>10284200</v>
      </c>
      <c r="AW126" s="181">
        <v>22.1</v>
      </c>
      <c r="AX126" s="179">
        <v>80582</v>
      </c>
      <c r="AY126" s="179" t="s">
        <v>3586</v>
      </c>
    </row>
    <row r="127" spans="1:51" ht="14.4" x14ac:dyDescent="0.3">
      <c r="A127" s="179" t="s">
        <v>594</v>
      </c>
      <c r="B127" s="179" t="s">
        <v>2947</v>
      </c>
      <c r="C127" s="180" t="s">
        <v>3587</v>
      </c>
      <c r="D127" s="181" t="s">
        <v>2866</v>
      </c>
      <c r="E127" s="181" t="s">
        <v>2827</v>
      </c>
      <c r="F127" s="182" t="s">
        <v>2929</v>
      </c>
      <c r="G127" s="181" t="s">
        <v>12</v>
      </c>
      <c r="H127" s="193">
        <v>45087</v>
      </c>
      <c r="I127" s="184"/>
      <c r="J127" s="179" t="s">
        <v>3163</v>
      </c>
      <c r="K127" s="179">
        <v>300</v>
      </c>
      <c r="L127" s="179" t="s">
        <v>2950</v>
      </c>
      <c r="M127" s="185"/>
      <c r="N127" s="185"/>
      <c r="O127" s="186"/>
      <c r="P127" s="185" t="s">
        <v>2951</v>
      </c>
      <c r="Q127" s="182" t="s">
        <v>2933</v>
      </c>
      <c r="R127" s="182" t="s">
        <v>2934</v>
      </c>
      <c r="S127" s="182" t="s">
        <v>2952</v>
      </c>
      <c r="T127" s="179" t="s">
        <v>2953</v>
      </c>
      <c r="U127" s="179" t="s">
        <v>2954</v>
      </c>
      <c r="V127" s="179">
        <v>733</v>
      </c>
      <c r="W127" s="179" t="s">
        <v>3067</v>
      </c>
      <c r="X127" s="188">
        <v>205.428</v>
      </c>
      <c r="Y127" s="188">
        <v>131.4135</v>
      </c>
      <c r="Z127" s="188">
        <v>104.73440000000001</v>
      </c>
      <c r="AA127" s="188">
        <v>55.142500000000005</v>
      </c>
      <c r="AB127" s="188">
        <v>4.6849999999999996</v>
      </c>
      <c r="AC127" s="188">
        <v>65.793999999999997</v>
      </c>
      <c r="AD127" s="179" t="s">
        <v>2956</v>
      </c>
      <c r="AE127" s="188" t="s">
        <v>2957</v>
      </c>
      <c r="AF127" s="189">
        <v>0</v>
      </c>
      <c r="AG127" s="189">
        <v>0.99930555555555556</v>
      </c>
      <c r="AH127" s="190" t="s">
        <v>2941</v>
      </c>
      <c r="AI127" s="190" t="s">
        <v>2942</v>
      </c>
      <c r="AJ127" s="179" t="s">
        <v>592</v>
      </c>
      <c r="AK127" s="179" t="s">
        <v>48</v>
      </c>
      <c r="AL127" s="179" t="s">
        <v>48</v>
      </c>
      <c r="AM127" s="179" t="s">
        <v>3588</v>
      </c>
      <c r="AN127" s="179" t="s">
        <v>2102</v>
      </c>
      <c r="AO127" s="179" t="s">
        <v>2566</v>
      </c>
      <c r="AP127" s="191">
        <v>81139607363</v>
      </c>
      <c r="AQ127" s="184">
        <v>40633</v>
      </c>
      <c r="AR127" s="179">
        <v>184</v>
      </c>
      <c r="AS127" s="179"/>
      <c r="AT127" s="181" t="s">
        <v>3589</v>
      </c>
      <c r="AU127" s="181" t="s">
        <v>2946</v>
      </c>
      <c r="AV127" s="192">
        <v>18098350</v>
      </c>
      <c r="AW127" s="181">
        <v>58.8</v>
      </c>
      <c r="AX127" s="179">
        <v>81119</v>
      </c>
      <c r="AY127" s="179"/>
    </row>
    <row r="128" spans="1:51" ht="14.4" x14ac:dyDescent="0.3">
      <c r="A128" s="179" t="s">
        <v>1359</v>
      </c>
      <c r="B128" s="179" t="s">
        <v>2947</v>
      </c>
      <c r="C128" s="180" t="s">
        <v>3007</v>
      </c>
      <c r="D128" s="181" t="s">
        <v>2844</v>
      </c>
      <c r="E128" s="181" t="s">
        <v>2834</v>
      </c>
      <c r="F128" s="182" t="s">
        <v>2972</v>
      </c>
      <c r="G128" s="181" t="s">
        <v>17</v>
      </c>
      <c r="H128" s="193">
        <v>45931</v>
      </c>
      <c r="I128" s="193">
        <v>45931</v>
      </c>
      <c r="J128" s="179" t="s">
        <v>3008</v>
      </c>
      <c r="K128" s="179" t="s">
        <v>3008</v>
      </c>
      <c r="L128" s="179" t="s">
        <v>2932</v>
      </c>
      <c r="M128" s="185"/>
      <c r="N128" s="185"/>
      <c r="O128" s="179" t="s">
        <v>2951</v>
      </c>
      <c r="P128" s="185" t="s">
        <v>2951</v>
      </c>
      <c r="Q128" s="182" t="s">
        <v>2933</v>
      </c>
      <c r="R128" s="182" t="s">
        <v>3016</v>
      </c>
      <c r="S128" s="182" t="s">
        <v>2952</v>
      </c>
      <c r="T128" s="179" t="s">
        <v>2953</v>
      </c>
      <c r="U128" s="179" t="s">
        <v>2954</v>
      </c>
      <c r="V128" s="179">
        <v>1072</v>
      </c>
      <c r="W128" s="179" t="s">
        <v>3140</v>
      </c>
      <c r="X128" s="188">
        <v>496.41359999999997</v>
      </c>
      <c r="Y128" s="188">
        <v>346.89519999999999</v>
      </c>
      <c r="Z128" s="188">
        <v>135.85249999999999</v>
      </c>
      <c r="AA128" s="188">
        <v>46.846199999999996</v>
      </c>
      <c r="AB128" s="188">
        <v>16.634999999999998</v>
      </c>
      <c r="AC128" s="188">
        <v>189.98120000000003</v>
      </c>
      <c r="AD128" s="179" t="s">
        <v>2956</v>
      </c>
      <c r="AE128" s="188" t="s">
        <v>2940</v>
      </c>
      <c r="AF128" s="189">
        <v>0</v>
      </c>
      <c r="AG128" s="189">
        <v>0.99930555555555556</v>
      </c>
      <c r="AH128" s="190" t="s">
        <v>2941</v>
      </c>
      <c r="AI128" s="190" t="s">
        <v>2985</v>
      </c>
      <c r="AJ128" s="179" t="s">
        <v>178</v>
      </c>
      <c r="AK128" s="179" t="s">
        <v>28</v>
      </c>
      <c r="AL128" s="179" t="s">
        <v>28</v>
      </c>
      <c r="AM128" s="179" t="s">
        <v>3590</v>
      </c>
      <c r="AN128" s="179" t="s">
        <v>2102</v>
      </c>
      <c r="AO128" s="179" t="s">
        <v>2650</v>
      </c>
      <c r="AP128" s="191">
        <v>81139000807</v>
      </c>
      <c r="AQ128" s="184">
        <v>40675</v>
      </c>
      <c r="AR128" s="179">
        <v>183</v>
      </c>
      <c r="AS128" s="179"/>
      <c r="AT128" s="181" t="s">
        <v>3591</v>
      </c>
      <c r="AU128" s="181" t="s">
        <v>2946</v>
      </c>
      <c r="AV128" s="192">
        <v>17094985</v>
      </c>
      <c r="AW128" s="181">
        <v>26.1</v>
      </c>
      <c r="AX128" s="179">
        <v>80511</v>
      </c>
      <c r="AY128" s="179"/>
    </row>
    <row r="129" spans="1:51" ht="14.4" x14ac:dyDescent="0.3">
      <c r="A129" s="179" t="s">
        <v>602</v>
      </c>
      <c r="B129" s="179" t="s">
        <v>2947</v>
      </c>
      <c r="C129" s="180" t="s">
        <v>3592</v>
      </c>
      <c r="D129" s="181" t="s">
        <v>2844</v>
      </c>
      <c r="E129" s="181" t="s">
        <v>2834</v>
      </c>
      <c r="F129" s="182" t="s">
        <v>2972</v>
      </c>
      <c r="G129" s="181" t="s">
        <v>17</v>
      </c>
      <c r="H129" s="193">
        <v>45867</v>
      </c>
      <c r="I129" s="193">
        <v>45867</v>
      </c>
      <c r="J129" s="179" t="s">
        <v>3593</v>
      </c>
      <c r="K129" s="179">
        <v>150</v>
      </c>
      <c r="L129" s="179" t="s">
        <v>2950</v>
      </c>
      <c r="M129" s="185"/>
      <c r="N129" s="185"/>
      <c r="O129" s="179" t="s">
        <v>2951</v>
      </c>
      <c r="P129" s="185"/>
      <c r="Q129" s="182" t="s">
        <v>2934</v>
      </c>
      <c r="R129" s="182" t="s">
        <v>2933</v>
      </c>
      <c r="S129" s="182" t="s">
        <v>2952</v>
      </c>
      <c r="T129" s="179" t="s">
        <v>2974</v>
      </c>
      <c r="U129" s="179" t="s">
        <v>2954</v>
      </c>
      <c r="V129" s="179">
        <v>1384</v>
      </c>
      <c r="W129" s="179" t="s">
        <v>2992</v>
      </c>
      <c r="X129" s="188">
        <v>304.79999999999995</v>
      </c>
      <c r="Y129" s="188">
        <v>177.60000000000002</v>
      </c>
      <c r="Z129" s="188">
        <v>127.413</v>
      </c>
      <c r="AA129" s="188">
        <v>81.444999999999993</v>
      </c>
      <c r="AB129" s="188">
        <v>7.5240000000000009</v>
      </c>
      <c r="AC129" s="188">
        <v>29.647500000000004</v>
      </c>
      <c r="AD129" s="179" t="s">
        <v>2939</v>
      </c>
      <c r="AE129" s="188" t="s">
        <v>2940</v>
      </c>
      <c r="AF129" s="189">
        <v>0.25</v>
      </c>
      <c r="AG129" s="189">
        <v>0.95833333333333337</v>
      </c>
      <c r="AH129" s="190" t="s">
        <v>2941</v>
      </c>
      <c r="AI129" s="190" t="s">
        <v>2942</v>
      </c>
      <c r="AJ129" s="179" t="s">
        <v>600</v>
      </c>
      <c r="AK129" s="179" t="s">
        <v>58</v>
      </c>
      <c r="AL129" s="179" t="s">
        <v>58</v>
      </c>
      <c r="AM129" s="179" t="s">
        <v>3594</v>
      </c>
      <c r="AN129" s="179" t="s">
        <v>2102</v>
      </c>
      <c r="AO129" s="179" t="s">
        <v>2641</v>
      </c>
      <c r="AP129" s="191">
        <v>81139000801</v>
      </c>
      <c r="AQ129" s="184">
        <v>40675</v>
      </c>
      <c r="AR129" s="179">
        <v>183</v>
      </c>
      <c r="AS129" s="179"/>
      <c r="AT129" s="181" t="s">
        <v>3595</v>
      </c>
      <c r="AU129" s="181" t="s">
        <v>2946</v>
      </c>
      <c r="AV129" s="192">
        <v>24967500</v>
      </c>
      <c r="AW129" s="181">
        <v>41</v>
      </c>
      <c r="AX129" s="179">
        <v>80713</v>
      </c>
      <c r="AY129" s="179"/>
    </row>
    <row r="130" spans="1:51" ht="14.4" x14ac:dyDescent="0.3">
      <c r="A130" s="179" t="s">
        <v>1859</v>
      </c>
      <c r="B130" s="179" t="s">
        <v>2927</v>
      </c>
      <c r="C130" s="180" t="s">
        <v>3596</v>
      </c>
      <c r="D130" s="181" t="s">
        <v>2814</v>
      </c>
      <c r="E130" s="181" t="s">
        <v>2813</v>
      </c>
      <c r="F130" s="182" t="s">
        <v>2929</v>
      </c>
      <c r="G130" s="181" t="s">
        <v>12</v>
      </c>
      <c r="H130" s="193" t="s">
        <v>2930</v>
      </c>
      <c r="I130" s="184"/>
      <c r="J130" s="179" t="s">
        <v>3597</v>
      </c>
      <c r="K130" s="179">
        <v>400</v>
      </c>
      <c r="L130" s="179" t="s">
        <v>2950</v>
      </c>
      <c r="M130" s="185"/>
      <c r="N130" s="185"/>
      <c r="O130" s="186"/>
      <c r="P130" s="185"/>
      <c r="Q130" s="182" t="s">
        <v>2934</v>
      </c>
      <c r="R130" s="182" t="s">
        <v>2933</v>
      </c>
      <c r="S130" s="182" t="s">
        <v>2952</v>
      </c>
      <c r="T130" s="179" t="s">
        <v>2953</v>
      </c>
      <c r="U130" s="179" t="s">
        <v>2937</v>
      </c>
      <c r="V130" s="179">
        <v>1113</v>
      </c>
      <c r="W130" s="179" t="s">
        <v>2992</v>
      </c>
      <c r="X130" s="188">
        <v>288.49540000000002</v>
      </c>
      <c r="Y130" s="188">
        <v>190.5454</v>
      </c>
      <c r="Z130" s="188">
        <v>122.11320000000001</v>
      </c>
      <c r="AA130" s="188">
        <v>89.32</v>
      </c>
      <c r="AB130" s="188">
        <v>20.256</v>
      </c>
      <c r="AC130" s="188">
        <v>33.866399999999999</v>
      </c>
      <c r="AD130" s="179" t="s">
        <v>2984</v>
      </c>
      <c r="AE130" s="188" t="s">
        <v>2940</v>
      </c>
      <c r="AF130" s="189">
        <v>0</v>
      </c>
      <c r="AG130" s="189">
        <v>0.99930555555555556</v>
      </c>
      <c r="AH130" s="190" t="s">
        <v>2941</v>
      </c>
      <c r="AI130" s="190" t="s">
        <v>2985</v>
      </c>
      <c r="AJ130" s="179" t="s">
        <v>210</v>
      </c>
      <c r="AK130" s="179" t="s">
        <v>3241</v>
      </c>
      <c r="AL130" s="179" t="s">
        <v>9</v>
      </c>
      <c r="AM130" s="179" t="s">
        <v>3598</v>
      </c>
      <c r="AN130" s="179" t="s">
        <v>2102</v>
      </c>
      <c r="AO130" s="179" t="s">
        <v>2325</v>
      </c>
      <c r="AP130" s="191">
        <v>8113890484</v>
      </c>
      <c r="AQ130" s="184">
        <v>40690</v>
      </c>
      <c r="AR130" s="179">
        <v>183</v>
      </c>
      <c r="AS130" s="179"/>
      <c r="AT130" s="181" t="s">
        <v>3599</v>
      </c>
      <c r="AU130" s="181" t="s">
        <v>2946</v>
      </c>
      <c r="AV130" s="192">
        <v>12519500</v>
      </c>
      <c r="AW130" s="181">
        <v>44.2</v>
      </c>
      <c r="AX130" s="179">
        <v>80362</v>
      </c>
      <c r="AY130" s="179" t="s">
        <v>3600</v>
      </c>
    </row>
    <row r="131" spans="1:51" ht="14.4" x14ac:dyDescent="0.3">
      <c r="A131" s="179" t="s">
        <v>619</v>
      </c>
      <c r="B131" s="179" t="s">
        <v>2947</v>
      </c>
      <c r="C131" s="180" t="s">
        <v>3601</v>
      </c>
      <c r="D131" s="181" t="s">
        <v>2837</v>
      </c>
      <c r="E131" s="181" t="s">
        <v>2825</v>
      </c>
      <c r="F131" s="182" t="s">
        <v>2929</v>
      </c>
      <c r="G131" s="181" t="s">
        <v>12</v>
      </c>
      <c r="H131" s="193">
        <v>45087</v>
      </c>
      <c r="I131" s="184"/>
      <c r="J131" s="179" t="s">
        <v>3602</v>
      </c>
      <c r="K131" s="179">
        <v>7</v>
      </c>
      <c r="L131" s="179" t="s">
        <v>2965</v>
      </c>
      <c r="M131" s="185"/>
      <c r="N131" s="185"/>
      <c r="O131" s="179" t="s">
        <v>2951</v>
      </c>
      <c r="P131" s="185"/>
      <c r="Q131" s="182" t="s">
        <v>2934</v>
      </c>
      <c r="R131" s="182" t="s">
        <v>2933</v>
      </c>
      <c r="S131" s="182" t="s">
        <v>2952</v>
      </c>
      <c r="T131" s="179" t="s">
        <v>2974</v>
      </c>
      <c r="U131" s="179" t="s">
        <v>2954</v>
      </c>
      <c r="V131" s="187">
        <v>1315</v>
      </c>
      <c r="W131" s="179" t="s">
        <v>3549</v>
      </c>
      <c r="X131" s="188">
        <v>293.79119999999995</v>
      </c>
      <c r="Y131" s="188">
        <v>200.23339999999999</v>
      </c>
      <c r="Z131" s="188">
        <v>126.00320000000001</v>
      </c>
      <c r="AA131" s="188">
        <v>82.838800000000006</v>
      </c>
      <c r="AB131" s="188">
        <v>5.8120000000000003</v>
      </c>
      <c r="AC131" s="188">
        <v>51.434999999999995</v>
      </c>
      <c r="AD131" s="179" t="s">
        <v>2984</v>
      </c>
      <c r="AE131" s="188" t="s">
        <v>2940</v>
      </c>
      <c r="AF131" s="189">
        <v>0</v>
      </c>
      <c r="AG131" s="189">
        <v>0.99930555555555556</v>
      </c>
      <c r="AH131" s="190" t="s">
        <v>2941</v>
      </c>
      <c r="AI131" s="190" t="s">
        <v>2942</v>
      </c>
      <c r="AJ131" s="179" t="s">
        <v>617</v>
      </c>
      <c r="AK131" s="179" t="s">
        <v>3302</v>
      </c>
      <c r="AL131" s="179" t="s">
        <v>9</v>
      </c>
      <c r="AM131" s="179" t="s">
        <v>3603</v>
      </c>
      <c r="AN131" s="179" t="s">
        <v>2102</v>
      </c>
      <c r="AO131" s="179" t="s">
        <v>2779</v>
      </c>
      <c r="AP131" s="191">
        <v>81139001217</v>
      </c>
      <c r="AQ131" s="184">
        <v>40692</v>
      </c>
      <c r="AR131" s="179">
        <v>182</v>
      </c>
      <c r="AS131" s="179"/>
      <c r="AT131" s="181" t="s">
        <v>3604</v>
      </c>
      <c r="AU131" s="181" t="s">
        <v>3605</v>
      </c>
      <c r="AV131" s="192">
        <v>23326500</v>
      </c>
      <c r="AW131" s="181">
        <v>6.5</v>
      </c>
      <c r="AX131" s="179">
        <v>80351</v>
      </c>
      <c r="AY131" s="179"/>
    </row>
    <row r="132" spans="1:51" ht="14.4" x14ac:dyDescent="0.3">
      <c r="A132" s="179" t="s">
        <v>1451</v>
      </c>
      <c r="B132" s="179" t="s">
        <v>2947</v>
      </c>
      <c r="C132" s="180" t="s">
        <v>3596</v>
      </c>
      <c r="D132" s="181" t="s">
        <v>2833</v>
      </c>
      <c r="E132" s="181" t="s">
        <v>2821</v>
      </c>
      <c r="F132" s="182" t="s">
        <v>2929</v>
      </c>
      <c r="G132" s="181" t="s">
        <v>12</v>
      </c>
      <c r="H132" s="193">
        <v>45087</v>
      </c>
      <c r="I132" s="184"/>
      <c r="J132" s="179" t="s">
        <v>3008</v>
      </c>
      <c r="K132" s="179" t="s">
        <v>3008</v>
      </c>
      <c r="L132" s="179" t="s">
        <v>2932</v>
      </c>
      <c r="M132" s="185"/>
      <c r="N132" s="185"/>
      <c r="O132" s="179" t="s">
        <v>2951</v>
      </c>
      <c r="P132" s="185" t="s">
        <v>2951</v>
      </c>
      <c r="Q132" s="182" t="s">
        <v>2933</v>
      </c>
      <c r="R132" s="182" t="s">
        <v>2934</v>
      </c>
      <c r="S132" s="182" t="s">
        <v>2952</v>
      </c>
      <c r="T132" s="179">
        <v>0</v>
      </c>
      <c r="U132" s="179" t="s">
        <v>2954</v>
      </c>
      <c r="V132" s="187">
        <v>1324</v>
      </c>
      <c r="W132" s="179" t="s">
        <v>3075</v>
      </c>
      <c r="X132" s="188">
        <v>241.20670000000001</v>
      </c>
      <c r="Y132" s="188">
        <v>170.76150000000001</v>
      </c>
      <c r="Z132" s="188">
        <v>108.44499999999999</v>
      </c>
      <c r="AA132" s="188">
        <v>60.729199999999999</v>
      </c>
      <c r="AB132" s="188">
        <v>7.3840000000000003</v>
      </c>
      <c r="AC132" s="188">
        <v>38.031600000000005</v>
      </c>
      <c r="AD132" s="179" t="s">
        <v>2984</v>
      </c>
      <c r="AE132" s="188" t="s">
        <v>2940</v>
      </c>
      <c r="AF132" s="189">
        <v>0.29166666666666669</v>
      </c>
      <c r="AG132" s="189">
        <v>0.91666666666666663</v>
      </c>
      <c r="AH132" s="190" t="s">
        <v>2941</v>
      </c>
      <c r="AI132" s="190" t="s">
        <v>2942</v>
      </c>
      <c r="AJ132" s="179" t="s">
        <v>186</v>
      </c>
      <c r="AK132" s="179" t="s">
        <v>36</v>
      </c>
      <c r="AL132" s="179" t="s">
        <v>36</v>
      </c>
      <c r="AM132" s="179" t="s">
        <v>3606</v>
      </c>
      <c r="AN132" s="179" t="s">
        <v>2102</v>
      </c>
      <c r="AO132" s="179" t="s">
        <v>2501</v>
      </c>
      <c r="AP132" s="191">
        <v>81139001063</v>
      </c>
      <c r="AQ132" s="184">
        <v>40692</v>
      </c>
      <c r="AR132" s="179">
        <v>182</v>
      </c>
      <c r="AS132" s="194" t="s">
        <v>3607</v>
      </c>
      <c r="AT132" s="195" t="s">
        <v>3608</v>
      </c>
      <c r="AU132" s="195" t="s">
        <v>2946</v>
      </c>
      <c r="AV132" s="192">
        <v>17968772</v>
      </c>
      <c r="AW132" s="181">
        <v>11.4</v>
      </c>
      <c r="AX132" s="179">
        <v>82111</v>
      </c>
      <c r="AY132" s="179" t="s">
        <v>3609</v>
      </c>
    </row>
    <row r="133" spans="1:51" ht="14.4" x14ac:dyDescent="0.3">
      <c r="A133" s="179" t="s">
        <v>1678</v>
      </c>
      <c r="B133" s="179" t="s">
        <v>2947</v>
      </c>
      <c r="C133" s="180" t="s">
        <v>3610</v>
      </c>
      <c r="D133" s="181" t="s">
        <v>2824</v>
      </c>
      <c r="E133" s="181" t="s">
        <v>2813</v>
      </c>
      <c r="F133" s="182" t="s">
        <v>2929</v>
      </c>
      <c r="G133" s="181" t="s">
        <v>12</v>
      </c>
      <c r="H133" s="193">
        <v>44243</v>
      </c>
      <c r="I133" s="184">
        <v>44243</v>
      </c>
      <c r="J133" s="179" t="s">
        <v>3611</v>
      </c>
      <c r="K133" s="179">
        <v>450</v>
      </c>
      <c r="L133" s="179" t="s">
        <v>3026</v>
      </c>
      <c r="M133" s="185"/>
      <c r="N133" s="185"/>
      <c r="O133" s="186"/>
      <c r="P133" s="185"/>
      <c r="Q133" s="182" t="s">
        <v>2934</v>
      </c>
      <c r="R133" s="182" t="s">
        <v>2933</v>
      </c>
      <c r="S133" s="182" t="s">
        <v>2952</v>
      </c>
      <c r="T133" s="179" t="s">
        <v>2953</v>
      </c>
      <c r="U133" s="179" t="s">
        <v>2954</v>
      </c>
      <c r="V133" s="179">
        <v>1571</v>
      </c>
      <c r="W133" s="179" t="s">
        <v>3342</v>
      </c>
      <c r="X133" s="188">
        <v>213.5419</v>
      </c>
      <c r="Y133" s="188">
        <v>146.51780000000002</v>
      </c>
      <c r="Z133" s="188">
        <v>96.827399999999997</v>
      </c>
      <c r="AA133" s="188">
        <v>62.963299999999997</v>
      </c>
      <c r="AB133" s="188">
        <v>4.2069999999999999</v>
      </c>
      <c r="AC133" s="188">
        <v>29.439999999999998</v>
      </c>
      <c r="AD133" s="179" t="s">
        <v>2939</v>
      </c>
      <c r="AE133" s="188" t="s">
        <v>2940</v>
      </c>
      <c r="AF133" s="189">
        <v>0.29166666666666669</v>
      </c>
      <c r="AG133" s="189">
        <v>0.95833333333333337</v>
      </c>
      <c r="AH133" s="190" t="s">
        <v>2941</v>
      </c>
      <c r="AI133" s="190" t="s">
        <v>2985</v>
      </c>
      <c r="AJ133" s="179" t="s">
        <v>210</v>
      </c>
      <c r="AK133" s="179" t="s">
        <v>3241</v>
      </c>
      <c r="AL133" s="179" t="s">
        <v>9</v>
      </c>
      <c r="AM133" s="179" t="s">
        <v>3612</v>
      </c>
      <c r="AN133" s="179" t="s">
        <v>2102</v>
      </c>
      <c r="AO133" s="179" t="s">
        <v>2434</v>
      </c>
      <c r="AP133" s="191">
        <v>81139002236</v>
      </c>
      <c r="AQ133" s="184">
        <v>40747</v>
      </c>
      <c r="AR133" s="179">
        <v>181</v>
      </c>
      <c r="AS133" s="179"/>
      <c r="AT133" s="181" t="s">
        <v>3613</v>
      </c>
      <c r="AU133" s="181" t="s">
        <v>3614</v>
      </c>
      <c r="AV133" s="192">
        <v>12340273</v>
      </c>
      <c r="AW133" s="181">
        <v>40.799999999999997</v>
      </c>
      <c r="AX133" s="179">
        <v>80362</v>
      </c>
      <c r="AY133" s="179"/>
    </row>
    <row r="134" spans="1:51" ht="14.4" x14ac:dyDescent="0.3">
      <c r="A134" s="179" t="s">
        <v>1639</v>
      </c>
      <c r="B134" s="179" t="s">
        <v>2947</v>
      </c>
      <c r="C134" s="180" t="s">
        <v>3615</v>
      </c>
      <c r="D134" s="181" t="s">
        <v>2848</v>
      </c>
      <c r="E134" s="181" t="s">
        <v>2827</v>
      </c>
      <c r="F134" s="182" t="s">
        <v>2972</v>
      </c>
      <c r="G134" s="181" t="s">
        <v>17</v>
      </c>
      <c r="H134" s="193">
        <v>45725</v>
      </c>
      <c r="I134" s="193">
        <v>45725</v>
      </c>
      <c r="J134" s="179" t="s">
        <v>3616</v>
      </c>
      <c r="K134" s="179">
        <v>54</v>
      </c>
      <c r="L134" s="179" t="s">
        <v>2965</v>
      </c>
      <c r="M134" s="185"/>
      <c r="N134" s="185"/>
      <c r="O134" s="186"/>
      <c r="P134" s="185"/>
      <c r="Q134" s="182" t="s">
        <v>2933</v>
      </c>
      <c r="R134" s="182" t="s">
        <v>2934</v>
      </c>
      <c r="S134" s="182" t="s">
        <v>2952</v>
      </c>
      <c r="T134" s="179" t="s">
        <v>2953</v>
      </c>
      <c r="U134" s="179" t="s">
        <v>2954</v>
      </c>
      <c r="V134" s="187">
        <v>1824</v>
      </c>
      <c r="W134" s="179" t="s">
        <v>2992</v>
      </c>
      <c r="X134" s="188">
        <v>340.53100000000001</v>
      </c>
      <c r="Y134" s="188">
        <v>263.572</v>
      </c>
      <c r="Z134" s="188">
        <v>139.76320000000001</v>
      </c>
      <c r="AA134" s="188">
        <v>70.272000000000006</v>
      </c>
      <c r="AB134" s="188">
        <v>16.103999999999999</v>
      </c>
      <c r="AC134" s="188">
        <v>96.135999999999996</v>
      </c>
      <c r="AD134" s="179" t="s">
        <v>2956</v>
      </c>
      <c r="AE134" s="188" t="s">
        <v>2940</v>
      </c>
      <c r="AF134" s="189">
        <v>0.25</v>
      </c>
      <c r="AG134" s="189">
        <v>0.95833333333333337</v>
      </c>
      <c r="AH134" s="190" t="s">
        <v>2941</v>
      </c>
      <c r="AI134" s="190" t="s">
        <v>2942</v>
      </c>
      <c r="AJ134" s="179" t="s">
        <v>1637</v>
      </c>
      <c r="AK134" s="179" t="s">
        <v>3617</v>
      </c>
      <c r="AL134" s="179" t="s">
        <v>48</v>
      </c>
      <c r="AM134" s="179" t="s">
        <v>3618</v>
      </c>
      <c r="AN134" s="179" t="s">
        <v>2102</v>
      </c>
      <c r="AO134" s="179" t="s">
        <v>2449</v>
      </c>
      <c r="AP134" s="191">
        <v>81139006495</v>
      </c>
      <c r="AQ134" s="184">
        <v>40753</v>
      </c>
      <c r="AR134" s="179">
        <v>180</v>
      </c>
      <c r="AS134" s="179"/>
      <c r="AT134" s="181" t="s">
        <v>3333</v>
      </c>
      <c r="AU134" s="181" t="s">
        <v>2946</v>
      </c>
      <c r="AV134" s="192">
        <v>20393181</v>
      </c>
      <c r="AW134" s="181">
        <v>81</v>
      </c>
      <c r="AX134" s="179">
        <v>81155</v>
      </c>
      <c r="AY134" s="179"/>
    </row>
    <row r="135" spans="1:51" ht="14.4" x14ac:dyDescent="0.3">
      <c r="A135" s="179" t="s">
        <v>1435</v>
      </c>
      <c r="B135" s="179" t="s">
        <v>2927</v>
      </c>
      <c r="C135" s="180" t="s">
        <v>3281</v>
      </c>
      <c r="D135" s="181" t="s">
        <v>2846</v>
      </c>
      <c r="E135" s="181" t="s">
        <v>2821</v>
      </c>
      <c r="F135" s="182" t="s">
        <v>2929</v>
      </c>
      <c r="G135" s="181" t="s">
        <v>12</v>
      </c>
      <c r="H135" s="193" t="s">
        <v>2930</v>
      </c>
      <c r="I135" s="184" t="s">
        <v>2930</v>
      </c>
      <c r="J135" s="179" t="s">
        <v>3008</v>
      </c>
      <c r="K135" s="179" t="s">
        <v>3008</v>
      </c>
      <c r="L135" s="179" t="s">
        <v>2932</v>
      </c>
      <c r="M135" s="185"/>
      <c r="N135" s="185"/>
      <c r="O135" s="186"/>
      <c r="P135" s="185"/>
      <c r="Q135" s="182" t="s">
        <v>2934</v>
      </c>
      <c r="R135" s="182" t="s">
        <v>2933</v>
      </c>
      <c r="S135" s="182" t="s">
        <v>2952</v>
      </c>
      <c r="T135" s="179" t="s">
        <v>2953</v>
      </c>
      <c r="U135" s="179" t="s">
        <v>2937</v>
      </c>
      <c r="V135" s="179">
        <v>2000</v>
      </c>
      <c r="W135" s="179" t="s">
        <v>3003</v>
      </c>
      <c r="X135" s="188">
        <v>232.38600000000002</v>
      </c>
      <c r="Y135" s="188">
        <v>174.74220000000003</v>
      </c>
      <c r="Z135" s="188">
        <v>113.21860000000001</v>
      </c>
      <c r="AA135" s="188">
        <v>50.947199999999995</v>
      </c>
      <c r="AB135" s="188">
        <v>18.6416</v>
      </c>
      <c r="AC135" s="188">
        <v>26.427199999999999</v>
      </c>
      <c r="AD135" s="179" t="s">
        <v>2939</v>
      </c>
      <c r="AE135" s="188" t="s">
        <v>2940</v>
      </c>
      <c r="AF135" s="189">
        <v>0.29166666666666669</v>
      </c>
      <c r="AG135" s="189">
        <v>0.99930555555555556</v>
      </c>
      <c r="AH135" s="190" t="s">
        <v>2941</v>
      </c>
      <c r="AI135" s="190" t="s">
        <v>2942</v>
      </c>
      <c r="AJ135" s="179" t="s">
        <v>147</v>
      </c>
      <c r="AK135" s="179" t="s">
        <v>3281</v>
      </c>
      <c r="AL135" s="179" t="s">
        <v>36</v>
      </c>
      <c r="AM135" s="179" t="s">
        <v>3619</v>
      </c>
      <c r="AN135" s="179" t="s">
        <v>2102</v>
      </c>
      <c r="AO135" s="179" t="s">
        <v>2404</v>
      </c>
      <c r="AP135" s="191">
        <v>81139001516</v>
      </c>
      <c r="AQ135" s="184">
        <v>40759</v>
      </c>
      <c r="AR135" s="179">
        <v>180</v>
      </c>
      <c r="AS135" s="194">
        <v>41426</v>
      </c>
      <c r="AT135" s="195" t="s">
        <v>3620</v>
      </c>
      <c r="AU135" s="181" t="s">
        <v>2946</v>
      </c>
      <c r="AV135" s="192">
        <v>18752000</v>
      </c>
      <c r="AW135" s="181">
        <v>19.5</v>
      </c>
      <c r="AX135" s="179">
        <v>82161</v>
      </c>
      <c r="AY135" s="179" t="s">
        <v>3621</v>
      </c>
    </row>
    <row r="136" spans="1:51" ht="14.4" x14ac:dyDescent="0.3">
      <c r="A136" s="179" t="s">
        <v>1267</v>
      </c>
      <c r="B136" s="179" t="s">
        <v>2947</v>
      </c>
      <c r="C136" s="180" t="s">
        <v>3622</v>
      </c>
      <c r="D136" s="181" t="s">
        <v>2826</v>
      </c>
      <c r="E136" s="181" t="s">
        <v>2825</v>
      </c>
      <c r="F136" s="182" t="s">
        <v>2929</v>
      </c>
      <c r="G136" s="181" t="s">
        <v>12</v>
      </c>
      <c r="H136" s="193">
        <v>45087</v>
      </c>
      <c r="I136" s="184"/>
      <c r="J136" s="179" t="s">
        <v>3008</v>
      </c>
      <c r="K136" s="179" t="s">
        <v>3008</v>
      </c>
      <c r="L136" s="179" t="s">
        <v>2932</v>
      </c>
      <c r="M136" s="185"/>
      <c r="N136" s="185"/>
      <c r="O136" s="186"/>
      <c r="P136" s="185"/>
      <c r="Q136" s="182" t="s">
        <v>2934</v>
      </c>
      <c r="R136" s="182" t="s">
        <v>2933</v>
      </c>
      <c r="S136" s="182" t="s">
        <v>2952</v>
      </c>
      <c r="T136" s="179" t="s">
        <v>2953</v>
      </c>
      <c r="U136" s="179" t="s">
        <v>2954</v>
      </c>
      <c r="V136" s="179">
        <v>1878</v>
      </c>
      <c r="W136" s="179" t="s">
        <v>3067</v>
      </c>
      <c r="X136" s="188">
        <v>196.2</v>
      </c>
      <c r="Y136" s="188">
        <v>150.41999999999999</v>
      </c>
      <c r="Z136" s="188">
        <v>103.12950000000001</v>
      </c>
      <c r="AA136" s="188">
        <v>39.06</v>
      </c>
      <c r="AB136" s="188">
        <v>7.7200000000000006</v>
      </c>
      <c r="AC136" s="188">
        <v>30.09</v>
      </c>
      <c r="AD136" s="179" t="s">
        <v>2984</v>
      </c>
      <c r="AE136" s="188" t="s">
        <v>2940</v>
      </c>
      <c r="AF136" s="189">
        <v>0.25</v>
      </c>
      <c r="AG136" s="189">
        <v>0.95833333333333337</v>
      </c>
      <c r="AH136" s="190" t="s">
        <v>2941</v>
      </c>
      <c r="AI136" s="190" t="s">
        <v>2942</v>
      </c>
      <c r="AJ136" s="179" t="s">
        <v>673</v>
      </c>
      <c r="AK136" s="179" t="s">
        <v>3302</v>
      </c>
      <c r="AL136" s="179" t="s">
        <v>9</v>
      </c>
      <c r="AM136" s="179" t="s">
        <v>3623</v>
      </c>
      <c r="AN136" s="179" t="s">
        <v>2102</v>
      </c>
      <c r="AO136" s="179" t="s">
        <v>2443</v>
      </c>
      <c r="AP136" s="191">
        <v>81139009389</v>
      </c>
      <c r="AQ136" s="184">
        <v>40761</v>
      </c>
      <c r="AR136" s="179">
        <v>180</v>
      </c>
      <c r="AS136" s="179"/>
      <c r="AT136" s="181" t="s">
        <v>3624</v>
      </c>
      <c r="AU136" s="181" t="s">
        <v>3625</v>
      </c>
      <c r="AV136" s="192">
        <v>19915607</v>
      </c>
      <c r="AW136" s="181">
        <v>22.9</v>
      </c>
      <c r="AX136" s="179">
        <v>80351</v>
      </c>
      <c r="AY136" s="179"/>
    </row>
    <row r="137" spans="1:51" ht="14.4" x14ac:dyDescent="0.3">
      <c r="A137" s="179" t="s">
        <v>908</v>
      </c>
      <c r="B137" s="179" t="s">
        <v>2927</v>
      </c>
      <c r="C137" s="180" t="s">
        <v>3626</v>
      </c>
      <c r="D137" s="181" t="s">
        <v>2816</v>
      </c>
      <c r="E137" s="181" t="s">
        <v>2815</v>
      </c>
      <c r="F137" s="182" t="s">
        <v>2929</v>
      </c>
      <c r="G137" s="181" t="s">
        <v>12</v>
      </c>
      <c r="H137" s="193" t="s">
        <v>2930</v>
      </c>
      <c r="I137" s="184" t="s">
        <v>2930</v>
      </c>
      <c r="J137" s="179" t="s">
        <v>3627</v>
      </c>
      <c r="K137" s="179">
        <v>50</v>
      </c>
      <c r="L137" s="179" t="s">
        <v>2965</v>
      </c>
      <c r="M137" s="185"/>
      <c r="N137" s="185"/>
      <c r="O137" s="186"/>
      <c r="P137" s="185"/>
      <c r="Q137" s="182" t="s">
        <v>2934</v>
      </c>
      <c r="R137" s="182" t="s">
        <v>2933</v>
      </c>
      <c r="S137" s="182" t="s">
        <v>2952</v>
      </c>
      <c r="T137" s="179" t="s">
        <v>2953</v>
      </c>
      <c r="U137" s="179" t="s">
        <v>2937</v>
      </c>
      <c r="V137" s="179">
        <v>670</v>
      </c>
      <c r="W137" s="179" t="s">
        <v>3342</v>
      </c>
      <c r="X137" s="188">
        <v>212.39399999999998</v>
      </c>
      <c r="Y137" s="188">
        <v>150.51399999999998</v>
      </c>
      <c r="Z137" s="188">
        <v>96.36</v>
      </c>
      <c r="AA137" s="188">
        <v>49.403999999999989</v>
      </c>
      <c r="AB137" s="188">
        <v>20.064</v>
      </c>
      <c r="AC137" s="188">
        <v>24.785200000000003</v>
      </c>
      <c r="AD137" s="179" t="s">
        <v>2939</v>
      </c>
      <c r="AE137" s="188" t="s">
        <v>2940</v>
      </c>
      <c r="AF137" s="189">
        <v>0.29166666666666669</v>
      </c>
      <c r="AG137" s="189">
        <v>0.91666666666666663</v>
      </c>
      <c r="AH137" s="190" t="s">
        <v>2941</v>
      </c>
      <c r="AI137" s="190" t="s">
        <v>2985</v>
      </c>
      <c r="AJ137" s="179" t="s">
        <v>207</v>
      </c>
      <c r="AK137" s="179" t="s">
        <v>3110</v>
      </c>
      <c r="AL137" s="179" t="s">
        <v>28</v>
      </c>
      <c r="AM137" s="179" t="s">
        <v>3628</v>
      </c>
      <c r="AN137" s="179" t="s">
        <v>2102</v>
      </c>
      <c r="AO137" s="179" t="s">
        <v>2735</v>
      </c>
      <c r="AP137" s="191">
        <v>81139007330</v>
      </c>
      <c r="AQ137" s="184">
        <v>40779</v>
      </c>
      <c r="AR137" s="179">
        <v>180</v>
      </c>
      <c r="AS137" s="194"/>
      <c r="AT137" s="195" t="s">
        <v>3629</v>
      </c>
      <c r="AU137" s="195" t="s">
        <v>2946</v>
      </c>
      <c r="AV137" s="192">
        <v>10008000</v>
      </c>
      <c r="AW137" s="181">
        <v>21.6</v>
      </c>
      <c r="AX137" s="179">
        <v>80581</v>
      </c>
      <c r="AY137" s="179"/>
    </row>
    <row r="138" spans="1:51" ht="14.4" x14ac:dyDescent="0.3">
      <c r="A138" s="179" t="s">
        <v>1781</v>
      </c>
      <c r="B138" s="179" t="s">
        <v>2947</v>
      </c>
      <c r="C138" s="180" t="s">
        <v>3630</v>
      </c>
      <c r="D138" s="181" t="s">
        <v>2829</v>
      </c>
      <c r="E138" s="181" t="s">
        <v>2815</v>
      </c>
      <c r="F138" s="182" t="s">
        <v>2929</v>
      </c>
      <c r="G138" s="181" t="s">
        <v>12</v>
      </c>
      <c r="H138" s="193" t="s">
        <v>2930</v>
      </c>
      <c r="I138" s="184" t="s">
        <v>2930</v>
      </c>
      <c r="J138" s="179" t="s">
        <v>3631</v>
      </c>
      <c r="K138" s="179">
        <v>1300</v>
      </c>
      <c r="L138" s="179" t="s">
        <v>2932</v>
      </c>
      <c r="M138" s="185"/>
      <c r="N138" s="185"/>
      <c r="O138" s="186"/>
      <c r="P138" s="185"/>
      <c r="Q138" s="182" t="s">
        <v>2934</v>
      </c>
      <c r="R138" s="182" t="s">
        <v>2933</v>
      </c>
      <c r="S138" s="182" t="s">
        <v>2952</v>
      </c>
      <c r="T138" s="179" t="s">
        <v>2953</v>
      </c>
      <c r="U138" s="179" t="s">
        <v>2954</v>
      </c>
      <c r="V138" s="179">
        <v>2062</v>
      </c>
      <c r="W138" s="179" t="s">
        <v>3140</v>
      </c>
      <c r="X138" s="188">
        <v>287.61559999999997</v>
      </c>
      <c r="Y138" s="188">
        <v>211.51859999999999</v>
      </c>
      <c r="Z138" s="188">
        <v>116.6618</v>
      </c>
      <c r="AA138" s="188">
        <v>56.52</v>
      </c>
      <c r="AB138" s="188">
        <v>19.689299999999999</v>
      </c>
      <c r="AC138" s="188">
        <v>67.773499999999999</v>
      </c>
      <c r="AD138" s="179" t="s">
        <v>2956</v>
      </c>
      <c r="AE138" s="188" t="s">
        <v>2940</v>
      </c>
      <c r="AF138" s="189">
        <v>0.29166666666666669</v>
      </c>
      <c r="AG138" s="189">
        <v>0.95833333333333337</v>
      </c>
      <c r="AH138" s="190" t="s">
        <v>2941</v>
      </c>
      <c r="AI138" s="190" t="s">
        <v>2985</v>
      </c>
      <c r="AJ138" s="179" t="s">
        <v>207</v>
      </c>
      <c r="AK138" s="179" t="s">
        <v>3110</v>
      </c>
      <c r="AL138" s="179" t="s">
        <v>28</v>
      </c>
      <c r="AM138" s="179" t="s">
        <v>3632</v>
      </c>
      <c r="AN138" s="179" t="s">
        <v>2102</v>
      </c>
      <c r="AO138" s="179" t="s">
        <v>2645</v>
      </c>
      <c r="AP138" s="191">
        <v>81139003854</v>
      </c>
      <c r="AQ138" s="184">
        <v>40781</v>
      </c>
      <c r="AR138" s="179">
        <v>180</v>
      </c>
      <c r="AS138" s="194" t="s">
        <v>3633</v>
      </c>
      <c r="AT138" s="195" t="s">
        <v>3634</v>
      </c>
      <c r="AU138" s="195" t="s">
        <v>3635</v>
      </c>
      <c r="AV138" s="192">
        <v>16007195</v>
      </c>
      <c r="AW138" s="181">
        <v>21.7</v>
      </c>
      <c r="AX138" s="179">
        <v>80581</v>
      </c>
      <c r="AY138" s="179" t="s">
        <v>3636</v>
      </c>
    </row>
    <row r="139" spans="1:51" ht="14.4" x14ac:dyDescent="0.3">
      <c r="A139" s="179" t="s">
        <v>1711</v>
      </c>
      <c r="B139" s="179" t="s">
        <v>2927</v>
      </c>
      <c r="C139" s="180" t="s">
        <v>3637</v>
      </c>
      <c r="D139" s="181" t="s">
        <v>2863</v>
      </c>
      <c r="E139" s="181" t="s">
        <v>2813</v>
      </c>
      <c r="F139" s="182" t="s">
        <v>2929</v>
      </c>
      <c r="G139" s="181" t="s">
        <v>12</v>
      </c>
      <c r="H139" s="193">
        <v>44176</v>
      </c>
      <c r="I139" s="184">
        <v>44176</v>
      </c>
      <c r="J139" s="179" t="s">
        <v>3638</v>
      </c>
      <c r="K139" s="179">
        <v>140</v>
      </c>
      <c r="L139" s="179" t="s">
        <v>2950</v>
      </c>
      <c r="M139" s="185"/>
      <c r="N139" s="185"/>
      <c r="O139" s="186"/>
      <c r="P139" s="185"/>
      <c r="Q139" s="182" t="s">
        <v>2934</v>
      </c>
      <c r="R139" s="182" t="s">
        <v>2933</v>
      </c>
      <c r="S139" s="182" t="s">
        <v>2952</v>
      </c>
      <c r="T139" s="179">
        <v>0</v>
      </c>
      <c r="U139" s="179" t="s">
        <v>2937</v>
      </c>
      <c r="V139" s="179">
        <v>949</v>
      </c>
      <c r="W139" s="179" t="s">
        <v>3140</v>
      </c>
      <c r="X139" s="188">
        <v>301.98</v>
      </c>
      <c r="Y139" s="188">
        <v>210.28</v>
      </c>
      <c r="Z139" s="188">
        <v>124.94399999999999</v>
      </c>
      <c r="AA139" s="188">
        <v>84.254999999999995</v>
      </c>
      <c r="AB139" s="188">
        <v>16.2</v>
      </c>
      <c r="AC139" s="188">
        <v>59.869</v>
      </c>
      <c r="AD139" s="179" t="s">
        <v>2984</v>
      </c>
      <c r="AE139" s="188" t="s">
        <v>2940</v>
      </c>
      <c r="AF139" s="189">
        <v>0.29166666666666669</v>
      </c>
      <c r="AG139" s="189">
        <v>0.99930555555555556</v>
      </c>
      <c r="AH139" s="190" t="s">
        <v>2941</v>
      </c>
      <c r="AI139" s="190" t="s">
        <v>2942</v>
      </c>
      <c r="AJ139" s="179" t="s">
        <v>131</v>
      </c>
      <c r="AK139" s="179" t="s">
        <v>3293</v>
      </c>
      <c r="AL139" s="179" t="s">
        <v>9</v>
      </c>
      <c r="AM139" s="179" t="s">
        <v>3639</v>
      </c>
      <c r="AN139" s="179" t="s">
        <v>2102</v>
      </c>
      <c r="AO139" s="179" t="s">
        <v>2339</v>
      </c>
      <c r="AP139" s="191"/>
      <c r="AQ139" s="184">
        <v>40815</v>
      </c>
      <c r="AR139" s="179">
        <v>178</v>
      </c>
      <c r="AS139" s="194" t="s">
        <v>3640</v>
      </c>
      <c r="AT139" s="195" t="s">
        <v>3641</v>
      </c>
      <c r="AU139" s="195" t="s">
        <v>2946</v>
      </c>
      <c r="AV139" s="192">
        <v>16758626</v>
      </c>
      <c r="AW139" s="181">
        <v>31.1</v>
      </c>
      <c r="AX139" s="179">
        <v>80361</v>
      </c>
      <c r="AY139" s="179" t="s">
        <v>3642</v>
      </c>
    </row>
    <row r="140" spans="1:51" ht="14.4" x14ac:dyDescent="0.3">
      <c r="A140" s="179" t="s">
        <v>1379</v>
      </c>
      <c r="B140" s="179" t="s">
        <v>2947</v>
      </c>
      <c r="C140" s="180" t="s">
        <v>3643</v>
      </c>
      <c r="D140" s="181" t="s">
        <v>2876</v>
      </c>
      <c r="E140" s="181" t="s">
        <v>2867</v>
      </c>
      <c r="F140" s="182" t="s">
        <v>2972</v>
      </c>
      <c r="G140" s="181" t="s">
        <v>17</v>
      </c>
      <c r="H140" s="193">
        <v>45867</v>
      </c>
      <c r="I140" s="184">
        <v>45867</v>
      </c>
      <c r="J140" s="179" t="s">
        <v>3644</v>
      </c>
      <c r="K140" s="179">
        <v>600</v>
      </c>
      <c r="L140" s="179" t="s">
        <v>3026</v>
      </c>
      <c r="M140" s="185"/>
      <c r="N140" s="185"/>
      <c r="O140" s="179" t="s">
        <v>2951</v>
      </c>
      <c r="P140" s="185"/>
      <c r="Q140" s="182" t="s">
        <v>2934</v>
      </c>
      <c r="R140" s="182" t="s">
        <v>2933</v>
      </c>
      <c r="S140" s="182" t="s">
        <v>2952</v>
      </c>
      <c r="T140" s="179" t="s">
        <v>2953</v>
      </c>
      <c r="U140" s="179" t="s">
        <v>2954</v>
      </c>
      <c r="V140" s="179">
        <v>1596</v>
      </c>
      <c r="W140" s="179" t="s">
        <v>3140</v>
      </c>
      <c r="X140" s="188">
        <v>354.73220000000003</v>
      </c>
      <c r="Y140" s="188">
        <v>249.82350000000002</v>
      </c>
      <c r="Z140" s="188">
        <v>142.88890000000001</v>
      </c>
      <c r="AA140" s="188">
        <v>95.484200000000001</v>
      </c>
      <c r="AB140" s="188">
        <v>31.209500000000002</v>
      </c>
      <c r="AC140" s="188">
        <v>58.773000000000003</v>
      </c>
      <c r="AD140" s="179" t="s">
        <v>2984</v>
      </c>
      <c r="AE140" s="188" t="s">
        <v>2940</v>
      </c>
      <c r="AF140" s="189">
        <v>0.29166666666666669</v>
      </c>
      <c r="AG140" s="189">
        <v>0.99930555555555556</v>
      </c>
      <c r="AH140" s="190" t="s">
        <v>2941</v>
      </c>
      <c r="AI140" s="190" t="s">
        <v>2985</v>
      </c>
      <c r="AJ140" s="179" t="s">
        <v>705</v>
      </c>
      <c r="AK140" s="179" t="s">
        <v>3241</v>
      </c>
      <c r="AL140" s="179" t="s">
        <v>9</v>
      </c>
      <c r="AM140" s="179" t="s">
        <v>3645</v>
      </c>
      <c r="AN140" s="179" t="s">
        <v>2102</v>
      </c>
      <c r="AO140" s="179" t="s">
        <v>2660</v>
      </c>
      <c r="AP140" s="191">
        <v>81139002284</v>
      </c>
      <c r="AQ140" s="184">
        <v>40816</v>
      </c>
      <c r="AR140" s="179">
        <v>178</v>
      </c>
      <c r="AS140" s="179" t="s">
        <v>3646</v>
      </c>
      <c r="AT140" s="181" t="s">
        <v>3647</v>
      </c>
      <c r="AU140" s="181" t="s">
        <v>2946</v>
      </c>
      <c r="AV140" s="192">
        <v>19317696</v>
      </c>
      <c r="AW140" s="181">
        <v>46.1</v>
      </c>
      <c r="AX140" s="179">
        <v>80362</v>
      </c>
      <c r="AY140" s="179" t="s">
        <v>3648</v>
      </c>
    </row>
    <row r="141" spans="1:51" ht="14.4" x14ac:dyDescent="0.3">
      <c r="A141" s="179" t="s">
        <v>102</v>
      </c>
      <c r="B141" s="179" t="s">
        <v>2927</v>
      </c>
      <c r="C141" s="180" t="s">
        <v>3649</v>
      </c>
      <c r="D141" s="181" t="s">
        <v>2866</v>
      </c>
      <c r="E141" s="181" t="s">
        <v>2827</v>
      </c>
      <c r="F141" s="182" t="s">
        <v>2929</v>
      </c>
      <c r="G141" s="181" t="s">
        <v>12</v>
      </c>
      <c r="H141" s="193">
        <v>0</v>
      </c>
      <c r="I141" s="184"/>
      <c r="J141" s="179" t="s">
        <v>3650</v>
      </c>
      <c r="K141" s="179">
        <v>600</v>
      </c>
      <c r="L141" s="179" t="s">
        <v>3026</v>
      </c>
      <c r="M141" s="185"/>
      <c r="N141" s="185"/>
      <c r="O141" s="186"/>
      <c r="P141" s="185"/>
      <c r="Q141" s="182" t="s">
        <v>2933</v>
      </c>
      <c r="R141" s="182" t="s">
        <v>2934</v>
      </c>
      <c r="S141" s="182" t="s">
        <v>2952</v>
      </c>
      <c r="T141" s="179" t="s">
        <v>2953</v>
      </c>
      <c r="U141" s="179" t="s">
        <v>2937</v>
      </c>
      <c r="V141" s="187">
        <v>1337</v>
      </c>
      <c r="W141" s="179" t="s">
        <v>3651</v>
      </c>
      <c r="X141" s="188">
        <v>229.4</v>
      </c>
      <c r="Y141" s="188">
        <v>159.4</v>
      </c>
      <c r="Z141" s="188">
        <v>106.99099999999999</v>
      </c>
      <c r="AA141" s="188">
        <v>62.564999999999998</v>
      </c>
      <c r="AB141" s="188">
        <v>13.579999999999998</v>
      </c>
      <c r="AC141" s="188">
        <v>25.936899999999998</v>
      </c>
      <c r="AD141" s="179" t="s">
        <v>2939</v>
      </c>
      <c r="AE141" s="188" t="s">
        <v>2940</v>
      </c>
      <c r="AF141" s="189">
        <v>0.29166666666666669</v>
      </c>
      <c r="AG141" s="189">
        <v>0.91666666666666663</v>
      </c>
      <c r="AH141" s="190" t="s">
        <v>2941</v>
      </c>
      <c r="AI141" s="190" t="s">
        <v>2942</v>
      </c>
      <c r="AJ141" s="179" t="s">
        <v>100</v>
      </c>
      <c r="AK141" s="179" t="s">
        <v>48</v>
      </c>
      <c r="AL141" s="179" t="s">
        <v>48</v>
      </c>
      <c r="AM141" s="179" t="s">
        <v>3652</v>
      </c>
      <c r="AN141" s="179" t="s">
        <v>2102</v>
      </c>
      <c r="AO141" s="179" t="s">
        <v>2357</v>
      </c>
      <c r="AP141" s="191">
        <v>8113806140</v>
      </c>
      <c r="AQ141" s="184">
        <v>40816</v>
      </c>
      <c r="AR141" s="179">
        <v>178</v>
      </c>
      <c r="AS141" s="194">
        <v>41671</v>
      </c>
      <c r="AT141" s="195" t="s">
        <v>3653</v>
      </c>
      <c r="AU141" s="195" t="s">
        <v>2946</v>
      </c>
      <c r="AV141" s="192">
        <v>13560000</v>
      </c>
      <c r="AW141" s="181">
        <v>58</v>
      </c>
      <c r="AX141" s="179">
        <v>81119</v>
      </c>
      <c r="AY141" s="179" t="s">
        <v>3654</v>
      </c>
    </row>
    <row r="142" spans="1:51" ht="14.4" x14ac:dyDescent="0.3">
      <c r="A142" s="179" t="s">
        <v>1730</v>
      </c>
      <c r="B142" s="179" t="s">
        <v>2947</v>
      </c>
      <c r="C142" s="180" t="s">
        <v>3655</v>
      </c>
      <c r="D142" s="181" t="s">
        <v>2823</v>
      </c>
      <c r="E142" s="181" t="s">
        <v>2819</v>
      </c>
      <c r="F142" s="182" t="s">
        <v>2929</v>
      </c>
      <c r="G142" s="181" t="s">
        <v>12</v>
      </c>
      <c r="H142" s="193">
        <v>45632</v>
      </c>
      <c r="I142" s="184"/>
      <c r="J142" s="179" t="s">
        <v>3656</v>
      </c>
      <c r="K142" s="179">
        <v>130</v>
      </c>
      <c r="L142" s="179" t="s">
        <v>2950</v>
      </c>
      <c r="M142" s="185"/>
      <c r="N142" s="185"/>
      <c r="O142" s="186"/>
      <c r="P142" s="185"/>
      <c r="Q142" s="182" t="s">
        <v>2933</v>
      </c>
      <c r="R142" s="182" t="s">
        <v>2934</v>
      </c>
      <c r="S142" s="182" t="s">
        <v>2952</v>
      </c>
      <c r="T142" s="179" t="s">
        <v>2953</v>
      </c>
      <c r="U142" s="179" t="s">
        <v>2954</v>
      </c>
      <c r="V142" s="187">
        <v>0</v>
      </c>
      <c r="W142" s="179" t="s">
        <v>3657</v>
      </c>
      <c r="X142" s="188">
        <v>317.51500000000004</v>
      </c>
      <c r="Y142" s="188">
        <v>111.38279999999999</v>
      </c>
      <c r="Z142" s="188">
        <v>86.79689999999998</v>
      </c>
      <c r="AA142" s="188">
        <v>113.29499999999999</v>
      </c>
      <c r="AB142" s="188">
        <v>0</v>
      </c>
      <c r="AC142" s="188">
        <v>149.2861</v>
      </c>
      <c r="AD142" s="179" t="s">
        <v>2956</v>
      </c>
      <c r="AE142" s="188" t="s">
        <v>2957</v>
      </c>
      <c r="AF142" s="189">
        <v>0</v>
      </c>
      <c r="AG142" s="189">
        <v>0.99930555555555556</v>
      </c>
      <c r="AH142" s="190" t="s">
        <v>2941</v>
      </c>
      <c r="AI142" s="190" t="s">
        <v>2942</v>
      </c>
      <c r="AJ142" s="179" t="s">
        <v>316</v>
      </c>
      <c r="AK142" s="179" t="s">
        <v>2977</v>
      </c>
      <c r="AL142" s="179" t="s">
        <v>9</v>
      </c>
      <c r="AM142" s="179" t="s">
        <v>3658</v>
      </c>
      <c r="AN142" s="179" t="s">
        <v>2102</v>
      </c>
      <c r="AO142" s="179" t="s">
        <v>2615</v>
      </c>
      <c r="AP142" s="191">
        <v>81139003421</v>
      </c>
      <c r="AQ142" s="184">
        <v>40841</v>
      </c>
      <c r="AR142" s="179">
        <v>178</v>
      </c>
      <c r="AS142" s="179"/>
      <c r="AT142" s="181" t="s">
        <v>3659</v>
      </c>
      <c r="AU142" s="181" t="s">
        <v>3660</v>
      </c>
      <c r="AV142" s="192">
        <v>22993909</v>
      </c>
      <c r="AW142" s="181">
        <v>20.3</v>
      </c>
      <c r="AX142" s="179">
        <v>80363</v>
      </c>
      <c r="AY142" s="179"/>
    </row>
    <row r="143" spans="1:51" ht="14.4" x14ac:dyDescent="0.3">
      <c r="A143" s="179" t="s">
        <v>541</v>
      </c>
      <c r="B143" s="179" t="s">
        <v>2947</v>
      </c>
      <c r="C143" s="180" t="s">
        <v>3661</v>
      </c>
      <c r="D143" s="181" t="s">
        <v>2876</v>
      </c>
      <c r="E143" s="181" t="s">
        <v>2867</v>
      </c>
      <c r="F143" s="182" t="s">
        <v>3086</v>
      </c>
      <c r="G143" s="181" t="s">
        <v>535</v>
      </c>
      <c r="H143" s="193">
        <v>42721</v>
      </c>
      <c r="I143" s="184">
        <v>44766</v>
      </c>
      <c r="J143" s="179" t="s">
        <v>3662</v>
      </c>
      <c r="K143" s="179">
        <v>31</v>
      </c>
      <c r="L143" s="179" t="s">
        <v>2965</v>
      </c>
      <c r="M143" s="185" t="s">
        <v>3164</v>
      </c>
      <c r="N143" s="185" t="s">
        <v>2951</v>
      </c>
      <c r="O143" s="179" t="s">
        <v>2951</v>
      </c>
      <c r="P143" s="185" t="s">
        <v>2951</v>
      </c>
      <c r="Q143" s="182" t="s">
        <v>2933</v>
      </c>
      <c r="R143" s="182" t="s">
        <v>2934</v>
      </c>
      <c r="S143" s="182" t="s">
        <v>2952</v>
      </c>
      <c r="T143" s="179" t="s">
        <v>2953</v>
      </c>
      <c r="U143" s="179" t="s">
        <v>2954</v>
      </c>
      <c r="V143" s="179">
        <v>0</v>
      </c>
      <c r="W143" s="179" t="s">
        <v>3663</v>
      </c>
      <c r="X143" s="188">
        <v>338.46659999999997</v>
      </c>
      <c r="Y143" s="188">
        <v>228.8398</v>
      </c>
      <c r="Z143" s="188">
        <v>152.83340000000001</v>
      </c>
      <c r="AA143" s="188">
        <v>111.01860000000001</v>
      </c>
      <c r="AB143" s="188">
        <v>28.805700000000002</v>
      </c>
      <c r="AC143" s="188">
        <v>113.6666</v>
      </c>
      <c r="AD143" s="179" t="s">
        <v>2956</v>
      </c>
      <c r="AE143" s="188" t="s">
        <v>3017</v>
      </c>
      <c r="AF143" s="189">
        <v>0</v>
      </c>
      <c r="AG143" s="189">
        <v>0.99930555555555556</v>
      </c>
      <c r="AH143" s="190" t="s">
        <v>2976</v>
      </c>
      <c r="AI143" s="190" t="s">
        <v>2985</v>
      </c>
      <c r="AJ143" s="179" t="s">
        <v>426</v>
      </c>
      <c r="AK143" s="179" t="s">
        <v>3241</v>
      </c>
      <c r="AL143" s="179" t="s">
        <v>9</v>
      </c>
      <c r="AM143" s="179" t="s">
        <v>3664</v>
      </c>
      <c r="AN143" s="179" t="s">
        <v>2102</v>
      </c>
      <c r="AO143" s="179" t="s">
        <v>2464</v>
      </c>
      <c r="AP143" s="191">
        <v>81139002106</v>
      </c>
      <c r="AQ143" s="184">
        <v>40843</v>
      </c>
      <c r="AR143" s="179">
        <v>178</v>
      </c>
      <c r="AS143" s="179"/>
      <c r="AT143" s="181" t="s">
        <v>3665</v>
      </c>
      <c r="AU143" s="181" t="s">
        <v>2946</v>
      </c>
      <c r="AV143" s="192">
        <v>28553660</v>
      </c>
      <c r="AW143" s="181">
        <v>43</v>
      </c>
      <c r="AX143" s="179">
        <v>80362</v>
      </c>
      <c r="AY143" s="179"/>
    </row>
    <row r="144" spans="1:51" ht="14.4" x14ac:dyDescent="0.3">
      <c r="A144" s="179" t="s">
        <v>1605</v>
      </c>
      <c r="B144" s="179" t="s">
        <v>2947</v>
      </c>
      <c r="C144" s="180" t="s">
        <v>3666</v>
      </c>
      <c r="D144" s="181" t="s">
        <v>2871</v>
      </c>
      <c r="E144" s="181" t="s">
        <v>2813</v>
      </c>
      <c r="F144" s="182" t="s">
        <v>2929</v>
      </c>
      <c r="G144" s="181" t="s">
        <v>12</v>
      </c>
      <c r="H144" s="193" t="s">
        <v>2930</v>
      </c>
      <c r="I144" s="184"/>
      <c r="J144" s="179" t="s">
        <v>3667</v>
      </c>
      <c r="K144" s="179">
        <v>93</v>
      </c>
      <c r="L144" s="179" t="s">
        <v>2965</v>
      </c>
      <c r="M144" s="185"/>
      <c r="N144" s="185"/>
      <c r="O144" s="186"/>
      <c r="P144" s="185" t="s">
        <v>2951</v>
      </c>
      <c r="Q144" s="182" t="s">
        <v>2933</v>
      </c>
      <c r="R144" s="182" t="s">
        <v>2934</v>
      </c>
      <c r="S144" s="182" t="s">
        <v>2952</v>
      </c>
      <c r="T144" s="179" t="s">
        <v>2999</v>
      </c>
      <c r="U144" s="179" t="s">
        <v>2954</v>
      </c>
      <c r="V144" s="187">
        <v>1305</v>
      </c>
      <c r="W144" s="179" t="s">
        <v>3352</v>
      </c>
      <c r="X144" s="188">
        <v>356.16</v>
      </c>
      <c r="Y144" s="188">
        <v>145.91999999999999</v>
      </c>
      <c r="Z144" s="188">
        <v>77.321399999999997</v>
      </c>
      <c r="AA144" s="188">
        <v>38.391600000000004</v>
      </c>
      <c r="AB144" s="188">
        <v>4.4850000000000003</v>
      </c>
      <c r="AC144" s="188">
        <v>22.052</v>
      </c>
      <c r="AD144" s="179" t="s">
        <v>2939</v>
      </c>
      <c r="AE144" s="188" t="s">
        <v>2957</v>
      </c>
      <c r="AF144" s="189">
        <v>0.29166666666666669</v>
      </c>
      <c r="AG144" s="189">
        <v>0.99930555555555556</v>
      </c>
      <c r="AH144" s="190" t="s">
        <v>2941</v>
      </c>
      <c r="AI144" s="190" t="s">
        <v>2942</v>
      </c>
      <c r="AJ144" s="179" t="s">
        <v>131</v>
      </c>
      <c r="AK144" s="179" t="s">
        <v>3293</v>
      </c>
      <c r="AL144" s="179" t="s">
        <v>9</v>
      </c>
      <c r="AM144" s="179" t="s">
        <v>3668</v>
      </c>
      <c r="AN144" s="179" t="s">
        <v>2102</v>
      </c>
      <c r="AO144" s="179" t="s">
        <v>2600</v>
      </c>
      <c r="AP144" s="191">
        <v>81139008141</v>
      </c>
      <c r="AQ144" s="184">
        <v>40847</v>
      </c>
      <c r="AR144" s="179">
        <v>177</v>
      </c>
      <c r="AS144" s="179"/>
      <c r="AT144" s="181" t="s">
        <v>3669</v>
      </c>
      <c r="AU144" s="181" t="s">
        <v>3670</v>
      </c>
      <c r="AV144" s="192">
        <v>8880000</v>
      </c>
      <c r="AW144" s="181">
        <v>33.299999999999997</v>
      </c>
      <c r="AX144" s="179">
        <v>80361</v>
      </c>
      <c r="AY144" s="179"/>
    </row>
    <row r="145" spans="1:51" ht="14.4" x14ac:dyDescent="0.3">
      <c r="A145" s="179" t="s">
        <v>790</v>
      </c>
      <c r="B145" s="179" t="s">
        <v>2947</v>
      </c>
      <c r="C145" s="180" t="s">
        <v>3671</v>
      </c>
      <c r="D145" s="181" t="s">
        <v>2860</v>
      </c>
      <c r="E145" s="181" t="s">
        <v>2830</v>
      </c>
      <c r="F145" s="182" t="s">
        <v>2929</v>
      </c>
      <c r="G145" s="181" t="s">
        <v>12</v>
      </c>
      <c r="H145" s="193" t="s">
        <v>2930</v>
      </c>
      <c r="I145" s="184"/>
      <c r="J145" s="179" t="s">
        <v>3672</v>
      </c>
      <c r="K145" s="179">
        <v>220</v>
      </c>
      <c r="L145" s="179" t="s">
        <v>2950</v>
      </c>
      <c r="M145" s="185"/>
      <c r="N145" s="185"/>
      <c r="O145" s="186"/>
      <c r="P145" s="185"/>
      <c r="Q145" s="182" t="s">
        <v>2934</v>
      </c>
      <c r="R145" s="182" t="s">
        <v>2933</v>
      </c>
      <c r="S145" s="182" t="s">
        <v>2935</v>
      </c>
      <c r="T145" s="179" t="s">
        <v>2953</v>
      </c>
      <c r="U145" s="179" t="s">
        <v>2954</v>
      </c>
      <c r="V145" s="179">
        <v>1422</v>
      </c>
      <c r="W145" s="179" t="s">
        <v>3342</v>
      </c>
      <c r="X145" s="188">
        <v>198.76400000000001</v>
      </c>
      <c r="Y145" s="188">
        <v>147.70400000000001</v>
      </c>
      <c r="Z145" s="188">
        <v>88.336499999999987</v>
      </c>
      <c r="AA145" s="188">
        <v>42.839999999999996</v>
      </c>
      <c r="AB145" s="188">
        <v>7.7360000000000007</v>
      </c>
      <c r="AC145" s="188">
        <v>48.578400000000002</v>
      </c>
      <c r="AD145" s="179" t="s">
        <v>2984</v>
      </c>
      <c r="AE145" s="188" t="s">
        <v>2940</v>
      </c>
      <c r="AF145" s="189">
        <v>0.29166666666666669</v>
      </c>
      <c r="AG145" s="189">
        <v>0.95833333333333337</v>
      </c>
      <c r="AH145" s="190" t="s">
        <v>2941</v>
      </c>
      <c r="AI145" s="190" t="s">
        <v>2985</v>
      </c>
      <c r="AJ145" s="179" t="s">
        <v>788</v>
      </c>
      <c r="AK145" s="179" t="s">
        <v>2981</v>
      </c>
      <c r="AL145" s="179" t="s">
        <v>28</v>
      </c>
      <c r="AM145" s="179" t="s">
        <v>3673</v>
      </c>
      <c r="AN145" s="179" t="s">
        <v>2102</v>
      </c>
      <c r="AO145" s="179" t="s">
        <v>2542</v>
      </c>
      <c r="AP145" s="191">
        <v>81139607357</v>
      </c>
      <c r="AQ145" s="184">
        <v>40847</v>
      </c>
      <c r="AR145" s="179">
        <v>177</v>
      </c>
      <c r="AS145" s="179"/>
      <c r="AT145" s="181" t="s">
        <v>3674</v>
      </c>
      <c r="AU145" s="181" t="s">
        <v>3675</v>
      </c>
      <c r="AV145" s="192">
        <v>9315000</v>
      </c>
      <c r="AW145" s="181">
        <v>16</v>
      </c>
      <c r="AX145" s="179">
        <v>80582</v>
      </c>
      <c r="AY145" s="179"/>
    </row>
    <row r="146" spans="1:51" ht="14.4" x14ac:dyDescent="0.3">
      <c r="A146" s="179" t="s">
        <v>1066</v>
      </c>
      <c r="B146" s="179" t="s">
        <v>2947</v>
      </c>
      <c r="C146" s="180" t="s">
        <v>3676</v>
      </c>
      <c r="D146" s="181" t="s">
        <v>2862</v>
      </c>
      <c r="E146" s="181" t="s">
        <v>2819</v>
      </c>
      <c r="F146" s="182" t="s">
        <v>2972</v>
      </c>
      <c r="G146" s="181" t="s">
        <v>17</v>
      </c>
      <c r="H146" s="193">
        <v>45475</v>
      </c>
      <c r="I146" s="184"/>
      <c r="J146" s="179" t="s">
        <v>3677</v>
      </c>
      <c r="K146" s="179">
        <v>140</v>
      </c>
      <c r="L146" s="179" t="s">
        <v>2950</v>
      </c>
      <c r="M146" s="185"/>
      <c r="N146" s="185"/>
      <c r="O146" s="179" t="s">
        <v>2951</v>
      </c>
      <c r="P146" s="185"/>
      <c r="Q146" s="182" t="s">
        <v>2934</v>
      </c>
      <c r="R146" s="182" t="s">
        <v>2933</v>
      </c>
      <c r="S146" s="182" t="s">
        <v>2952</v>
      </c>
      <c r="T146" s="179">
        <v>0</v>
      </c>
      <c r="U146" s="179" t="s">
        <v>2954</v>
      </c>
      <c r="V146" s="179">
        <v>0</v>
      </c>
      <c r="W146" s="179" t="s">
        <v>2983</v>
      </c>
      <c r="X146" s="188">
        <v>347.10059999999999</v>
      </c>
      <c r="Y146" s="188">
        <v>232.05139999999997</v>
      </c>
      <c r="Z146" s="188">
        <v>122.14279999999999</v>
      </c>
      <c r="AA146" s="188">
        <v>75.616000000000014</v>
      </c>
      <c r="AB146" s="188">
        <v>13.523999999999999</v>
      </c>
      <c r="AC146" s="188">
        <v>81.390800000000013</v>
      </c>
      <c r="AD146" s="179" t="s">
        <v>2956</v>
      </c>
      <c r="AE146" s="188" t="s">
        <v>2940</v>
      </c>
      <c r="AF146" s="189">
        <v>0.29166666666666669</v>
      </c>
      <c r="AG146" s="189">
        <v>0.99930555555555556</v>
      </c>
      <c r="AH146" s="190" t="s">
        <v>2941</v>
      </c>
      <c r="AI146" s="190" t="s">
        <v>2942</v>
      </c>
      <c r="AJ146" s="179" t="s">
        <v>909</v>
      </c>
      <c r="AK146" s="179" t="s">
        <v>2977</v>
      </c>
      <c r="AL146" s="179" t="s">
        <v>9</v>
      </c>
      <c r="AM146" s="179" t="s">
        <v>3678</v>
      </c>
      <c r="AN146" s="179" t="s">
        <v>2102</v>
      </c>
      <c r="AO146" s="179" t="s">
        <v>2737</v>
      </c>
      <c r="AP146" s="191">
        <v>81139001389</v>
      </c>
      <c r="AQ146" s="184">
        <v>40847</v>
      </c>
      <c r="AR146" s="179">
        <v>177</v>
      </c>
      <c r="AS146" s="194" t="s">
        <v>3679</v>
      </c>
      <c r="AT146" s="195" t="s">
        <v>3680</v>
      </c>
      <c r="AU146" s="195" t="s">
        <v>2946</v>
      </c>
      <c r="AV146" s="192">
        <v>19066451</v>
      </c>
      <c r="AW146" s="181">
        <v>22.2</v>
      </c>
      <c r="AX146" s="179">
        <v>80363</v>
      </c>
      <c r="AY146" s="179" t="s">
        <v>3681</v>
      </c>
    </row>
    <row r="147" spans="1:51" ht="14.4" x14ac:dyDescent="0.3">
      <c r="A147" s="179" t="s">
        <v>1158</v>
      </c>
      <c r="B147" s="179" t="s">
        <v>2947</v>
      </c>
      <c r="C147" s="180" t="s">
        <v>3682</v>
      </c>
      <c r="D147" s="181" t="s">
        <v>2855</v>
      </c>
      <c r="E147" s="181" t="s">
        <v>2815</v>
      </c>
      <c r="F147" s="182" t="s">
        <v>2929</v>
      </c>
      <c r="G147" s="181" t="s">
        <v>12</v>
      </c>
      <c r="H147" s="193" t="s">
        <v>2930</v>
      </c>
      <c r="I147" s="184" t="s">
        <v>2930</v>
      </c>
      <c r="J147" s="179" t="s">
        <v>3008</v>
      </c>
      <c r="K147" s="179" t="s">
        <v>3008</v>
      </c>
      <c r="L147" s="179" t="s">
        <v>2932</v>
      </c>
      <c r="M147" s="185"/>
      <c r="N147" s="185"/>
      <c r="O147" s="186"/>
      <c r="P147" s="185"/>
      <c r="Q147" s="182" t="s">
        <v>2934</v>
      </c>
      <c r="R147" s="182" t="s">
        <v>2933</v>
      </c>
      <c r="S147" s="182" t="s">
        <v>2952</v>
      </c>
      <c r="T147" s="179" t="s">
        <v>2953</v>
      </c>
      <c r="U147" s="179" t="s">
        <v>2954</v>
      </c>
      <c r="V147" s="179">
        <v>2049</v>
      </c>
      <c r="W147" s="179" t="s">
        <v>3067</v>
      </c>
      <c r="X147" s="188">
        <v>235.6</v>
      </c>
      <c r="Y147" s="188">
        <v>157.6</v>
      </c>
      <c r="Z147" s="188">
        <v>104.56599999999999</v>
      </c>
      <c r="AA147" s="188">
        <v>70.809999999999988</v>
      </c>
      <c r="AB147" s="188">
        <v>13.702499999999999</v>
      </c>
      <c r="AC147" s="188">
        <v>25.6</v>
      </c>
      <c r="AD147" s="179" t="s">
        <v>2939</v>
      </c>
      <c r="AE147" s="188" t="s">
        <v>2940</v>
      </c>
      <c r="AF147" s="189">
        <v>0.29166666666666669</v>
      </c>
      <c r="AG147" s="189">
        <v>0.99930555555555556</v>
      </c>
      <c r="AH147" s="190" t="s">
        <v>2941</v>
      </c>
      <c r="AI147" s="190" t="s">
        <v>2985</v>
      </c>
      <c r="AJ147" s="179" t="s">
        <v>986</v>
      </c>
      <c r="AK147" s="179" t="s">
        <v>2981</v>
      </c>
      <c r="AL147" s="179" t="s">
        <v>28</v>
      </c>
      <c r="AM147" s="179" t="s">
        <v>3683</v>
      </c>
      <c r="AN147" s="179" t="s">
        <v>2102</v>
      </c>
      <c r="AO147" s="179" t="s">
        <v>2500</v>
      </c>
      <c r="AP147" s="191"/>
      <c r="AQ147" s="184">
        <v>40872</v>
      </c>
      <c r="AR147" s="179">
        <v>177</v>
      </c>
      <c r="AS147" s="194" t="s">
        <v>3684</v>
      </c>
      <c r="AT147" s="195" t="s">
        <v>3685</v>
      </c>
      <c r="AU147" s="195" t="s">
        <v>3686</v>
      </c>
      <c r="AV147" s="192">
        <v>15000000</v>
      </c>
      <c r="AW147" s="181">
        <v>24.3</v>
      </c>
      <c r="AX147" s="179">
        <v>80582</v>
      </c>
      <c r="AY147" s="179" t="s">
        <v>3687</v>
      </c>
    </row>
    <row r="148" spans="1:51" ht="14.4" x14ac:dyDescent="0.3">
      <c r="A148" s="179" t="s">
        <v>530</v>
      </c>
      <c r="B148" s="179" t="s">
        <v>2947</v>
      </c>
      <c r="C148" s="180" t="s">
        <v>3688</v>
      </c>
      <c r="D148" s="181" t="s">
        <v>2853</v>
      </c>
      <c r="E148" s="181" t="s">
        <v>2825</v>
      </c>
      <c r="F148" s="182" t="s">
        <v>2972</v>
      </c>
      <c r="G148" s="181" t="s">
        <v>17</v>
      </c>
      <c r="H148" s="193">
        <v>45899</v>
      </c>
      <c r="I148" s="184"/>
      <c r="J148" s="179" t="s">
        <v>3689</v>
      </c>
      <c r="K148" s="179">
        <v>150</v>
      </c>
      <c r="L148" s="179" t="s">
        <v>2950</v>
      </c>
      <c r="M148" s="185"/>
      <c r="N148" s="185"/>
      <c r="O148" s="179" t="s">
        <v>2951</v>
      </c>
      <c r="P148" s="185"/>
      <c r="Q148" s="182" t="s">
        <v>2933</v>
      </c>
      <c r="R148" s="182" t="s">
        <v>2934</v>
      </c>
      <c r="S148" s="182" t="s">
        <v>2952</v>
      </c>
      <c r="T148" s="179" t="s">
        <v>2953</v>
      </c>
      <c r="U148" s="179" t="s">
        <v>2954</v>
      </c>
      <c r="V148" s="187">
        <v>0</v>
      </c>
      <c r="W148" s="179" t="s">
        <v>3140</v>
      </c>
      <c r="X148" s="188">
        <v>363.1771</v>
      </c>
      <c r="Y148" s="188">
        <v>304.66590000000002</v>
      </c>
      <c r="Z148" s="188">
        <v>184.58509999999998</v>
      </c>
      <c r="AA148" s="188">
        <v>50.851499999999994</v>
      </c>
      <c r="AB148" s="188">
        <v>23.38</v>
      </c>
      <c r="AC148" s="188">
        <v>72.098100000000002</v>
      </c>
      <c r="AD148" s="179" t="s">
        <v>2956</v>
      </c>
      <c r="AE148" s="188" t="s">
        <v>2940</v>
      </c>
      <c r="AF148" s="189">
        <v>0.29166666666666669</v>
      </c>
      <c r="AG148" s="189">
        <v>0.95833333333333337</v>
      </c>
      <c r="AH148" s="190" t="s">
        <v>2941</v>
      </c>
      <c r="AI148" s="190" t="s">
        <v>2942</v>
      </c>
      <c r="AJ148" s="179" t="s">
        <v>528</v>
      </c>
      <c r="AK148" s="179" t="s">
        <v>3302</v>
      </c>
      <c r="AL148" s="179" t="s">
        <v>9</v>
      </c>
      <c r="AM148" s="179" t="s">
        <v>3690</v>
      </c>
      <c r="AN148" s="179" t="s">
        <v>2102</v>
      </c>
      <c r="AO148" s="179" t="s">
        <v>2499</v>
      </c>
      <c r="AP148" s="191">
        <v>81139000837</v>
      </c>
      <c r="AQ148" s="184">
        <v>40872</v>
      </c>
      <c r="AR148" s="179">
        <v>177</v>
      </c>
      <c r="AS148" s="179"/>
      <c r="AT148" s="181" t="s">
        <v>3691</v>
      </c>
      <c r="AU148" s="181" t="s">
        <v>2946</v>
      </c>
      <c r="AV148" s="192">
        <v>20578751</v>
      </c>
      <c r="AW148" s="181">
        <v>6</v>
      </c>
      <c r="AX148" s="179">
        <v>80351</v>
      </c>
      <c r="AY148" s="179"/>
    </row>
    <row r="149" spans="1:51" ht="14.4" x14ac:dyDescent="0.3">
      <c r="A149" s="179" t="s">
        <v>422</v>
      </c>
      <c r="B149" s="179" t="s">
        <v>2947</v>
      </c>
      <c r="C149" s="180" t="s">
        <v>3692</v>
      </c>
      <c r="D149" s="181" t="s">
        <v>2833</v>
      </c>
      <c r="E149" s="181" t="s">
        <v>2821</v>
      </c>
      <c r="F149" s="182" t="s">
        <v>2929</v>
      </c>
      <c r="G149" s="181" t="s">
        <v>12</v>
      </c>
      <c r="H149" s="193" t="s">
        <v>2930</v>
      </c>
      <c r="I149" s="184" t="s">
        <v>2930</v>
      </c>
      <c r="J149" s="179"/>
      <c r="K149" s="179"/>
      <c r="L149" s="179"/>
      <c r="M149" s="185"/>
      <c r="N149" s="185"/>
      <c r="O149" s="186"/>
      <c r="P149" s="185"/>
      <c r="Q149" s="182" t="s">
        <v>2934</v>
      </c>
      <c r="R149" s="182" t="s">
        <v>2933</v>
      </c>
      <c r="S149" s="182" t="s">
        <v>2952</v>
      </c>
      <c r="T149" s="179" t="s">
        <v>2953</v>
      </c>
      <c r="U149" s="179" t="s">
        <v>2954</v>
      </c>
      <c r="V149" s="187">
        <v>0</v>
      </c>
      <c r="W149" s="179" t="s">
        <v>2992</v>
      </c>
      <c r="X149" s="188">
        <v>304.65879999999999</v>
      </c>
      <c r="Y149" s="188">
        <v>225.3468</v>
      </c>
      <c r="Z149" s="188">
        <v>112.17960000000001</v>
      </c>
      <c r="AA149" s="188">
        <v>65.721800000000002</v>
      </c>
      <c r="AB149" s="188">
        <v>13.756000000000002</v>
      </c>
      <c r="AC149" s="188">
        <v>88.536000000000001</v>
      </c>
      <c r="AD149" s="179" t="s">
        <v>2956</v>
      </c>
      <c r="AE149" s="188" t="s">
        <v>2940</v>
      </c>
      <c r="AF149" s="189">
        <v>0.29166666666666669</v>
      </c>
      <c r="AG149" s="189">
        <v>0.95833333333333337</v>
      </c>
      <c r="AH149" s="190" t="s">
        <v>2941</v>
      </c>
      <c r="AI149" s="190" t="s">
        <v>2942</v>
      </c>
      <c r="AJ149" s="179" t="s">
        <v>420</v>
      </c>
      <c r="AK149" s="179" t="s">
        <v>36</v>
      </c>
      <c r="AL149" s="179" t="s">
        <v>36</v>
      </c>
      <c r="AM149" s="179" t="s">
        <v>3693</v>
      </c>
      <c r="AN149" s="179" t="s">
        <v>2102</v>
      </c>
      <c r="AO149" s="179" t="s">
        <v>2620</v>
      </c>
      <c r="AP149" s="191">
        <v>8113806042</v>
      </c>
      <c r="AQ149" s="184">
        <v>40877</v>
      </c>
      <c r="AR149" s="179">
        <v>176</v>
      </c>
      <c r="AS149" s="194">
        <v>44866</v>
      </c>
      <c r="AT149" s="195" t="s">
        <v>3481</v>
      </c>
      <c r="AU149" s="195" t="s">
        <v>3694</v>
      </c>
      <c r="AV149" s="192">
        <v>10005074</v>
      </c>
      <c r="AW149" s="181">
        <v>11.5</v>
      </c>
      <c r="AX149" s="179">
        <v>82113</v>
      </c>
      <c r="AY149" s="179" t="s">
        <v>3695</v>
      </c>
    </row>
    <row r="150" spans="1:51" ht="14.4" x14ac:dyDescent="0.3">
      <c r="A150" s="179" t="s">
        <v>284</v>
      </c>
      <c r="B150" s="179" t="s">
        <v>2947</v>
      </c>
      <c r="C150" s="180" t="s">
        <v>3696</v>
      </c>
      <c r="D150" s="181" t="s">
        <v>2861</v>
      </c>
      <c r="E150" s="181" t="s">
        <v>2840</v>
      </c>
      <c r="F150" s="182" t="s">
        <v>2972</v>
      </c>
      <c r="G150" s="181" t="s">
        <v>17</v>
      </c>
      <c r="H150" s="193">
        <v>45596</v>
      </c>
      <c r="I150" s="184"/>
      <c r="J150" s="179" t="s">
        <v>3697</v>
      </c>
      <c r="K150" s="179">
        <v>42</v>
      </c>
      <c r="L150" s="179" t="s">
        <v>2965</v>
      </c>
      <c r="M150" s="185"/>
      <c r="N150" s="185"/>
      <c r="O150" s="179" t="s">
        <v>2951</v>
      </c>
      <c r="P150" s="185"/>
      <c r="Q150" s="182" t="s">
        <v>2933</v>
      </c>
      <c r="R150" s="182" t="s">
        <v>2934</v>
      </c>
      <c r="S150" s="182" t="s">
        <v>2952</v>
      </c>
      <c r="T150" s="179" t="s">
        <v>2953</v>
      </c>
      <c r="U150" s="179" t="s">
        <v>2954</v>
      </c>
      <c r="V150" s="187">
        <v>1461</v>
      </c>
      <c r="W150" s="179" t="s">
        <v>3067</v>
      </c>
      <c r="X150" s="188">
        <v>335.92</v>
      </c>
      <c r="Y150" s="188">
        <v>193.18</v>
      </c>
      <c r="Z150" s="188">
        <v>147.44699999999997</v>
      </c>
      <c r="AA150" s="188">
        <v>119.9496</v>
      </c>
      <c r="AB150" s="188">
        <v>25.907999999999998</v>
      </c>
      <c r="AC150" s="188">
        <v>104.648</v>
      </c>
      <c r="AD150" s="179" t="s">
        <v>2956</v>
      </c>
      <c r="AE150" s="188" t="s">
        <v>2957</v>
      </c>
      <c r="AF150" s="189">
        <v>0</v>
      </c>
      <c r="AG150" s="189">
        <v>0.99930555555555556</v>
      </c>
      <c r="AH150" s="190" t="s">
        <v>2941</v>
      </c>
      <c r="AI150" s="190" t="s">
        <v>2985</v>
      </c>
      <c r="AJ150" s="179" t="s">
        <v>282</v>
      </c>
      <c r="AK150" s="179" t="s">
        <v>28</v>
      </c>
      <c r="AL150" s="179" t="s">
        <v>28</v>
      </c>
      <c r="AM150" s="179" t="s">
        <v>3698</v>
      </c>
      <c r="AN150" s="179" t="s">
        <v>2102</v>
      </c>
      <c r="AO150" s="179" t="s">
        <v>2712</v>
      </c>
      <c r="AP150" s="191">
        <v>8113806126</v>
      </c>
      <c r="AQ150" s="184">
        <v>40907</v>
      </c>
      <c r="AR150" s="179">
        <v>175</v>
      </c>
      <c r="AS150" s="179"/>
      <c r="AT150" s="181" t="s">
        <v>3699</v>
      </c>
      <c r="AU150" s="195" t="s">
        <v>2946</v>
      </c>
      <c r="AV150" s="192">
        <v>8784000</v>
      </c>
      <c r="AW150" s="181">
        <v>35.1</v>
      </c>
      <c r="AX150" s="179">
        <v>80515</v>
      </c>
      <c r="AY150" s="179"/>
    </row>
    <row r="151" spans="1:51" ht="14.4" x14ac:dyDescent="0.3">
      <c r="A151" s="179" t="s">
        <v>182</v>
      </c>
      <c r="B151" s="179" t="s">
        <v>2927</v>
      </c>
      <c r="C151" s="180" t="s">
        <v>3700</v>
      </c>
      <c r="D151" s="181" t="s">
        <v>2844</v>
      </c>
      <c r="E151" s="181" t="s">
        <v>2834</v>
      </c>
      <c r="F151" s="182" t="s">
        <v>2929</v>
      </c>
      <c r="G151" s="181" t="s">
        <v>12</v>
      </c>
      <c r="H151" s="193" t="s">
        <v>2930</v>
      </c>
      <c r="I151" s="184" t="s">
        <v>2930</v>
      </c>
      <c r="J151" s="179" t="s">
        <v>3008</v>
      </c>
      <c r="K151" s="179" t="s">
        <v>3008</v>
      </c>
      <c r="L151" s="179" t="s">
        <v>2932</v>
      </c>
      <c r="M151" s="185"/>
      <c r="N151" s="185"/>
      <c r="O151" s="186"/>
      <c r="P151" s="185"/>
      <c r="Q151" s="182" t="s">
        <v>2934</v>
      </c>
      <c r="R151" s="182" t="s">
        <v>2933</v>
      </c>
      <c r="S151" s="182" t="s">
        <v>2935</v>
      </c>
      <c r="T151" s="179" t="s">
        <v>2974</v>
      </c>
      <c r="U151" s="179" t="s">
        <v>2937</v>
      </c>
      <c r="V151" s="179">
        <v>1122</v>
      </c>
      <c r="W151" s="179" t="s">
        <v>2955</v>
      </c>
      <c r="X151" s="188">
        <v>261.44640000000004</v>
      </c>
      <c r="Y151" s="188">
        <v>167.6404</v>
      </c>
      <c r="Z151" s="188">
        <v>110.8485</v>
      </c>
      <c r="AA151" s="188">
        <v>86.241000000000014</v>
      </c>
      <c r="AB151" s="188">
        <v>16.071999999999999</v>
      </c>
      <c r="AC151" s="188">
        <v>26.73</v>
      </c>
      <c r="AD151" s="179" t="s">
        <v>2939</v>
      </c>
      <c r="AE151" s="188" t="s">
        <v>2940</v>
      </c>
      <c r="AF151" s="189">
        <v>0.29166666666666669</v>
      </c>
      <c r="AG151" s="189">
        <v>0.91666666666666663</v>
      </c>
      <c r="AH151" s="190" t="s">
        <v>2941</v>
      </c>
      <c r="AI151" s="190" t="s">
        <v>2985</v>
      </c>
      <c r="AJ151" s="179" t="s">
        <v>178</v>
      </c>
      <c r="AK151" s="179" t="s">
        <v>28</v>
      </c>
      <c r="AL151" s="179" t="s">
        <v>28</v>
      </c>
      <c r="AM151" s="179" t="s">
        <v>3701</v>
      </c>
      <c r="AN151" s="179" t="s">
        <v>2102</v>
      </c>
      <c r="AO151" s="179" t="s">
        <v>2306</v>
      </c>
      <c r="AP151" s="191">
        <v>81139001942</v>
      </c>
      <c r="AQ151" s="184">
        <v>40939</v>
      </c>
      <c r="AR151" s="179">
        <v>174</v>
      </c>
      <c r="AS151" s="194">
        <v>41791</v>
      </c>
      <c r="AT151" s="195"/>
      <c r="AU151" s="195"/>
      <c r="AV151" s="192">
        <v>11702000</v>
      </c>
      <c r="AW151" s="181">
        <v>22.6</v>
      </c>
      <c r="AX151" s="179">
        <v>80511</v>
      </c>
      <c r="AY151" s="179" t="s">
        <v>3702</v>
      </c>
    </row>
    <row r="152" spans="1:51" ht="14.4" x14ac:dyDescent="0.3">
      <c r="A152" s="179" t="s">
        <v>794</v>
      </c>
      <c r="B152" s="179" t="s">
        <v>2947</v>
      </c>
      <c r="C152" s="180" t="s">
        <v>3703</v>
      </c>
      <c r="D152" s="181" t="s">
        <v>2837</v>
      </c>
      <c r="E152" s="181" t="s">
        <v>2825</v>
      </c>
      <c r="F152" s="182" t="s">
        <v>2929</v>
      </c>
      <c r="G152" s="181" t="s">
        <v>12</v>
      </c>
      <c r="H152" s="193">
        <v>45087</v>
      </c>
      <c r="I152" s="184"/>
      <c r="J152" s="179" t="s">
        <v>3704</v>
      </c>
      <c r="K152" s="179">
        <v>87</v>
      </c>
      <c r="L152" s="179" t="s">
        <v>2965</v>
      </c>
      <c r="M152" s="185"/>
      <c r="N152" s="185"/>
      <c r="O152" s="186"/>
      <c r="P152" s="185" t="s">
        <v>2951</v>
      </c>
      <c r="Q152" s="182" t="s">
        <v>2934</v>
      </c>
      <c r="R152" s="182" t="s">
        <v>2933</v>
      </c>
      <c r="S152" s="182" t="s">
        <v>2952</v>
      </c>
      <c r="T152" s="179" t="s">
        <v>2953</v>
      </c>
      <c r="U152" s="179" t="s">
        <v>2954</v>
      </c>
      <c r="V152" s="179">
        <v>1976</v>
      </c>
      <c r="W152" s="179" t="s">
        <v>3075</v>
      </c>
      <c r="X152" s="188">
        <v>265.58760000000001</v>
      </c>
      <c r="Y152" s="188">
        <v>173.84520000000003</v>
      </c>
      <c r="Z152" s="188">
        <v>103.64720000000001</v>
      </c>
      <c r="AA152" s="188">
        <v>86.985600000000005</v>
      </c>
      <c r="AB152" s="188">
        <v>7.38</v>
      </c>
      <c r="AC152" s="188">
        <v>58.318400000000004</v>
      </c>
      <c r="AD152" s="179" t="s">
        <v>2984</v>
      </c>
      <c r="AE152" s="188" t="s">
        <v>2940</v>
      </c>
      <c r="AF152" s="189">
        <v>0</v>
      </c>
      <c r="AG152" s="189">
        <v>0.99930555555555556</v>
      </c>
      <c r="AH152" s="190" t="s">
        <v>2941</v>
      </c>
      <c r="AI152" s="190" t="s">
        <v>2942</v>
      </c>
      <c r="AJ152" s="179" t="s">
        <v>164</v>
      </c>
      <c r="AK152" s="179" t="s">
        <v>3302</v>
      </c>
      <c r="AL152" s="179" t="s">
        <v>9</v>
      </c>
      <c r="AM152" s="179" t="s">
        <v>3705</v>
      </c>
      <c r="AN152" s="179" t="s">
        <v>2102</v>
      </c>
      <c r="AO152" s="179" t="s">
        <v>2705</v>
      </c>
      <c r="AP152" s="191">
        <v>81139607352</v>
      </c>
      <c r="AQ152" s="184">
        <v>40995</v>
      </c>
      <c r="AR152" s="179">
        <v>173</v>
      </c>
      <c r="AS152" s="179"/>
      <c r="AT152" s="181" t="s">
        <v>3706</v>
      </c>
      <c r="AU152" s="181" t="s">
        <v>3707</v>
      </c>
      <c r="AV152" s="192">
        <v>24811819</v>
      </c>
      <c r="AW152" s="181">
        <v>10.8</v>
      </c>
      <c r="AX152" s="179">
        <v>80351</v>
      </c>
      <c r="AY152" s="179"/>
    </row>
    <row r="153" spans="1:51" ht="14.4" x14ac:dyDescent="0.3">
      <c r="A153" s="179" t="s">
        <v>105</v>
      </c>
      <c r="B153" s="179" t="s">
        <v>2927</v>
      </c>
      <c r="C153" s="180" t="s">
        <v>3708</v>
      </c>
      <c r="D153" s="181" t="s">
        <v>2857</v>
      </c>
      <c r="E153" s="181" t="s">
        <v>2815</v>
      </c>
      <c r="F153" s="182" t="s">
        <v>2929</v>
      </c>
      <c r="G153" s="181" t="s">
        <v>12</v>
      </c>
      <c r="H153" s="193" t="s">
        <v>2930</v>
      </c>
      <c r="I153" s="184" t="s">
        <v>2930</v>
      </c>
      <c r="J153" s="179" t="s">
        <v>3709</v>
      </c>
      <c r="K153" s="179">
        <v>200</v>
      </c>
      <c r="L153" s="179" t="s">
        <v>2950</v>
      </c>
      <c r="M153" s="185"/>
      <c r="N153" s="185"/>
      <c r="O153" s="186"/>
      <c r="P153" s="185" t="s">
        <v>2951</v>
      </c>
      <c r="Q153" s="182" t="s">
        <v>2934</v>
      </c>
      <c r="R153" s="182" t="s">
        <v>2933</v>
      </c>
      <c r="S153" s="182" t="s">
        <v>2935</v>
      </c>
      <c r="T153" s="179" t="s">
        <v>2953</v>
      </c>
      <c r="U153" s="179" t="s">
        <v>2937</v>
      </c>
      <c r="V153" s="179">
        <v>1267</v>
      </c>
      <c r="W153" s="179" t="s">
        <v>3140</v>
      </c>
      <c r="X153" s="188">
        <v>321.28110000000004</v>
      </c>
      <c r="Y153" s="188">
        <v>198.54450000000003</v>
      </c>
      <c r="Z153" s="188">
        <v>116.39999999999999</v>
      </c>
      <c r="AA153" s="188">
        <v>95.259599999999992</v>
      </c>
      <c r="AB153" s="188">
        <v>27.361800000000002</v>
      </c>
      <c r="AC153" s="188">
        <v>37.505699999999997</v>
      </c>
      <c r="AD153" s="179" t="s">
        <v>2984</v>
      </c>
      <c r="AE153" s="188" t="s">
        <v>2940</v>
      </c>
      <c r="AF153" s="189">
        <v>0.29166666666666669</v>
      </c>
      <c r="AG153" s="189">
        <v>0.99930555555555556</v>
      </c>
      <c r="AH153" s="190" t="s">
        <v>2941</v>
      </c>
      <c r="AI153" s="190" t="s">
        <v>2985</v>
      </c>
      <c r="AJ153" s="179" t="s">
        <v>103</v>
      </c>
      <c r="AK153" s="179" t="s">
        <v>3000</v>
      </c>
      <c r="AL153" s="179" t="s">
        <v>28</v>
      </c>
      <c r="AM153" s="179" t="s">
        <v>3710</v>
      </c>
      <c r="AN153" s="179" t="s">
        <v>2102</v>
      </c>
      <c r="AO153" s="179" t="s">
        <v>2324</v>
      </c>
      <c r="AP153" s="191">
        <v>8113806166</v>
      </c>
      <c r="AQ153" s="184">
        <v>40998</v>
      </c>
      <c r="AR153" s="179">
        <v>172</v>
      </c>
      <c r="AS153" s="194">
        <v>42339</v>
      </c>
      <c r="AT153" s="195" t="s">
        <v>3711</v>
      </c>
      <c r="AU153" s="181"/>
      <c r="AV153" s="192">
        <v>11885000</v>
      </c>
      <c r="AW153" s="181">
        <v>18.399999999999999</v>
      </c>
      <c r="AX153" s="179">
        <v>80571</v>
      </c>
      <c r="AY153" s="179" t="s">
        <v>3712</v>
      </c>
    </row>
    <row r="154" spans="1:51" ht="14.4" x14ac:dyDescent="0.3">
      <c r="A154" s="179" t="s">
        <v>1447</v>
      </c>
      <c r="B154" s="179" t="s">
        <v>2947</v>
      </c>
      <c r="C154" s="180" t="s">
        <v>3713</v>
      </c>
      <c r="D154" s="181" t="s">
        <v>2832</v>
      </c>
      <c r="E154" s="181" t="s">
        <v>2813</v>
      </c>
      <c r="F154" s="182" t="s">
        <v>2972</v>
      </c>
      <c r="G154" s="181" t="s">
        <v>17</v>
      </c>
      <c r="H154" s="193">
        <v>45168</v>
      </c>
      <c r="I154" s="184"/>
      <c r="J154" s="179" t="s">
        <v>3714</v>
      </c>
      <c r="K154" s="179">
        <v>110</v>
      </c>
      <c r="L154" s="179" t="s">
        <v>2950</v>
      </c>
      <c r="M154" s="185"/>
      <c r="N154" s="185"/>
      <c r="O154" s="179" t="s">
        <v>2951</v>
      </c>
      <c r="P154" s="185" t="s">
        <v>2951</v>
      </c>
      <c r="Q154" s="182" t="s">
        <v>2934</v>
      </c>
      <c r="R154" s="182" t="s">
        <v>2933</v>
      </c>
      <c r="S154" s="182" t="s">
        <v>2952</v>
      </c>
      <c r="T154" s="179" t="s">
        <v>2953</v>
      </c>
      <c r="U154" s="179" t="s">
        <v>2954</v>
      </c>
      <c r="V154" s="179">
        <v>1127</v>
      </c>
      <c r="W154" s="179" t="s">
        <v>3067</v>
      </c>
      <c r="X154" s="188">
        <v>324.16199999999998</v>
      </c>
      <c r="Y154" s="188">
        <v>218.70000000000002</v>
      </c>
      <c r="Z154" s="188">
        <v>146.94</v>
      </c>
      <c r="AA154" s="188">
        <v>97.05149999999999</v>
      </c>
      <c r="AB154" s="188">
        <v>14.219999999999999</v>
      </c>
      <c r="AC154" s="188">
        <v>40.781399999999998</v>
      </c>
      <c r="AD154" s="179" t="s">
        <v>2984</v>
      </c>
      <c r="AE154" s="188" t="s">
        <v>2940</v>
      </c>
      <c r="AF154" s="189">
        <v>0</v>
      </c>
      <c r="AG154" s="189">
        <v>0.99930555555555556</v>
      </c>
      <c r="AH154" s="190" t="s">
        <v>2941</v>
      </c>
      <c r="AI154" s="190" t="s">
        <v>2985</v>
      </c>
      <c r="AJ154" s="179" t="s">
        <v>167</v>
      </c>
      <c r="AK154" s="179" t="s">
        <v>3241</v>
      </c>
      <c r="AL154" s="179" t="s">
        <v>9</v>
      </c>
      <c r="AM154" s="179" t="s">
        <v>3715</v>
      </c>
      <c r="AN154" s="179" t="s">
        <v>2102</v>
      </c>
      <c r="AO154" s="179" t="s">
        <v>2549</v>
      </c>
      <c r="AP154" s="191">
        <v>8113890593</v>
      </c>
      <c r="AQ154" s="184">
        <v>40999</v>
      </c>
      <c r="AR154" s="179">
        <v>172</v>
      </c>
      <c r="AS154" s="179"/>
      <c r="AT154" s="181" t="s">
        <v>3716</v>
      </c>
      <c r="AU154" s="195" t="s">
        <v>2946</v>
      </c>
      <c r="AV154" s="192">
        <v>38762325</v>
      </c>
      <c r="AW154" s="181">
        <v>40.799999999999997</v>
      </c>
      <c r="AX154" s="179">
        <v>80362</v>
      </c>
      <c r="AY154" s="179"/>
    </row>
    <row r="155" spans="1:51" ht="14.4" x14ac:dyDescent="0.3">
      <c r="A155" s="179" t="s">
        <v>1487</v>
      </c>
      <c r="B155" s="179" t="s">
        <v>2927</v>
      </c>
      <c r="C155" s="180" t="s">
        <v>3717</v>
      </c>
      <c r="D155" s="181" t="s">
        <v>2855</v>
      </c>
      <c r="E155" s="181" t="s">
        <v>2815</v>
      </c>
      <c r="F155" s="182" t="s">
        <v>2929</v>
      </c>
      <c r="G155" s="181" t="s">
        <v>12</v>
      </c>
      <c r="H155" s="193" t="s">
        <v>2930</v>
      </c>
      <c r="I155" s="184" t="s">
        <v>2930</v>
      </c>
      <c r="J155" s="179" t="s">
        <v>3718</v>
      </c>
      <c r="K155" s="179">
        <v>130</v>
      </c>
      <c r="L155" s="179" t="s">
        <v>2950</v>
      </c>
      <c r="M155" s="185"/>
      <c r="N155" s="185"/>
      <c r="O155" s="186"/>
      <c r="P155" s="185"/>
      <c r="Q155" s="182" t="s">
        <v>2933</v>
      </c>
      <c r="R155" s="182" t="s">
        <v>2934</v>
      </c>
      <c r="S155" s="182" t="s">
        <v>2952</v>
      </c>
      <c r="T155" s="179" t="s">
        <v>2953</v>
      </c>
      <c r="U155" s="179" t="s">
        <v>2937</v>
      </c>
      <c r="V155" s="179">
        <v>873</v>
      </c>
      <c r="W155" s="179" t="s">
        <v>3719</v>
      </c>
      <c r="X155" s="188">
        <v>602.58240000000001</v>
      </c>
      <c r="Y155" s="188">
        <v>342.9128</v>
      </c>
      <c r="Z155" s="188">
        <v>130.43689999999998</v>
      </c>
      <c r="AA155" s="188">
        <v>204.67800000000003</v>
      </c>
      <c r="AB155" s="188">
        <v>15.02</v>
      </c>
      <c r="AC155" s="188">
        <v>58.5627</v>
      </c>
      <c r="AD155" s="179" t="s">
        <v>2984</v>
      </c>
      <c r="AE155" s="188" t="s">
        <v>2940</v>
      </c>
      <c r="AF155" s="189">
        <v>0.29166666666666669</v>
      </c>
      <c r="AG155" s="189">
        <v>0.91666666666666663</v>
      </c>
      <c r="AH155" s="190" t="s">
        <v>2941</v>
      </c>
      <c r="AI155" s="190" t="s">
        <v>2985</v>
      </c>
      <c r="AJ155" s="179" t="s">
        <v>986</v>
      </c>
      <c r="AK155" s="179" t="s">
        <v>2981</v>
      </c>
      <c r="AL155" s="179" t="s">
        <v>28</v>
      </c>
      <c r="AM155" s="179" t="s">
        <v>3720</v>
      </c>
      <c r="AN155" s="179" t="s">
        <v>2102</v>
      </c>
      <c r="AO155" s="179" t="s">
        <v>2327</v>
      </c>
      <c r="AP155" s="191">
        <v>81139001933</v>
      </c>
      <c r="AQ155" s="184">
        <v>41029</v>
      </c>
      <c r="AR155" s="179">
        <v>171</v>
      </c>
      <c r="AS155" s="194"/>
      <c r="AT155" s="195" t="s">
        <v>3721</v>
      </c>
      <c r="AU155" s="195" t="s">
        <v>2946</v>
      </c>
      <c r="AV155" s="192">
        <v>18575735</v>
      </c>
      <c r="AW155" s="181">
        <v>28.1</v>
      </c>
      <c r="AX155" s="179">
        <v>80582</v>
      </c>
      <c r="AY155" s="179"/>
    </row>
    <row r="156" spans="1:51" ht="14.4" x14ac:dyDescent="0.3">
      <c r="A156" s="179" t="s">
        <v>553</v>
      </c>
      <c r="B156" s="179" t="s">
        <v>2927</v>
      </c>
      <c r="C156" s="180" t="s">
        <v>3007</v>
      </c>
      <c r="D156" s="181" t="s">
        <v>2837</v>
      </c>
      <c r="E156" s="181" t="s">
        <v>2825</v>
      </c>
      <c r="F156" s="182" t="s">
        <v>2929</v>
      </c>
      <c r="G156" s="181" t="s">
        <v>12</v>
      </c>
      <c r="H156" s="193" t="s">
        <v>2930</v>
      </c>
      <c r="I156" s="184" t="s">
        <v>2930</v>
      </c>
      <c r="J156" s="179" t="s">
        <v>3722</v>
      </c>
      <c r="K156" s="179">
        <v>400</v>
      </c>
      <c r="L156" s="179" t="s">
        <v>2950</v>
      </c>
      <c r="M156" s="185"/>
      <c r="N156" s="185"/>
      <c r="O156" s="186"/>
      <c r="P156" s="185"/>
      <c r="Q156" s="182" t="s">
        <v>2933</v>
      </c>
      <c r="R156" s="182" t="s">
        <v>2934</v>
      </c>
      <c r="S156" s="182" t="s">
        <v>2952</v>
      </c>
      <c r="T156" s="179" t="s">
        <v>2936</v>
      </c>
      <c r="U156" s="179" t="s">
        <v>2937</v>
      </c>
      <c r="V156" s="187">
        <v>984</v>
      </c>
      <c r="W156" s="179" t="s">
        <v>3342</v>
      </c>
      <c r="X156" s="188">
        <v>234.8</v>
      </c>
      <c r="Y156" s="188">
        <v>163.5</v>
      </c>
      <c r="Z156" s="188">
        <v>109.80399999999999</v>
      </c>
      <c r="AA156" s="188">
        <v>52.185999999999993</v>
      </c>
      <c r="AB156" s="188">
        <v>14.100000000000001</v>
      </c>
      <c r="AC156" s="188">
        <v>25.760000000000005</v>
      </c>
      <c r="AD156" s="179" t="s">
        <v>2939</v>
      </c>
      <c r="AE156" s="188" t="s">
        <v>2940</v>
      </c>
      <c r="AF156" s="189">
        <v>0.25</v>
      </c>
      <c r="AG156" s="189">
        <v>0.95833333333333337</v>
      </c>
      <c r="AH156" s="190" t="s">
        <v>2941</v>
      </c>
      <c r="AI156" s="190" t="s">
        <v>2942</v>
      </c>
      <c r="AJ156" s="179" t="s">
        <v>336</v>
      </c>
      <c r="AK156" s="179" t="s">
        <v>3302</v>
      </c>
      <c r="AL156" s="179" t="s">
        <v>9</v>
      </c>
      <c r="AM156" s="179" t="s">
        <v>3723</v>
      </c>
      <c r="AN156" s="179" t="s">
        <v>2102</v>
      </c>
      <c r="AO156" s="179" t="s">
        <v>2350</v>
      </c>
      <c r="AP156" s="191">
        <v>81139004581</v>
      </c>
      <c r="AQ156" s="184">
        <v>41029</v>
      </c>
      <c r="AR156" s="179">
        <v>171</v>
      </c>
      <c r="AS156" s="194">
        <v>41974</v>
      </c>
      <c r="AT156" s="195" t="s">
        <v>3724</v>
      </c>
      <c r="AU156" s="195" t="s">
        <v>3725</v>
      </c>
      <c r="AV156" s="192">
        <v>14248000</v>
      </c>
      <c r="AW156" s="181">
        <v>9</v>
      </c>
      <c r="AX156" s="179">
        <v>80351</v>
      </c>
      <c r="AY156" s="179" t="s">
        <v>3726</v>
      </c>
    </row>
    <row r="157" spans="1:51" ht="14.4" x14ac:dyDescent="0.3">
      <c r="A157" s="179" t="s">
        <v>1294</v>
      </c>
      <c r="B157" s="179" t="s">
        <v>2927</v>
      </c>
      <c r="C157" s="180" t="s">
        <v>3727</v>
      </c>
      <c r="D157" s="181" t="s">
        <v>2841</v>
      </c>
      <c r="E157" s="181" t="s">
        <v>2840</v>
      </c>
      <c r="F157" s="182" t="s">
        <v>2929</v>
      </c>
      <c r="G157" s="181" t="s">
        <v>12</v>
      </c>
      <c r="H157" s="193" t="s">
        <v>2930</v>
      </c>
      <c r="I157" s="184" t="s">
        <v>2930</v>
      </c>
      <c r="J157" s="179" t="s">
        <v>3728</v>
      </c>
      <c r="K157" s="179">
        <v>400</v>
      </c>
      <c r="L157" s="179" t="s">
        <v>2950</v>
      </c>
      <c r="M157" s="185"/>
      <c r="N157" s="185"/>
      <c r="O157" s="186"/>
      <c r="P157" s="185"/>
      <c r="Q157" s="182" t="s">
        <v>3729</v>
      </c>
      <c r="R157" s="182" t="s">
        <v>2933</v>
      </c>
      <c r="S157" s="182" t="s">
        <v>2952</v>
      </c>
      <c r="T157" s="179" t="s">
        <v>2953</v>
      </c>
      <c r="U157" s="179" t="s">
        <v>2937</v>
      </c>
      <c r="V157" s="187">
        <v>964</v>
      </c>
      <c r="W157" s="179" t="s">
        <v>2955</v>
      </c>
      <c r="X157" s="188">
        <v>95.415599999999998</v>
      </c>
      <c r="Y157" s="188">
        <v>85.19250000000001</v>
      </c>
      <c r="Z157" s="188">
        <v>85.19250000000001</v>
      </c>
      <c r="AA157" s="188">
        <v>0</v>
      </c>
      <c r="AB157" s="188">
        <v>0</v>
      </c>
      <c r="AC157" s="188">
        <v>31.362400000000001</v>
      </c>
      <c r="AD157" s="179" t="s">
        <v>2984</v>
      </c>
      <c r="AE157" s="188" t="s">
        <v>2940</v>
      </c>
      <c r="AF157" s="189">
        <v>0.33333333333333331</v>
      </c>
      <c r="AG157" s="189">
        <v>0.95833333333333337</v>
      </c>
      <c r="AH157" s="190" t="s">
        <v>2941</v>
      </c>
      <c r="AI157" s="190" t="s">
        <v>2985</v>
      </c>
      <c r="AJ157" s="179" t="s">
        <v>1292</v>
      </c>
      <c r="AK157" s="179" t="s">
        <v>3387</v>
      </c>
      <c r="AL157" s="179" t="s">
        <v>4</v>
      </c>
      <c r="AM157" s="179" t="s">
        <v>3730</v>
      </c>
      <c r="AN157" s="179" t="s">
        <v>2102</v>
      </c>
      <c r="AO157" s="179" t="s">
        <v>2280</v>
      </c>
      <c r="AP157" s="191">
        <v>81139001209</v>
      </c>
      <c r="AQ157" s="184">
        <v>41029</v>
      </c>
      <c r="AR157" s="179">
        <v>171</v>
      </c>
      <c r="AS157" s="194"/>
      <c r="AT157" s="195" t="s">
        <v>3721</v>
      </c>
      <c r="AU157" s="195" t="s">
        <v>2946</v>
      </c>
      <c r="AV157" s="192">
        <v>14326797</v>
      </c>
      <c r="AW157" s="181">
        <v>19.2</v>
      </c>
      <c r="AX157" s="179">
        <v>80237</v>
      </c>
      <c r="AY157" s="179"/>
    </row>
    <row r="158" spans="1:51" ht="14.4" x14ac:dyDescent="0.3">
      <c r="A158" s="179" t="s">
        <v>248</v>
      </c>
      <c r="B158" s="179" t="s">
        <v>2947</v>
      </c>
      <c r="C158" s="180" t="s">
        <v>3731</v>
      </c>
      <c r="D158" s="181" t="s">
        <v>2860</v>
      </c>
      <c r="E158" s="181" t="s">
        <v>2830</v>
      </c>
      <c r="F158" s="182" t="s">
        <v>2929</v>
      </c>
      <c r="G158" s="181" t="s">
        <v>12</v>
      </c>
      <c r="H158" s="193" t="s">
        <v>2930</v>
      </c>
      <c r="I158" s="184" t="s">
        <v>2930</v>
      </c>
      <c r="J158" s="179" t="s">
        <v>3732</v>
      </c>
      <c r="K158" s="179">
        <v>30</v>
      </c>
      <c r="L158" s="179" t="s">
        <v>2965</v>
      </c>
      <c r="M158" s="185"/>
      <c r="N158" s="185"/>
      <c r="O158" s="186"/>
      <c r="P158" s="185"/>
      <c r="Q158" s="182" t="s">
        <v>2934</v>
      </c>
      <c r="R158" s="182" t="s">
        <v>2933</v>
      </c>
      <c r="S158" s="182" t="s">
        <v>2935</v>
      </c>
      <c r="T158" s="179" t="s">
        <v>2953</v>
      </c>
      <c r="U158" s="179" t="s">
        <v>2954</v>
      </c>
      <c r="V158" s="187">
        <v>1024</v>
      </c>
      <c r="W158" s="179" t="s">
        <v>3063</v>
      </c>
      <c r="X158" s="188">
        <v>207.83840000000001</v>
      </c>
      <c r="Y158" s="188">
        <v>142.78880000000001</v>
      </c>
      <c r="Z158" s="188">
        <v>92.313599999999994</v>
      </c>
      <c r="AA158" s="188">
        <v>44.834599999999995</v>
      </c>
      <c r="AB158" s="188">
        <v>2.8295999999999997</v>
      </c>
      <c r="AC158" s="188">
        <v>31.321400000000001</v>
      </c>
      <c r="AD158" s="179" t="s">
        <v>2984</v>
      </c>
      <c r="AE158" s="188" t="s">
        <v>2940</v>
      </c>
      <c r="AF158" s="189">
        <v>0.29166666666666669</v>
      </c>
      <c r="AG158" s="189">
        <v>0.95833333333333337</v>
      </c>
      <c r="AH158" s="190" t="s">
        <v>2941</v>
      </c>
      <c r="AI158" s="190" t="s">
        <v>2942</v>
      </c>
      <c r="AJ158" s="179" t="s">
        <v>246</v>
      </c>
      <c r="AK158" s="179" t="s">
        <v>3229</v>
      </c>
      <c r="AL158" s="179" t="s">
        <v>9</v>
      </c>
      <c r="AM158" s="179" t="s">
        <v>3733</v>
      </c>
      <c r="AN158" s="179" t="s">
        <v>2102</v>
      </c>
      <c r="AO158" s="179" t="s">
        <v>2581</v>
      </c>
      <c r="AP158" s="191">
        <v>8113890590</v>
      </c>
      <c r="AQ158" s="184">
        <v>41059</v>
      </c>
      <c r="AR158" s="179">
        <v>170</v>
      </c>
      <c r="AS158" s="179"/>
      <c r="AT158" s="181" t="s">
        <v>3734</v>
      </c>
      <c r="AU158" s="181" t="s">
        <v>3735</v>
      </c>
      <c r="AV158" s="192">
        <v>9432000</v>
      </c>
      <c r="AW158" s="181">
        <v>20.7</v>
      </c>
      <c r="AX158" s="179">
        <v>80352</v>
      </c>
      <c r="AY158" s="179"/>
    </row>
    <row r="159" spans="1:51" ht="14.4" x14ac:dyDescent="0.3">
      <c r="A159" s="179" t="s">
        <v>1882</v>
      </c>
      <c r="B159" s="179" t="s">
        <v>2947</v>
      </c>
      <c r="C159" s="180" t="s">
        <v>3736</v>
      </c>
      <c r="D159" s="181" t="s">
        <v>2871</v>
      </c>
      <c r="E159" s="181" t="s">
        <v>2813</v>
      </c>
      <c r="F159" s="182" t="s">
        <v>2972</v>
      </c>
      <c r="G159" s="181" t="s">
        <v>17</v>
      </c>
      <c r="H159" s="193">
        <v>44987</v>
      </c>
      <c r="I159" s="184"/>
      <c r="J159" s="179" t="s">
        <v>3737</v>
      </c>
      <c r="K159" s="179">
        <v>300</v>
      </c>
      <c r="L159" s="179" t="s">
        <v>2950</v>
      </c>
      <c r="M159" s="185"/>
      <c r="N159" s="185" t="s">
        <v>2951</v>
      </c>
      <c r="O159" s="186"/>
      <c r="P159" s="185"/>
      <c r="Q159" s="182" t="s">
        <v>2934</v>
      </c>
      <c r="R159" s="182" t="s">
        <v>2933</v>
      </c>
      <c r="S159" s="182" t="s">
        <v>2952</v>
      </c>
      <c r="T159" s="179" t="s">
        <v>2953</v>
      </c>
      <c r="U159" s="179" t="s">
        <v>2954</v>
      </c>
      <c r="V159" s="179">
        <v>908</v>
      </c>
      <c r="W159" s="179" t="s">
        <v>3003</v>
      </c>
      <c r="X159" s="188">
        <v>267.99429999999995</v>
      </c>
      <c r="Y159" s="188">
        <v>174.3929</v>
      </c>
      <c r="Z159" s="188">
        <v>124.928</v>
      </c>
      <c r="AA159" s="188">
        <v>87.706199999999995</v>
      </c>
      <c r="AB159" s="188">
        <v>15.968000000000002</v>
      </c>
      <c r="AC159" s="188">
        <v>64.415199999999999</v>
      </c>
      <c r="AD159" s="179" t="s">
        <v>2956</v>
      </c>
      <c r="AE159" s="188" t="s">
        <v>2957</v>
      </c>
      <c r="AF159" s="189">
        <v>0.29166666666666669</v>
      </c>
      <c r="AG159" s="189">
        <v>0.99930555555555556</v>
      </c>
      <c r="AH159" s="190" t="s">
        <v>2941</v>
      </c>
      <c r="AI159" s="190" t="s">
        <v>2942</v>
      </c>
      <c r="AJ159" s="179" t="s">
        <v>153</v>
      </c>
      <c r="AK159" s="179" t="s">
        <v>3293</v>
      </c>
      <c r="AL159" s="179" t="s">
        <v>9</v>
      </c>
      <c r="AM159" s="179" t="s">
        <v>3738</v>
      </c>
      <c r="AN159" s="179" t="s">
        <v>2102</v>
      </c>
      <c r="AO159" s="179" t="s">
        <v>2517</v>
      </c>
      <c r="AP159" s="191">
        <v>81139004568</v>
      </c>
      <c r="AQ159" s="184">
        <v>41060</v>
      </c>
      <c r="AR159" s="179">
        <v>170</v>
      </c>
      <c r="AS159" s="179"/>
      <c r="AT159" s="181" t="s">
        <v>3739</v>
      </c>
      <c r="AU159" s="181" t="s">
        <v>2946</v>
      </c>
      <c r="AV159" s="192">
        <v>19152012</v>
      </c>
      <c r="AW159" s="181">
        <v>40.200000000000003</v>
      </c>
      <c r="AX159" s="179">
        <v>80361</v>
      </c>
      <c r="AY159" s="179"/>
    </row>
    <row r="160" spans="1:51" ht="14.4" x14ac:dyDescent="0.3">
      <c r="A160" s="179" t="s">
        <v>1610</v>
      </c>
      <c r="B160" s="179" t="s">
        <v>2947</v>
      </c>
      <c r="C160" s="180" t="s">
        <v>3044</v>
      </c>
      <c r="D160" s="181" t="s">
        <v>2828</v>
      </c>
      <c r="E160" s="181" t="s">
        <v>2827</v>
      </c>
      <c r="F160" s="182" t="s">
        <v>2929</v>
      </c>
      <c r="G160" s="181" t="s">
        <v>12</v>
      </c>
      <c r="H160" s="193">
        <v>43659</v>
      </c>
      <c r="I160" s="184">
        <v>43659</v>
      </c>
      <c r="J160" s="179" t="s">
        <v>3740</v>
      </c>
      <c r="K160" s="179">
        <v>500</v>
      </c>
      <c r="L160" s="179" t="s">
        <v>3026</v>
      </c>
      <c r="M160" s="185"/>
      <c r="N160" s="185"/>
      <c r="O160" s="186"/>
      <c r="P160" s="185"/>
      <c r="Q160" s="182" t="s">
        <v>2934</v>
      </c>
      <c r="R160" s="182" t="s">
        <v>2933</v>
      </c>
      <c r="S160" s="182" t="s">
        <v>2952</v>
      </c>
      <c r="T160" s="179" t="s">
        <v>2953</v>
      </c>
      <c r="U160" s="179" t="s">
        <v>2954</v>
      </c>
      <c r="V160" s="179">
        <v>1364</v>
      </c>
      <c r="W160" s="179" t="s">
        <v>3301</v>
      </c>
      <c r="X160" s="188">
        <v>178.2945</v>
      </c>
      <c r="Y160" s="188">
        <v>133.8965</v>
      </c>
      <c r="Z160" s="188">
        <v>114.12500000000001</v>
      </c>
      <c r="AA160" s="188">
        <v>37.452800000000003</v>
      </c>
      <c r="AB160" s="188">
        <v>14.12</v>
      </c>
      <c r="AC160" s="188">
        <v>124.53299999999999</v>
      </c>
      <c r="AD160" s="179" t="s">
        <v>2956</v>
      </c>
      <c r="AE160" s="188" t="s">
        <v>2957</v>
      </c>
      <c r="AF160" s="189">
        <v>0.29166666666666669</v>
      </c>
      <c r="AG160" s="189">
        <v>0.95833333333333337</v>
      </c>
      <c r="AH160" s="190" t="s">
        <v>2941</v>
      </c>
      <c r="AI160" s="190" t="s">
        <v>2942</v>
      </c>
      <c r="AJ160" s="179" t="s">
        <v>1608</v>
      </c>
      <c r="AK160" s="179" t="s">
        <v>48</v>
      </c>
      <c r="AL160" s="179" t="s">
        <v>48</v>
      </c>
      <c r="AM160" s="179" t="s">
        <v>3741</v>
      </c>
      <c r="AN160" s="179" t="s">
        <v>2102</v>
      </c>
      <c r="AO160" s="179" t="s">
        <v>2468</v>
      </c>
      <c r="AP160" s="191">
        <v>8113806129</v>
      </c>
      <c r="AQ160" s="184">
        <v>41089</v>
      </c>
      <c r="AR160" s="179">
        <v>169</v>
      </c>
      <c r="AS160" s="179"/>
      <c r="AT160" s="181" t="s">
        <v>3742</v>
      </c>
      <c r="AU160" s="181" t="s">
        <v>3743</v>
      </c>
      <c r="AV160" s="192">
        <v>13894366</v>
      </c>
      <c r="AW160" s="181">
        <v>60</v>
      </c>
      <c r="AX160" s="179">
        <v>81113</v>
      </c>
      <c r="AY160" s="179"/>
    </row>
    <row r="161" spans="1:51" ht="14.4" x14ac:dyDescent="0.3">
      <c r="A161" s="179" t="s">
        <v>1483</v>
      </c>
      <c r="B161" s="179" t="s">
        <v>2947</v>
      </c>
      <c r="C161" s="180" t="s">
        <v>3304</v>
      </c>
      <c r="D161" s="181" t="s">
        <v>2863</v>
      </c>
      <c r="E161" s="181" t="s">
        <v>2813</v>
      </c>
      <c r="F161" s="182" t="s">
        <v>2929</v>
      </c>
      <c r="G161" s="181" t="s">
        <v>12</v>
      </c>
      <c r="H161" s="193">
        <v>44987</v>
      </c>
      <c r="I161" s="184"/>
      <c r="J161" s="179" t="s">
        <v>3305</v>
      </c>
      <c r="K161" s="179">
        <v>74</v>
      </c>
      <c r="L161" s="179" t="s">
        <v>2965</v>
      </c>
      <c r="M161" s="185"/>
      <c r="N161" s="185"/>
      <c r="O161" s="186"/>
      <c r="P161" s="185"/>
      <c r="Q161" s="182" t="s">
        <v>2933</v>
      </c>
      <c r="R161" s="182" t="s">
        <v>2934</v>
      </c>
      <c r="S161" s="182" t="s">
        <v>2952</v>
      </c>
      <c r="T161" s="179" t="s">
        <v>2953</v>
      </c>
      <c r="U161" s="179" t="s">
        <v>2954</v>
      </c>
      <c r="V161" s="187">
        <v>989</v>
      </c>
      <c r="W161" s="179" t="s">
        <v>3448</v>
      </c>
      <c r="X161" s="188">
        <v>192.74960000000002</v>
      </c>
      <c r="Y161" s="188">
        <v>135.0052</v>
      </c>
      <c r="Z161" s="188">
        <v>120.70500000000001</v>
      </c>
      <c r="AA161" s="188">
        <v>51.674999999999997</v>
      </c>
      <c r="AB161" s="188">
        <v>9.75</v>
      </c>
      <c r="AC161" s="188">
        <v>43.262599999999999</v>
      </c>
      <c r="AD161" s="179" t="s">
        <v>2984</v>
      </c>
      <c r="AE161" s="188" t="s">
        <v>2957</v>
      </c>
      <c r="AF161" s="189">
        <v>0</v>
      </c>
      <c r="AG161" s="189">
        <v>0.99930555555555556</v>
      </c>
      <c r="AH161" s="190" t="s">
        <v>2941</v>
      </c>
      <c r="AI161" s="190" t="s">
        <v>2942</v>
      </c>
      <c r="AJ161" s="179" t="s">
        <v>131</v>
      </c>
      <c r="AK161" s="179" t="s">
        <v>3293</v>
      </c>
      <c r="AL161" s="179" t="s">
        <v>9</v>
      </c>
      <c r="AM161" s="179" t="s">
        <v>3744</v>
      </c>
      <c r="AN161" s="179" t="s">
        <v>2102</v>
      </c>
      <c r="AO161" s="179" t="s">
        <v>2564</v>
      </c>
      <c r="AP161" s="191">
        <v>81139004561</v>
      </c>
      <c r="AQ161" s="184">
        <v>41118</v>
      </c>
      <c r="AR161" s="179">
        <v>169</v>
      </c>
      <c r="AS161" s="179"/>
      <c r="AT161" s="181"/>
      <c r="AU161" s="181"/>
      <c r="AV161" s="192">
        <v>17061902</v>
      </c>
      <c r="AW161" s="181">
        <v>32</v>
      </c>
      <c r="AX161" s="179">
        <v>80361</v>
      </c>
      <c r="AY161" s="179"/>
    </row>
    <row r="162" spans="1:51" ht="14.4" x14ac:dyDescent="0.3">
      <c r="A162" s="179" t="s">
        <v>1676</v>
      </c>
      <c r="B162" s="179" t="s">
        <v>2927</v>
      </c>
      <c r="C162" s="180" t="s">
        <v>3745</v>
      </c>
      <c r="D162" s="181" t="s">
        <v>2859</v>
      </c>
      <c r="E162" s="181" t="s">
        <v>2815</v>
      </c>
      <c r="F162" s="182" t="s">
        <v>2929</v>
      </c>
      <c r="G162" s="181" t="s">
        <v>12</v>
      </c>
      <c r="H162" s="193" t="s">
        <v>2930</v>
      </c>
      <c r="I162" s="184" t="s">
        <v>2930</v>
      </c>
      <c r="J162" s="179" t="s">
        <v>3008</v>
      </c>
      <c r="K162" s="179" t="s">
        <v>3008</v>
      </c>
      <c r="L162" s="179" t="s">
        <v>2932</v>
      </c>
      <c r="M162" s="185"/>
      <c r="N162" s="185"/>
      <c r="O162" s="186"/>
      <c r="P162" s="185"/>
      <c r="Q162" s="182" t="s">
        <v>2933</v>
      </c>
      <c r="R162" s="182" t="s">
        <v>3016</v>
      </c>
      <c r="S162" s="182" t="s">
        <v>2935</v>
      </c>
      <c r="T162" s="179" t="s">
        <v>2953</v>
      </c>
      <c r="U162" s="179" t="s">
        <v>2937</v>
      </c>
      <c r="V162" s="187">
        <v>1369</v>
      </c>
      <c r="W162" s="179" t="s">
        <v>2983</v>
      </c>
      <c r="X162" s="188">
        <v>277.72499999999997</v>
      </c>
      <c r="Y162" s="188">
        <v>205.27500000000001</v>
      </c>
      <c r="Z162" s="188">
        <v>121.07399999999998</v>
      </c>
      <c r="AA162" s="188">
        <v>61.811999999999991</v>
      </c>
      <c r="AB162" s="188">
        <v>20.2</v>
      </c>
      <c r="AC162" s="188">
        <v>44.94</v>
      </c>
      <c r="AD162" s="179" t="s">
        <v>2984</v>
      </c>
      <c r="AE162" s="188" t="s">
        <v>2940</v>
      </c>
      <c r="AF162" s="189">
        <v>0.29166666666666669</v>
      </c>
      <c r="AG162" s="189">
        <v>0.95833333333333337</v>
      </c>
      <c r="AH162" s="190" t="s">
        <v>2941</v>
      </c>
      <c r="AI162" s="190" t="s">
        <v>2985</v>
      </c>
      <c r="AJ162" s="179" t="s">
        <v>405</v>
      </c>
      <c r="AK162" s="179" t="s">
        <v>3182</v>
      </c>
      <c r="AL162" s="179" t="s">
        <v>28</v>
      </c>
      <c r="AM162" s="179" t="s">
        <v>3746</v>
      </c>
      <c r="AN162" s="179" t="s">
        <v>2102</v>
      </c>
      <c r="AO162" s="179" t="s">
        <v>3747</v>
      </c>
      <c r="AP162" s="191">
        <v>8113806128</v>
      </c>
      <c r="AQ162" s="184">
        <v>41118</v>
      </c>
      <c r="AR162" s="179">
        <v>169</v>
      </c>
      <c r="AS162" s="194"/>
      <c r="AT162" s="195" t="s">
        <v>3748</v>
      </c>
      <c r="AU162" s="195" t="s">
        <v>2946</v>
      </c>
      <c r="AV162" s="192">
        <v>15752753</v>
      </c>
      <c r="AW162" s="181">
        <v>19.5</v>
      </c>
      <c r="AX162" s="179">
        <v>80552</v>
      </c>
      <c r="AY162" s="179"/>
    </row>
    <row r="163" spans="1:51" ht="14.4" x14ac:dyDescent="0.3">
      <c r="A163" s="179" t="s">
        <v>1018</v>
      </c>
      <c r="B163" s="179" t="s">
        <v>2947</v>
      </c>
      <c r="C163" s="180" t="s">
        <v>3749</v>
      </c>
      <c r="D163" s="181" t="s">
        <v>2870</v>
      </c>
      <c r="E163" s="181" t="s">
        <v>2867</v>
      </c>
      <c r="F163" s="182" t="s">
        <v>3750</v>
      </c>
      <c r="G163" s="181" t="s">
        <v>134</v>
      </c>
      <c r="H163" s="193">
        <v>45025</v>
      </c>
      <c r="I163" s="184">
        <v>45025</v>
      </c>
      <c r="J163" s="179" t="s">
        <v>3751</v>
      </c>
      <c r="K163" s="179">
        <v>300</v>
      </c>
      <c r="L163" s="179" t="s">
        <v>2950</v>
      </c>
      <c r="M163" s="185" t="s">
        <v>3164</v>
      </c>
      <c r="N163" s="185"/>
      <c r="O163" s="179" t="s">
        <v>2951</v>
      </c>
      <c r="P163" s="185" t="s">
        <v>2951</v>
      </c>
      <c r="Q163" s="182" t="s">
        <v>2933</v>
      </c>
      <c r="R163" s="182" t="s">
        <v>2998</v>
      </c>
      <c r="S163" s="182" t="s">
        <v>2952</v>
      </c>
      <c r="T163" s="179" t="s">
        <v>3376</v>
      </c>
      <c r="U163" s="179" t="s">
        <v>2954</v>
      </c>
      <c r="V163" s="179">
        <v>407</v>
      </c>
      <c r="W163" s="179" t="s">
        <v>3752</v>
      </c>
      <c r="X163" s="188">
        <v>243.93600000000001</v>
      </c>
      <c r="Y163" s="188">
        <v>243.93600000000001</v>
      </c>
      <c r="Z163" s="188">
        <v>149.286</v>
      </c>
      <c r="AA163" s="188">
        <v>0</v>
      </c>
      <c r="AB163" s="188">
        <v>40.698700000000002</v>
      </c>
      <c r="AC163" s="188">
        <v>31.2532</v>
      </c>
      <c r="AD163" s="179" t="s">
        <v>2984</v>
      </c>
      <c r="AE163" s="188" t="s">
        <v>3017</v>
      </c>
      <c r="AF163" s="189">
        <v>0</v>
      </c>
      <c r="AG163" s="189">
        <v>0.99930555555555556</v>
      </c>
      <c r="AH163" s="190" t="s">
        <v>2941</v>
      </c>
      <c r="AI163" s="190" t="s">
        <v>2942</v>
      </c>
      <c r="AJ163" s="179" t="s">
        <v>131</v>
      </c>
      <c r="AK163" s="179" t="s">
        <v>3293</v>
      </c>
      <c r="AL163" s="179" t="s">
        <v>9</v>
      </c>
      <c r="AM163" s="179" t="s">
        <v>3753</v>
      </c>
      <c r="AN163" s="179" t="s">
        <v>2102</v>
      </c>
      <c r="AO163" s="179" t="s">
        <v>2552</v>
      </c>
      <c r="AP163" s="191">
        <v>81139008346</v>
      </c>
      <c r="AQ163" s="184">
        <v>41137</v>
      </c>
      <c r="AR163" s="179">
        <v>168</v>
      </c>
      <c r="AS163" s="194">
        <v>41244</v>
      </c>
      <c r="AT163" s="195" t="s">
        <v>3754</v>
      </c>
      <c r="AU163" s="195" t="s">
        <v>2946</v>
      </c>
      <c r="AV163" s="192">
        <v>14520531</v>
      </c>
      <c r="AW163" s="181">
        <v>30.1</v>
      </c>
      <c r="AX163" s="179">
        <v>80361</v>
      </c>
      <c r="AY163" s="179" t="s">
        <v>3755</v>
      </c>
    </row>
    <row r="164" spans="1:51" ht="14.4" x14ac:dyDescent="0.3">
      <c r="A164" s="179" t="s">
        <v>1880</v>
      </c>
      <c r="B164" s="179" t="s">
        <v>2947</v>
      </c>
      <c r="C164" s="180" t="s">
        <v>3756</v>
      </c>
      <c r="D164" s="181" t="s">
        <v>2871</v>
      </c>
      <c r="E164" s="181" t="s">
        <v>2813</v>
      </c>
      <c r="F164" s="182" t="s">
        <v>2929</v>
      </c>
      <c r="G164" s="181" t="s">
        <v>12</v>
      </c>
      <c r="H164" s="193">
        <v>44055</v>
      </c>
      <c r="I164" s="184">
        <v>44055</v>
      </c>
      <c r="J164" s="179" t="s">
        <v>3757</v>
      </c>
      <c r="K164" s="179">
        <v>190</v>
      </c>
      <c r="L164" s="179" t="s">
        <v>2950</v>
      </c>
      <c r="M164" s="185"/>
      <c r="N164" s="185"/>
      <c r="O164" s="186"/>
      <c r="P164" s="185"/>
      <c r="Q164" s="182" t="s">
        <v>2933</v>
      </c>
      <c r="R164" s="182" t="s">
        <v>2934</v>
      </c>
      <c r="S164" s="182" t="s">
        <v>2952</v>
      </c>
      <c r="T164" s="179" t="s">
        <v>2999</v>
      </c>
      <c r="U164" s="179" t="s">
        <v>2954</v>
      </c>
      <c r="V164" s="187">
        <v>1100</v>
      </c>
      <c r="W164" s="179" t="s">
        <v>3758</v>
      </c>
      <c r="X164" s="188">
        <v>166.19839999999999</v>
      </c>
      <c r="Y164" s="188">
        <v>114.6288</v>
      </c>
      <c r="Z164" s="188">
        <v>37.247599999999998</v>
      </c>
      <c r="AA164" s="188">
        <v>59.217599999999997</v>
      </c>
      <c r="AB164" s="188">
        <v>10.797600000000001</v>
      </c>
      <c r="AC164" s="188">
        <v>27.304999999999996</v>
      </c>
      <c r="AD164" s="179" t="s">
        <v>2939</v>
      </c>
      <c r="AE164" s="188" t="s">
        <v>2940</v>
      </c>
      <c r="AF164" s="189">
        <v>0.29166666666666669</v>
      </c>
      <c r="AG164" s="189">
        <v>0.99930555555555556</v>
      </c>
      <c r="AH164" s="190" t="s">
        <v>2941</v>
      </c>
      <c r="AI164" s="190" t="s">
        <v>2942</v>
      </c>
      <c r="AJ164" s="179" t="s">
        <v>260</v>
      </c>
      <c r="AK164" s="179" t="s">
        <v>3293</v>
      </c>
      <c r="AL164" s="179" t="s">
        <v>9</v>
      </c>
      <c r="AM164" s="179" t="s">
        <v>3759</v>
      </c>
      <c r="AN164" s="179" t="s">
        <v>2102</v>
      </c>
      <c r="AO164" s="179" t="s">
        <v>2594</v>
      </c>
      <c r="AP164" s="191">
        <v>81139000820</v>
      </c>
      <c r="AQ164" s="184">
        <v>41243</v>
      </c>
      <c r="AR164" s="179">
        <v>164</v>
      </c>
      <c r="AS164" s="179"/>
      <c r="AT164" s="181" t="s">
        <v>3760</v>
      </c>
      <c r="AU164" s="181" t="s">
        <v>2946</v>
      </c>
      <c r="AV164" s="192">
        <v>14770273</v>
      </c>
      <c r="AW164" s="181">
        <v>33.4</v>
      </c>
      <c r="AX164" s="179">
        <v>80361</v>
      </c>
      <c r="AY164" s="179">
        <v>144000</v>
      </c>
    </row>
    <row r="165" spans="1:51" ht="14.4" x14ac:dyDescent="0.3">
      <c r="A165" s="179" t="s">
        <v>409</v>
      </c>
      <c r="B165" s="179" t="s">
        <v>2947</v>
      </c>
      <c r="C165" s="180" t="s">
        <v>3761</v>
      </c>
      <c r="D165" s="181" t="s">
        <v>2873</v>
      </c>
      <c r="E165" s="181" t="s">
        <v>2840</v>
      </c>
      <c r="F165" s="182" t="s">
        <v>2972</v>
      </c>
      <c r="G165" s="181" t="s">
        <v>17</v>
      </c>
      <c r="H165" s="193">
        <v>45087</v>
      </c>
      <c r="I165" s="184"/>
      <c r="J165" s="179" t="s">
        <v>3762</v>
      </c>
      <c r="K165" s="179">
        <v>14</v>
      </c>
      <c r="L165" s="179" t="s">
        <v>2965</v>
      </c>
      <c r="M165" s="185"/>
      <c r="N165" s="185"/>
      <c r="O165" s="179" t="s">
        <v>2951</v>
      </c>
      <c r="P165" s="185" t="s">
        <v>2951</v>
      </c>
      <c r="Q165" s="182" t="s">
        <v>2933</v>
      </c>
      <c r="R165" s="182" t="s">
        <v>2934</v>
      </c>
      <c r="S165" s="182" t="s">
        <v>2952</v>
      </c>
      <c r="T165" s="179" t="s">
        <v>2953</v>
      </c>
      <c r="U165" s="179" t="s">
        <v>2954</v>
      </c>
      <c r="V165" s="187">
        <v>1486</v>
      </c>
      <c r="W165" s="179" t="s">
        <v>2955</v>
      </c>
      <c r="X165" s="188">
        <v>337.05779999999999</v>
      </c>
      <c r="Y165" s="188">
        <v>228.24200000000002</v>
      </c>
      <c r="Z165" s="188">
        <v>147.393</v>
      </c>
      <c r="AA165" s="188">
        <v>53.948399999999999</v>
      </c>
      <c r="AB165" s="188">
        <v>0</v>
      </c>
      <c r="AC165" s="188">
        <v>104.08670000000001</v>
      </c>
      <c r="AD165" s="179" t="s">
        <v>2956</v>
      </c>
      <c r="AE165" s="188" t="s">
        <v>3017</v>
      </c>
      <c r="AF165" s="189">
        <v>0</v>
      </c>
      <c r="AG165" s="189">
        <v>0.99930555555555556</v>
      </c>
      <c r="AH165" s="190" t="s">
        <v>2976</v>
      </c>
      <c r="AI165" s="190" t="s">
        <v>2942</v>
      </c>
      <c r="AJ165" s="179" t="s">
        <v>336</v>
      </c>
      <c r="AK165" s="179" t="s">
        <v>3302</v>
      </c>
      <c r="AL165" s="179" t="s">
        <v>9</v>
      </c>
      <c r="AM165" s="179" t="s">
        <v>3763</v>
      </c>
      <c r="AN165" s="179" t="s">
        <v>2102</v>
      </c>
      <c r="AO165" s="179" t="s">
        <v>2423</v>
      </c>
      <c r="AP165" s="191">
        <v>81139002204</v>
      </c>
      <c r="AQ165" s="184">
        <v>41243</v>
      </c>
      <c r="AR165" s="179">
        <v>164</v>
      </c>
      <c r="AS165" s="179"/>
      <c r="AT165" s="181" t="s">
        <v>3764</v>
      </c>
      <c r="AU165" s="181" t="s">
        <v>3765</v>
      </c>
      <c r="AV165" s="192">
        <v>40076905</v>
      </c>
      <c r="AW165" s="181">
        <v>9.6</v>
      </c>
      <c r="AX165" s="179">
        <v>80351</v>
      </c>
      <c r="AY165" s="179"/>
    </row>
    <row r="166" spans="1:51" ht="14.4" x14ac:dyDescent="0.3">
      <c r="A166" s="179" t="s">
        <v>633</v>
      </c>
      <c r="B166" s="179" t="s">
        <v>2947</v>
      </c>
      <c r="C166" s="180" t="s">
        <v>3766</v>
      </c>
      <c r="D166" s="181" t="s">
        <v>2826</v>
      </c>
      <c r="E166" s="181" t="s">
        <v>2825</v>
      </c>
      <c r="F166" s="182" t="s">
        <v>2972</v>
      </c>
      <c r="G166" s="181" t="s">
        <v>17</v>
      </c>
      <c r="H166" s="193" t="s">
        <v>2930</v>
      </c>
      <c r="I166" s="184" t="s">
        <v>2930</v>
      </c>
      <c r="J166" s="179" t="s">
        <v>3767</v>
      </c>
      <c r="K166" s="179">
        <v>350</v>
      </c>
      <c r="L166" s="179" t="s">
        <v>3026</v>
      </c>
      <c r="M166" s="185"/>
      <c r="N166" s="185"/>
      <c r="O166" s="179" t="s">
        <v>2951</v>
      </c>
      <c r="P166" s="185"/>
      <c r="Q166" s="182" t="s">
        <v>2933</v>
      </c>
      <c r="R166" s="182" t="s">
        <v>2934</v>
      </c>
      <c r="S166" s="182" t="s">
        <v>2952</v>
      </c>
      <c r="T166" s="179" t="s">
        <v>2999</v>
      </c>
      <c r="U166" s="179" t="s">
        <v>2937</v>
      </c>
      <c r="V166" s="187">
        <v>871</v>
      </c>
      <c r="W166" s="179" t="s">
        <v>2992</v>
      </c>
      <c r="X166" s="188">
        <v>315.75600000000003</v>
      </c>
      <c r="Y166" s="188">
        <v>194.036</v>
      </c>
      <c r="Z166" s="188">
        <v>118.46899999999998</v>
      </c>
      <c r="AA166" s="188">
        <v>112.4404</v>
      </c>
      <c r="AB166" s="188">
        <v>19.9056</v>
      </c>
      <c r="AC166" s="188">
        <v>40.326000000000001</v>
      </c>
      <c r="AD166" s="179" t="s">
        <v>2984</v>
      </c>
      <c r="AE166" s="188" t="s">
        <v>2940</v>
      </c>
      <c r="AF166" s="189">
        <v>0.29166666666666669</v>
      </c>
      <c r="AG166" s="189">
        <v>0.99930555555555556</v>
      </c>
      <c r="AH166" s="190" t="s">
        <v>2941</v>
      </c>
      <c r="AI166" s="190" t="s">
        <v>2942</v>
      </c>
      <c r="AJ166" s="179" t="s">
        <v>192</v>
      </c>
      <c r="AK166" s="179" t="s">
        <v>2977</v>
      </c>
      <c r="AL166" s="179" t="s">
        <v>9</v>
      </c>
      <c r="AM166" s="179" t="s">
        <v>3768</v>
      </c>
      <c r="AN166" s="179" t="s">
        <v>2102</v>
      </c>
      <c r="AO166" s="179" t="s">
        <v>2802</v>
      </c>
      <c r="AP166" s="191">
        <v>8113890496</v>
      </c>
      <c r="AQ166" s="184">
        <v>41274</v>
      </c>
      <c r="AR166" s="179">
        <v>163</v>
      </c>
      <c r="AS166" s="194" t="s">
        <v>3769</v>
      </c>
      <c r="AT166" s="195" t="s">
        <v>3770</v>
      </c>
      <c r="AU166" s="195" t="s">
        <v>3771</v>
      </c>
      <c r="AV166" s="192">
        <v>11996000</v>
      </c>
      <c r="AW166" s="181">
        <v>16.5</v>
      </c>
      <c r="AX166" s="179">
        <v>80363</v>
      </c>
      <c r="AY166" s="179" t="s">
        <v>3772</v>
      </c>
    </row>
    <row r="167" spans="1:51" ht="14.4" x14ac:dyDescent="0.3">
      <c r="A167" s="179" t="s">
        <v>155</v>
      </c>
      <c r="B167" s="179" t="s">
        <v>2947</v>
      </c>
      <c r="C167" s="180" t="s">
        <v>3773</v>
      </c>
      <c r="D167" s="181" t="s">
        <v>2871</v>
      </c>
      <c r="E167" s="181" t="s">
        <v>2813</v>
      </c>
      <c r="F167" s="182" t="s">
        <v>2972</v>
      </c>
      <c r="G167" s="181" t="s">
        <v>17</v>
      </c>
      <c r="H167" s="193">
        <v>45725</v>
      </c>
      <c r="I167" s="184"/>
      <c r="J167" s="179" t="s">
        <v>3774</v>
      </c>
      <c r="K167" s="179">
        <v>300</v>
      </c>
      <c r="L167" s="179" t="s">
        <v>2950</v>
      </c>
      <c r="M167" s="185"/>
      <c r="N167" s="185"/>
      <c r="O167" s="179" t="s">
        <v>2951</v>
      </c>
      <c r="P167" s="185" t="s">
        <v>2951</v>
      </c>
      <c r="Q167" s="182" t="s">
        <v>2934</v>
      </c>
      <c r="R167" s="182" t="s">
        <v>2933</v>
      </c>
      <c r="S167" s="182" t="s">
        <v>2952</v>
      </c>
      <c r="T167" s="179" t="s">
        <v>2999</v>
      </c>
      <c r="U167" s="179" t="s">
        <v>2954</v>
      </c>
      <c r="V167" s="179">
        <v>966</v>
      </c>
      <c r="W167" s="179" t="s">
        <v>3109</v>
      </c>
      <c r="X167" s="188">
        <v>433.06110000000001</v>
      </c>
      <c r="Y167" s="188">
        <v>193.82069999999999</v>
      </c>
      <c r="Z167" s="188">
        <v>118.98899999999999</v>
      </c>
      <c r="AA167" s="188">
        <v>117.6</v>
      </c>
      <c r="AB167" s="188">
        <v>22.035</v>
      </c>
      <c r="AC167" s="188">
        <v>38.67</v>
      </c>
      <c r="AD167" s="179" t="s">
        <v>2984</v>
      </c>
      <c r="AE167" s="188" t="s">
        <v>2940</v>
      </c>
      <c r="AF167" s="189">
        <v>0</v>
      </c>
      <c r="AG167" s="189">
        <v>0.99930555555555556</v>
      </c>
      <c r="AH167" s="190" t="s">
        <v>2941</v>
      </c>
      <c r="AI167" s="190" t="s">
        <v>2942</v>
      </c>
      <c r="AJ167" s="179" t="s">
        <v>153</v>
      </c>
      <c r="AK167" s="179" t="s">
        <v>3775</v>
      </c>
      <c r="AL167" s="179" t="s">
        <v>9</v>
      </c>
      <c r="AM167" s="179" t="s">
        <v>3488</v>
      </c>
      <c r="AN167" s="179" t="s">
        <v>2102</v>
      </c>
      <c r="AO167" s="179" t="s">
        <v>2538</v>
      </c>
      <c r="AP167" s="191">
        <v>81139004569</v>
      </c>
      <c r="AQ167" s="184">
        <v>41333</v>
      </c>
      <c r="AR167" s="179">
        <v>162</v>
      </c>
      <c r="AS167" s="179"/>
      <c r="AT167" s="181" t="s">
        <v>3776</v>
      </c>
      <c r="AU167" s="181" t="s">
        <v>2946</v>
      </c>
      <c r="AV167" s="192">
        <v>13875895</v>
      </c>
      <c r="AW167" s="181">
        <v>40.299999999999997</v>
      </c>
      <c r="AX167" s="179">
        <v>80361</v>
      </c>
      <c r="AY167" s="179"/>
    </row>
    <row r="168" spans="1:51" ht="14.4" x14ac:dyDescent="0.3">
      <c r="A168" s="179" t="s">
        <v>1855</v>
      </c>
      <c r="B168" s="179" t="s">
        <v>2947</v>
      </c>
      <c r="C168" s="180" t="s">
        <v>3777</v>
      </c>
      <c r="D168" s="181" t="s">
        <v>2851</v>
      </c>
      <c r="E168" s="181" t="s">
        <v>2817</v>
      </c>
      <c r="F168" s="182" t="s">
        <v>2972</v>
      </c>
      <c r="G168" s="181" t="s">
        <v>17</v>
      </c>
      <c r="H168" s="193">
        <v>45550</v>
      </c>
      <c r="I168" s="184"/>
      <c r="J168" s="179" t="s">
        <v>3732</v>
      </c>
      <c r="K168" s="179">
        <v>50</v>
      </c>
      <c r="L168" s="179" t="s">
        <v>2965</v>
      </c>
      <c r="M168" s="185"/>
      <c r="N168" s="185"/>
      <c r="O168" s="179" t="s">
        <v>2951</v>
      </c>
      <c r="P168" s="185"/>
      <c r="Q168" s="182" t="s">
        <v>2933</v>
      </c>
      <c r="R168" s="182" t="s">
        <v>2934</v>
      </c>
      <c r="S168" s="182" t="s">
        <v>2952</v>
      </c>
      <c r="T168" s="179" t="s">
        <v>2999</v>
      </c>
      <c r="U168" s="179" t="s">
        <v>2954</v>
      </c>
      <c r="V168" s="187">
        <v>612</v>
      </c>
      <c r="W168" s="179" t="s">
        <v>3778</v>
      </c>
      <c r="X168" s="188">
        <v>288.9348</v>
      </c>
      <c r="Y168" s="188">
        <v>171.21720000000002</v>
      </c>
      <c r="Z168" s="188">
        <v>111.39239999999999</v>
      </c>
      <c r="AA168" s="188">
        <v>89.399999999999991</v>
      </c>
      <c r="AB168" s="188">
        <v>11.622</v>
      </c>
      <c r="AC168" s="188">
        <v>36.358400000000003</v>
      </c>
      <c r="AD168" s="179" t="s">
        <v>2984</v>
      </c>
      <c r="AE168" s="188" t="s">
        <v>2940</v>
      </c>
      <c r="AF168" s="189">
        <v>0</v>
      </c>
      <c r="AG168" s="189">
        <v>0.99930555555555556</v>
      </c>
      <c r="AH168" s="190" t="s">
        <v>2941</v>
      </c>
      <c r="AI168" s="190" t="s">
        <v>2942</v>
      </c>
      <c r="AJ168" s="179" t="s">
        <v>125</v>
      </c>
      <c r="AK168" s="179" t="s">
        <v>3293</v>
      </c>
      <c r="AL168" s="179" t="s">
        <v>9</v>
      </c>
      <c r="AM168" s="179" t="s">
        <v>3779</v>
      </c>
      <c r="AN168" s="179" t="s">
        <v>2102</v>
      </c>
      <c r="AO168" s="179" t="s">
        <v>2622</v>
      </c>
      <c r="AP168" s="191">
        <v>81139000797</v>
      </c>
      <c r="AQ168" s="184">
        <v>41344</v>
      </c>
      <c r="AR168" s="179">
        <v>161</v>
      </c>
      <c r="AS168" s="179"/>
      <c r="AT168" s="181" t="s">
        <v>3780</v>
      </c>
      <c r="AU168" s="181" t="s">
        <v>2946</v>
      </c>
      <c r="AV168" s="192">
        <v>24387911</v>
      </c>
      <c r="AW168" s="181">
        <v>25.6</v>
      </c>
      <c r="AX168" s="179">
        <v>80361</v>
      </c>
      <c r="AY168" s="179"/>
    </row>
    <row r="169" spans="1:51" ht="14.4" x14ac:dyDescent="0.3">
      <c r="A169" s="179" t="s">
        <v>1575</v>
      </c>
      <c r="B169" s="179" t="s">
        <v>2947</v>
      </c>
      <c r="C169" s="180" t="s">
        <v>3781</v>
      </c>
      <c r="D169" s="181" t="s">
        <v>2865</v>
      </c>
      <c r="E169" s="181" t="s">
        <v>2817</v>
      </c>
      <c r="F169" s="182" t="s">
        <v>2972</v>
      </c>
      <c r="G169" s="181" t="s">
        <v>17</v>
      </c>
      <c r="H169" s="193">
        <v>45821</v>
      </c>
      <c r="I169" s="193">
        <v>45821</v>
      </c>
      <c r="J169" s="179" t="s">
        <v>3782</v>
      </c>
      <c r="K169" s="179">
        <v>220</v>
      </c>
      <c r="L169" s="179" t="s">
        <v>2950</v>
      </c>
      <c r="M169" s="185"/>
      <c r="N169" s="185"/>
      <c r="O169" s="186"/>
      <c r="P169" s="185" t="s">
        <v>2951</v>
      </c>
      <c r="Q169" s="182" t="s">
        <v>2933</v>
      </c>
      <c r="R169" s="182" t="s">
        <v>2934</v>
      </c>
      <c r="S169" s="182" t="s">
        <v>2952</v>
      </c>
      <c r="T169" s="179" t="s">
        <v>2999</v>
      </c>
      <c r="U169" s="179" t="s">
        <v>2954</v>
      </c>
      <c r="V169" s="187">
        <v>0</v>
      </c>
      <c r="W169" s="179" t="s">
        <v>3783</v>
      </c>
      <c r="X169" s="188">
        <v>194.86950000000002</v>
      </c>
      <c r="Y169" s="188">
        <v>137.685</v>
      </c>
      <c r="Z169" s="188">
        <v>90.87</v>
      </c>
      <c r="AA169" s="188">
        <v>42.951000000000001</v>
      </c>
      <c r="AB169" s="188">
        <v>9.65</v>
      </c>
      <c r="AC169" s="188">
        <v>24.486000000000001</v>
      </c>
      <c r="AD169" s="179" t="s">
        <v>2939</v>
      </c>
      <c r="AE169" s="188" t="s">
        <v>2940</v>
      </c>
      <c r="AF169" s="189">
        <v>0</v>
      </c>
      <c r="AG169" s="189">
        <v>0.99930555555555556</v>
      </c>
      <c r="AH169" s="190" t="s">
        <v>2941</v>
      </c>
      <c r="AI169" s="190" t="s">
        <v>2942</v>
      </c>
      <c r="AJ169" s="179" t="s">
        <v>131</v>
      </c>
      <c r="AK169" s="179" t="s">
        <v>3293</v>
      </c>
      <c r="AL169" s="179" t="s">
        <v>9</v>
      </c>
      <c r="AM169" s="179" t="s">
        <v>3784</v>
      </c>
      <c r="AN169" s="179" t="s">
        <v>2102</v>
      </c>
      <c r="AO169" s="179" t="s">
        <v>2512</v>
      </c>
      <c r="AP169" s="191">
        <v>81139006286</v>
      </c>
      <c r="AQ169" s="184">
        <v>41391</v>
      </c>
      <c r="AR169" s="179">
        <v>160</v>
      </c>
      <c r="AS169" s="179"/>
      <c r="AT169" s="181" t="s">
        <v>3785</v>
      </c>
      <c r="AU169" s="181" t="s">
        <v>2946</v>
      </c>
      <c r="AV169" s="192">
        <v>26537200</v>
      </c>
      <c r="AW169" s="181">
        <v>25.3</v>
      </c>
      <c r="AX169" s="179">
        <v>80361</v>
      </c>
      <c r="AY169" s="179"/>
    </row>
    <row r="170" spans="1:51" ht="14.4" x14ac:dyDescent="0.3">
      <c r="A170" s="179" t="s">
        <v>760</v>
      </c>
      <c r="B170" s="179" t="s">
        <v>2947</v>
      </c>
      <c r="C170" s="180" t="s">
        <v>3786</v>
      </c>
      <c r="D170" s="181" t="s">
        <v>2871</v>
      </c>
      <c r="E170" s="181" t="s">
        <v>2813</v>
      </c>
      <c r="F170" s="182" t="s">
        <v>2972</v>
      </c>
      <c r="G170" s="181" t="s">
        <v>17</v>
      </c>
      <c r="H170" s="193">
        <v>45867</v>
      </c>
      <c r="I170" s="184">
        <v>45867</v>
      </c>
      <c r="J170" s="179" t="s">
        <v>3787</v>
      </c>
      <c r="K170" s="179">
        <v>31</v>
      </c>
      <c r="L170" s="179" t="s">
        <v>2965</v>
      </c>
      <c r="M170" s="185"/>
      <c r="N170" s="185"/>
      <c r="O170" s="186"/>
      <c r="P170" s="185"/>
      <c r="Q170" s="182" t="s">
        <v>2933</v>
      </c>
      <c r="R170" s="182" t="s">
        <v>2934</v>
      </c>
      <c r="S170" s="182" t="s">
        <v>2952</v>
      </c>
      <c r="T170" s="179" t="s">
        <v>2953</v>
      </c>
      <c r="U170" s="179" t="s">
        <v>2954</v>
      </c>
      <c r="V170" s="187">
        <v>720</v>
      </c>
      <c r="W170" s="179" t="s">
        <v>3788</v>
      </c>
      <c r="X170" s="188">
        <v>271.40650000000005</v>
      </c>
      <c r="Y170" s="188">
        <v>132.86000000000001</v>
      </c>
      <c r="Z170" s="188">
        <v>92.906200000000013</v>
      </c>
      <c r="AA170" s="188">
        <v>94.447800000000001</v>
      </c>
      <c r="AB170" s="188">
        <v>16.475000000000001</v>
      </c>
      <c r="AC170" s="188">
        <v>131.74700000000001</v>
      </c>
      <c r="AD170" s="179" t="s">
        <v>2956</v>
      </c>
      <c r="AE170" s="188" t="s">
        <v>2957</v>
      </c>
      <c r="AF170" s="189">
        <v>0</v>
      </c>
      <c r="AG170" s="189">
        <v>0.99930555555555556</v>
      </c>
      <c r="AH170" s="190" t="s">
        <v>2941</v>
      </c>
      <c r="AI170" s="190" t="s">
        <v>2942</v>
      </c>
      <c r="AJ170" s="179" t="s">
        <v>131</v>
      </c>
      <c r="AK170" s="179" t="s">
        <v>3293</v>
      </c>
      <c r="AL170" s="179" t="s">
        <v>9</v>
      </c>
      <c r="AM170" s="179" t="s">
        <v>3789</v>
      </c>
      <c r="AN170" s="179" t="s">
        <v>2102</v>
      </c>
      <c r="AO170" s="179" t="s">
        <v>2726</v>
      </c>
      <c r="AP170" s="191">
        <v>81139001986</v>
      </c>
      <c r="AQ170" s="184">
        <v>41415</v>
      </c>
      <c r="AR170" s="179">
        <v>159</v>
      </c>
      <c r="AS170" s="179"/>
      <c r="AT170" s="181" t="s">
        <v>3790</v>
      </c>
      <c r="AU170" s="181" t="s">
        <v>2946</v>
      </c>
      <c r="AV170" s="192">
        <v>17600246</v>
      </c>
      <c r="AW170" s="181">
        <v>42</v>
      </c>
      <c r="AX170" s="179">
        <v>80361</v>
      </c>
      <c r="AY170" s="179"/>
    </row>
    <row r="171" spans="1:51" ht="14.4" x14ac:dyDescent="0.3">
      <c r="A171" s="179" t="s">
        <v>685</v>
      </c>
      <c r="B171" s="179" t="s">
        <v>2947</v>
      </c>
      <c r="C171" s="180" t="s">
        <v>3791</v>
      </c>
      <c r="D171" s="181" t="s">
        <v>2871</v>
      </c>
      <c r="E171" s="181" t="s">
        <v>2813</v>
      </c>
      <c r="F171" s="182" t="s">
        <v>2972</v>
      </c>
      <c r="G171" s="181" t="s">
        <v>17</v>
      </c>
      <c r="H171" s="193">
        <v>45087</v>
      </c>
      <c r="I171" s="184"/>
      <c r="J171" s="179" t="s">
        <v>3792</v>
      </c>
      <c r="K171" s="179">
        <v>795</v>
      </c>
      <c r="L171" s="179" t="s">
        <v>3026</v>
      </c>
      <c r="M171" s="185"/>
      <c r="N171" s="185"/>
      <c r="O171" s="179" t="s">
        <v>2951</v>
      </c>
      <c r="P171" s="185" t="s">
        <v>2951</v>
      </c>
      <c r="Q171" s="182" t="s">
        <v>2933</v>
      </c>
      <c r="R171" s="182" t="s">
        <v>2934</v>
      </c>
      <c r="S171" s="182" t="s">
        <v>2952</v>
      </c>
      <c r="T171" s="179" t="s">
        <v>2999</v>
      </c>
      <c r="U171" s="179" t="s">
        <v>2954</v>
      </c>
      <c r="V171" s="179">
        <v>521</v>
      </c>
      <c r="W171" s="179" t="s">
        <v>3109</v>
      </c>
      <c r="X171" s="188">
        <v>550.1232</v>
      </c>
      <c r="Y171" s="188">
        <v>340.65600000000001</v>
      </c>
      <c r="Z171" s="188">
        <v>176.19450000000001</v>
      </c>
      <c r="AA171" s="188">
        <v>180.70519999999999</v>
      </c>
      <c r="AB171" s="188">
        <v>54.07950000000001</v>
      </c>
      <c r="AC171" s="188">
        <v>74.001900000000006</v>
      </c>
      <c r="AD171" s="179" t="s">
        <v>2956</v>
      </c>
      <c r="AE171" s="188" t="s">
        <v>2940</v>
      </c>
      <c r="AF171" s="189">
        <v>0</v>
      </c>
      <c r="AG171" s="189">
        <v>0.99930555555555556</v>
      </c>
      <c r="AH171" s="190" t="s">
        <v>2941</v>
      </c>
      <c r="AI171" s="190" t="s">
        <v>2942</v>
      </c>
      <c r="AJ171" s="179" t="s">
        <v>131</v>
      </c>
      <c r="AK171" s="179" t="s">
        <v>3293</v>
      </c>
      <c r="AL171" s="179" t="s">
        <v>9</v>
      </c>
      <c r="AM171" s="179" t="s">
        <v>3793</v>
      </c>
      <c r="AN171" s="179" t="s">
        <v>2102</v>
      </c>
      <c r="AO171" s="179" t="s">
        <v>2725</v>
      </c>
      <c r="AP171" s="191">
        <v>81139004570</v>
      </c>
      <c r="AQ171" s="184">
        <v>41425</v>
      </c>
      <c r="AR171" s="179">
        <v>158</v>
      </c>
      <c r="AS171" s="179"/>
      <c r="AT171" s="181"/>
      <c r="AU171" s="181"/>
      <c r="AV171" s="192">
        <v>28405318</v>
      </c>
      <c r="AW171" s="181">
        <v>32.700000000000003</v>
      </c>
      <c r="AX171" s="179">
        <v>80361</v>
      </c>
      <c r="AY171" s="179"/>
    </row>
    <row r="172" spans="1:51" ht="14.4" x14ac:dyDescent="0.3">
      <c r="A172" s="179" t="s">
        <v>1096</v>
      </c>
      <c r="B172" s="179" t="s">
        <v>2947</v>
      </c>
      <c r="C172" s="180" t="s">
        <v>3794</v>
      </c>
      <c r="D172" s="181" t="s">
        <v>2851</v>
      </c>
      <c r="E172" s="181" t="s">
        <v>2817</v>
      </c>
      <c r="F172" s="182" t="s">
        <v>2972</v>
      </c>
      <c r="G172" s="181" t="s">
        <v>17</v>
      </c>
      <c r="H172" s="193">
        <v>45992</v>
      </c>
      <c r="I172" s="193"/>
      <c r="J172" s="179" t="s">
        <v>3795</v>
      </c>
      <c r="K172" s="179">
        <v>50</v>
      </c>
      <c r="L172" s="179" t="s">
        <v>2965</v>
      </c>
      <c r="M172" s="185"/>
      <c r="N172" s="185"/>
      <c r="O172" s="179" t="s">
        <v>2951</v>
      </c>
      <c r="P172" s="185"/>
      <c r="Q172" s="182" t="s">
        <v>2933</v>
      </c>
      <c r="R172" s="182" t="s">
        <v>2934</v>
      </c>
      <c r="S172" s="182" t="s">
        <v>2952</v>
      </c>
      <c r="T172" s="179" t="s">
        <v>2953</v>
      </c>
      <c r="U172" s="179" t="s">
        <v>2954</v>
      </c>
      <c r="V172" s="187">
        <v>921</v>
      </c>
      <c r="W172" s="179" t="s">
        <v>3549</v>
      </c>
      <c r="X172" s="188">
        <v>346.38240000000002</v>
      </c>
      <c r="Y172" s="188">
        <v>185.61269999999999</v>
      </c>
      <c r="Z172" s="188">
        <v>127.98719999999999</v>
      </c>
      <c r="AA172" s="188">
        <v>147.875</v>
      </c>
      <c r="AB172" s="188">
        <v>16.561999999999998</v>
      </c>
      <c r="AC172" s="188">
        <v>70.741</v>
      </c>
      <c r="AD172" s="179" t="s">
        <v>2956</v>
      </c>
      <c r="AE172" s="188" t="s">
        <v>2957</v>
      </c>
      <c r="AF172" s="189">
        <v>0</v>
      </c>
      <c r="AG172" s="189">
        <v>0.99930555555555556</v>
      </c>
      <c r="AH172" s="190" t="s">
        <v>2941</v>
      </c>
      <c r="AI172" s="190" t="s">
        <v>2942</v>
      </c>
      <c r="AJ172" s="179" t="s">
        <v>131</v>
      </c>
      <c r="AK172" s="179" t="s">
        <v>3293</v>
      </c>
      <c r="AL172" s="179" t="s">
        <v>9</v>
      </c>
      <c r="AM172" s="179" t="s">
        <v>3793</v>
      </c>
      <c r="AN172" s="179" t="s">
        <v>2102</v>
      </c>
      <c r="AO172" s="179" t="s">
        <v>2588</v>
      </c>
      <c r="AP172" s="191">
        <v>81139001489</v>
      </c>
      <c r="AQ172" s="184">
        <v>41425</v>
      </c>
      <c r="AR172" s="179">
        <v>158</v>
      </c>
      <c r="AS172" s="179"/>
      <c r="AT172" s="181" t="s">
        <v>3796</v>
      </c>
      <c r="AU172" s="181" t="s">
        <v>3797</v>
      </c>
      <c r="AV172" s="192">
        <v>24840949</v>
      </c>
      <c r="AW172" s="181">
        <v>25.3</v>
      </c>
      <c r="AX172" s="179">
        <v>80361</v>
      </c>
      <c r="AY172" s="179"/>
    </row>
    <row r="173" spans="1:51" ht="14.4" x14ac:dyDescent="0.3">
      <c r="A173" s="179" t="s">
        <v>1370</v>
      </c>
      <c r="B173" s="179" t="s">
        <v>2947</v>
      </c>
      <c r="C173" s="180" t="s">
        <v>3798</v>
      </c>
      <c r="D173" s="181" t="s">
        <v>2824</v>
      </c>
      <c r="E173" s="181" t="s">
        <v>2813</v>
      </c>
      <c r="F173" s="182" t="s">
        <v>2972</v>
      </c>
      <c r="G173" s="181" t="s">
        <v>17</v>
      </c>
      <c r="H173" s="193">
        <v>45667</v>
      </c>
      <c r="I173" s="184"/>
      <c r="J173" s="179" t="s">
        <v>3799</v>
      </c>
      <c r="K173" s="179">
        <v>500</v>
      </c>
      <c r="L173" s="179" t="s">
        <v>3026</v>
      </c>
      <c r="M173" s="185"/>
      <c r="N173" s="185"/>
      <c r="O173" s="179" t="s">
        <v>2951</v>
      </c>
      <c r="P173" s="185"/>
      <c r="Q173" s="182" t="s">
        <v>2934</v>
      </c>
      <c r="R173" s="182" t="s">
        <v>2933</v>
      </c>
      <c r="S173" s="182" t="s">
        <v>2952</v>
      </c>
      <c r="T173" s="179" t="s">
        <v>2999</v>
      </c>
      <c r="U173" s="179" t="s">
        <v>2954</v>
      </c>
      <c r="V173" s="187">
        <v>1341</v>
      </c>
      <c r="W173" s="179" t="s">
        <v>3140</v>
      </c>
      <c r="X173" s="188">
        <v>243.97380000000004</v>
      </c>
      <c r="Y173" s="188">
        <v>186.24690000000001</v>
      </c>
      <c r="Z173" s="188">
        <v>137.2038</v>
      </c>
      <c r="AA173" s="188">
        <v>43.379550000000002</v>
      </c>
      <c r="AB173" s="188">
        <v>13.949400000000001</v>
      </c>
      <c r="AC173" s="188">
        <v>123.6169</v>
      </c>
      <c r="AD173" s="179" t="s">
        <v>2956</v>
      </c>
      <c r="AE173" s="188" t="s">
        <v>2957</v>
      </c>
      <c r="AF173" s="189">
        <v>0</v>
      </c>
      <c r="AG173" s="189">
        <v>0.99930555555555556</v>
      </c>
      <c r="AH173" s="190" t="s">
        <v>2976</v>
      </c>
      <c r="AI173" s="190" t="s">
        <v>2985</v>
      </c>
      <c r="AJ173" s="179" t="s">
        <v>167</v>
      </c>
      <c r="AK173" s="179" t="s">
        <v>3241</v>
      </c>
      <c r="AL173" s="179" t="s">
        <v>9</v>
      </c>
      <c r="AM173" s="179" t="s">
        <v>3800</v>
      </c>
      <c r="AN173" s="179" t="s">
        <v>2102</v>
      </c>
      <c r="AO173" s="179" t="s">
        <v>2732</v>
      </c>
      <c r="AP173" s="191">
        <v>81139002232</v>
      </c>
      <c r="AQ173" s="184">
        <v>41425</v>
      </c>
      <c r="AR173" s="179">
        <v>158</v>
      </c>
      <c r="AS173" s="179"/>
      <c r="AT173" s="181" t="s">
        <v>3801</v>
      </c>
      <c r="AU173" s="181" t="s">
        <v>2946</v>
      </c>
      <c r="AV173" s="192">
        <v>20231689</v>
      </c>
      <c r="AW173" s="181">
        <v>40.299999999999997</v>
      </c>
      <c r="AX173" s="179">
        <v>80362</v>
      </c>
      <c r="AY173" s="179"/>
    </row>
    <row r="174" spans="1:51" ht="14.4" x14ac:dyDescent="0.3">
      <c r="A174" s="179" t="s">
        <v>1231</v>
      </c>
      <c r="B174" s="179" t="s">
        <v>2947</v>
      </c>
      <c r="C174" s="180" t="s">
        <v>3802</v>
      </c>
      <c r="D174" s="181" t="s">
        <v>2838</v>
      </c>
      <c r="E174" s="181" t="s">
        <v>2830</v>
      </c>
      <c r="F174" s="182" t="s">
        <v>2972</v>
      </c>
      <c r="G174" s="181" t="s">
        <v>17</v>
      </c>
      <c r="H174" s="193">
        <v>45725</v>
      </c>
      <c r="I174" s="184"/>
      <c r="J174" s="179" t="s">
        <v>3803</v>
      </c>
      <c r="K174" s="179">
        <v>350</v>
      </c>
      <c r="L174" s="179" t="s">
        <v>2950</v>
      </c>
      <c r="M174" s="185"/>
      <c r="N174" s="185"/>
      <c r="O174" s="179" t="s">
        <v>2951</v>
      </c>
      <c r="P174" s="185"/>
      <c r="Q174" s="182" t="s">
        <v>2933</v>
      </c>
      <c r="R174" s="182" t="s">
        <v>2934</v>
      </c>
      <c r="S174" s="182" t="s">
        <v>2952</v>
      </c>
      <c r="T174" s="179" t="s">
        <v>2953</v>
      </c>
      <c r="U174" s="179" t="s">
        <v>2954</v>
      </c>
      <c r="V174" s="187">
        <v>1511</v>
      </c>
      <c r="W174" s="179" t="s">
        <v>3140</v>
      </c>
      <c r="X174" s="188">
        <v>317.18240000000003</v>
      </c>
      <c r="Y174" s="188">
        <v>174.50820000000002</v>
      </c>
      <c r="Z174" s="188">
        <v>150.91050000000001</v>
      </c>
      <c r="AA174" s="188">
        <v>108.94200000000001</v>
      </c>
      <c r="AB174" s="188">
        <v>11.879200000000001</v>
      </c>
      <c r="AC174" s="188">
        <v>150.91050000000001</v>
      </c>
      <c r="AD174" s="179" t="s">
        <v>2956</v>
      </c>
      <c r="AE174" s="188" t="s">
        <v>2957</v>
      </c>
      <c r="AF174" s="189">
        <v>0.29166666666666669</v>
      </c>
      <c r="AG174" s="189">
        <v>0.95833333333333337</v>
      </c>
      <c r="AH174" s="190" t="s">
        <v>2941</v>
      </c>
      <c r="AI174" s="190" t="s">
        <v>2942</v>
      </c>
      <c r="AJ174" s="179" t="s">
        <v>663</v>
      </c>
      <c r="AK174" s="179" t="s">
        <v>3229</v>
      </c>
      <c r="AL174" s="179" t="s">
        <v>9</v>
      </c>
      <c r="AM174" s="179" t="s">
        <v>3804</v>
      </c>
      <c r="AN174" s="179" t="s">
        <v>2102</v>
      </c>
      <c r="AO174" s="179" t="s">
        <v>2761</v>
      </c>
      <c r="AP174" s="191">
        <v>81139008246</v>
      </c>
      <c r="AQ174" s="184">
        <v>41448</v>
      </c>
      <c r="AR174" s="179">
        <v>158</v>
      </c>
      <c r="AS174" s="179"/>
      <c r="AT174" s="181" t="s">
        <v>3805</v>
      </c>
      <c r="AU174" s="181" t="s">
        <v>3806</v>
      </c>
      <c r="AV174" s="192">
        <v>17470124</v>
      </c>
      <c r="AW174" s="181">
        <v>13.2</v>
      </c>
      <c r="AX174" s="179">
        <v>80352</v>
      </c>
      <c r="AY174" s="179"/>
    </row>
    <row r="175" spans="1:51" ht="14.4" x14ac:dyDescent="0.3">
      <c r="A175" s="179" t="s">
        <v>775</v>
      </c>
      <c r="B175" s="179" t="s">
        <v>2947</v>
      </c>
      <c r="C175" s="180" t="s">
        <v>3807</v>
      </c>
      <c r="D175" s="181" t="s">
        <v>2859</v>
      </c>
      <c r="E175" s="181" t="s">
        <v>2815</v>
      </c>
      <c r="F175" s="182" t="s">
        <v>2929</v>
      </c>
      <c r="G175" s="181" t="s">
        <v>12</v>
      </c>
      <c r="H175" s="193">
        <v>43890</v>
      </c>
      <c r="I175" s="184">
        <v>43890</v>
      </c>
      <c r="J175" s="179" t="s">
        <v>3808</v>
      </c>
      <c r="K175" s="179">
        <v>270</v>
      </c>
      <c r="L175" s="179" t="s">
        <v>2950</v>
      </c>
      <c r="M175" s="185"/>
      <c r="N175" s="185"/>
      <c r="O175" s="186"/>
      <c r="P175" s="185"/>
      <c r="Q175" s="182" t="s">
        <v>2933</v>
      </c>
      <c r="R175" s="182" t="s">
        <v>2934</v>
      </c>
      <c r="S175" s="182" t="s">
        <v>2952</v>
      </c>
      <c r="T175" s="179" t="s">
        <v>2953</v>
      </c>
      <c r="U175" s="179" t="s">
        <v>2954</v>
      </c>
      <c r="V175" s="187">
        <v>1035</v>
      </c>
      <c r="W175" s="179" t="s">
        <v>3657</v>
      </c>
      <c r="X175" s="188">
        <v>244.04850000000002</v>
      </c>
      <c r="Y175" s="188">
        <v>152.30199999999999</v>
      </c>
      <c r="Z175" s="188">
        <v>91.43119999999999</v>
      </c>
      <c r="AA175" s="188">
        <v>63.1935</v>
      </c>
      <c r="AB175" s="188">
        <v>11.5154</v>
      </c>
      <c r="AC175" s="188">
        <v>30.544800000000002</v>
      </c>
      <c r="AD175" s="179" t="s">
        <v>2984</v>
      </c>
      <c r="AE175" s="188" t="s">
        <v>2940</v>
      </c>
      <c r="AF175" s="189">
        <v>0.29166666666666669</v>
      </c>
      <c r="AG175" s="189">
        <v>0.95833333333333337</v>
      </c>
      <c r="AH175" s="190" t="s">
        <v>2941</v>
      </c>
      <c r="AI175" s="190" t="s">
        <v>2985</v>
      </c>
      <c r="AJ175" s="179" t="s">
        <v>322</v>
      </c>
      <c r="AK175" s="179" t="s">
        <v>3110</v>
      </c>
      <c r="AL175" s="179" t="s">
        <v>28</v>
      </c>
      <c r="AM175" s="179" t="s">
        <v>3809</v>
      </c>
      <c r="AN175" s="179" t="s">
        <v>2102</v>
      </c>
      <c r="AO175" s="179" t="s">
        <v>2428</v>
      </c>
      <c r="AP175" s="191">
        <v>81139001304</v>
      </c>
      <c r="AQ175" s="184">
        <v>41453</v>
      </c>
      <c r="AR175" s="179">
        <v>158</v>
      </c>
      <c r="AS175" s="179"/>
      <c r="AT175" s="181" t="s">
        <v>3810</v>
      </c>
      <c r="AU175" s="181" t="s">
        <v>3811</v>
      </c>
      <c r="AV175" s="192">
        <v>12970729</v>
      </c>
      <c r="AW175" s="181">
        <v>23</v>
      </c>
      <c r="AX175" s="179">
        <v>80581</v>
      </c>
      <c r="AY175" s="179"/>
    </row>
    <row r="176" spans="1:51" ht="14.4" x14ac:dyDescent="0.3">
      <c r="A176" s="179" t="s">
        <v>911</v>
      </c>
      <c r="B176" s="179" t="s">
        <v>2947</v>
      </c>
      <c r="C176" s="180" t="s">
        <v>3812</v>
      </c>
      <c r="D176" s="181" t="s">
        <v>2823</v>
      </c>
      <c r="E176" s="181" t="s">
        <v>2819</v>
      </c>
      <c r="F176" s="182" t="s">
        <v>2929</v>
      </c>
      <c r="G176" s="181" t="s">
        <v>12</v>
      </c>
      <c r="H176" s="193">
        <v>44060</v>
      </c>
      <c r="I176" s="184">
        <v>44060</v>
      </c>
      <c r="J176" s="179" t="s">
        <v>3813</v>
      </c>
      <c r="K176" s="179">
        <v>110</v>
      </c>
      <c r="L176" s="179" t="s">
        <v>2950</v>
      </c>
      <c r="M176" s="185"/>
      <c r="N176" s="185"/>
      <c r="O176" s="186"/>
      <c r="P176" s="185"/>
      <c r="Q176" s="182" t="s">
        <v>2934</v>
      </c>
      <c r="R176" s="182" t="s">
        <v>2933</v>
      </c>
      <c r="S176" s="182" t="s">
        <v>2952</v>
      </c>
      <c r="T176" s="179" t="s">
        <v>2953</v>
      </c>
      <c r="U176" s="179" t="s">
        <v>2954</v>
      </c>
      <c r="V176" s="179">
        <v>1532</v>
      </c>
      <c r="W176" s="179" t="s">
        <v>3093</v>
      </c>
      <c r="X176" s="188">
        <v>222.71999999999997</v>
      </c>
      <c r="Y176" s="188">
        <v>162.72</v>
      </c>
      <c r="Z176" s="188">
        <v>103.4796</v>
      </c>
      <c r="AA176" s="188">
        <v>51.464700000000001</v>
      </c>
      <c r="AB176" s="188">
        <v>3.2080000000000002</v>
      </c>
      <c r="AC176" s="188">
        <v>42.857100000000003</v>
      </c>
      <c r="AD176" s="179" t="s">
        <v>2984</v>
      </c>
      <c r="AE176" s="188" t="s">
        <v>2940</v>
      </c>
      <c r="AF176" s="189">
        <v>0.29166666666666669</v>
      </c>
      <c r="AG176" s="189">
        <v>0.95833333333333337</v>
      </c>
      <c r="AH176" s="190" t="s">
        <v>2941</v>
      </c>
      <c r="AI176" s="190" t="s">
        <v>2942</v>
      </c>
      <c r="AJ176" s="179" t="s">
        <v>909</v>
      </c>
      <c r="AK176" s="179" t="s">
        <v>2977</v>
      </c>
      <c r="AL176" s="179" t="s">
        <v>9</v>
      </c>
      <c r="AM176" s="179" t="s">
        <v>3814</v>
      </c>
      <c r="AN176" s="179" t="s">
        <v>2102</v>
      </c>
      <c r="AO176" s="179" t="s">
        <v>2497</v>
      </c>
      <c r="AP176" s="191">
        <v>81139001388</v>
      </c>
      <c r="AQ176" s="184">
        <v>41455</v>
      </c>
      <c r="AR176" s="179">
        <v>157</v>
      </c>
      <c r="AS176" s="179"/>
      <c r="AT176" s="181" t="s">
        <v>3815</v>
      </c>
      <c r="AU176" s="181" t="s">
        <v>2946</v>
      </c>
      <c r="AV176" s="192">
        <v>15981836</v>
      </c>
      <c r="AW176" s="181">
        <v>23.1</v>
      </c>
      <c r="AX176" s="179">
        <v>80363</v>
      </c>
      <c r="AY176" s="179"/>
    </row>
    <row r="177" spans="1:51" ht="14.4" x14ac:dyDescent="0.3">
      <c r="A177" s="179" t="s">
        <v>1072</v>
      </c>
      <c r="B177" s="179" t="s">
        <v>2947</v>
      </c>
      <c r="C177" s="180" t="s">
        <v>3816</v>
      </c>
      <c r="D177" s="181" t="s">
        <v>2823</v>
      </c>
      <c r="E177" s="181" t="s">
        <v>2819</v>
      </c>
      <c r="F177" s="182" t="s">
        <v>2929</v>
      </c>
      <c r="G177" s="181" t="s">
        <v>12</v>
      </c>
      <c r="H177" s="193" t="s">
        <v>2930</v>
      </c>
      <c r="I177" s="184" t="s">
        <v>2930</v>
      </c>
      <c r="J177" s="179" t="s">
        <v>3817</v>
      </c>
      <c r="K177" s="179">
        <v>26</v>
      </c>
      <c r="L177" s="179" t="s">
        <v>2965</v>
      </c>
      <c r="M177" s="185"/>
      <c r="N177" s="185"/>
      <c r="O177" s="186"/>
      <c r="P177" s="185"/>
      <c r="Q177" s="182" t="s">
        <v>2934</v>
      </c>
      <c r="R177" s="182" t="s">
        <v>2933</v>
      </c>
      <c r="S177" s="182" t="s">
        <v>2952</v>
      </c>
      <c r="T177" s="179" t="s">
        <v>2953</v>
      </c>
      <c r="U177" s="179" t="s">
        <v>2954</v>
      </c>
      <c r="V177" s="179">
        <v>994</v>
      </c>
      <c r="W177" s="179" t="s">
        <v>3818</v>
      </c>
      <c r="X177" s="188">
        <v>134.53440000000001</v>
      </c>
      <c r="Y177" s="188">
        <v>80.290000000000006</v>
      </c>
      <c r="Z177" s="188">
        <v>56</v>
      </c>
      <c r="AA177" s="188">
        <v>74.69</v>
      </c>
      <c r="AB177" s="188">
        <v>0</v>
      </c>
      <c r="AC177" s="188">
        <v>15.47</v>
      </c>
      <c r="AD177" s="179" t="s">
        <v>2939</v>
      </c>
      <c r="AE177" s="188" t="s">
        <v>2940</v>
      </c>
      <c r="AF177" s="189">
        <v>0.29166666666666669</v>
      </c>
      <c r="AG177" s="189">
        <v>0.91666666666666663</v>
      </c>
      <c r="AH177" s="190" t="s">
        <v>2941</v>
      </c>
      <c r="AI177" s="190" t="s">
        <v>2942</v>
      </c>
      <c r="AJ177" s="179" t="s">
        <v>805</v>
      </c>
      <c r="AK177" s="179" t="s">
        <v>2958</v>
      </c>
      <c r="AL177" s="179" t="s">
        <v>4</v>
      </c>
      <c r="AM177" s="179" t="s">
        <v>3819</v>
      </c>
      <c r="AN177" s="179" t="s">
        <v>2102</v>
      </c>
      <c r="AO177" s="179" t="s">
        <v>2669</v>
      </c>
      <c r="AP177" s="191">
        <v>81139001402</v>
      </c>
      <c r="AQ177" s="184">
        <v>41491</v>
      </c>
      <c r="AR177" s="179">
        <v>156</v>
      </c>
      <c r="AS177" s="179"/>
      <c r="AT177" s="181" t="s">
        <v>3820</v>
      </c>
      <c r="AU177" s="181" t="s">
        <v>2946</v>
      </c>
      <c r="AV177" s="192">
        <v>7705000</v>
      </c>
      <c r="AW177" s="181">
        <v>22</v>
      </c>
      <c r="AX177" s="179">
        <v>80119</v>
      </c>
      <c r="AY177" s="179"/>
    </row>
    <row r="178" spans="1:51" ht="14.4" x14ac:dyDescent="0.3">
      <c r="A178" s="179" t="s">
        <v>631</v>
      </c>
      <c r="B178" s="179" t="s">
        <v>2947</v>
      </c>
      <c r="C178" s="180" t="s">
        <v>3821</v>
      </c>
      <c r="D178" s="181" t="s">
        <v>2842</v>
      </c>
      <c r="E178" s="181" t="s">
        <v>2834</v>
      </c>
      <c r="F178" s="182" t="s">
        <v>2972</v>
      </c>
      <c r="G178" s="181" t="s">
        <v>17</v>
      </c>
      <c r="H178" s="193">
        <v>45087</v>
      </c>
      <c r="I178" s="184"/>
      <c r="J178" s="179" t="s">
        <v>3822</v>
      </c>
      <c r="K178" s="179">
        <v>3000</v>
      </c>
      <c r="L178" s="179" t="s">
        <v>2932</v>
      </c>
      <c r="M178" s="185"/>
      <c r="N178" s="185"/>
      <c r="O178" s="179" t="s">
        <v>2951</v>
      </c>
      <c r="P178" s="185" t="s">
        <v>2951</v>
      </c>
      <c r="Q178" s="182" t="s">
        <v>2933</v>
      </c>
      <c r="R178" s="182" t="s">
        <v>3729</v>
      </c>
      <c r="S178" s="182" t="s">
        <v>2952</v>
      </c>
      <c r="T178" s="179" t="s">
        <v>2953</v>
      </c>
      <c r="U178" s="179" t="s">
        <v>2954</v>
      </c>
      <c r="V178" s="187">
        <v>1241</v>
      </c>
      <c r="W178" s="179" t="s">
        <v>3823</v>
      </c>
      <c r="X178" s="188">
        <v>271.3381</v>
      </c>
      <c r="Y178" s="188">
        <v>194.0873</v>
      </c>
      <c r="Z178" s="188">
        <v>120.309</v>
      </c>
      <c r="AA178" s="188">
        <v>49.017599999999995</v>
      </c>
      <c r="AB178" s="188">
        <v>15.164999999999999</v>
      </c>
      <c r="AC178" s="188">
        <v>37.860900000000001</v>
      </c>
      <c r="AD178" s="179" t="s">
        <v>2984</v>
      </c>
      <c r="AE178" s="188" t="s">
        <v>2940</v>
      </c>
      <c r="AF178" s="189">
        <v>0.25</v>
      </c>
      <c r="AG178" s="189">
        <v>0.95833333333333337</v>
      </c>
      <c r="AH178" s="190" t="s">
        <v>2941</v>
      </c>
      <c r="AI178" s="190" t="s">
        <v>2942</v>
      </c>
      <c r="AJ178" s="179" t="s">
        <v>629</v>
      </c>
      <c r="AK178" s="179" t="s">
        <v>3824</v>
      </c>
      <c r="AL178" s="179" t="s">
        <v>40</v>
      </c>
      <c r="AM178" s="179" t="s">
        <v>3825</v>
      </c>
      <c r="AN178" s="179" t="s">
        <v>2102</v>
      </c>
      <c r="AO178" s="179" t="s">
        <v>2784</v>
      </c>
      <c r="AP178" s="191">
        <v>8113806082</v>
      </c>
      <c r="AQ178" s="184">
        <v>41517</v>
      </c>
      <c r="AR178" s="179">
        <v>155</v>
      </c>
      <c r="AS178" s="179"/>
      <c r="AT178" s="181" t="s">
        <v>3826</v>
      </c>
      <c r="AU178" s="181" t="s">
        <v>3827</v>
      </c>
      <c r="AV178" s="192">
        <v>36059467</v>
      </c>
      <c r="AW178" s="181">
        <v>48.5</v>
      </c>
      <c r="AX178" s="179">
        <v>80871</v>
      </c>
      <c r="AY178" s="179"/>
    </row>
    <row r="179" spans="1:51" ht="14.4" x14ac:dyDescent="0.3">
      <c r="A179" s="179" t="s">
        <v>1106</v>
      </c>
      <c r="B179" s="179" t="s">
        <v>2947</v>
      </c>
      <c r="C179" s="180" t="s">
        <v>3828</v>
      </c>
      <c r="D179" s="181" t="s">
        <v>2862</v>
      </c>
      <c r="E179" s="181" t="s">
        <v>2819</v>
      </c>
      <c r="F179" s="182" t="s">
        <v>2972</v>
      </c>
      <c r="G179" s="181" t="s">
        <v>17</v>
      </c>
      <c r="H179" s="193">
        <v>45087</v>
      </c>
      <c r="I179" s="184"/>
      <c r="J179" s="179" t="s">
        <v>3829</v>
      </c>
      <c r="K179" s="179">
        <v>120</v>
      </c>
      <c r="L179" s="179" t="s">
        <v>2950</v>
      </c>
      <c r="M179" s="185"/>
      <c r="N179" s="185"/>
      <c r="O179" s="186"/>
      <c r="P179" s="185"/>
      <c r="Q179" s="182" t="s">
        <v>2934</v>
      </c>
      <c r="R179" s="182" t="s">
        <v>2933</v>
      </c>
      <c r="S179" s="182" t="s">
        <v>2952</v>
      </c>
      <c r="T179" s="179" t="s">
        <v>2953</v>
      </c>
      <c r="U179" s="179" t="s">
        <v>2954</v>
      </c>
      <c r="V179" s="179">
        <v>1303</v>
      </c>
      <c r="W179" s="179" t="s">
        <v>2938</v>
      </c>
      <c r="X179" s="188">
        <v>199.11959999999999</v>
      </c>
      <c r="Y179" s="188">
        <v>135.625</v>
      </c>
      <c r="Z179" s="188">
        <v>104.24160000000001</v>
      </c>
      <c r="AA179" s="188">
        <v>50.899200000000008</v>
      </c>
      <c r="AB179" s="188">
        <v>10.26</v>
      </c>
      <c r="AC179" s="188">
        <v>139.893</v>
      </c>
      <c r="AD179" s="179" t="s">
        <v>2956</v>
      </c>
      <c r="AE179" s="188" t="s">
        <v>2957</v>
      </c>
      <c r="AF179" s="189">
        <v>0.29166666666666669</v>
      </c>
      <c r="AG179" s="189">
        <v>0.95833333333333337</v>
      </c>
      <c r="AH179" s="190" t="s">
        <v>2941</v>
      </c>
      <c r="AI179" s="190" t="s">
        <v>2942</v>
      </c>
      <c r="AJ179" s="179" t="s">
        <v>137</v>
      </c>
      <c r="AK179" s="179" t="s">
        <v>2977</v>
      </c>
      <c r="AL179" s="179" t="s">
        <v>9</v>
      </c>
      <c r="AM179" s="179" t="s">
        <v>3830</v>
      </c>
      <c r="AN179" s="179" t="s">
        <v>2102</v>
      </c>
      <c r="AO179" s="179" t="s">
        <v>2680</v>
      </c>
      <c r="AP179" s="191">
        <v>81139001934</v>
      </c>
      <c r="AQ179" s="184">
        <v>41531</v>
      </c>
      <c r="AR179" s="179">
        <v>155</v>
      </c>
      <c r="AS179" s="179"/>
      <c r="AT179" s="181" t="s">
        <v>3277</v>
      </c>
      <c r="AU179" s="181" t="s">
        <v>3278</v>
      </c>
      <c r="AV179" s="192">
        <v>16237630</v>
      </c>
      <c r="AW179" s="181">
        <v>23.2</v>
      </c>
      <c r="AX179" s="179">
        <v>80363</v>
      </c>
      <c r="AY179" s="179"/>
    </row>
    <row r="180" spans="1:51" ht="14.4" x14ac:dyDescent="0.3">
      <c r="A180" s="179" t="s">
        <v>813</v>
      </c>
      <c r="B180" s="179" t="s">
        <v>2947</v>
      </c>
      <c r="C180" s="180" t="s">
        <v>3831</v>
      </c>
      <c r="D180" s="181" t="s">
        <v>2876</v>
      </c>
      <c r="E180" s="181" t="s">
        <v>2867</v>
      </c>
      <c r="F180" s="182" t="s">
        <v>2972</v>
      </c>
      <c r="G180" s="181" t="s">
        <v>17</v>
      </c>
      <c r="H180" s="193">
        <v>45087</v>
      </c>
      <c r="I180" s="184"/>
      <c r="J180" s="179" t="s">
        <v>3832</v>
      </c>
      <c r="K180" s="179">
        <v>56</v>
      </c>
      <c r="L180" s="179" t="s">
        <v>2965</v>
      </c>
      <c r="M180" s="181" t="s">
        <v>3164</v>
      </c>
      <c r="N180" s="185"/>
      <c r="O180" s="179" t="s">
        <v>2951</v>
      </c>
      <c r="P180" s="185"/>
      <c r="Q180" s="182" t="s">
        <v>2933</v>
      </c>
      <c r="R180" s="182" t="s">
        <v>2998</v>
      </c>
      <c r="S180" s="182" t="s">
        <v>2952</v>
      </c>
      <c r="T180" s="179" t="s">
        <v>2974</v>
      </c>
      <c r="U180" s="179" t="s">
        <v>2954</v>
      </c>
      <c r="V180" s="179">
        <v>1786</v>
      </c>
      <c r="W180" s="179" t="s">
        <v>2955</v>
      </c>
      <c r="X180" s="188">
        <v>376.77080000000001</v>
      </c>
      <c r="Y180" s="188">
        <v>256.85199999999998</v>
      </c>
      <c r="Z180" s="188">
        <v>155.428</v>
      </c>
      <c r="AA180" s="188">
        <v>95.87700000000001</v>
      </c>
      <c r="AB180" s="188">
        <v>23.774999999999999</v>
      </c>
      <c r="AC180" s="188">
        <v>48.964500000000001</v>
      </c>
      <c r="AD180" s="179" t="s">
        <v>2984</v>
      </c>
      <c r="AE180" s="188" t="s">
        <v>2940</v>
      </c>
      <c r="AF180" s="189">
        <v>0</v>
      </c>
      <c r="AG180" s="189">
        <v>0.99930555555555556</v>
      </c>
      <c r="AH180" s="190" t="s">
        <v>2976</v>
      </c>
      <c r="AI180" s="190" t="s">
        <v>2985</v>
      </c>
      <c r="AJ180" s="179" t="s">
        <v>210</v>
      </c>
      <c r="AK180" s="179" t="s">
        <v>3241</v>
      </c>
      <c r="AL180" s="179" t="s">
        <v>9</v>
      </c>
      <c r="AM180" s="179" t="s">
        <v>3833</v>
      </c>
      <c r="AN180" s="179" t="s">
        <v>2102</v>
      </c>
      <c r="AO180" s="179" t="s">
        <v>2607</v>
      </c>
      <c r="AP180" s="191">
        <v>81139001971</v>
      </c>
      <c r="AQ180" s="184">
        <v>41538</v>
      </c>
      <c r="AR180" s="179">
        <v>155</v>
      </c>
      <c r="AS180" s="179"/>
      <c r="AT180" s="181"/>
      <c r="AU180" s="181"/>
      <c r="AV180" s="192">
        <v>25051301</v>
      </c>
      <c r="AW180" s="181">
        <v>44.3</v>
      </c>
      <c r="AX180" s="179">
        <v>80362</v>
      </c>
      <c r="AY180" s="179"/>
    </row>
    <row r="181" spans="1:51" ht="14.4" x14ac:dyDescent="0.3">
      <c r="A181" s="179" t="s">
        <v>1346</v>
      </c>
      <c r="B181" s="179" t="s">
        <v>2947</v>
      </c>
      <c r="C181" s="180" t="s">
        <v>3834</v>
      </c>
      <c r="D181" s="181" t="s">
        <v>2863</v>
      </c>
      <c r="E181" s="181" t="s">
        <v>2813</v>
      </c>
      <c r="F181" s="182" t="s">
        <v>2929</v>
      </c>
      <c r="G181" s="181" t="s">
        <v>12</v>
      </c>
      <c r="H181" s="193" t="s">
        <v>2930</v>
      </c>
      <c r="I181" s="184" t="s">
        <v>2930</v>
      </c>
      <c r="J181" s="179" t="s">
        <v>3835</v>
      </c>
      <c r="K181" s="179">
        <v>77</v>
      </c>
      <c r="L181" s="179" t="s">
        <v>2965</v>
      </c>
      <c r="M181" s="185"/>
      <c r="N181" s="185"/>
      <c r="O181" s="186"/>
      <c r="P181" s="185"/>
      <c r="Q181" s="182" t="s">
        <v>2934</v>
      </c>
      <c r="R181" s="182" t="s">
        <v>2933</v>
      </c>
      <c r="S181" s="182" t="s">
        <v>2952</v>
      </c>
      <c r="T181" s="179" t="s">
        <v>2974</v>
      </c>
      <c r="U181" s="179" t="s">
        <v>2937</v>
      </c>
      <c r="V181" s="179">
        <v>1427</v>
      </c>
      <c r="W181" s="179" t="s">
        <v>3657</v>
      </c>
      <c r="X181" s="188">
        <v>241.07999999999998</v>
      </c>
      <c r="Y181" s="188">
        <v>158.16</v>
      </c>
      <c r="Z181" s="188">
        <v>96.524999999999991</v>
      </c>
      <c r="AA181" s="188">
        <v>76.283999999999992</v>
      </c>
      <c r="AB181" s="188">
        <v>17.549999999999997</v>
      </c>
      <c r="AC181" s="188">
        <v>30.69</v>
      </c>
      <c r="AD181" s="179" t="s">
        <v>2984</v>
      </c>
      <c r="AE181" s="188" t="s">
        <v>2940</v>
      </c>
      <c r="AF181" s="189">
        <v>0.29166666666666669</v>
      </c>
      <c r="AG181" s="189">
        <v>0.95833333333333337</v>
      </c>
      <c r="AH181" s="190" t="s">
        <v>2941</v>
      </c>
      <c r="AI181" s="190" t="s">
        <v>2942</v>
      </c>
      <c r="AJ181" s="179" t="s">
        <v>131</v>
      </c>
      <c r="AK181" s="179" t="s">
        <v>3293</v>
      </c>
      <c r="AL181" s="179" t="s">
        <v>9</v>
      </c>
      <c r="AM181" s="179" t="s">
        <v>3836</v>
      </c>
      <c r="AN181" s="179" t="s">
        <v>2102</v>
      </c>
      <c r="AO181" s="179" t="s">
        <v>2560</v>
      </c>
      <c r="AP181" s="191">
        <v>81139004563</v>
      </c>
      <c r="AQ181" s="184">
        <v>41547</v>
      </c>
      <c r="AR181" s="179">
        <v>154</v>
      </c>
      <c r="AS181" s="194">
        <v>42522</v>
      </c>
      <c r="AT181" s="195" t="s">
        <v>3837</v>
      </c>
      <c r="AU181" s="195" t="s">
        <v>2946</v>
      </c>
      <c r="AV181" s="192">
        <v>14435000</v>
      </c>
      <c r="AW181" s="181">
        <v>29.6</v>
      </c>
      <c r="AX181" s="179">
        <v>80361</v>
      </c>
      <c r="AY181" s="179" t="s">
        <v>3838</v>
      </c>
    </row>
    <row r="182" spans="1:51" ht="14.4" x14ac:dyDescent="0.3">
      <c r="A182" s="179" t="s">
        <v>1242</v>
      </c>
      <c r="B182" s="179" t="s">
        <v>2947</v>
      </c>
      <c r="C182" s="180" t="s">
        <v>3839</v>
      </c>
      <c r="D182" s="181" t="s">
        <v>2853</v>
      </c>
      <c r="E182" s="181" t="s">
        <v>2825</v>
      </c>
      <c r="F182" s="182" t="s">
        <v>2929</v>
      </c>
      <c r="G182" s="181" t="s">
        <v>12</v>
      </c>
      <c r="H182" s="193">
        <v>44098</v>
      </c>
      <c r="I182" s="184">
        <v>44098</v>
      </c>
      <c r="J182" s="179" t="s">
        <v>3840</v>
      </c>
      <c r="K182" s="179">
        <v>536</v>
      </c>
      <c r="L182" s="179" t="s">
        <v>3026</v>
      </c>
      <c r="M182" s="185"/>
      <c r="N182" s="185"/>
      <c r="O182" s="186"/>
      <c r="P182" s="185"/>
      <c r="Q182" s="182" t="s">
        <v>2934</v>
      </c>
      <c r="R182" s="182" t="s">
        <v>2933</v>
      </c>
      <c r="S182" s="182" t="s">
        <v>2952</v>
      </c>
      <c r="T182" s="179" t="s">
        <v>2953</v>
      </c>
      <c r="U182" s="179" t="s">
        <v>2954</v>
      </c>
      <c r="V182" s="179">
        <v>1226</v>
      </c>
      <c r="W182" s="179" t="s">
        <v>3140</v>
      </c>
      <c r="X182" s="188">
        <v>313.18</v>
      </c>
      <c r="Y182" s="188">
        <v>208.17999999999998</v>
      </c>
      <c r="Z182" s="188">
        <v>135.8175</v>
      </c>
      <c r="AA182" s="188">
        <v>95.899999999999991</v>
      </c>
      <c r="AB182" s="188">
        <v>18.36</v>
      </c>
      <c r="AC182" s="188">
        <v>38.675000000000004</v>
      </c>
      <c r="AD182" s="179" t="s">
        <v>2984</v>
      </c>
      <c r="AE182" s="188" t="s">
        <v>2940</v>
      </c>
      <c r="AF182" s="189">
        <v>0.29166666666666669</v>
      </c>
      <c r="AG182" s="189">
        <v>0.91666666666666663</v>
      </c>
      <c r="AH182" s="190" t="s">
        <v>2941</v>
      </c>
      <c r="AI182" s="190" t="s">
        <v>2942</v>
      </c>
      <c r="AJ182" s="179" t="s">
        <v>183</v>
      </c>
      <c r="AK182" s="179" t="s">
        <v>3229</v>
      </c>
      <c r="AL182" s="179" t="s">
        <v>9</v>
      </c>
      <c r="AM182" s="179" t="s">
        <v>3841</v>
      </c>
      <c r="AN182" s="179" t="s">
        <v>2102</v>
      </c>
      <c r="AO182" s="179" t="s">
        <v>2444</v>
      </c>
      <c r="AP182" s="191">
        <v>81139002308</v>
      </c>
      <c r="AQ182" s="184">
        <v>41547</v>
      </c>
      <c r="AR182" s="179">
        <v>154</v>
      </c>
      <c r="AS182" s="179"/>
      <c r="AT182" s="181" t="s">
        <v>3842</v>
      </c>
      <c r="AU182" s="181" t="s">
        <v>3843</v>
      </c>
      <c r="AV182" s="192">
        <v>12826841</v>
      </c>
      <c r="AW182" s="181">
        <v>8</v>
      </c>
      <c r="AX182" s="179">
        <v>80352</v>
      </c>
      <c r="AY182" s="179"/>
    </row>
    <row r="183" spans="1:51" ht="14.4" x14ac:dyDescent="0.3">
      <c r="A183" s="179" t="s">
        <v>1756</v>
      </c>
      <c r="B183" s="179" t="s">
        <v>2927</v>
      </c>
      <c r="C183" s="180" t="s">
        <v>3844</v>
      </c>
      <c r="D183" s="181" t="s">
        <v>2869</v>
      </c>
      <c r="E183" s="181" t="s">
        <v>2834</v>
      </c>
      <c r="F183" s="182" t="s">
        <v>2929</v>
      </c>
      <c r="G183" s="181" t="s">
        <v>12</v>
      </c>
      <c r="H183" s="193" t="s">
        <v>2930</v>
      </c>
      <c r="I183" s="184" t="s">
        <v>2930</v>
      </c>
      <c r="J183" s="179" t="s">
        <v>3008</v>
      </c>
      <c r="K183" s="179" t="s">
        <v>3008</v>
      </c>
      <c r="L183" s="179" t="s">
        <v>2932</v>
      </c>
      <c r="M183" s="185"/>
      <c r="N183" s="185"/>
      <c r="O183" s="186"/>
      <c r="P183" s="185"/>
      <c r="Q183" s="182" t="s">
        <v>2933</v>
      </c>
      <c r="R183" s="182" t="s">
        <v>2934</v>
      </c>
      <c r="S183" s="182" t="s">
        <v>2952</v>
      </c>
      <c r="T183" s="179" t="s">
        <v>2953</v>
      </c>
      <c r="U183" s="179" t="s">
        <v>2937</v>
      </c>
      <c r="V183" s="179">
        <v>919</v>
      </c>
      <c r="W183" s="179" t="s">
        <v>3140</v>
      </c>
      <c r="X183" s="188">
        <v>266.33550000000002</v>
      </c>
      <c r="Y183" s="188">
        <v>178.66499999999999</v>
      </c>
      <c r="Z183" s="188">
        <v>113.62899999999999</v>
      </c>
      <c r="AA183" s="188">
        <v>64.712999999999994</v>
      </c>
      <c r="AB183" s="188">
        <v>13.75</v>
      </c>
      <c r="AC183" s="188">
        <v>29.67</v>
      </c>
      <c r="AD183" s="179" t="s">
        <v>2939</v>
      </c>
      <c r="AE183" s="188" t="s">
        <v>2940</v>
      </c>
      <c r="AF183" s="189">
        <v>0.29166666666666669</v>
      </c>
      <c r="AG183" s="189">
        <v>0.91666666666666663</v>
      </c>
      <c r="AH183" s="190" t="s">
        <v>2941</v>
      </c>
      <c r="AI183" s="190" t="s">
        <v>2942</v>
      </c>
      <c r="AJ183" s="179" t="s">
        <v>1522</v>
      </c>
      <c r="AK183" s="179" t="s">
        <v>40</v>
      </c>
      <c r="AL183" s="179" t="s">
        <v>40</v>
      </c>
      <c r="AM183" s="179" t="s">
        <v>3845</v>
      </c>
      <c r="AN183" s="179" t="s">
        <v>2102</v>
      </c>
      <c r="AO183" s="179" t="s">
        <v>2369</v>
      </c>
      <c r="AP183" s="191">
        <v>81139006497</v>
      </c>
      <c r="AQ183" s="184">
        <v>41547</v>
      </c>
      <c r="AR183" s="179">
        <v>154</v>
      </c>
      <c r="AS183" s="194"/>
      <c r="AT183" s="195" t="s">
        <v>3846</v>
      </c>
      <c r="AU183" s="195" t="s">
        <v>2946</v>
      </c>
      <c r="AV183" s="192">
        <v>14525000</v>
      </c>
      <c r="AW183" s="181">
        <v>80.099999999999994</v>
      </c>
      <c r="AX183" s="179">
        <v>80811</v>
      </c>
      <c r="AY183" s="179"/>
    </row>
    <row r="184" spans="1:51" ht="14.4" x14ac:dyDescent="0.3">
      <c r="A184" s="179" t="s">
        <v>732</v>
      </c>
      <c r="B184" s="179" t="s">
        <v>2927</v>
      </c>
      <c r="C184" s="180" t="s">
        <v>3847</v>
      </c>
      <c r="D184" s="181" t="s">
        <v>2823</v>
      </c>
      <c r="E184" s="181" t="s">
        <v>2819</v>
      </c>
      <c r="F184" s="182" t="s">
        <v>2929</v>
      </c>
      <c r="G184" s="181" t="s">
        <v>12</v>
      </c>
      <c r="H184" s="193" t="s">
        <v>2930</v>
      </c>
      <c r="I184" s="184"/>
      <c r="J184" s="179" t="s">
        <v>3008</v>
      </c>
      <c r="K184" s="179" t="s">
        <v>3008</v>
      </c>
      <c r="L184" s="179" t="s">
        <v>2932</v>
      </c>
      <c r="M184" s="185"/>
      <c r="N184" s="185"/>
      <c r="O184" s="186"/>
      <c r="P184" s="185"/>
      <c r="Q184" s="182" t="s">
        <v>2934</v>
      </c>
      <c r="R184" s="182" t="s">
        <v>2933</v>
      </c>
      <c r="S184" s="182" t="s">
        <v>2952</v>
      </c>
      <c r="T184" s="179" t="s">
        <v>2953</v>
      </c>
      <c r="U184" s="179" t="s">
        <v>2937</v>
      </c>
      <c r="V184" s="179">
        <v>1486</v>
      </c>
      <c r="W184" s="179" t="s">
        <v>3140</v>
      </c>
      <c r="X184" s="188">
        <v>246.87530000000001</v>
      </c>
      <c r="Y184" s="188">
        <v>153.79700000000003</v>
      </c>
      <c r="Z184" s="188">
        <v>109.4331</v>
      </c>
      <c r="AA184" s="188">
        <v>93.078300000000013</v>
      </c>
      <c r="AB184" s="188">
        <v>12.090400000000002</v>
      </c>
      <c r="AC184" s="188">
        <v>70.457599999999999</v>
      </c>
      <c r="AD184" s="179" t="s">
        <v>2956</v>
      </c>
      <c r="AE184" s="188" t="s">
        <v>2957</v>
      </c>
      <c r="AF184" s="189">
        <v>0.29166666666666669</v>
      </c>
      <c r="AG184" s="189">
        <v>0.95833333333333337</v>
      </c>
      <c r="AH184" s="190" t="s">
        <v>2941</v>
      </c>
      <c r="AI184" s="190" t="s">
        <v>2942</v>
      </c>
      <c r="AJ184" s="179" t="s">
        <v>691</v>
      </c>
      <c r="AK184" s="179" t="s">
        <v>3034</v>
      </c>
      <c r="AL184" s="179" t="s">
        <v>4</v>
      </c>
      <c r="AM184" s="179" t="s">
        <v>3848</v>
      </c>
      <c r="AN184" s="179" t="s">
        <v>2102</v>
      </c>
      <c r="AO184" s="179" t="s">
        <v>2292</v>
      </c>
      <c r="AP184" s="191">
        <v>81139001970</v>
      </c>
      <c r="AQ184" s="184">
        <v>41556</v>
      </c>
      <c r="AR184" s="179">
        <v>154</v>
      </c>
      <c r="AS184" s="194"/>
      <c r="AT184" s="195" t="s">
        <v>3849</v>
      </c>
      <c r="AU184" s="195" t="s">
        <v>2946</v>
      </c>
      <c r="AV184" s="192">
        <v>15556667</v>
      </c>
      <c r="AW184" s="181">
        <v>23</v>
      </c>
      <c r="AX184" s="179">
        <v>80118</v>
      </c>
      <c r="AY184" s="179"/>
    </row>
    <row r="185" spans="1:51" ht="14.4" x14ac:dyDescent="0.3">
      <c r="A185" s="179" t="s">
        <v>1762</v>
      </c>
      <c r="B185" s="179" t="s">
        <v>2947</v>
      </c>
      <c r="C185" s="180" t="s">
        <v>3850</v>
      </c>
      <c r="D185" s="181" t="s">
        <v>2814</v>
      </c>
      <c r="E185" s="181" t="s">
        <v>2813</v>
      </c>
      <c r="F185" s="182" t="s">
        <v>2929</v>
      </c>
      <c r="G185" s="181" t="s">
        <v>12</v>
      </c>
      <c r="H185" s="193">
        <v>44987</v>
      </c>
      <c r="I185" s="184"/>
      <c r="J185" s="179" t="s">
        <v>3851</v>
      </c>
      <c r="K185" s="179">
        <v>300</v>
      </c>
      <c r="L185" s="179" t="s">
        <v>2950</v>
      </c>
      <c r="M185" s="185"/>
      <c r="N185" s="185" t="s">
        <v>2951</v>
      </c>
      <c r="O185" s="186"/>
      <c r="P185" s="185"/>
      <c r="Q185" s="182" t="s">
        <v>2933</v>
      </c>
      <c r="R185" s="182" t="s">
        <v>2934</v>
      </c>
      <c r="S185" s="182" t="s">
        <v>2952</v>
      </c>
      <c r="T185" s="179" t="s">
        <v>2999</v>
      </c>
      <c r="U185" s="179" t="s">
        <v>2954</v>
      </c>
      <c r="V185" s="187">
        <v>1146</v>
      </c>
      <c r="W185" s="179" t="s">
        <v>3003</v>
      </c>
      <c r="X185" s="188">
        <v>480.81</v>
      </c>
      <c r="Y185" s="188">
        <v>200.8075</v>
      </c>
      <c r="Z185" s="188">
        <v>127.6576</v>
      </c>
      <c r="AA185" s="188">
        <v>127.60499999999999</v>
      </c>
      <c r="AB185" s="188">
        <v>14.975999999999999</v>
      </c>
      <c r="AC185" s="188">
        <v>40.2288</v>
      </c>
      <c r="AD185" s="179" t="s">
        <v>2984</v>
      </c>
      <c r="AE185" s="188" t="s">
        <v>2940</v>
      </c>
      <c r="AF185" s="189">
        <v>0</v>
      </c>
      <c r="AG185" s="189">
        <v>0.99930555555555556</v>
      </c>
      <c r="AH185" s="190" t="s">
        <v>2941</v>
      </c>
      <c r="AI185" s="190" t="s">
        <v>2985</v>
      </c>
      <c r="AJ185" s="179" t="s">
        <v>426</v>
      </c>
      <c r="AK185" s="179" t="s">
        <v>3241</v>
      </c>
      <c r="AL185" s="179" t="s">
        <v>9</v>
      </c>
      <c r="AM185" s="179" t="s">
        <v>3852</v>
      </c>
      <c r="AN185" s="179" t="s">
        <v>2102</v>
      </c>
      <c r="AO185" s="179" t="s">
        <v>2541</v>
      </c>
      <c r="AP185" s="191">
        <v>81139000815</v>
      </c>
      <c r="AQ185" s="184">
        <v>41570</v>
      </c>
      <c r="AR185" s="179">
        <v>154</v>
      </c>
      <c r="AS185" s="179"/>
      <c r="AT185" s="181" t="s">
        <v>3853</v>
      </c>
      <c r="AU185" s="181" t="s">
        <v>2946</v>
      </c>
      <c r="AV185" s="192">
        <v>19920384</v>
      </c>
      <c r="AW185" s="181">
        <v>42.7</v>
      </c>
      <c r="AX185" s="179">
        <v>80362</v>
      </c>
      <c r="AY185" s="179"/>
    </row>
    <row r="186" spans="1:51" ht="14.4" x14ac:dyDescent="0.3">
      <c r="A186" s="179" t="s">
        <v>1314</v>
      </c>
      <c r="B186" s="179" t="s">
        <v>2927</v>
      </c>
      <c r="C186" s="180" t="s">
        <v>3854</v>
      </c>
      <c r="D186" s="181" t="s">
        <v>2855</v>
      </c>
      <c r="E186" s="181" t="s">
        <v>2815</v>
      </c>
      <c r="F186" s="182" t="s">
        <v>2929</v>
      </c>
      <c r="G186" s="181" t="s">
        <v>12</v>
      </c>
      <c r="H186" s="193" t="s">
        <v>2930</v>
      </c>
      <c r="I186" s="184" t="s">
        <v>2930</v>
      </c>
      <c r="J186" s="179" t="s">
        <v>3855</v>
      </c>
      <c r="K186" s="179">
        <v>350</v>
      </c>
      <c r="L186" s="179" t="s">
        <v>2950</v>
      </c>
      <c r="M186" s="185"/>
      <c r="N186" s="185"/>
      <c r="O186" s="186"/>
      <c r="P186" s="185"/>
      <c r="Q186" s="182" t="s">
        <v>2933</v>
      </c>
      <c r="R186" s="182" t="s">
        <v>2934</v>
      </c>
      <c r="S186" s="182" t="s">
        <v>2952</v>
      </c>
      <c r="T186" s="179" t="s">
        <v>2936</v>
      </c>
      <c r="U186" s="179" t="s">
        <v>2937</v>
      </c>
      <c r="V186" s="187">
        <v>1146</v>
      </c>
      <c r="W186" s="179" t="s">
        <v>2992</v>
      </c>
      <c r="X186" s="188">
        <v>394.63399999999996</v>
      </c>
      <c r="Y186" s="188">
        <v>217.25</v>
      </c>
      <c r="Z186" s="188">
        <v>124.8669</v>
      </c>
      <c r="AA186" s="188">
        <v>170.82</v>
      </c>
      <c r="AB186" s="188">
        <v>20.205000000000002</v>
      </c>
      <c r="AC186" s="188">
        <v>49.662000000000006</v>
      </c>
      <c r="AD186" s="179" t="s">
        <v>2984</v>
      </c>
      <c r="AE186" s="188" t="s">
        <v>2940</v>
      </c>
      <c r="AF186" s="189">
        <v>0.29166666666666669</v>
      </c>
      <c r="AG186" s="189">
        <v>0.95833333333333337</v>
      </c>
      <c r="AH186" s="190" t="s">
        <v>2941</v>
      </c>
      <c r="AI186" s="190" t="s">
        <v>2985</v>
      </c>
      <c r="AJ186" s="179" t="s">
        <v>1312</v>
      </c>
      <c r="AK186" s="179" t="s">
        <v>2981</v>
      </c>
      <c r="AL186" s="179" t="s">
        <v>28</v>
      </c>
      <c r="AM186" s="179" t="s">
        <v>3856</v>
      </c>
      <c r="AN186" s="179" t="s">
        <v>2102</v>
      </c>
      <c r="AO186" s="179" t="s">
        <v>2315</v>
      </c>
      <c r="AP186" s="191">
        <v>81139006909</v>
      </c>
      <c r="AQ186" s="184">
        <v>41574</v>
      </c>
      <c r="AR186" s="179">
        <v>154</v>
      </c>
      <c r="AS186" s="194">
        <v>45931</v>
      </c>
      <c r="AT186" s="195" t="s">
        <v>3857</v>
      </c>
      <c r="AU186" s="195" t="s">
        <v>2946</v>
      </c>
      <c r="AV186" s="192">
        <v>15020000</v>
      </c>
      <c r="AW186" s="181">
        <v>28.2</v>
      </c>
      <c r="AX186" s="179">
        <v>80582</v>
      </c>
      <c r="AY186" s="179" t="s">
        <v>3858</v>
      </c>
    </row>
    <row r="187" spans="1:51" ht="14.4" x14ac:dyDescent="0.3">
      <c r="A187" s="179" t="s">
        <v>1276</v>
      </c>
      <c r="B187" s="179" t="s">
        <v>2947</v>
      </c>
      <c r="C187" s="180" t="s">
        <v>3859</v>
      </c>
      <c r="D187" s="181" t="s">
        <v>2863</v>
      </c>
      <c r="E187" s="181" t="s">
        <v>2813</v>
      </c>
      <c r="F187" s="182" t="s">
        <v>2972</v>
      </c>
      <c r="G187" s="181" t="s">
        <v>17</v>
      </c>
      <c r="H187" s="193">
        <v>44027</v>
      </c>
      <c r="I187" s="184">
        <v>44027</v>
      </c>
      <c r="J187" s="179" t="s">
        <v>3860</v>
      </c>
      <c r="K187" s="179">
        <v>60</v>
      </c>
      <c r="L187" s="179" t="s">
        <v>2965</v>
      </c>
      <c r="M187" s="185"/>
      <c r="N187" s="185"/>
      <c r="O187" s="179" t="s">
        <v>2951</v>
      </c>
      <c r="P187" s="185"/>
      <c r="Q187" s="182" t="s">
        <v>2934</v>
      </c>
      <c r="R187" s="182" t="s">
        <v>2933</v>
      </c>
      <c r="S187" s="182" t="s">
        <v>2952</v>
      </c>
      <c r="T187" s="179" t="s">
        <v>2953</v>
      </c>
      <c r="U187" s="179" t="s">
        <v>2954</v>
      </c>
      <c r="V187" s="179">
        <v>1257</v>
      </c>
      <c r="W187" s="179" t="s">
        <v>3861</v>
      </c>
      <c r="X187" s="188">
        <v>181.77799999999996</v>
      </c>
      <c r="Y187" s="188">
        <v>146.179</v>
      </c>
      <c r="Z187" s="188">
        <v>94.281999999999996</v>
      </c>
      <c r="AA187" s="188">
        <v>30.738000000000003</v>
      </c>
      <c r="AB187" s="188">
        <v>9.0239999999999991</v>
      </c>
      <c r="AC187" s="188">
        <v>26.602</v>
      </c>
      <c r="AD187" s="179" t="s">
        <v>2939</v>
      </c>
      <c r="AE187" s="188" t="s">
        <v>2940</v>
      </c>
      <c r="AF187" s="189">
        <v>0.29166666666666669</v>
      </c>
      <c r="AG187" s="189">
        <v>0.99930555555555556</v>
      </c>
      <c r="AH187" s="190" t="s">
        <v>2941</v>
      </c>
      <c r="AI187" s="190" t="s">
        <v>2942</v>
      </c>
      <c r="AJ187" s="179" t="s">
        <v>131</v>
      </c>
      <c r="AK187" s="179" t="s">
        <v>3293</v>
      </c>
      <c r="AL187" s="179" t="s">
        <v>9</v>
      </c>
      <c r="AM187" s="179" t="s">
        <v>3862</v>
      </c>
      <c r="AN187" s="179" t="s">
        <v>2102</v>
      </c>
      <c r="AO187" s="179" t="s">
        <v>2672</v>
      </c>
      <c r="AP187" s="191">
        <v>81139006284</v>
      </c>
      <c r="AQ187" s="184">
        <v>41576</v>
      </c>
      <c r="AR187" s="179">
        <v>153</v>
      </c>
      <c r="AS187" s="179"/>
      <c r="AT187" s="181" t="s">
        <v>3863</v>
      </c>
      <c r="AU187" s="181" t="s">
        <v>2946</v>
      </c>
      <c r="AV187" s="192">
        <v>17972649</v>
      </c>
      <c r="AW187" s="181">
        <v>30.6</v>
      </c>
      <c r="AX187" s="179">
        <v>80361</v>
      </c>
      <c r="AY187" s="179"/>
    </row>
    <row r="188" spans="1:51" ht="14.4" x14ac:dyDescent="0.3">
      <c r="A188" s="179" t="s">
        <v>1485</v>
      </c>
      <c r="B188" s="200" t="s">
        <v>2947</v>
      </c>
      <c r="C188" s="180" t="s">
        <v>3864</v>
      </c>
      <c r="D188" s="181" t="s">
        <v>2863</v>
      </c>
      <c r="E188" s="181" t="s">
        <v>2813</v>
      </c>
      <c r="F188" s="182" t="s">
        <v>2929</v>
      </c>
      <c r="G188" s="181" t="s">
        <v>12</v>
      </c>
      <c r="H188" s="193">
        <v>43987</v>
      </c>
      <c r="I188" s="184">
        <v>43987</v>
      </c>
      <c r="J188" s="179" t="s">
        <v>3865</v>
      </c>
      <c r="K188" s="179">
        <v>120</v>
      </c>
      <c r="L188" s="179" t="s">
        <v>2950</v>
      </c>
      <c r="M188" s="185"/>
      <c r="N188" s="185"/>
      <c r="O188" s="186"/>
      <c r="P188" s="185"/>
      <c r="Q188" s="182" t="s">
        <v>2934</v>
      </c>
      <c r="R188" s="182" t="s">
        <v>2933</v>
      </c>
      <c r="S188" s="182" t="s">
        <v>2952</v>
      </c>
      <c r="T188" s="179" t="s">
        <v>2953</v>
      </c>
      <c r="U188" s="179" t="s">
        <v>2954</v>
      </c>
      <c r="V188" s="179">
        <v>1171</v>
      </c>
      <c r="W188" s="179" t="s">
        <v>3063</v>
      </c>
      <c r="X188" s="188">
        <v>201.12960000000001</v>
      </c>
      <c r="Y188" s="188">
        <v>142.3646</v>
      </c>
      <c r="Z188" s="188">
        <v>100.688</v>
      </c>
      <c r="AA188" s="188">
        <v>52.152000000000001</v>
      </c>
      <c r="AB188" s="188">
        <v>8.4193999999999996</v>
      </c>
      <c r="AC188" s="188">
        <v>31.509799999999998</v>
      </c>
      <c r="AD188" s="179" t="s">
        <v>2984</v>
      </c>
      <c r="AE188" s="188" t="s">
        <v>2957</v>
      </c>
      <c r="AF188" s="189">
        <v>0.29166666666666669</v>
      </c>
      <c r="AG188" s="189">
        <v>0.95833333333333337</v>
      </c>
      <c r="AH188" s="190" t="s">
        <v>2941</v>
      </c>
      <c r="AI188" s="190" t="s">
        <v>2942</v>
      </c>
      <c r="AJ188" s="179" t="s">
        <v>131</v>
      </c>
      <c r="AK188" s="179" t="s">
        <v>3293</v>
      </c>
      <c r="AL188" s="179" t="s">
        <v>9</v>
      </c>
      <c r="AM188" s="179" t="s">
        <v>3866</v>
      </c>
      <c r="AN188" s="179" t="s">
        <v>2102</v>
      </c>
      <c r="AO188" s="179" t="s">
        <v>2699</v>
      </c>
      <c r="AP188" s="191">
        <v>81139001288</v>
      </c>
      <c r="AQ188" s="184">
        <v>41578</v>
      </c>
      <c r="AR188" s="179">
        <v>153</v>
      </c>
      <c r="AS188" s="179"/>
      <c r="AT188" s="181" t="s">
        <v>3867</v>
      </c>
      <c r="AU188" s="181" t="s">
        <v>2946</v>
      </c>
      <c r="AV188" s="192">
        <v>14479530</v>
      </c>
      <c r="AW188" s="181">
        <v>25.4</v>
      </c>
      <c r="AX188" s="179">
        <v>80361</v>
      </c>
      <c r="AY188" s="179"/>
    </row>
    <row r="189" spans="1:51" ht="14.4" x14ac:dyDescent="0.3">
      <c r="A189" s="179" t="s">
        <v>1375</v>
      </c>
      <c r="B189" s="179" t="s">
        <v>2947</v>
      </c>
      <c r="C189" s="180" t="s">
        <v>3868</v>
      </c>
      <c r="D189" s="181" t="s">
        <v>2859</v>
      </c>
      <c r="E189" s="181" t="s">
        <v>2815</v>
      </c>
      <c r="F189" s="182" t="s">
        <v>2972</v>
      </c>
      <c r="G189" s="181" t="s">
        <v>17</v>
      </c>
      <c r="H189" s="193">
        <v>45931</v>
      </c>
      <c r="I189" s="193">
        <v>45931</v>
      </c>
      <c r="J189" s="179" t="s">
        <v>3008</v>
      </c>
      <c r="K189" s="179" t="s">
        <v>3008</v>
      </c>
      <c r="L189" s="179" t="s">
        <v>2932</v>
      </c>
      <c r="M189" s="185"/>
      <c r="N189" s="185" t="s">
        <v>2951</v>
      </c>
      <c r="O189" s="179" t="s">
        <v>2951</v>
      </c>
      <c r="P189" s="185" t="s">
        <v>2951</v>
      </c>
      <c r="Q189" s="182" t="s">
        <v>2933</v>
      </c>
      <c r="R189" s="182" t="s">
        <v>2934</v>
      </c>
      <c r="S189" s="182" t="s">
        <v>2935</v>
      </c>
      <c r="T189" s="179" t="s">
        <v>2953</v>
      </c>
      <c r="U189" s="179" t="s">
        <v>2954</v>
      </c>
      <c r="V189" s="179">
        <v>1142</v>
      </c>
      <c r="W189" s="179" t="s">
        <v>2983</v>
      </c>
      <c r="X189" s="188">
        <v>258.91200000000003</v>
      </c>
      <c r="Y189" s="188">
        <v>174.375</v>
      </c>
      <c r="Z189" s="188">
        <v>114.48</v>
      </c>
      <c r="AA189" s="188">
        <v>78.3</v>
      </c>
      <c r="AB189" s="188">
        <v>13.350000000000001</v>
      </c>
      <c r="AC189" s="188">
        <v>29.446499999999997</v>
      </c>
      <c r="AD189" s="179" t="s">
        <v>2939</v>
      </c>
      <c r="AE189" s="188" t="s">
        <v>2940</v>
      </c>
      <c r="AF189" s="189">
        <v>0.29166666666666669</v>
      </c>
      <c r="AG189" s="189">
        <v>0.95833333333333337</v>
      </c>
      <c r="AH189" s="190" t="s">
        <v>2941</v>
      </c>
      <c r="AI189" s="190" t="s">
        <v>2985</v>
      </c>
      <c r="AJ189" s="179" t="s">
        <v>1373</v>
      </c>
      <c r="AK189" s="179" t="s">
        <v>3182</v>
      </c>
      <c r="AL189" s="179" t="s">
        <v>28</v>
      </c>
      <c r="AM189" s="179" t="s">
        <v>3869</v>
      </c>
      <c r="AN189" s="179" t="s">
        <v>2102</v>
      </c>
      <c r="AO189" s="179" t="s">
        <v>2415</v>
      </c>
      <c r="AP189" s="191">
        <v>81139007946</v>
      </c>
      <c r="AQ189" s="184">
        <v>41578</v>
      </c>
      <c r="AR189" s="179">
        <v>153</v>
      </c>
      <c r="AS189" s="179"/>
      <c r="AT189" s="181" t="s">
        <v>3870</v>
      </c>
      <c r="AU189" s="181" t="s">
        <v>2946</v>
      </c>
      <c r="AV189" s="192">
        <v>11640000</v>
      </c>
      <c r="AW189" s="181">
        <v>40.1</v>
      </c>
      <c r="AX189" s="179">
        <v>80552</v>
      </c>
      <c r="AY189" s="179"/>
    </row>
    <row r="190" spans="1:51" ht="14.4" x14ac:dyDescent="0.3">
      <c r="A190" s="179" t="s">
        <v>367</v>
      </c>
      <c r="B190" s="179" t="s">
        <v>2947</v>
      </c>
      <c r="C190" s="180" t="s">
        <v>3871</v>
      </c>
      <c r="D190" s="181" t="s">
        <v>2851</v>
      </c>
      <c r="E190" s="181" t="s">
        <v>2817</v>
      </c>
      <c r="F190" s="182" t="s">
        <v>2972</v>
      </c>
      <c r="G190" s="181" t="s">
        <v>17</v>
      </c>
      <c r="H190" s="193">
        <v>45569</v>
      </c>
      <c r="I190" s="184"/>
      <c r="J190" s="179" t="s">
        <v>3872</v>
      </c>
      <c r="K190" s="179">
        <v>550</v>
      </c>
      <c r="L190" s="179" t="s">
        <v>3026</v>
      </c>
      <c r="M190" s="185"/>
      <c r="N190" s="185"/>
      <c r="O190" s="186"/>
      <c r="P190" s="185"/>
      <c r="Q190" s="182" t="s">
        <v>2933</v>
      </c>
      <c r="R190" s="182" t="s">
        <v>2934</v>
      </c>
      <c r="S190" s="182" t="s">
        <v>2952</v>
      </c>
      <c r="T190" s="179" t="s">
        <v>2999</v>
      </c>
      <c r="U190" s="179" t="s">
        <v>2954</v>
      </c>
      <c r="V190" s="187">
        <v>1549</v>
      </c>
      <c r="W190" s="179" t="s">
        <v>3140</v>
      </c>
      <c r="X190" s="188">
        <v>301.9896</v>
      </c>
      <c r="Y190" s="188">
        <v>155.43360000000001</v>
      </c>
      <c r="Z190" s="188">
        <v>115.5018</v>
      </c>
      <c r="AA190" s="188">
        <v>129.92099999999999</v>
      </c>
      <c r="AB190" s="188">
        <v>13.202999999999999</v>
      </c>
      <c r="AC190" s="188">
        <v>113.7675</v>
      </c>
      <c r="AD190" s="179" t="s">
        <v>2956</v>
      </c>
      <c r="AE190" s="188" t="s">
        <v>2957</v>
      </c>
      <c r="AF190" s="189">
        <v>0</v>
      </c>
      <c r="AG190" s="189">
        <v>0.99930555555555556</v>
      </c>
      <c r="AH190" s="190" t="s">
        <v>2941</v>
      </c>
      <c r="AI190" s="190" t="s">
        <v>2942</v>
      </c>
      <c r="AJ190" s="179" t="s">
        <v>131</v>
      </c>
      <c r="AK190" s="179" t="s">
        <v>3293</v>
      </c>
      <c r="AL190" s="179" t="s">
        <v>9</v>
      </c>
      <c r="AM190" s="179" t="s">
        <v>3779</v>
      </c>
      <c r="AN190" s="179" t="s">
        <v>2102</v>
      </c>
      <c r="AO190" s="179" t="s">
        <v>2697</v>
      </c>
      <c r="AP190" s="191">
        <v>81139007912</v>
      </c>
      <c r="AQ190" s="184">
        <v>41595</v>
      </c>
      <c r="AR190" s="179">
        <v>153</v>
      </c>
      <c r="AS190" s="179"/>
      <c r="AT190" s="181" t="s">
        <v>3873</v>
      </c>
      <c r="AU190" s="181" t="s">
        <v>2946</v>
      </c>
      <c r="AV190" s="192">
        <v>22339692</v>
      </c>
      <c r="AW190" s="181">
        <v>25.1</v>
      </c>
      <c r="AX190" s="179">
        <v>80361</v>
      </c>
      <c r="AY190" s="179"/>
    </row>
    <row r="191" spans="1:51" ht="14.4" x14ac:dyDescent="0.3">
      <c r="A191" s="179" t="s">
        <v>1136</v>
      </c>
      <c r="B191" s="179" t="s">
        <v>2927</v>
      </c>
      <c r="C191" s="180" t="s">
        <v>3874</v>
      </c>
      <c r="D191" s="181" t="s">
        <v>2858</v>
      </c>
      <c r="E191" s="181" t="s">
        <v>2813</v>
      </c>
      <c r="F191" s="182" t="s">
        <v>2929</v>
      </c>
      <c r="G191" s="181" t="s">
        <v>12</v>
      </c>
      <c r="H191" s="193" t="s">
        <v>2930</v>
      </c>
      <c r="I191" s="184" t="s">
        <v>2930</v>
      </c>
      <c r="J191" s="179" t="s">
        <v>3875</v>
      </c>
      <c r="K191" s="179">
        <v>600</v>
      </c>
      <c r="L191" s="179" t="s">
        <v>3026</v>
      </c>
      <c r="M191" s="185"/>
      <c r="N191" s="185"/>
      <c r="O191" s="186"/>
      <c r="P191" s="185"/>
      <c r="Q191" s="182" t="s">
        <v>2934</v>
      </c>
      <c r="R191" s="182" t="s">
        <v>2933</v>
      </c>
      <c r="S191" s="182" t="s">
        <v>2952</v>
      </c>
      <c r="T191" s="179" t="s">
        <v>2953</v>
      </c>
      <c r="U191" s="179" t="s">
        <v>2937</v>
      </c>
      <c r="V191" s="179">
        <v>1011</v>
      </c>
      <c r="W191" s="179" t="s">
        <v>3140</v>
      </c>
      <c r="X191" s="188">
        <v>395.92829999999998</v>
      </c>
      <c r="Y191" s="188">
        <v>300.68069999999994</v>
      </c>
      <c r="Z191" s="188">
        <v>115.2229</v>
      </c>
      <c r="AA191" s="188">
        <v>54.289200000000001</v>
      </c>
      <c r="AB191" s="188">
        <v>43.002499999999998</v>
      </c>
      <c r="AC191" s="188">
        <v>120.00059999999999</v>
      </c>
      <c r="AD191" s="179" t="s">
        <v>2956</v>
      </c>
      <c r="AE191" s="188" t="s">
        <v>2940</v>
      </c>
      <c r="AF191" s="189">
        <v>0.25</v>
      </c>
      <c r="AG191" s="189">
        <v>0.95833333333333337</v>
      </c>
      <c r="AH191" s="190" t="s">
        <v>2941</v>
      </c>
      <c r="AI191" s="190" t="s">
        <v>2942</v>
      </c>
      <c r="AJ191" s="179" t="s">
        <v>192</v>
      </c>
      <c r="AK191" s="179" t="s">
        <v>2977</v>
      </c>
      <c r="AL191" s="179" t="s">
        <v>9</v>
      </c>
      <c r="AM191" s="179" t="s">
        <v>3876</v>
      </c>
      <c r="AN191" s="179" t="s">
        <v>2102</v>
      </c>
      <c r="AO191" s="179" t="s">
        <v>2304</v>
      </c>
      <c r="AP191" s="191">
        <v>81139004574</v>
      </c>
      <c r="AQ191" s="184">
        <v>41605</v>
      </c>
      <c r="AR191" s="179">
        <v>153</v>
      </c>
      <c r="AS191" s="194">
        <v>42705</v>
      </c>
      <c r="AT191" s="195" t="s">
        <v>3877</v>
      </c>
      <c r="AU191" s="195" t="s">
        <v>3878</v>
      </c>
      <c r="AV191" s="192">
        <v>14929000</v>
      </c>
      <c r="AW191" s="181">
        <v>16.2</v>
      </c>
      <c r="AX191" s="179">
        <v>80363</v>
      </c>
      <c r="AY191" s="179" t="s">
        <v>3879</v>
      </c>
    </row>
    <row r="192" spans="1:51" ht="14.4" x14ac:dyDescent="0.3">
      <c r="A192" s="179" t="s">
        <v>532</v>
      </c>
      <c r="B192" s="179" t="s">
        <v>2927</v>
      </c>
      <c r="C192" s="180" t="s">
        <v>3880</v>
      </c>
      <c r="D192" s="181" t="s">
        <v>2829</v>
      </c>
      <c r="E192" s="181" t="s">
        <v>2815</v>
      </c>
      <c r="F192" s="182" t="s">
        <v>2972</v>
      </c>
      <c r="G192" s="181" t="s">
        <v>17</v>
      </c>
      <c r="H192" s="193" t="s">
        <v>2930</v>
      </c>
      <c r="I192" s="184" t="s">
        <v>2930</v>
      </c>
      <c r="J192" s="179" t="s">
        <v>3840</v>
      </c>
      <c r="K192" s="179">
        <v>326</v>
      </c>
      <c r="L192" s="179" t="s">
        <v>2950</v>
      </c>
      <c r="M192" s="185"/>
      <c r="N192" s="185"/>
      <c r="O192" s="179" t="s">
        <v>2951</v>
      </c>
      <c r="P192" s="185"/>
      <c r="Q192" s="182" t="s">
        <v>2934</v>
      </c>
      <c r="R192" s="182" t="s">
        <v>2933</v>
      </c>
      <c r="S192" s="182" t="s">
        <v>2952</v>
      </c>
      <c r="T192" s="179" t="s">
        <v>2953</v>
      </c>
      <c r="U192" s="179" t="s">
        <v>2937</v>
      </c>
      <c r="V192" s="179">
        <v>917</v>
      </c>
      <c r="W192" s="179" t="s">
        <v>2992</v>
      </c>
      <c r="X192" s="188">
        <v>494.82067999999998</v>
      </c>
      <c r="Y192" s="188">
        <v>302.80679999999995</v>
      </c>
      <c r="Z192" s="188">
        <v>133.5204</v>
      </c>
      <c r="AA192" s="188">
        <v>125.44479999999999</v>
      </c>
      <c r="AB192" s="188">
        <v>45.763199999999998</v>
      </c>
      <c r="AC192" s="188">
        <v>103.0425</v>
      </c>
      <c r="AD192" s="179" t="s">
        <v>2956</v>
      </c>
      <c r="AE192" s="188" t="s">
        <v>2940</v>
      </c>
      <c r="AF192" s="189">
        <v>0</v>
      </c>
      <c r="AG192" s="189">
        <v>0.99930555555555556</v>
      </c>
      <c r="AH192" s="190" t="s">
        <v>2941</v>
      </c>
      <c r="AI192" s="190" t="s">
        <v>2985</v>
      </c>
      <c r="AJ192" s="179" t="s">
        <v>178</v>
      </c>
      <c r="AK192" s="179" t="s">
        <v>28</v>
      </c>
      <c r="AL192" s="179" t="s">
        <v>28</v>
      </c>
      <c r="AM192" s="179" t="s">
        <v>3881</v>
      </c>
      <c r="AN192" s="179" t="s">
        <v>2102</v>
      </c>
      <c r="AO192" s="179" t="s">
        <v>2269</v>
      </c>
      <c r="AP192" s="191">
        <v>81139001526</v>
      </c>
      <c r="AQ192" s="184">
        <v>41607</v>
      </c>
      <c r="AR192" s="179">
        <v>152</v>
      </c>
      <c r="AS192" s="194">
        <v>42278</v>
      </c>
      <c r="AT192" s="195" t="s">
        <v>3882</v>
      </c>
      <c r="AU192" s="195" t="s">
        <v>2946</v>
      </c>
      <c r="AV192" s="192">
        <v>14972175</v>
      </c>
      <c r="AW192" s="181">
        <v>26</v>
      </c>
      <c r="AX192" s="179">
        <v>80511</v>
      </c>
      <c r="AY192" s="179" t="s">
        <v>3883</v>
      </c>
    </row>
    <row r="193" spans="1:51" ht="14.4" x14ac:dyDescent="0.3">
      <c r="A193" s="179" t="s">
        <v>546</v>
      </c>
      <c r="B193" s="179" t="s">
        <v>2947</v>
      </c>
      <c r="C193" s="180" t="s">
        <v>3884</v>
      </c>
      <c r="D193" s="181" t="s">
        <v>2876</v>
      </c>
      <c r="E193" s="181" t="s">
        <v>2867</v>
      </c>
      <c r="F193" s="182" t="s">
        <v>3086</v>
      </c>
      <c r="G193" s="181" t="s">
        <v>535</v>
      </c>
      <c r="H193" s="193">
        <v>42944</v>
      </c>
      <c r="I193" s="184">
        <v>44891</v>
      </c>
      <c r="J193" s="179" t="s">
        <v>3885</v>
      </c>
      <c r="K193" s="179">
        <v>10</v>
      </c>
      <c r="L193" s="179" t="s">
        <v>2965</v>
      </c>
      <c r="M193" s="185" t="s">
        <v>3164</v>
      </c>
      <c r="N193" s="185" t="s">
        <v>2951</v>
      </c>
      <c r="O193" s="179" t="s">
        <v>2951</v>
      </c>
      <c r="P193" s="185" t="s">
        <v>2951</v>
      </c>
      <c r="Q193" s="182" t="s">
        <v>2933</v>
      </c>
      <c r="R193" s="182" t="s">
        <v>2934</v>
      </c>
      <c r="S193" s="182" t="s">
        <v>2952</v>
      </c>
      <c r="T193" s="179" t="s">
        <v>2999</v>
      </c>
      <c r="U193" s="179" t="s">
        <v>2954</v>
      </c>
      <c r="V193" s="187">
        <v>1166</v>
      </c>
      <c r="W193" s="179" t="s">
        <v>3886</v>
      </c>
      <c r="X193" s="188">
        <v>296.8032</v>
      </c>
      <c r="Y193" s="188">
        <v>236.25920000000002</v>
      </c>
      <c r="Z193" s="188">
        <v>139.6052</v>
      </c>
      <c r="AA193" s="188">
        <v>60.104000000000006</v>
      </c>
      <c r="AB193" s="188">
        <v>14.509200000000002</v>
      </c>
      <c r="AC193" s="188">
        <v>53.163199999999996</v>
      </c>
      <c r="AD193" s="179" t="s">
        <v>2984</v>
      </c>
      <c r="AE193" s="188" t="s">
        <v>2940</v>
      </c>
      <c r="AF193" s="189">
        <v>0</v>
      </c>
      <c r="AG193" s="189">
        <v>0.99930555555555556</v>
      </c>
      <c r="AH193" s="190" t="s">
        <v>2976</v>
      </c>
      <c r="AI193" s="190" t="s">
        <v>2985</v>
      </c>
      <c r="AJ193" s="179" t="s">
        <v>544</v>
      </c>
      <c r="AK193" s="179" t="s">
        <v>3241</v>
      </c>
      <c r="AL193" s="179" t="s">
        <v>9</v>
      </c>
      <c r="AM193" s="179" t="s">
        <v>3887</v>
      </c>
      <c r="AN193" s="179" t="s">
        <v>2102</v>
      </c>
      <c r="AO193" s="179" t="s">
        <v>2791</v>
      </c>
      <c r="AP193" s="191">
        <v>81139605087</v>
      </c>
      <c r="AQ193" s="184">
        <v>41608</v>
      </c>
      <c r="AR193" s="179">
        <v>152</v>
      </c>
      <c r="AS193" s="179"/>
      <c r="AT193" s="181" t="s">
        <v>3888</v>
      </c>
      <c r="AU193" s="181" t="s">
        <v>2946</v>
      </c>
      <c r="AV193" s="192">
        <v>36998160</v>
      </c>
      <c r="AW193" s="181">
        <v>44</v>
      </c>
      <c r="AX193" s="179">
        <v>80362</v>
      </c>
      <c r="AY193" s="179"/>
    </row>
    <row r="194" spans="1:51" ht="14.4" x14ac:dyDescent="0.3">
      <c r="A194" s="179" t="s">
        <v>1583</v>
      </c>
      <c r="B194" s="179" t="s">
        <v>2947</v>
      </c>
      <c r="C194" s="180" t="s">
        <v>3889</v>
      </c>
      <c r="D194" s="181" t="s">
        <v>2860</v>
      </c>
      <c r="E194" s="181" t="s">
        <v>2830</v>
      </c>
      <c r="F194" s="182" t="s">
        <v>2929</v>
      </c>
      <c r="G194" s="181" t="s">
        <v>12</v>
      </c>
      <c r="H194" s="193">
        <v>43703</v>
      </c>
      <c r="I194" s="184">
        <v>43703</v>
      </c>
      <c r="J194" s="179" t="s">
        <v>3890</v>
      </c>
      <c r="K194" s="179">
        <v>210</v>
      </c>
      <c r="L194" s="179" t="s">
        <v>2950</v>
      </c>
      <c r="M194" s="185"/>
      <c r="N194" s="185" t="s">
        <v>2951</v>
      </c>
      <c r="O194" s="186"/>
      <c r="P194" s="185"/>
      <c r="Q194" s="182" t="s">
        <v>2933</v>
      </c>
      <c r="R194" s="182" t="s">
        <v>2934</v>
      </c>
      <c r="S194" s="182" t="s">
        <v>2952</v>
      </c>
      <c r="T194" s="179" t="s">
        <v>2953</v>
      </c>
      <c r="U194" s="179" t="s">
        <v>2954</v>
      </c>
      <c r="V194" s="187">
        <v>1011</v>
      </c>
      <c r="W194" s="179" t="s">
        <v>3140</v>
      </c>
      <c r="X194" s="188">
        <v>456.96480000000003</v>
      </c>
      <c r="Y194" s="188">
        <v>266.04750000000001</v>
      </c>
      <c r="Z194" s="188">
        <v>131.0179</v>
      </c>
      <c r="AA194" s="188">
        <v>115.04219999999999</v>
      </c>
      <c r="AB194" s="188">
        <v>27.111499999999996</v>
      </c>
      <c r="AC194" s="188">
        <v>66.061999999999998</v>
      </c>
      <c r="AD194" s="179" t="s">
        <v>2956</v>
      </c>
      <c r="AE194" s="188" t="s">
        <v>2940</v>
      </c>
      <c r="AF194" s="189">
        <v>0.29166666666666669</v>
      </c>
      <c r="AG194" s="189">
        <v>0.95833333333333337</v>
      </c>
      <c r="AH194" s="190" t="s">
        <v>2941</v>
      </c>
      <c r="AI194" s="190" t="s">
        <v>2942</v>
      </c>
      <c r="AJ194" s="179" t="s">
        <v>979</v>
      </c>
      <c r="AK194" s="179" t="s">
        <v>3229</v>
      </c>
      <c r="AL194" s="179" t="s">
        <v>9</v>
      </c>
      <c r="AM194" s="179" t="s">
        <v>3891</v>
      </c>
      <c r="AN194" s="179" t="s">
        <v>2102</v>
      </c>
      <c r="AO194" s="179" t="s">
        <v>2595</v>
      </c>
      <c r="AP194" s="191">
        <v>81139607350</v>
      </c>
      <c r="AQ194" s="184">
        <v>41608</v>
      </c>
      <c r="AR194" s="179">
        <v>152</v>
      </c>
      <c r="AS194" s="194">
        <v>43435</v>
      </c>
      <c r="AT194" s="195" t="s">
        <v>3892</v>
      </c>
      <c r="AU194" s="195" t="s">
        <v>3893</v>
      </c>
      <c r="AV194" s="192">
        <v>9933039</v>
      </c>
      <c r="AW194" s="181">
        <v>11.1</v>
      </c>
      <c r="AX194" s="179">
        <v>80352</v>
      </c>
      <c r="AY194" s="179" t="s">
        <v>3894</v>
      </c>
    </row>
    <row r="195" spans="1:51" ht="14.4" x14ac:dyDescent="0.3">
      <c r="A195" s="179" t="s">
        <v>1342</v>
      </c>
      <c r="B195" s="179" t="s">
        <v>2947</v>
      </c>
      <c r="C195" s="180" t="s">
        <v>3895</v>
      </c>
      <c r="D195" s="181" t="s">
        <v>2861</v>
      </c>
      <c r="E195" s="181" t="s">
        <v>2840</v>
      </c>
      <c r="F195" s="182" t="s">
        <v>2972</v>
      </c>
      <c r="G195" s="181" t="s">
        <v>17</v>
      </c>
      <c r="H195" s="193">
        <v>45475</v>
      </c>
      <c r="I195" s="193"/>
      <c r="J195" s="179" t="s">
        <v>3896</v>
      </c>
      <c r="K195" s="179">
        <v>200</v>
      </c>
      <c r="L195" s="179" t="s">
        <v>2950</v>
      </c>
      <c r="M195" s="185"/>
      <c r="N195" s="185"/>
      <c r="O195" s="186"/>
      <c r="P195" s="185"/>
      <c r="Q195" s="182" t="s">
        <v>2934</v>
      </c>
      <c r="R195" s="182" t="s">
        <v>2933</v>
      </c>
      <c r="S195" s="182" t="s">
        <v>2935</v>
      </c>
      <c r="T195" s="179" t="s">
        <v>2999</v>
      </c>
      <c r="U195" s="179" t="s">
        <v>2954</v>
      </c>
      <c r="V195" s="179">
        <v>941</v>
      </c>
      <c r="W195" s="179" t="s">
        <v>3406</v>
      </c>
      <c r="X195" s="188">
        <v>276.23340000000002</v>
      </c>
      <c r="Y195" s="188">
        <v>223.7526</v>
      </c>
      <c r="Z195" s="188">
        <v>120.8344</v>
      </c>
      <c r="AA195" s="188">
        <v>46.331999999999994</v>
      </c>
      <c r="AB195" s="188">
        <v>19.156399999999998</v>
      </c>
      <c r="AC195" s="188">
        <v>59.8842</v>
      </c>
      <c r="AD195" s="179" t="s">
        <v>2984</v>
      </c>
      <c r="AE195" s="188" t="s">
        <v>2940</v>
      </c>
      <c r="AF195" s="189">
        <v>0.29166666666666669</v>
      </c>
      <c r="AG195" s="189">
        <v>0.95833333333333337</v>
      </c>
      <c r="AH195" s="190" t="s">
        <v>2941</v>
      </c>
      <c r="AI195" s="190" t="s">
        <v>2985</v>
      </c>
      <c r="AJ195" s="179" t="s">
        <v>1340</v>
      </c>
      <c r="AK195" s="179" t="s">
        <v>3000</v>
      </c>
      <c r="AL195" s="179" t="s">
        <v>28</v>
      </c>
      <c r="AM195" s="179" t="s">
        <v>3897</v>
      </c>
      <c r="AN195" s="179" t="s">
        <v>2102</v>
      </c>
      <c r="AO195" s="179" t="s">
        <v>2470</v>
      </c>
      <c r="AP195" s="191">
        <v>81139008266</v>
      </c>
      <c r="AQ195" s="184">
        <v>41608</v>
      </c>
      <c r="AR195" s="179">
        <v>152</v>
      </c>
      <c r="AS195" s="179"/>
      <c r="AT195" s="181" t="s">
        <v>3898</v>
      </c>
      <c r="AU195" s="181" t="s">
        <v>2946</v>
      </c>
      <c r="AV195" s="192">
        <v>14540772.995051254</v>
      </c>
      <c r="AW195" s="181">
        <v>16.7</v>
      </c>
      <c r="AX195" s="179">
        <v>80571</v>
      </c>
      <c r="AY195" s="179"/>
    </row>
    <row r="196" spans="1:51" ht="14.4" x14ac:dyDescent="0.3">
      <c r="A196" s="179" t="s">
        <v>1453</v>
      </c>
      <c r="B196" s="179" t="s">
        <v>2947</v>
      </c>
      <c r="C196" s="180" t="s">
        <v>3899</v>
      </c>
      <c r="D196" s="181" t="s">
        <v>2832</v>
      </c>
      <c r="E196" s="181" t="s">
        <v>2813</v>
      </c>
      <c r="F196" s="182" t="s">
        <v>2929</v>
      </c>
      <c r="G196" s="181" t="s">
        <v>12</v>
      </c>
      <c r="H196" s="193" t="s">
        <v>2930</v>
      </c>
      <c r="I196" s="184" t="s">
        <v>2930</v>
      </c>
      <c r="J196" s="179" t="s">
        <v>3900</v>
      </c>
      <c r="K196" s="179">
        <v>210</v>
      </c>
      <c r="L196" s="179" t="s">
        <v>2950</v>
      </c>
      <c r="M196" s="185"/>
      <c r="N196" s="185"/>
      <c r="O196" s="186"/>
      <c r="P196" s="185"/>
      <c r="Q196" s="182" t="s">
        <v>2934</v>
      </c>
      <c r="R196" s="182" t="s">
        <v>2933</v>
      </c>
      <c r="S196" s="182" t="s">
        <v>2952</v>
      </c>
      <c r="T196" s="179" t="s">
        <v>2953</v>
      </c>
      <c r="U196" s="179" t="s">
        <v>2954</v>
      </c>
      <c r="V196" s="187">
        <v>1002</v>
      </c>
      <c r="W196" s="179" t="s">
        <v>2992</v>
      </c>
      <c r="X196" s="188">
        <v>344.12849999999997</v>
      </c>
      <c r="Y196" s="188">
        <v>225.024</v>
      </c>
      <c r="Z196" s="188">
        <v>124.98850000000002</v>
      </c>
      <c r="AA196" s="188">
        <v>106.285</v>
      </c>
      <c r="AB196" s="188">
        <v>17.22</v>
      </c>
      <c r="AC196" s="188">
        <v>63.897600000000004</v>
      </c>
      <c r="AD196" s="179" t="s">
        <v>2956</v>
      </c>
      <c r="AE196" s="188" t="s">
        <v>2940</v>
      </c>
      <c r="AF196" s="189">
        <v>0.29166666666666669</v>
      </c>
      <c r="AG196" s="189">
        <v>0.91666666666666663</v>
      </c>
      <c r="AH196" s="190" t="s">
        <v>2941</v>
      </c>
      <c r="AI196" s="190" t="s">
        <v>2985</v>
      </c>
      <c r="AJ196" s="179" t="s">
        <v>167</v>
      </c>
      <c r="AK196" s="179" t="s">
        <v>3241</v>
      </c>
      <c r="AL196" s="179" t="s">
        <v>9</v>
      </c>
      <c r="AM196" s="179" t="s">
        <v>3901</v>
      </c>
      <c r="AN196" s="179" t="s">
        <v>2102</v>
      </c>
      <c r="AO196" s="179" t="s">
        <v>2411</v>
      </c>
      <c r="AP196" s="191">
        <v>81139007913</v>
      </c>
      <c r="AQ196" s="184">
        <v>41626</v>
      </c>
      <c r="AR196" s="179">
        <v>152</v>
      </c>
      <c r="AS196" s="179"/>
      <c r="AT196" s="181" t="s">
        <v>3902</v>
      </c>
      <c r="AU196" s="181" t="s">
        <v>2946</v>
      </c>
      <c r="AV196" s="192">
        <v>12500000</v>
      </c>
      <c r="AW196" s="181">
        <v>41.3</v>
      </c>
      <c r="AX196" s="179">
        <v>80362</v>
      </c>
      <c r="AY196" s="179"/>
    </row>
    <row r="197" spans="1:51" ht="14.4" x14ac:dyDescent="0.3">
      <c r="A197" s="179" t="s">
        <v>415</v>
      </c>
      <c r="B197" s="179" t="s">
        <v>2927</v>
      </c>
      <c r="C197" s="180" t="s">
        <v>3903</v>
      </c>
      <c r="D197" s="181" t="s">
        <v>2857</v>
      </c>
      <c r="E197" s="181" t="s">
        <v>2815</v>
      </c>
      <c r="F197" s="182" t="s">
        <v>2929</v>
      </c>
      <c r="G197" s="181" t="s">
        <v>12</v>
      </c>
      <c r="H197" s="193" t="s">
        <v>2930</v>
      </c>
      <c r="I197" s="184" t="s">
        <v>2930</v>
      </c>
      <c r="J197" s="179" t="s">
        <v>3904</v>
      </c>
      <c r="K197" s="179">
        <v>520</v>
      </c>
      <c r="L197" s="179" t="s">
        <v>3026</v>
      </c>
      <c r="M197" s="185"/>
      <c r="N197" s="185"/>
      <c r="O197" s="186"/>
      <c r="P197" s="185"/>
      <c r="Q197" s="182" t="s">
        <v>2934</v>
      </c>
      <c r="R197" s="182" t="s">
        <v>2933</v>
      </c>
      <c r="S197" s="182" t="s">
        <v>2935</v>
      </c>
      <c r="T197" s="179" t="s">
        <v>2953</v>
      </c>
      <c r="U197" s="179" t="s">
        <v>2937</v>
      </c>
      <c r="V197" s="179">
        <v>1435</v>
      </c>
      <c r="W197" s="179" t="s">
        <v>2992</v>
      </c>
      <c r="X197" s="188">
        <v>238.35</v>
      </c>
      <c r="Y197" s="188">
        <v>177.1</v>
      </c>
      <c r="Z197" s="188">
        <v>105.10080000000001</v>
      </c>
      <c r="AA197" s="188">
        <v>54.25</v>
      </c>
      <c r="AB197" s="188">
        <v>11.4954</v>
      </c>
      <c r="AC197" s="188">
        <v>76.92</v>
      </c>
      <c r="AD197" s="179" t="s">
        <v>2956</v>
      </c>
      <c r="AE197" s="188" t="s">
        <v>3017</v>
      </c>
      <c r="AF197" s="189">
        <v>0.29166666666666669</v>
      </c>
      <c r="AG197" s="189">
        <v>0.99930555555555556</v>
      </c>
      <c r="AH197" s="190" t="s">
        <v>2941</v>
      </c>
      <c r="AI197" s="190" t="s">
        <v>2985</v>
      </c>
      <c r="AJ197" s="179" t="s">
        <v>413</v>
      </c>
      <c r="AK197" s="179" t="s">
        <v>455</v>
      </c>
      <c r="AL197" s="179" t="s">
        <v>28</v>
      </c>
      <c r="AM197" s="179" t="s">
        <v>3905</v>
      </c>
      <c r="AN197" s="179" t="s">
        <v>2102</v>
      </c>
      <c r="AO197" s="179" t="s">
        <v>2301</v>
      </c>
      <c r="AP197" s="191"/>
      <c r="AQ197" s="184">
        <v>41637</v>
      </c>
      <c r="AR197" s="179">
        <v>151</v>
      </c>
      <c r="AS197" s="194">
        <v>42491</v>
      </c>
      <c r="AT197" s="195" t="s">
        <v>3906</v>
      </c>
      <c r="AU197" s="195" t="s">
        <v>3907</v>
      </c>
      <c r="AV197" s="192">
        <v>11984433.333333334</v>
      </c>
      <c r="AW197" s="181">
        <v>20</v>
      </c>
      <c r="AX197" s="179">
        <v>80561</v>
      </c>
      <c r="AY197" s="179" t="s">
        <v>3908</v>
      </c>
    </row>
    <row r="198" spans="1:51" ht="14.4" x14ac:dyDescent="0.3">
      <c r="A198" s="179" t="s">
        <v>1381</v>
      </c>
      <c r="B198" s="179" t="s">
        <v>2947</v>
      </c>
      <c r="C198" s="180" t="s">
        <v>3909</v>
      </c>
      <c r="D198" s="181" t="s">
        <v>2814</v>
      </c>
      <c r="E198" s="181" t="s">
        <v>2813</v>
      </c>
      <c r="F198" s="182" t="s">
        <v>2972</v>
      </c>
      <c r="G198" s="181" t="s">
        <v>17</v>
      </c>
      <c r="H198" s="193">
        <v>45168</v>
      </c>
      <c r="I198" s="184"/>
      <c r="J198" s="179" t="s">
        <v>3008</v>
      </c>
      <c r="K198" s="179" t="s">
        <v>3008</v>
      </c>
      <c r="L198" s="179" t="s">
        <v>2932</v>
      </c>
      <c r="M198" s="181" t="s">
        <v>3164</v>
      </c>
      <c r="N198" s="185"/>
      <c r="O198" s="179" t="s">
        <v>2951</v>
      </c>
      <c r="P198" s="185"/>
      <c r="Q198" s="182" t="s">
        <v>2933</v>
      </c>
      <c r="R198" s="182" t="s">
        <v>2934</v>
      </c>
      <c r="S198" s="182" t="s">
        <v>2952</v>
      </c>
      <c r="T198" s="179" t="s">
        <v>2953</v>
      </c>
      <c r="U198" s="179" t="s">
        <v>2954</v>
      </c>
      <c r="V198" s="187">
        <v>1425</v>
      </c>
      <c r="W198" s="179" t="s">
        <v>3406</v>
      </c>
      <c r="X198" s="188">
        <v>299.93599999999998</v>
      </c>
      <c r="Y198" s="188">
        <v>196.22399999999999</v>
      </c>
      <c r="Z198" s="188">
        <v>111.88799999999999</v>
      </c>
      <c r="AA198" s="188">
        <v>97.439999999999984</v>
      </c>
      <c r="AB198" s="188">
        <v>17.625</v>
      </c>
      <c r="AC198" s="188">
        <v>35.230699999999999</v>
      </c>
      <c r="AD198" s="179" t="s">
        <v>2984</v>
      </c>
      <c r="AE198" s="188" t="s">
        <v>2940</v>
      </c>
      <c r="AF198" s="189">
        <v>0</v>
      </c>
      <c r="AG198" s="189">
        <v>0.99930555555555556</v>
      </c>
      <c r="AH198" s="190" t="s">
        <v>2976</v>
      </c>
      <c r="AI198" s="190" t="s">
        <v>2985</v>
      </c>
      <c r="AJ198" s="179" t="s">
        <v>544</v>
      </c>
      <c r="AK198" s="179" t="s">
        <v>3241</v>
      </c>
      <c r="AL198" s="179" t="s">
        <v>9</v>
      </c>
      <c r="AM198" s="179" t="s">
        <v>3910</v>
      </c>
      <c r="AN198" s="179" t="s">
        <v>2102</v>
      </c>
      <c r="AO198" s="179" t="s">
        <v>2570</v>
      </c>
      <c r="AP198" s="191">
        <v>8113890588</v>
      </c>
      <c r="AQ198" s="184">
        <v>41638</v>
      </c>
      <c r="AR198" s="179">
        <v>151</v>
      </c>
      <c r="AS198" s="179"/>
      <c r="AT198" s="181" t="s">
        <v>3911</v>
      </c>
      <c r="AU198" s="195" t="s">
        <v>2946</v>
      </c>
      <c r="AV198" s="192">
        <v>32554992</v>
      </c>
      <c r="AW198" s="181">
        <v>44.1</v>
      </c>
      <c r="AX198" s="179">
        <v>80362</v>
      </c>
      <c r="AY198" s="179"/>
    </row>
    <row r="199" spans="1:51" ht="14.4" x14ac:dyDescent="0.3">
      <c r="A199" s="179" t="s">
        <v>2884</v>
      </c>
      <c r="B199" s="179" t="s">
        <v>2927</v>
      </c>
      <c r="C199" s="180" t="s">
        <v>3912</v>
      </c>
      <c r="D199" s="181" t="e">
        <v>#N/A</v>
      </c>
      <c r="E199" s="181" t="e">
        <v>#N/A</v>
      </c>
      <c r="F199" s="182" t="s">
        <v>2929</v>
      </c>
      <c r="G199" s="181" t="s">
        <v>12</v>
      </c>
      <c r="H199" s="193" t="s">
        <v>2930</v>
      </c>
      <c r="I199" s="184"/>
      <c r="J199" s="179" t="s">
        <v>3913</v>
      </c>
      <c r="K199" s="179">
        <v>180</v>
      </c>
      <c r="L199" s="179" t="s">
        <v>2950</v>
      </c>
      <c r="M199" s="185"/>
      <c r="N199" s="185"/>
      <c r="O199" s="186"/>
      <c r="P199" s="185"/>
      <c r="Q199" s="182" t="s">
        <v>2934</v>
      </c>
      <c r="R199" s="182" t="s">
        <v>2933</v>
      </c>
      <c r="S199" s="182" t="s">
        <v>2935</v>
      </c>
      <c r="T199" s="179" t="s">
        <v>2953</v>
      </c>
      <c r="U199" s="179" t="s">
        <v>2937</v>
      </c>
      <c r="V199" s="179">
        <v>1275</v>
      </c>
      <c r="W199" s="179" t="s">
        <v>3140</v>
      </c>
      <c r="X199" s="188">
        <v>292.15199999999999</v>
      </c>
      <c r="Y199" s="188">
        <v>184.70999999999998</v>
      </c>
      <c r="Z199" s="188">
        <v>107.333</v>
      </c>
      <c r="AA199" s="188">
        <v>55.327999999999996</v>
      </c>
      <c r="AB199" s="188">
        <v>13.649999999999999</v>
      </c>
      <c r="AC199" s="188">
        <v>43.805999999999997</v>
      </c>
      <c r="AD199" s="179" t="s">
        <v>2984</v>
      </c>
      <c r="AE199" s="188" t="s">
        <v>2940</v>
      </c>
      <c r="AF199" s="189">
        <v>0.29166666666666669</v>
      </c>
      <c r="AG199" s="189">
        <v>0.91666666666666663</v>
      </c>
      <c r="AH199" s="190" t="s">
        <v>2941</v>
      </c>
      <c r="AI199" s="190" t="s">
        <v>2942</v>
      </c>
      <c r="AJ199" s="179" t="s">
        <v>1544</v>
      </c>
      <c r="AK199" s="179" t="s">
        <v>3229</v>
      </c>
      <c r="AL199" s="179" t="s">
        <v>9</v>
      </c>
      <c r="AM199" s="179" t="s">
        <v>3914</v>
      </c>
      <c r="AN199" s="179" t="s">
        <v>2102</v>
      </c>
      <c r="AO199" s="179" t="s">
        <v>2341</v>
      </c>
      <c r="AP199" s="191">
        <v>81139004580</v>
      </c>
      <c r="AQ199" s="184">
        <v>41638</v>
      </c>
      <c r="AR199" s="179">
        <v>151</v>
      </c>
      <c r="AS199" s="194">
        <v>42614</v>
      </c>
      <c r="AT199" s="195" t="s">
        <v>3915</v>
      </c>
      <c r="AU199" s="195" t="s">
        <v>3916</v>
      </c>
      <c r="AV199" s="192">
        <v>12492000</v>
      </c>
      <c r="AW199" s="181">
        <v>10.8</v>
      </c>
      <c r="AX199" s="179">
        <v>80352</v>
      </c>
      <c r="AY199" s="179" t="s">
        <v>3917</v>
      </c>
    </row>
    <row r="200" spans="1:51" ht="14.4" x14ac:dyDescent="0.3">
      <c r="A200" s="179" t="s">
        <v>292</v>
      </c>
      <c r="B200" s="179" t="s">
        <v>2927</v>
      </c>
      <c r="C200" s="180" t="s">
        <v>3918</v>
      </c>
      <c r="D200" s="181" t="s">
        <v>2861</v>
      </c>
      <c r="E200" s="181" t="s">
        <v>2840</v>
      </c>
      <c r="F200" s="182" t="s">
        <v>2929</v>
      </c>
      <c r="G200" s="181" t="s">
        <v>12</v>
      </c>
      <c r="H200" s="193" t="s">
        <v>2930</v>
      </c>
      <c r="I200" s="184" t="s">
        <v>2930</v>
      </c>
      <c r="J200" s="179" t="s">
        <v>3008</v>
      </c>
      <c r="K200" s="179" t="s">
        <v>3008</v>
      </c>
      <c r="L200" s="179" t="s">
        <v>2932</v>
      </c>
      <c r="M200" s="185"/>
      <c r="N200" s="185"/>
      <c r="O200" s="186"/>
      <c r="P200" s="185"/>
      <c r="Q200" s="182" t="s">
        <v>2933</v>
      </c>
      <c r="R200" s="182" t="s">
        <v>2934</v>
      </c>
      <c r="S200" s="182" t="s">
        <v>2952</v>
      </c>
      <c r="T200" s="179" t="s">
        <v>2953</v>
      </c>
      <c r="U200" s="179" t="s">
        <v>2937</v>
      </c>
      <c r="V200" s="187">
        <v>1051</v>
      </c>
      <c r="W200" s="179" t="s">
        <v>3140</v>
      </c>
      <c r="X200" s="188">
        <v>415.63799999999998</v>
      </c>
      <c r="Y200" s="188">
        <v>176.214</v>
      </c>
      <c r="Z200" s="188">
        <v>117.09840000000001</v>
      </c>
      <c r="AA200" s="188">
        <v>226.74599999999998</v>
      </c>
      <c r="AB200" s="188">
        <v>14.472000000000001</v>
      </c>
      <c r="AC200" s="188">
        <v>35.615600000000001</v>
      </c>
      <c r="AD200" s="179" t="s">
        <v>2984</v>
      </c>
      <c r="AE200" s="188" t="s">
        <v>2940</v>
      </c>
      <c r="AF200" s="189">
        <v>0.29166666666666669</v>
      </c>
      <c r="AG200" s="189">
        <v>0.99930555555555556</v>
      </c>
      <c r="AH200" s="190" t="s">
        <v>2941</v>
      </c>
      <c r="AI200" s="190" t="s">
        <v>2985</v>
      </c>
      <c r="AJ200" s="179" t="s">
        <v>290</v>
      </c>
      <c r="AK200" s="179" t="s">
        <v>3110</v>
      </c>
      <c r="AL200" s="179" t="s">
        <v>28</v>
      </c>
      <c r="AM200" s="179" t="s">
        <v>3698</v>
      </c>
      <c r="AN200" s="179" t="s">
        <v>2102</v>
      </c>
      <c r="AO200" s="179" t="s">
        <v>2398</v>
      </c>
      <c r="AP200" s="191">
        <v>81139008446</v>
      </c>
      <c r="AQ200" s="184">
        <v>41638</v>
      </c>
      <c r="AR200" s="179">
        <v>151</v>
      </c>
      <c r="AS200" s="194">
        <v>42430</v>
      </c>
      <c r="AT200" s="195" t="s">
        <v>3919</v>
      </c>
      <c r="AU200" s="195" t="s">
        <v>2946</v>
      </c>
      <c r="AV200" s="192">
        <v>12944800</v>
      </c>
      <c r="AW200" s="181">
        <v>35</v>
      </c>
      <c r="AX200" s="179">
        <v>80581</v>
      </c>
      <c r="AY200" s="179" t="s">
        <v>3920</v>
      </c>
    </row>
    <row r="201" spans="1:51" ht="14.4" x14ac:dyDescent="0.3">
      <c r="A201" s="179" t="s">
        <v>197</v>
      </c>
      <c r="B201" s="179" t="s">
        <v>2947</v>
      </c>
      <c r="C201" s="180" t="s">
        <v>3921</v>
      </c>
      <c r="D201" s="181" t="s">
        <v>2853</v>
      </c>
      <c r="E201" s="181" t="s">
        <v>2825</v>
      </c>
      <c r="F201" s="182" t="s">
        <v>2929</v>
      </c>
      <c r="G201" s="181" t="s">
        <v>12</v>
      </c>
      <c r="H201" s="193">
        <v>44149</v>
      </c>
      <c r="I201" s="184">
        <v>44149</v>
      </c>
      <c r="J201" s="179" t="s">
        <v>3008</v>
      </c>
      <c r="K201" s="179" t="s">
        <v>3008</v>
      </c>
      <c r="L201" s="179" t="s">
        <v>2932</v>
      </c>
      <c r="M201" s="185"/>
      <c r="N201" s="185"/>
      <c r="O201" s="186"/>
      <c r="P201" s="185"/>
      <c r="Q201" s="182" t="s">
        <v>2934</v>
      </c>
      <c r="R201" s="182" t="s">
        <v>2933</v>
      </c>
      <c r="S201" s="182" t="s">
        <v>2952</v>
      </c>
      <c r="T201" s="179" t="s">
        <v>2953</v>
      </c>
      <c r="U201" s="179" t="s">
        <v>2954</v>
      </c>
      <c r="V201" s="179">
        <v>1586</v>
      </c>
      <c r="W201" s="179" t="s">
        <v>2938</v>
      </c>
      <c r="X201" s="188">
        <v>301.47249999999997</v>
      </c>
      <c r="Y201" s="188">
        <v>183.8725</v>
      </c>
      <c r="Z201" s="188">
        <v>112.45650000000001</v>
      </c>
      <c r="AA201" s="188">
        <v>102.77</v>
      </c>
      <c r="AB201" s="188">
        <v>5.4319999999999995</v>
      </c>
      <c r="AC201" s="188">
        <v>48.2532</v>
      </c>
      <c r="AD201" s="179" t="s">
        <v>2984</v>
      </c>
      <c r="AE201" s="188" t="s">
        <v>2940</v>
      </c>
      <c r="AF201" s="189">
        <v>0.29166666666666669</v>
      </c>
      <c r="AG201" s="189">
        <v>0.91666666666666663</v>
      </c>
      <c r="AH201" s="190" t="s">
        <v>2941</v>
      </c>
      <c r="AI201" s="190" t="s">
        <v>2942</v>
      </c>
      <c r="AJ201" s="179" t="s">
        <v>195</v>
      </c>
      <c r="AK201" s="179" t="s">
        <v>3922</v>
      </c>
      <c r="AL201" s="179" t="s">
        <v>9</v>
      </c>
      <c r="AM201" s="179" t="s">
        <v>3923</v>
      </c>
      <c r="AN201" s="179" t="s">
        <v>2102</v>
      </c>
      <c r="AO201" s="179" t="s">
        <v>2567</v>
      </c>
      <c r="AP201" s="191">
        <v>8113890583</v>
      </c>
      <c r="AQ201" s="184">
        <v>41638</v>
      </c>
      <c r="AR201" s="179">
        <v>151</v>
      </c>
      <c r="AS201" s="179"/>
      <c r="AT201" s="181" t="s">
        <v>3924</v>
      </c>
      <c r="AU201" s="181" t="s">
        <v>2946</v>
      </c>
      <c r="AV201" s="192">
        <v>12676930</v>
      </c>
      <c r="AW201" s="181">
        <v>8.1</v>
      </c>
      <c r="AX201" s="179">
        <v>80353</v>
      </c>
      <c r="AY201" s="179"/>
    </row>
    <row r="202" spans="1:51" ht="14.4" x14ac:dyDescent="0.3">
      <c r="A202" s="179" t="s">
        <v>57</v>
      </c>
      <c r="B202" s="179" t="s">
        <v>2947</v>
      </c>
      <c r="C202" s="180" t="s">
        <v>3925</v>
      </c>
      <c r="D202" s="181" t="s">
        <v>2836</v>
      </c>
      <c r="E202" s="181" t="s">
        <v>2825</v>
      </c>
      <c r="F202" s="182" t="s">
        <v>2929</v>
      </c>
      <c r="G202" s="181" t="s">
        <v>12</v>
      </c>
      <c r="H202" s="193">
        <v>44033</v>
      </c>
      <c r="I202" s="184">
        <v>44033</v>
      </c>
      <c r="J202" s="179" t="s">
        <v>3926</v>
      </c>
      <c r="K202" s="179">
        <v>300</v>
      </c>
      <c r="L202" s="179" t="s">
        <v>2950</v>
      </c>
      <c r="M202" s="185"/>
      <c r="N202" s="185"/>
      <c r="O202" s="186"/>
      <c r="P202" s="185"/>
      <c r="Q202" s="182" t="s">
        <v>2933</v>
      </c>
      <c r="R202" s="182" t="s">
        <v>2934</v>
      </c>
      <c r="S202" s="182" t="s">
        <v>2952</v>
      </c>
      <c r="T202" s="179" t="s">
        <v>2953</v>
      </c>
      <c r="U202" s="179" t="s">
        <v>2954</v>
      </c>
      <c r="V202" s="187">
        <v>1568</v>
      </c>
      <c r="W202" s="179" t="s">
        <v>3140</v>
      </c>
      <c r="X202" s="188">
        <v>290.57280000000003</v>
      </c>
      <c r="Y202" s="188">
        <v>175.12200000000001</v>
      </c>
      <c r="Z202" s="188">
        <v>112.706</v>
      </c>
      <c r="AA202" s="188">
        <v>108.94070000000001</v>
      </c>
      <c r="AB202" s="188">
        <v>15.738799999999999</v>
      </c>
      <c r="AC202" s="188">
        <v>31.574799999999996</v>
      </c>
      <c r="AD202" s="179" t="s">
        <v>2984</v>
      </c>
      <c r="AE202" s="188" t="s">
        <v>2940</v>
      </c>
      <c r="AF202" s="189">
        <v>0.29166666666666669</v>
      </c>
      <c r="AG202" s="189">
        <v>0.91666666666666663</v>
      </c>
      <c r="AH202" s="190" t="s">
        <v>2941</v>
      </c>
      <c r="AI202" s="190" t="s">
        <v>2942</v>
      </c>
      <c r="AJ202" s="179" t="s">
        <v>55</v>
      </c>
      <c r="AK202" s="179" t="s">
        <v>3302</v>
      </c>
      <c r="AL202" s="179" t="s">
        <v>9</v>
      </c>
      <c r="AM202" s="179" t="s">
        <v>3927</v>
      </c>
      <c r="AN202" s="179" t="s">
        <v>2102</v>
      </c>
      <c r="AO202" s="179" t="s">
        <v>2426</v>
      </c>
      <c r="AP202" s="191">
        <v>81139006276</v>
      </c>
      <c r="AQ202" s="184">
        <v>41666</v>
      </c>
      <c r="AR202" s="179">
        <v>151</v>
      </c>
      <c r="AS202" s="179"/>
      <c r="AT202" s="181" t="s">
        <v>3928</v>
      </c>
      <c r="AU202" s="181" t="s">
        <v>2946</v>
      </c>
      <c r="AV202" s="192">
        <v>14187414</v>
      </c>
      <c r="AW202" s="181">
        <v>2.6</v>
      </c>
      <c r="AX202" s="179">
        <v>80351</v>
      </c>
      <c r="AY202" s="179"/>
    </row>
    <row r="203" spans="1:51" ht="14.4" x14ac:dyDescent="0.3">
      <c r="A203" s="179" t="s">
        <v>559</v>
      </c>
      <c r="B203" s="179" t="s">
        <v>2947</v>
      </c>
      <c r="C203" s="180" t="s">
        <v>3929</v>
      </c>
      <c r="D203" s="181" t="s">
        <v>2856</v>
      </c>
      <c r="E203" s="181" t="s">
        <v>2819</v>
      </c>
      <c r="F203" s="182" t="s">
        <v>2972</v>
      </c>
      <c r="G203" s="181" t="s">
        <v>17</v>
      </c>
      <c r="H203" s="193" t="s">
        <v>2930</v>
      </c>
      <c r="I203" s="184" t="s">
        <v>2930</v>
      </c>
      <c r="J203" s="179" t="s">
        <v>3930</v>
      </c>
      <c r="K203" s="179">
        <v>400</v>
      </c>
      <c r="L203" s="179" t="s">
        <v>2950</v>
      </c>
      <c r="M203" s="185"/>
      <c r="N203" s="185"/>
      <c r="O203" s="179" t="s">
        <v>2951</v>
      </c>
      <c r="P203" s="185"/>
      <c r="Q203" s="182" t="s">
        <v>2933</v>
      </c>
      <c r="R203" s="182" t="s">
        <v>2934</v>
      </c>
      <c r="S203" s="182" t="s">
        <v>2952</v>
      </c>
      <c r="T203" s="179" t="s">
        <v>2999</v>
      </c>
      <c r="U203" s="179" t="s">
        <v>2937</v>
      </c>
      <c r="V203" s="187">
        <v>1164</v>
      </c>
      <c r="W203" s="179" t="s">
        <v>3140</v>
      </c>
      <c r="X203" s="188">
        <v>363.59999999999997</v>
      </c>
      <c r="Y203" s="188">
        <v>206.64600000000002</v>
      </c>
      <c r="Z203" s="188">
        <v>119.62599999999999</v>
      </c>
      <c r="AA203" s="188">
        <v>128.952</v>
      </c>
      <c r="AB203" s="188">
        <v>27.72</v>
      </c>
      <c r="AC203" s="188">
        <v>41.230399999999996</v>
      </c>
      <c r="AD203" s="179" t="s">
        <v>2984</v>
      </c>
      <c r="AE203" s="188" t="s">
        <v>2940</v>
      </c>
      <c r="AF203" s="189">
        <v>0</v>
      </c>
      <c r="AG203" s="189">
        <v>0.99930555555555556</v>
      </c>
      <c r="AH203" s="190" t="s">
        <v>2941</v>
      </c>
      <c r="AI203" s="190" t="s">
        <v>2942</v>
      </c>
      <c r="AJ203" s="179" t="s">
        <v>198</v>
      </c>
      <c r="AK203" s="179" t="s">
        <v>2977</v>
      </c>
      <c r="AL203" s="179" t="s">
        <v>9</v>
      </c>
      <c r="AM203" s="179" t="s">
        <v>3931</v>
      </c>
      <c r="AN203" s="179" t="s">
        <v>2102</v>
      </c>
      <c r="AO203" s="179" t="s">
        <v>2446</v>
      </c>
      <c r="AP203" s="191">
        <v>81139002273</v>
      </c>
      <c r="AQ203" s="184">
        <v>41669</v>
      </c>
      <c r="AR203" s="179">
        <v>150</v>
      </c>
      <c r="AS203" s="194" t="s">
        <v>3932</v>
      </c>
      <c r="AT203" s="195" t="s">
        <v>3933</v>
      </c>
      <c r="AU203" s="195" t="s">
        <v>2946</v>
      </c>
      <c r="AV203" s="192">
        <v>26381569</v>
      </c>
      <c r="AW203" s="181">
        <v>19.8</v>
      </c>
      <c r="AX203" s="179">
        <v>80363</v>
      </c>
      <c r="AY203" s="179" t="s">
        <v>3934</v>
      </c>
    </row>
    <row r="204" spans="1:51" ht="14.4" x14ac:dyDescent="0.3">
      <c r="A204" s="179" t="s">
        <v>994</v>
      </c>
      <c r="B204" s="179" t="s">
        <v>2947</v>
      </c>
      <c r="C204" s="180" t="s">
        <v>3935</v>
      </c>
      <c r="D204" s="181" t="s">
        <v>2822</v>
      </c>
      <c r="E204" s="181" t="s">
        <v>2821</v>
      </c>
      <c r="F204" s="182" t="s">
        <v>2972</v>
      </c>
      <c r="G204" s="181" t="s">
        <v>17</v>
      </c>
      <c r="H204" s="193">
        <v>45087</v>
      </c>
      <c r="I204" s="184"/>
      <c r="J204" s="179" t="s">
        <v>3936</v>
      </c>
      <c r="K204" s="179">
        <v>3</v>
      </c>
      <c r="L204" s="179" t="s">
        <v>2965</v>
      </c>
      <c r="M204" s="185"/>
      <c r="N204" s="185"/>
      <c r="O204" s="179" t="s">
        <v>2951</v>
      </c>
      <c r="P204" s="185" t="s">
        <v>2951</v>
      </c>
      <c r="Q204" s="182" t="s">
        <v>2933</v>
      </c>
      <c r="R204" s="182" t="s">
        <v>2934</v>
      </c>
      <c r="S204" s="182" t="s">
        <v>2952</v>
      </c>
      <c r="T204" s="179" t="s">
        <v>2953</v>
      </c>
      <c r="U204" s="179" t="s">
        <v>2954</v>
      </c>
      <c r="V204" s="187">
        <v>1647</v>
      </c>
      <c r="W204" s="179" t="s">
        <v>3823</v>
      </c>
      <c r="X204" s="188">
        <v>364.62830000000002</v>
      </c>
      <c r="Y204" s="188">
        <v>188.37519999999998</v>
      </c>
      <c r="Z204" s="188">
        <v>173.94300000000001</v>
      </c>
      <c r="AA204" s="188">
        <v>151.47800000000001</v>
      </c>
      <c r="AB204" s="188">
        <v>18.7105</v>
      </c>
      <c r="AC204" s="188">
        <v>179.08160000000001</v>
      </c>
      <c r="AD204" s="179" t="s">
        <v>2956</v>
      </c>
      <c r="AE204" s="188" t="s">
        <v>2957</v>
      </c>
      <c r="AF204" s="189">
        <v>0.29166666666666669</v>
      </c>
      <c r="AG204" s="189">
        <v>0.91666666666666663</v>
      </c>
      <c r="AH204" s="190" t="s">
        <v>2941</v>
      </c>
      <c r="AI204" s="190" t="s">
        <v>2942</v>
      </c>
      <c r="AJ204" s="179" t="s">
        <v>186</v>
      </c>
      <c r="AK204" s="179" t="s">
        <v>36</v>
      </c>
      <c r="AL204" s="179" t="s">
        <v>36</v>
      </c>
      <c r="AM204" s="179" t="s">
        <v>3937</v>
      </c>
      <c r="AN204" s="179" t="s">
        <v>2102</v>
      </c>
      <c r="AO204" s="179" t="s">
        <v>2450</v>
      </c>
      <c r="AP204" s="191">
        <v>81138113808</v>
      </c>
      <c r="AQ204" s="184">
        <v>41670</v>
      </c>
      <c r="AR204" s="179">
        <v>150</v>
      </c>
      <c r="AS204" s="179"/>
      <c r="AT204" s="181"/>
      <c r="AU204" s="181"/>
      <c r="AV204" s="192">
        <v>23946058</v>
      </c>
      <c r="AW204" s="181">
        <v>14.2</v>
      </c>
      <c r="AX204" s="179">
        <v>82111</v>
      </c>
      <c r="AY204" s="179"/>
    </row>
    <row r="205" spans="1:51" ht="14.4" x14ac:dyDescent="0.3">
      <c r="A205" s="179" t="s">
        <v>139</v>
      </c>
      <c r="B205" s="179" t="s">
        <v>2947</v>
      </c>
      <c r="C205" s="180" t="s">
        <v>3938</v>
      </c>
      <c r="D205" s="181" t="s">
        <v>2865</v>
      </c>
      <c r="E205" s="181" t="s">
        <v>2817</v>
      </c>
      <c r="F205" s="182" t="s">
        <v>2972</v>
      </c>
      <c r="G205" s="181" t="s">
        <v>17</v>
      </c>
      <c r="H205" s="193">
        <v>45087</v>
      </c>
      <c r="I205" s="184"/>
      <c r="J205" s="179" t="s">
        <v>3939</v>
      </c>
      <c r="K205" s="179">
        <v>400</v>
      </c>
      <c r="L205" s="179" t="s">
        <v>2950</v>
      </c>
      <c r="M205" s="185"/>
      <c r="N205" s="185"/>
      <c r="O205" s="186"/>
      <c r="P205" s="185"/>
      <c r="Q205" s="182" t="s">
        <v>2934</v>
      </c>
      <c r="R205" s="182" t="s">
        <v>2933</v>
      </c>
      <c r="S205" s="182" t="s">
        <v>2952</v>
      </c>
      <c r="T205" s="179" t="s">
        <v>2953</v>
      </c>
      <c r="U205" s="179" t="s">
        <v>2954</v>
      </c>
      <c r="V205" s="179">
        <v>1165</v>
      </c>
      <c r="W205" s="179" t="s">
        <v>3140</v>
      </c>
      <c r="X205" s="188">
        <v>389.21460000000002</v>
      </c>
      <c r="Y205" s="188">
        <v>198.5676</v>
      </c>
      <c r="Z205" s="188">
        <v>120.5984</v>
      </c>
      <c r="AA205" s="188">
        <v>162.64860000000002</v>
      </c>
      <c r="AB205" s="188">
        <v>29.323699999999995</v>
      </c>
      <c r="AC205" s="188">
        <v>33.152500000000003</v>
      </c>
      <c r="AD205" s="179" t="s">
        <v>2984</v>
      </c>
      <c r="AE205" s="188" t="s">
        <v>2940</v>
      </c>
      <c r="AF205" s="189">
        <v>0</v>
      </c>
      <c r="AG205" s="189">
        <v>0.99930555555555556</v>
      </c>
      <c r="AH205" s="190" t="s">
        <v>2941</v>
      </c>
      <c r="AI205" s="190" t="s">
        <v>2942</v>
      </c>
      <c r="AJ205" s="179" t="s">
        <v>137</v>
      </c>
      <c r="AK205" s="179" t="s">
        <v>2977</v>
      </c>
      <c r="AL205" s="179" t="s">
        <v>9</v>
      </c>
      <c r="AM205" s="179" t="s">
        <v>3940</v>
      </c>
      <c r="AN205" s="179" t="s">
        <v>2102</v>
      </c>
      <c r="AO205" s="179" t="s">
        <v>2619</v>
      </c>
      <c r="AP205" s="191">
        <v>81139001946</v>
      </c>
      <c r="AQ205" s="184">
        <v>41685</v>
      </c>
      <c r="AR205" s="179">
        <v>150</v>
      </c>
      <c r="AS205" s="179"/>
      <c r="AT205" s="181" t="s">
        <v>3941</v>
      </c>
      <c r="AU205" s="181" t="s">
        <v>2946</v>
      </c>
      <c r="AV205" s="192">
        <v>15894404</v>
      </c>
      <c r="AW205" s="181">
        <v>23.3</v>
      </c>
      <c r="AX205" s="179">
        <v>80363</v>
      </c>
      <c r="AY205" s="179"/>
    </row>
    <row r="206" spans="1:51" ht="14.4" x14ac:dyDescent="0.3">
      <c r="A206" s="179" t="s">
        <v>609</v>
      </c>
      <c r="B206" s="179" t="s">
        <v>2947</v>
      </c>
      <c r="C206" s="180" t="s">
        <v>3942</v>
      </c>
      <c r="D206" s="181" t="s">
        <v>2860</v>
      </c>
      <c r="E206" s="181" t="s">
        <v>2830</v>
      </c>
      <c r="F206" s="182" t="s">
        <v>2929</v>
      </c>
      <c r="G206" s="181" t="s">
        <v>12</v>
      </c>
      <c r="H206" s="193">
        <v>43945</v>
      </c>
      <c r="I206" s="184">
        <v>43945</v>
      </c>
      <c r="J206" s="179" t="s">
        <v>3008</v>
      </c>
      <c r="K206" s="179" t="s">
        <v>3008</v>
      </c>
      <c r="L206" s="179" t="s">
        <v>2932</v>
      </c>
      <c r="M206" s="185"/>
      <c r="N206" s="185"/>
      <c r="O206" s="186"/>
      <c r="P206" s="185"/>
      <c r="Q206" s="182" t="s">
        <v>2934</v>
      </c>
      <c r="R206" s="182" t="s">
        <v>2933</v>
      </c>
      <c r="S206" s="182" t="s">
        <v>2935</v>
      </c>
      <c r="T206" s="179" t="s">
        <v>2953</v>
      </c>
      <c r="U206" s="179" t="s">
        <v>2954</v>
      </c>
      <c r="V206" s="179">
        <v>936</v>
      </c>
      <c r="W206" s="179" t="s">
        <v>3075</v>
      </c>
      <c r="X206" s="188">
        <v>220.31648999999996</v>
      </c>
      <c r="Y206" s="188">
        <v>170.35130000000001</v>
      </c>
      <c r="Z206" s="188">
        <v>105.11589999999998</v>
      </c>
      <c r="AA206" s="188">
        <v>35.325000000000003</v>
      </c>
      <c r="AB206" s="188">
        <v>13.188000000000001</v>
      </c>
      <c r="AC206" s="188">
        <v>30.573000000000004</v>
      </c>
      <c r="AD206" s="179" t="s">
        <v>2984</v>
      </c>
      <c r="AE206" s="188" t="s">
        <v>2940</v>
      </c>
      <c r="AF206" s="189">
        <v>0.29166666666666669</v>
      </c>
      <c r="AG206" s="189">
        <v>0.95833333333333337</v>
      </c>
      <c r="AH206" s="190" t="s">
        <v>2941</v>
      </c>
      <c r="AI206" s="190" t="s">
        <v>2985</v>
      </c>
      <c r="AJ206" s="179" t="s">
        <v>436</v>
      </c>
      <c r="AK206" s="179" t="s">
        <v>3000</v>
      </c>
      <c r="AL206" s="179" t="s">
        <v>28</v>
      </c>
      <c r="AM206" s="179" t="s">
        <v>3943</v>
      </c>
      <c r="AN206" s="179" t="s">
        <v>2102</v>
      </c>
      <c r="AO206" s="179" t="s">
        <v>2796</v>
      </c>
      <c r="AP206" s="191">
        <v>81139002303</v>
      </c>
      <c r="AQ206" s="184">
        <v>41688</v>
      </c>
      <c r="AR206" s="179">
        <v>150</v>
      </c>
      <c r="AS206" s="179"/>
      <c r="AT206" s="181" t="s">
        <v>3944</v>
      </c>
      <c r="AU206" s="181" t="s">
        <v>3945</v>
      </c>
      <c r="AV206" s="192">
        <v>10500000</v>
      </c>
      <c r="AW206" s="181">
        <v>16.399999999999999</v>
      </c>
      <c r="AX206" s="179">
        <v>80571</v>
      </c>
      <c r="AY206" s="179"/>
    </row>
    <row r="207" spans="1:51" ht="14.4" x14ac:dyDescent="0.3">
      <c r="A207" s="179" t="s">
        <v>1196</v>
      </c>
      <c r="B207" s="179" t="s">
        <v>2927</v>
      </c>
      <c r="C207" s="180" t="s">
        <v>3946</v>
      </c>
      <c r="D207" s="181" t="s">
        <v>2842</v>
      </c>
      <c r="E207" s="181" t="s">
        <v>2834</v>
      </c>
      <c r="F207" s="182" t="s">
        <v>2929</v>
      </c>
      <c r="G207" s="181" t="s">
        <v>12</v>
      </c>
      <c r="H207" s="193" t="s">
        <v>2930</v>
      </c>
      <c r="I207" s="184" t="s">
        <v>2930</v>
      </c>
      <c r="J207" s="179" t="s">
        <v>3947</v>
      </c>
      <c r="K207" s="179">
        <v>2000</v>
      </c>
      <c r="L207" s="179" t="s">
        <v>2932</v>
      </c>
      <c r="M207" s="185"/>
      <c r="N207" s="185"/>
      <c r="O207" s="186"/>
      <c r="P207" s="185"/>
      <c r="Q207" s="182" t="s">
        <v>2933</v>
      </c>
      <c r="R207" s="182" t="s">
        <v>2934</v>
      </c>
      <c r="S207" s="182" t="s">
        <v>2952</v>
      </c>
      <c r="T207" s="179" t="s">
        <v>2953</v>
      </c>
      <c r="U207" s="179" t="s">
        <v>2937</v>
      </c>
      <c r="V207" s="187">
        <v>779</v>
      </c>
      <c r="W207" s="179" t="s">
        <v>3342</v>
      </c>
      <c r="X207" s="188">
        <v>250.05279999999999</v>
      </c>
      <c r="Y207" s="188">
        <v>169.14720000000003</v>
      </c>
      <c r="Z207" s="188">
        <v>110.55479999999999</v>
      </c>
      <c r="AA207" s="188">
        <v>74.619399999999999</v>
      </c>
      <c r="AB207" s="188">
        <v>14.616</v>
      </c>
      <c r="AC207" s="188">
        <v>29.330000000000002</v>
      </c>
      <c r="AD207" s="179" t="s">
        <v>2939</v>
      </c>
      <c r="AE207" s="188" t="s">
        <v>2940</v>
      </c>
      <c r="AF207" s="189">
        <v>0.29166666666666669</v>
      </c>
      <c r="AG207" s="189">
        <v>0.91666666666666663</v>
      </c>
      <c r="AH207" s="190" t="s">
        <v>2941</v>
      </c>
      <c r="AI207" s="190" t="s">
        <v>2942</v>
      </c>
      <c r="AJ207" s="179" t="s">
        <v>1194</v>
      </c>
      <c r="AK207" s="179" t="s">
        <v>3132</v>
      </c>
      <c r="AL207" s="179" t="s">
        <v>58</v>
      </c>
      <c r="AM207" s="179" t="s">
        <v>3948</v>
      </c>
      <c r="AN207" s="179" t="s">
        <v>2102</v>
      </c>
      <c r="AO207" s="179" t="s">
        <v>2407</v>
      </c>
      <c r="AP207" s="191">
        <v>8113806087</v>
      </c>
      <c r="AQ207" s="184">
        <v>41689</v>
      </c>
      <c r="AR207" s="179">
        <v>150</v>
      </c>
      <c r="AS207" s="194"/>
      <c r="AT207" s="195" t="s">
        <v>3949</v>
      </c>
      <c r="AU207" s="195" t="s">
        <v>2946</v>
      </c>
      <c r="AV207" s="192">
        <v>13510000</v>
      </c>
      <c r="AW207" s="181">
        <v>40.1</v>
      </c>
      <c r="AX207" s="179">
        <v>80752</v>
      </c>
      <c r="AY207" s="179"/>
    </row>
    <row r="208" spans="1:51" ht="14.4" x14ac:dyDescent="0.3">
      <c r="A208" s="179" t="s">
        <v>762</v>
      </c>
      <c r="B208" s="179" t="s">
        <v>2947</v>
      </c>
      <c r="C208" s="180" t="s">
        <v>3950</v>
      </c>
      <c r="D208" s="181" t="s">
        <v>2871</v>
      </c>
      <c r="E208" s="181" t="s">
        <v>2813</v>
      </c>
      <c r="F208" s="182" t="s">
        <v>2929</v>
      </c>
      <c r="G208" s="181" t="s">
        <v>12</v>
      </c>
      <c r="H208" s="193" t="s">
        <v>2930</v>
      </c>
      <c r="I208" s="184"/>
      <c r="J208" s="179" t="s">
        <v>3732</v>
      </c>
      <c r="K208" s="179">
        <v>100</v>
      </c>
      <c r="L208" s="179" t="s">
        <v>2965</v>
      </c>
      <c r="M208" s="185"/>
      <c r="N208" s="185"/>
      <c r="O208" s="186"/>
      <c r="P208" s="185"/>
      <c r="Q208" s="182" t="s">
        <v>2933</v>
      </c>
      <c r="R208" s="182" t="s">
        <v>2934</v>
      </c>
      <c r="S208" s="182" t="s">
        <v>2952</v>
      </c>
      <c r="T208" s="179" t="s">
        <v>2999</v>
      </c>
      <c r="U208" s="179" t="s">
        <v>2954</v>
      </c>
      <c r="V208" s="187">
        <v>1178</v>
      </c>
      <c r="W208" s="179" t="s">
        <v>2938</v>
      </c>
      <c r="X208" s="188">
        <v>297</v>
      </c>
      <c r="Y208" s="188">
        <v>190.67400000000004</v>
      </c>
      <c r="Z208" s="188">
        <v>125.66399999999999</v>
      </c>
      <c r="AA208" s="188">
        <v>103.6035</v>
      </c>
      <c r="AB208" s="188">
        <v>14.940000000000001</v>
      </c>
      <c r="AC208" s="188">
        <v>33.895399999999995</v>
      </c>
      <c r="AD208" s="179" t="s">
        <v>2984</v>
      </c>
      <c r="AE208" s="188" t="s">
        <v>2940</v>
      </c>
      <c r="AF208" s="189">
        <v>0.29166666666666669</v>
      </c>
      <c r="AG208" s="189">
        <v>0.95833333333333337</v>
      </c>
      <c r="AH208" s="190" t="s">
        <v>2941</v>
      </c>
      <c r="AI208" s="190" t="s">
        <v>2942</v>
      </c>
      <c r="AJ208" s="179" t="s">
        <v>153</v>
      </c>
      <c r="AK208" s="179" t="s">
        <v>3293</v>
      </c>
      <c r="AL208" s="179" t="s">
        <v>9</v>
      </c>
      <c r="AM208" s="179" t="s">
        <v>3951</v>
      </c>
      <c r="AN208" s="179" t="s">
        <v>2102</v>
      </c>
      <c r="AO208" s="179" t="s">
        <v>2448</v>
      </c>
      <c r="AP208" s="191">
        <v>81139006908</v>
      </c>
      <c r="AQ208" s="184">
        <v>41698</v>
      </c>
      <c r="AR208" s="179">
        <v>150</v>
      </c>
      <c r="AS208" s="179"/>
      <c r="AT208" s="181"/>
      <c r="AU208" s="181"/>
      <c r="AV208" s="192">
        <v>14520000</v>
      </c>
      <c r="AW208" s="181">
        <v>43</v>
      </c>
      <c r="AX208" s="179">
        <v>80361</v>
      </c>
      <c r="AY208" s="179"/>
    </row>
    <row r="209" spans="1:51" ht="14.4" x14ac:dyDescent="0.3">
      <c r="A209" s="179" t="s">
        <v>1607</v>
      </c>
      <c r="B209" s="179" t="s">
        <v>2947</v>
      </c>
      <c r="C209" s="180" t="s">
        <v>3952</v>
      </c>
      <c r="D209" s="181" t="s">
        <v>2829</v>
      </c>
      <c r="E209" s="181" t="s">
        <v>2815</v>
      </c>
      <c r="F209" s="182" t="s">
        <v>2929</v>
      </c>
      <c r="G209" s="181" t="s">
        <v>12</v>
      </c>
      <c r="H209" s="193">
        <v>44987</v>
      </c>
      <c r="I209" s="184"/>
      <c r="J209" s="179" t="s">
        <v>3953</v>
      </c>
      <c r="K209" s="179">
        <v>62</v>
      </c>
      <c r="L209" s="179" t="s">
        <v>2965</v>
      </c>
      <c r="M209" s="185"/>
      <c r="N209" s="185"/>
      <c r="O209" s="186"/>
      <c r="P209" s="185"/>
      <c r="Q209" s="182" t="s">
        <v>2933</v>
      </c>
      <c r="R209" s="182" t="s">
        <v>2934</v>
      </c>
      <c r="S209" s="182" t="s">
        <v>2952</v>
      </c>
      <c r="T209" s="179" t="s">
        <v>2953</v>
      </c>
      <c r="U209" s="179" t="s">
        <v>2954</v>
      </c>
      <c r="V209" s="187">
        <v>720</v>
      </c>
      <c r="W209" s="179" t="s">
        <v>3352</v>
      </c>
      <c r="X209" s="188">
        <v>192.0401</v>
      </c>
      <c r="Y209" s="188">
        <v>114.5958</v>
      </c>
      <c r="Z209" s="188">
        <v>87.15570000000001</v>
      </c>
      <c r="AA209" s="188">
        <v>66.2697</v>
      </c>
      <c r="AB209" s="188">
        <v>12.1182</v>
      </c>
      <c r="AC209" s="188">
        <v>104.95799999999998</v>
      </c>
      <c r="AD209" s="179" t="s">
        <v>2956</v>
      </c>
      <c r="AE209" s="188" t="s">
        <v>2957</v>
      </c>
      <c r="AF209" s="189">
        <v>0.29166666666666669</v>
      </c>
      <c r="AG209" s="189">
        <v>0.95833333333333337</v>
      </c>
      <c r="AH209" s="190" t="s">
        <v>2941</v>
      </c>
      <c r="AI209" s="190" t="s">
        <v>2985</v>
      </c>
      <c r="AJ209" s="179" t="s">
        <v>178</v>
      </c>
      <c r="AK209" s="179" t="s">
        <v>28</v>
      </c>
      <c r="AL209" s="179" t="s">
        <v>28</v>
      </c>
      <c r="AM209" s="179" t="s">
        <v>3954</v>
      </c>
      <c r="AN209" s="179" t="s">
        <v>2102</v>
      </c>
      <c r="AO209" s="179" t="s">
        <v>2510</v>
      </c>
      <c r="AP209" s="191">
        <v>8113806264</v>
      </c>
      <c r="AQ209" s="184">
        <v>41698</v>
      </c>
      <c r="AR209" s="179">
        <v>150</v>
      </c>
      <c r="AS209" s="179"/>
      <c r="AT209" s="181" t="s">
        <v>3955</v>
      </c>
      <c r="AU209" s="181" t="s">
        <v>2946</v>
      </c>
      <c r="AV209" s="192">
        <v>13963069</v>
      </c>
      <c r="AW209" s="181">
        <v>23.8</v>
      </c>
      <c r="AX209" s="179">
        <v>80511</v>
      </c>
      <c r="AY209" s="179"/>
    </row>
    <row r="210" spans="1:51" ht="14.4" x14ac:dyDescent="0.3">
      <c r="A210" s="179" t="s">
        <v>341</v>
      </c>
      <c r="B210" s="179" t="s">
        <v>2927</v>
      </c>
      <c r="C210" s="180" t="s">
        <v>3956</v>
      </c>
      <c r="D210" s="181" t="s">
        <v>2837</v>
      </c>
      <c r="E210" s="181" t="s">
        <v>2825</v>
      </c>
      <c r="F210" s="182" t="s">
        <v>2929</v>
      </c>
      <c r="G210" s="181" t="s">
        <v>12</v>
      </c>
      <c r="H210" s="193" t="s">
        <v>2930</v>
      </c>
      <c r="I210" s="184"/>
      <c r="J210" s="179" t="s">
        <v>3957</v>
      </c>
      <c r="K210" s="179">
        <v>240</v>
      </c>
      <c r="L210" s="179" t="s">
        <v>2950</v>
      </c>
      <c r="M210" s="185"/>
      <c r="N210" s="185"/>
      <c r="O210" s="186"/>
      <c r="P210" s="185"/>
      <c r="Q210" s="182" t="s">
        <v>3729</v>
      </c>
      <c r="R210" s="182" t="s">
        <v>2933</v>
      </c>
      <c r="S210" s="182" t="s">
        <v>2952</v>
      </c>
      <c r="T210" s="179" t="s">
        <v>2953</v>
      </c>
      <c r="U210" s="179" t="s">
        <v>2937</v>
      </c>
      <c r="V210" s="187">
        <v>1040</v>
      </c>
      <c r="W210" s="179" t="s">
        <v>3958</v>
      </c>
      <c r="X210" s="188">
        <v>239.09739999999999</v>
      </c>
      <c r="Y210" s="188">
        <v>239.09739999999999</v>
      </c>
      <c r="Z210" s="188">
        <v>119.68320000000001</v>
      </c>
      <c r="AA210" s="188">
        <v>0</v>
      </c>
      <c r="AB210" s="188">
        <v>32.9056</v>
      </c>
      <c r="AC210" s="188">
        <v>51.842500000000001</v>
      </c>
      <c r="AD210" s="179" t="s">
        <v>2984</v>
      </c>
      <c r="AE210" s="188" t="s">
        <v>2940</v>
      </c>
      <c r="AF210" s="189">
        <v>0.29166666666666669</v>
      </c>
      <c r="AG210" s="189">
        <v>0.91666666666666663</v>
      </c>
      <c r="AH210" s="190" t="s">
        <v>2941</v>
      </c>
      <c r="AI210" s="190" t="s">
        <v>2942</v>
      </c>
      <c r="AJ210" s="179" t="s">
        <v>339</v>
      </c>
      <c r="AK210" s="179" t="s">
        <v>3010</v>
      </c>
      <c r="AL210" s="179" t="s">
        <v>36</v>
      </c>
      <c r="AM210" s="179" t="s">
        <v>3959</v>
      </c>
      <c r="AN210" s="179" t="s">
        <v>2102</v>
      </c>
      <c r="AO210" s="179" t="s">
        <v>2747</v>
      </c>
      <c r="AP210" s="191">
        <v>81139000806</v>
      </c>
      <c r="AQ210" s="184">
        <v>41714</v>
      </c>
      <c r="AR210" s="179">
        <v>149</v>
      </c>
      <c r="AS210" s="194"/>
      <c r="AT210" s="195" t="s">
        <v>3960</v>
      </c>
      <c r="AU210" s="181" t="s">
        <v>2946</v>
      </c>
      <c r="AV210" s="192">
        <v>9309000</v>
      </c>
      <c r="AW210" s="181">
        <v>11.1</v>
      </c>
      <c r="AX210" s="179">
        <v>82121</v>
      </c>
      <c r="AY210" s="179"/>
    </row>
    <row r="211" spans="1:51" ht="14.4" x14ac:dyDescent="0.3">
      <c r="A211" s="179" t="s">
        <v>520</v>
      </c>
      <c r="B211" s="179" t="s">
        <v>2947</v>
      </c>
      <c r="C211" s="180" t="s">
        <v>3961</v>
      </c>
      <c r="D211" s="181" t="s">
        <v>2865</v>
      </c>
      <c r="E211" s="181" t="s">
        <v>2817</v>
      </c>
      <c r="F211" s="182" t="s">
        <v>2972</v>
      </c>
      <c r="G211" s="181" t="s">
        <v>17</v>
      </c>
      <c r="H211" s="193">
        <v>45087</v>
      </c>
      <c r="I211" s="184"/>
      <c r="J211" s="179" t="s">
        <v>3962</v>
      </c>
      <c r="K211" s="179">
        <v>130</v>
      </c>
      <c r="L211" s="179" t="s">
        <v>2950</v>
      </c>
      <c r="M211" s="185"/>
      <c r="N211" s="185"/>
      <c r="O211" s="179" t="s">
        <v>2951</v>
      </c>
      <c r="P211" s="185"/>
      <c r="Q211" s="182" t="s">
        <v>2933</v>
      </c>
      <c r="R211" s="182" t="s">
        <v>2934</v>
      </c>
      <c r="S211" s="182" t="s">
        <v>2952</v>
      </c>
      <c r="T211" s="179" t="s">
        <v>2953</v>
      </c>
      <c r="U211" s="179" t="s">
        <v>2954</v>
      </c>
      <c r="V211" s="187">
        <v>1250</v>
      </c>
      <c r="W211" s="179" t="s">
        <v>3963</v>
      </c>
      <c r="X211" s="188">
        <v>238.5138</v>
      </c>
      <c r="Y211" s="188">
        <v>172.84299999999999</v>
      </c>
      <c r="Z211" s="188">
        <v>141.29519999999999</v>
      </c>
      <c r="AA211" s="188">
        <v>56.8932</v>
      </c>
      <c r="AB211" s="188">
        <v>12.016999999999999</v>
      </c>
      <c r="AC211" s="188">
        <v>24.172500000000003</v>
      </c>
      <c r="AD211" s="179" t="s">
        <v>2939</v>
      </c>
      <c r="AE211" s="188" t="s">
        <v>2940</v>
      </c>
      <c r="AF211" s="189">
        <v>0</v>
      </c>
      <c r="AG211" s="189">
        <v>0.99930555555555556</v>
      </c>
      <c r="AH211" s="190" t="s">
        <v>2941</v>
      </c>
      <c r="AI211" s="190" t="s">
        <v>2942</v>
      </c>
      <c r="AJ211" s="179" t="s">
        <v>125</v>
      </c>
      <c r="AK211" s="179" t="s">
        <v>3293</v>
      </c>
      <c r="AL211" s="179" t="s">
        <v>9</v>
      </c>
      <c r="AM211" s="179" t="s">
        <v>3964</v>
      </c>
      <c r="AN211" s="179" t="s">
        <v>2102</v>
      </c>
      <c r="AO211" s="179" t="s">
        <v>2555</v>
      </c>
      <c r="AP211" s="191">
        <v>81139001387</v>
      </c>
      <c r="AQ211" s="184">
        <v>41727</v>
      </c>
      <c r="AR211" s="179">
        <v>148</v>
      </c>
      <c r="AS211" s="179"/>
      <c r="AT211" s="181" t="s">
        <v>3965</v>
      </c>
      <c r="AU211" s="181" t="s">
        <v>2946</v>
      </c>
      <c r="AV211" s="192">
        <v>30848562</v>
      </c>
      <c r="AW211" s="181">
        <v>32.299999999999997</v>
      </c>
      <c r="AX211" s="179">
        <v>80361</v>
      </c>
      <c r="AY211" s="179"/>
    </row>
    <row r="212" spans="1:51" ht="14.4" x14ac:dyDescent="0.3">
      <c r="A212" s="179" t="s">
        <v>1499</v>
      </c>
      <c r="B212" s="179" t="s">
        <v>2947</v>
      </c>
      <c r="C212" s="180" t="s">
        <v>3966</v>
      </c>
      <c r="D212" s="181" t="s">
        <v>2826</v>
      </c>
      <c r="E212" s="181" t="s">
        <v>2825</v>
      </c>
      <c r="F212" s="182" t="s">
        <v>2929</v>
      </c>
      <c r="G212" s="181" t="s">
        <v>12</v>
      </c>
      <c r="H212" s="193" t="s">
        <v>2930</v>
      </c>
      <c r="I212" s="184" t="s">
        <v>2930</v>
      </c>
      <c r="J212" s="179" t="s">
        <v>3967</v>
      </c>
      <c r="K212" s="179">
        <v>260</v>
      </c>
      <c r="L212" s="179" t="s">
        <v>2950</v>
      </c>
      <c r="M212" s="185"/>
      <c r="N212" s="185"/>
      <c r="O212" s="186"/>
      <c r="P212" s="185"/>
      <c r="Q212" s="182" t="s">
        <v>2933</v>
      </c>
      <c r="R212" s="182" t="s">
        <v>2934</v>
      </c>
      <c r="S212" s="182" t="s">
        <v>2952</v>
      </c>
      <c r="T212" s="179" t="s">
        <v>2953</v>
      </c>
      <c r="U212" s="179" t="s">
        <v>2954</v>
      </c>
      <c r="V212" s="187">
        <v>0</v>
      </c>
      <c r="W212" s="179" t="s">
        <v>2955</v>
      </c>
      <c r="X212" s="188">
        <v>312.95549999999997</v>
      </c>
      <c r="Y212" s="188">
        <v>177.12260000000001</v>
      </c>
      <c r="Z212" s="188">
        <v>111.7478</v>
      </c>
      <c r="AA212" s="188">
        <v>129.99690000000001</v>
      </c>
      <c r="AB212" s="188">
        <v>14.29</v>
      </c>
      <c r="AC212" s="188">
        <v>37.5</v>
      </c>
      <c r="AD212" s="179" t="s">
        <v>2984</v>
      </c>
      <c r="AE212" s="188" t="s">
        <v>2940</v>
      </c>
      <c r="AF212" s="189">
        <v>0.29166666666666669</v>
      </c>
      <c r="AG212" s="189">
        <v>0.91666666666666663</v>
      </c>
      <c r="AH212" s="190" t="s">
        <v>2941</v>
      </c>
      <c r="AI212" s="190" t="s">
        <v>2942</v>
      </c>
      <c r="AJ212" s="179" t="s">
        <v>192</v>
      </c>
      <c r="AK212" s="179" t="s">
        <v>2977</v>
      </c>
      <c r="AL212" s="179" t="s">
        <v>9</v>
      </c>
      <c r="AM212" s="179" t="s">
        <v>3968</v>
      </c>
      <c r="AN212" s="179" t="s">
        <v>2102</v>
      </c>
      <c r="AO212" s="179" t="s">
        <v>2515</v>
      </c>
      <c r="AP212" s="191">
        <v>81139609920</v>
      </c>
      <c r="AQ212" s="184">
        <v>41727</v>
      </c>
      <c r="AR212" s="179">
        <v>148</v>
      </c>
      <c r="AS212" s="179"/>
      <c r="AT212" s="181" t="s">
        <v>3969</v>
      </c>
      <c r="AU212" s="181" t="s">
        <v>3970</v>
      </c>
      <c r="AV212" s="192">
        <v>15960000</v>
      </c>
      <c r="AW212" s="181">
        <v>15.8</v>
      </c>
      <c r="AX212" s="179">
        <v>80363</v>
      </c>
      <c r="AY212" s="179"/>
    </row>
    <row r="213" spans="1:51" ht="14.4" x14ac:dyDescent="0.3">
      <c r="A213" s="179" t="s">
        <v>35</v>
      </c>
      <c r="B213" s="179" t="s">
        <v>2947</v>
      </c>
      <c r="C213" s="180" t="s">
        <v>3971</v>
      </c>
      <c r="D213" s="181" t="s">
        <v>2835</v>
      </c>
      <c r="E213" s="181" t="s">
        <v>2834</v>
      </c>
      <c r="F213" s="182" t="s">
        <v>2972</v>
      </c>
      <c r="G213" s="181" t="s">
        <v>17</v>
      </c>
      <c r="H213" s="193">
        <v>45135</v>
      </c>
      <c r="I213" s="184"/>
      <c r="J213" s="179" t="s">
        <v>3008</v>
      </c>
      <c r="K213" s="179" t="s">
        <v>3008</v>
      </c>
      <c r="L213" s="179" t="s">
        <v>2932</v>
      </c>
      <c r="M213" s="185"/>
      <c r="N213" s="185" t="s">
        <v>2951</v>
      </c>
      <c r="O213" s="186"/>
      <c r="P213" s="185"/>
      <c r="Q213" s="182" t="s">
        <v>2934</v>
      </c>
      <c r="R213" s="182" t="s">
        <v>2933</v>
      </c>
      <c r="S213" s="182" t="s">
        <v>2952</v>
      </c>
      <c r="T213" s="179" t="s">
        <v>2953</v>
      </c>
      <c r="U213" s="179" t="s">
        <v>2954</v>
      </c>
      <c r="V213" s="179">
        <v>1351</v>
      </c>
      <c r="W213" s="179" t="s">
        <v>2992</v>
      </c>
      <c r="X213" s="188">
        <v>428.20580000000001</v>
      </c>
      <c r="Y213" s="188">
        <v>272</v>
      </c>
      <c r="Z213" s="188">
        <v>150.0504</v>
      </c>
      <c r="AA213" s="188">
        <v>145.15199999999999</v>
      </c>
      <c r="AB213" s="188">
        <v>20.492999999999999</v>
      </c>
      <c r="AC213" s="188">
        <v>88.216800000000006</v>
      </c>
      <c r="AD213" s="179" t="s">
        <v>2956</v>
      </c>
      <c r="AE213" s="188" t="s">
        <v>2940</v>
      </c>
      <c r="AF213" s="189">
        <v>0.25</v>
      </c>
      <c r="AG213" s="189">
        <v>0.95833333333333337</v>
      </c>
      <c r="AH213" s="190" t="s">
        <v>2941</v>
      </c>
      <c r="AI213" s="190" t="s">
        <v>2942</v>
      </c>
      <c r="AJ213" s="179" t="s">
        <v>33</v>
      </c>
      <c r="AK213" s="179" t="s">
        <v>3972</v>
      </c>
      <c r="AL213" s="179" t="s">
        <v>32</v>
      </c>
      <c r="AM213" s="179" t="s">
        <v>3973</v>
      </c>
      <c r="AN213" s="179" t="s">
        <v>2102</v>
      </c>
      <c r="AO213" s="179" t="s">
        <v>2589</v>
      </c>
      <c r="AP213" s="191"/>
      <c r="AQ213" s="184">
        <v>41728</v>
      </c>
      <c r="AR213" s="179">
        <v>148</v>
      </c>
      <c r="AS213" s="179"/>
      <c r="AT213" s="181" t="s">
        <v>3231</v>
      </c>
      <c r="AU213" s="181" t="s">
        <v>2946</v>
      </c>
      <c r="AV213" s="192">
        <v>19724383</v>
      </c>
      <c r="AW213" s="181">
        <v>41.8</v>
      </c>
      <c r="AX213" s="179">
        <v>80661</v>
      </c>
      <c r="AY213" s="179"/>
    </row>
    <row r="214" spans="1:51" ht="14.4" x14ac:dyDescent="0.3">
      <c r="A214" s="179" t="s">
        <v>16</v>
      </c>
      <c r="B214" s="179" t="s">
        <v>2927</v>
      </c>
      <c r="C214" s="180" t="s">
        <v>3974</v>
      </c>
      <c r="D214" s="181" t="s">
        <v>2837</v>
      </c>
      <c r="E214" s="181" t="s">
        <v>2825</v>
      </c>
      <c r="F214" s="182" t="s">
        <v>2929</v>
      </c>
      <c r="G214" s="181" t="s">
        <v>12</v>
      </c>
      <c r="H214" s="193" t="s">
        <v>2930</v>
      </c>
      <c r="I214" s="184" t="s">
        <v>2930</v>
      </c>
      <c r="J214" s="179" t="s">
        <v>3975</v>
      </c>
      <c r="K214" s="179">
        <v>140</v>
      </c>
      <c r="L214" s="179" t="s">
        <v>2950</v>
      </c>
      <c r="M214" s="185"/>
      <c r="N214" s="185"/>
      <c r="O214" s="186"/>
      <c r="P214" s="185"/>
      <c r="Q214" s="182" t="s">
        <v>2933</v>
      </c>
      <c r="R214" s="182" t="s">
        <v>2934</v>
      </c>
      <c r="S214" s="182" t="s">
        <v>2952</v>
      </c>
      <c r="T214" s="179" t="s">
        <v>2953</v>
      </c>
      <c r="U214" s="179" t="s">
        <v>2937</v>
      </c>
      <c r="V214" s="187">
        <v>998</v>
      </c>
      <c r="W214" s="179" t="s">
        <v>3140</v>
      </c>
      <c r="X214" s="188">
        <v>273.10500000000002</v>
      </c>
      <c r="Y214" s="188">
        <v>178.755</v>
      </c>
      <c r="Z214" s="188">
        <v>113.41949999999999</v>
      </c>
      <c r="AA214" s="188">
        <v>87.149999999999991</v>
      </c>
      <c r="AB214" s="188">
        <v>18.524999999999999</v>
      </c>
      <c r="AC214" s="188">
        <v>32.802</v>
      </c>
      <c r="AD214" s="179" t="s">
        <v>2984</v>
      </c>
      <c r="AE214" s="188" t="s">
        <v>2940</v>
      </c>
      <c r="AF214" s="189">
        <v>0.29166666666666669</v>
      </c>
      <c r="AG214" s="189">
        <v>0.99930555555555556</v>
      </c>
      <c r="AH214" s="190" t="s">
        <v>2941</v>
      </c>
      <c r="AI214" s="190" t="s">
        <v>2942</v>
      </c>
      <c r="AJ214" s="179" t="s">
        <v>14</v>
      </c>
      <c r="AK214" s="179" t="s">
        <v>3302</v>
      </c>
      <c r="AL214" s="179" t="s">
        <v>9</v>
      </c>
      <c r="AM214" s="179" t="s">
        <v>3976</v>
      </c>
      <c r="AN214" s="179" t="s">
        <v>2102</v>
      </c>
      <c r="AO214" s="179" t="s">
        <v>2399</v>
      </c>
      <c r="AP214" s="191">
        <v>81139004586</v>
      </c>
      <c r="AQ214" s="184">
        <v>41746</v>
      </c>
      <c r="AR214" s="179">
        <v>148</v>
      </c>
      <c r="AS214" s="194"/>
      <c r="AT214" s="195" t="s">
        <v>3977</v>
      </c>
      <c r="AU214" s="195" t="s">
        <v>3978</v>
      </c>
      <c r="AV214" s="192">
        <v>9072000</v>
      </c>
      <c r="AW214" s="181">
        <v>3.7</v>
      </c>
      <c r="AX214" s="179">
        <v>80351</v>
      </c>
      <c r="AY214" s="179"/>
    </row>
    <row r="215" spans="1:51" ht="14.4" x14ac:dyDescent="0.3">
      <c r="A215" s="179" t="s">
        <v>1398</v>
      </c>
      <c r="B215" s="179" t="s">
        <v>2927</v>
      </c>
      <c r="C215" s="180" t="s">
        <v>3979</v>
      </c>
      <c r="D215" s="181" t="s">
        <v>2855</v>
      </c>
      <c r="E215" s="181" t="s">
        <v>2815</v>
      </c>
      <c r="F215" s="182" t="s">
        <v>2929</v>
      </c>
      <c r="G215" s="181" t="s">
        <v>12</v>
      </c>
      <c r="H215" s="193" t="s">
        <v>2930</v>
      </c>
      <c r="I215" s="184" t="s">
        <v>2930</v>
      </c>
      <c r="J215" s="179" t="s">
        <v>3980</v>
      </c>
      <c r="K215" s="179">
        <v>350</v>
      </c>
      <c r="L215" s="179" t="s">
        <v>2950</v>
      </c>
      <c r="M215" s="185"/>
      <c r="N215" s="185"/>
      <c r="O215" s="186"/>
      <c r="P215" s="185"/>
      <c r="Q215" s="182" t="s">
        <v>2933</v>
      </c>
      <c r="R215" s="182" t="s">
        <v>2934</v>
      </c>
      <c r="S215" s="182" t="s">
        <v>2952</v>
      </c>
      <c r="T215" s="179" t="s">
        <v>2953</v>
      </c>
      <c r="U215" s="179" t="s">
        <v>2937</v>
      </c>
      <c r="V215" s="187">
        <v>1324</v>
      </c>
      <c r="W215" s="179" t="s">
        <v>3140</v>
      </c>
      <c r="X215" s="188">
        <v>241.44229999999999</v>
      </c>
      <c r="Y215" s="188">
        <v>178.67410000000001</v>
      </c>
      <c r="Z215" s="188">
        <v>106.61580000000001</v>
      </c>
      <c r="AA215" s="188">
        <v>57.103200000000001</v>
      </c>
      <c r="AB215" s="188">
        <v>5.585</v>
      </c>
      <c r="AC215" s="188">
        <v>51.041900000000005</v>
      </c>
      <c r="AD215" s="179" t="s">
        <v>2984</v>
      </c>
      <c r="AE215" s="188" t="s">
        <v>2940</v>
      </c>
      <c r="AF215" s="189">
        <v>0.29166666666666669</v>
      </c>
      <c r="AG215" s="189">
        <v>0.95833333333333337</v>
      </c>
      <c r="AH215" s="190" t="s">
        <v>2941</v>
      </c>
      <c r="AI215" s="190" t="s">
        <v>2985</v>
      </c>
      <c r="AJ215" s="179" t="s">
        <v>986</v>
      </c>
      <c r="AK215" s="179" t="s">
        <v>2981</v>
      </c>
      <c r="AL215" s="179" t="s">
        <v>28</v>
      </c>
      <c r="AM215" s="179" t="s">
        <v>3981</v>
      </c>
      <c r="AN215" s="179" t="s">
        <v>2102</v>
      </c>
      <c r="AO215" s="179" t="s">
        <v>2303</v>
      </c>
      <c r="AP215" s="191">
        <v>8113806248</v>
      </c>
      <c r="AQ215" s="184">
        <v>41758</v>
      </c>
      <c r="AR215" s="179">
        <v>147</v>
      </c>
      <c r="AS215" s="194">
        <v>42675</v>
      </c>
      <c r="AT215" s="195" t="s">
        <v>3982</v>
      </c>
      <c r="AU215" s="195" t="s">
        <v>2946</v>
      </c>
      <c r="AV215" s="192">
        <v>11789000</v>
      </c>
      <c r="AW215" s="181">
        <v>23.1</v>
      </c>
      <c r="AX215" s="179">
        <v>80582</v>
      </c>
      <c r="AY215" s="179" t="s">
        <v>3983</v>
      </c>
    </row>
    <row r="216" spans="1:51" ht="14.4" x14ac:dyDescent="0.3">
      <c r="A216" s="179" t="s">
        <v>1114</v>
      </c>
      <c r="B216" s="179" t="s">
        <v>2947</v>
      </c>
      <c r="C216" s="180" t="s">
        <v>3984</v>
      </c>
      <c r="D216" s="181" t="s">
        <v>2857</v>
      </c>
      <c r="E216" s="181" t="s">
        <v>2815</v>
      </c>
      <c r="F216" s="182" t="s">
        <v>2972</v>
      </c>
      <c r="G216" s="181" t="s">
        <v>17</v>
      </c>
      <c r="H216" s="193">
        <v>45899</v>
      </c>
      <c r="I216" s="184"/>
      <c r="J216" s="179" t="s">
        <v>3985</v>
      </c>
      <c r="K216" s="179">
        <v>67</v>
      </c>
      <c r="L216" s="179" t="s">
        <v>2965</v>
      </c>
      <c r="M216" s="185"/>
      <c r="N216" s="185" t="s">
        <v>2951</v>
      </c>
      <c r="O216" s="179" t="s">
        <v>2951</v>
      </c>
      <c r="P216" s="185"/>
      <c r="Q216" s="182" t="s">
        <v>2934</v>
      </c>
      <c r="R216" s="182" t="s">
        <v>2933</v>
      </c>
      <c r="S216" s="182" t="s">
        <v>2935</v>
      </c>
      <c r="T216" s="179" t="s">
        <v>2953</v>
      </c>
      <c r="U216" s="179" t="s">
        <v>2954</v>
      </c>
      <c r="V216" s="179">
        <v>634</v>
      </c>
      <c r="W216" s="179" t="s">
        <v>2992</v>
      </c>
      <c r="X216" s="188">
        <v>305.89920000000001</v>
      </c>
      <c r="Y216" s="188">
        <v>178.09079999999997</v>
      </c>
      <c r="Z216" s="188">
        <v>115.34249999999999</v>
      </c>
      <c r="AA216" s="188">
        <v>115.28789999999999</v>
      </c>
      <c r="AB216" s="188">
        <v>12.57</v>
      </c>
      <c r="AC216" s="188">
        <v>33.825600000000001</v>
      </c>
      <c r="AD216" s="179" t="s">
        <v>2984</v>
      </c>
      <c r="AE216" s="188" t="s">
        <v>2940</v>
      </c>
      <c r="AF216" s="189">
        <v>0.29166666666666669</v>
      </c>
      <c r="AG216" s="189">
        <v>0.95833333333333337</v>
      </c>
      <c r="AH216" s="190" t="s">
        <v>2941</v>
      </c>
      <c r="AI216" s="190" t="s">
        <v>2985</v>
      </c>
      <c r="AJ216" s="179" t="s">
        <v>103</v>
      </c>
      <c r="AK216" s="179" t="s">
        <v>3000</v>
      </c>
      <c r="AL216" s="179" t="s">
        <v>28</v>
      </c>
      <c r="AM216" s="179" t="s">
        <v>3986</v>
      </c>
      <c r="AN216" s="179" t="s">
        <v>2102</v>
      </c>
      <c r="AO216" s="179" t="s">
        <v>2794</v>
      </c>
      <c r="AP216" s="191">
        <v>8113806165</v>
      </c>
      <c r="AQ216" s="184">
        <v>41785</v>
      </c>
      <c r="AR216" s="179">
        <v>147</v>
      </c>
      <c r="AS216" s="179"/>
      <c r="AT216" s="181" t="s">
        <v>3987</v>
      </c>
      <c r="AU216" s="181" t="s">
        <v>2946</v>
      </c>
      <c r="AV216" s="192">
        <v>16415591</v>
      </c>
      <c r="AW216" s="181">
        <v>19.5</v>
      </c>
      <c r="AX216" s="179">
        <v>80571</v>
      </c>
      <c r="AY216" s="179"/>
    </row>
    <row r="217" spans="1:51" ht="14.4" x14ac:dyDescent="0.3">
      <c r="A217" s="179" t="s">
        <v>19</v>
      </c>
      <c r="B217" s="179" t="s">
        <v>2947</v>
      </c>
      <c r="C217" s="180" t="s">
        <v>3988</v>
      </c>
      <c r="D217" s="181" t="s">
        <v>2837</v>
      </c>
      <c r="E217" s="181" t="s">
        <v>2825</v>
      </c>
      <c r="F217" s="182" t="s">
        <v>2972</v>
      </c>
      <c r="G217" s="181" t="s">
        <v>17</v>
      </c>
      <c r="H217" s="193">
        <v>45087</v>
      </c>
      <c r="I217" s="184"/>
      <c r="J217" s="179" t="s">
        <v>3989</v>
      </c>
      <c r="K217" s="179">
        <v>160</v>
      </c>
      <c r="L217" s="179" t="s">
        <v>2965</v>
      </c>
      <c r="M217" s="185"/>
      <c r="N217" s="185"/>
      <c r="O217" s="186"/>
      <c r="P217" s="185"/>
      <c r="Q217" s="182" t="s">
        <v>2933</v>
      </c>
      <c r="R217" s="182" t="s">
        <v>2934</v>
      </c>
      <c r="S217" s="182" t="s">
        <v>2952</v>
      </c>
      <c r="T217" s="179" t="s">
        <v>2953</v>
      </c>
      <c r="U217" s="179" t="s">
        <v>2954</v>
      </c>
      <c r="V217" s="179">
        <v>0</v>
      </c>
      <c r="W217" s="179" t="s">
        <v>3352</v>
      </c>
      <c r="X217" s="188">
        <v>221.46990000000002</v>
      </c>
      <c r="Y217" s="188">
        <v>138.50469999999999</v>
      </c>
      <c r="Z217" s="188">
        <v>97.110699999999994</v>
      </c>
      <c r="AA217" s="188">
        <v>76.621199999999988</v>
      </c>
      <c r="AB217" s="188">
        <v>3.9269999999999996</v>
      </c>
      <c r="AC217" s="188">
        <v>24.349499999999999</v>
      </c>
      <c r="AD217" s="179" t="s">
        <v>2939</v>
      </c>
      <c r="AE217" s="188" t="s">
        <v>2940</v>
      </c>
      <c r="AF217" s="189">
        <v>0.29166666666666669</v>
      </c>
      <c r="AG217" s="189">
        <v>0.91666666666666663</v>
      </c>
      <c r="AH217" s="190" t="s">
        <v>2941</v>
      </c>
      <c r="AI217" s="190" t="s">
        <v>2942</v>
      </c>
      <c r="AJ217" s="179" t="s">
        <v>14</v>
      </c>
      <c r="AK217" s="179" t="s">
        <v>3302</v>
      </c>
      <c r="AL217" s="179" t="s">
        <v>9</v>
      </c>
      <c r="AM217" s="179" t="s">
        <v>3990</v>
      </c>
      <c r="AN217" s="179" t="s">
        <v>2102</v>
      </c>
      <c r="AO217" s="179" t="s">
        <v>2459</v>
      </c>
      <c r="AP217" s="191"/>
      <c r="AQ217" s="184">
        <v>41786</v>
      </c>
      <c r="AR217" s="179">
        <v>147</v>
      </c>
      <c r="AS217" s="179"/>
      <c r="AT217" s="181" t="s">
        <v>3991</v>
      </c>
      <c r="AU217" s="181" t="s">
        <v>3992</v>
      </c>
      <c r="AV217" s="192">
        <v>14534453</v>
      </c>
      <c r="AW217" s="181">
        <v>0.24</v>
      </c>
      <c r="AX217" s="179">
        <v>80351</v>
      </c>
      <c r="AY217" s="179"/>
    </row>
    <row r="218" spans="1:51" ht="14.4" x14ac:dyDescent="0.3">
      <c r="A218" s="179" t="s">
        <v>1770</v>
      </c>
      <c r="B218" s="179" t="s">
        <v>2927</v>
      </c>
      <c r="C218" s="180" t="s">
        <v>3834</v>
      </c>
      <c r="D218" s="181" t="s">
        <v>2849</v>
      </c>
      <c r="E218" s="181" t="s">
        <v>2830</v>
      </c>
      <c r="F218" s="182" t="s">
        <v>2929</v>
      </c>
      <c r="G218" s="181" t="s">
        <v>12</v>
      </c>
      <c r="H218" s="193" t="s">
        <v>2930</v>
      </c>
      <c r="I218" s="184" t="s">
        <v>2930</v>
      </c>
      <c r="J218" s="179" t="s">
        <v>3993</v>
      </c>
      <c r="K218" s="179">
        <v>1500</v>
      </c>
      <c r="L218" s="179" t="s">
        <v>2932</v>
      </c>
      <c r="M218" s="185"/>
      <c r="N218" s="185"/>
      <c r="O218" s="186"/>
      <c r="P218" s="185"/>
      <c r="Q218" s="182" t="s">
        <v>2933</v>
      </c>
      <c r="R218" s="182" t="s">
        <v>2934</v>
      </c>
      <c r="S218" s="182" t="s">
        <v>2952</v>
      </c>
      <c r="T218" s="179" t="s">
        <v>2953</v>
      </c>
      <c r="U218" s="179" t="s">
        <v>2937</v>
      </c>
      <c r="V218" s="187">
        <v>1159</v>
      </c>
      <c r="W218" s="179" t="s">
        <v>2955</v>
      </c>
      <c r="X218" s="188">
        <v>218.52599999999998</v>
      </c>
      <c r="Y218" s="188">
        <v>150.3425</v>
      </c>
      <c r="Z218" s="188">
        <v>100.28</v>
      </c>
      <c r="AA218" s="188">
        <v>72.643199999999993</v>
      </c>
      <c r="AB218" s="188">
        <v>6.666100000000001</v>
      </c>
      <c r="AC218" s="188">
        <v>35.760200000000005</v>
      </c>
      <c r="AD218" s="179" t="s">
        <v>2984</v>
      </c>
      <c r="AE218" s="188" t="s">
        <v>2940</v>
      </c>
      <c r="AF218" s="189">
        <v>0.29166666666666669</v>
      </c>
      <c r="AG218" s="189">
        <v>0.91666666666666663</v>
      </c>
      <c r="AH218" s="190" t="s">
        <v>2941</v>
      </c>
      <c r="AI218" s="190" t="s">
        <v>2942</v>
      </c>
      <c r="AJ218" s="179" t="s">
        <v>1009</v>
      </c>
      <c r="AK218" s="179" t="s">
        <v>3034</v>
      </c>
      <c r="AL218" s="179" t="s">
        <v>4</v>
      </c>
      <c r="AM218" s="179" t="s">
        <v>3994</v>
      </c>
      <c r="AN218" s="179" t="s">
        <v>2102</v>
      </c>
      <c r="AO218" s="179" t="s">
        <v>2389</v>
      </c>
      <c r="AP218" s="191">
        <v>81139001400</v>
      </c>
      <c r="AQ218" s="184">
        <v>41797</v>
      </c>
      <c r="AR218" s="179">
        <v>146</v>
      </c>
      <c r="AS218" s="194"/>
      <c r="AT218" s="195" t="s">
        <v>3995</v>
      </c>
      <c r="AU218" s="195" t="s">
        <v>2946</v>
      </c>
      <c r="AV218" s="192">
        <v>8016000</v>
      </c>
      <c r="AW218" s="181">
        <v>16.2</v>
      </c>
      <c r="AX218" s="179">
        <v>80233</v>
      </c>
      <c r="AY218" s="179"/>
    </row>
    <row r="219" spans="1:51" ht="14.4" x14ac:dyDescent="0.3">
      <c r="A219" s="179" t="s">
        <v>214</v>
      </c>
      <c r="B219" s="179" t="s">
        <v>2947</v>
      </c>
      <c r="C219" s="180" t="s">
        <v>3996</v>
      </c>
      <c r="D219" s="181" t="s">
        <v>2824</v>
      </c>
      <c r="E219" s="181" t="s">
        <v>2813</v>
      </c>
      <c r="F219" s="182" t="s">
        <v>2929</v>
      </c>
      <c r="G219" s="181" t="s">
        <v>12</v>
      </c>
      <c r="H219" s="193">
        <v>44987</v>
      </c>
      <c r="I219" s="184"/>
      <c r="J219" s="179" t="s">
        <v>3997</v>
      </c>
      <c r="K219" s="179">
        <v>89</v>
      </c>
      <c r="L219" s="179" t="s">
        <v>2965</v>
      </c>
      <c r="M219" s="185"/>
      <c r="N219" s="185" t="s">
        <v>2951</v>
      </c>
      <c r="O219" s="186"/>
      <c r="P219" s="185"/>
      <c r="Q219" s="182" t="s">
        <v>2933</v>
      </c>
      <c r="R219" s="182" t="s">
        <v>2934</v>
      </c>
      <c r="S219" s="182" t="s">
        <v>2952</v>
      </c>
      <c r="T219" s="179" t="s">
        <v>2953</v>
      </c>
      <c r="U219" s="179" t="s">
        <v>2954</v>
      </c>
      <c r="V219" s="179">
        <v>929</v>
      </c>
      <c r="W219" s="179" t="s">
        <v>2992</v>
      </c>
      <c r="X219" s="188">
        <v>313.04820000000001</v>
      </c>
      <c r="Y219" s="188">
        <v>192.21300000000002</v>
      </c>
      <c r="Z219" s="188">
        <v>121.1846</v>
      </c>
      <c r="AA219" s="188">
        <v>119.6352</v>
      </c>
      <c r="AB219" s="188">
        <v>23.475000000000001</v>
      </c>
      <c r="AC219" s="188">
        <v>32.68</v>
      </c>
      <c r="AD219" s="179" t="s">
        <v>2984</v>
      </c>
      <c r="AE219" s="188" t="s">
        <v>2940</v>
      </c>
      <c r="AF219" s="189">
        <v>0.29166666666666669</v>
      </c>
      <c r="AG219" s="189">
        <v>0.95833333333333337</v>
      </c>
      <c r="AH219" s="190" t="s">
        <v>2941</v>
      </c>
      <c r="AI219" s="190" t="s">
        <v>2985</v>
      </c>
      <c r="AJ219" s="179" t="s">
        <v>210</v>
      </c>
      <c r="AK219" s="179" t="s">
        <v>3241</v>
      </c>
      <c r="AL219" s="179" t="s">
        <v>9</v>
      </c>
      <c r="AM219" s="179" t="s">
        <v>3998</v>
      </c>
      <c r="AN219" s="179" t="s">
        <v>2102</v>
      </c>
      <c r="AO219" s="179" t="s">
        <v>2692</v>
      </c>
      <c r="AP219" s="191">
        <v>81139009799</v>
      </c>
      <c r="AQ219" s="184">
        <v>41811</v>
      </c>
      <c r="AR219" s="179">
        <v>146</v>
      </c>
      <c r="AS219" s="179"/>
      <c r="AT219" s="181" t="s">
        <v>3999</v>
      </c>
      <c r="AU219" s="181" t="s">
        <v>2946</v>
      </c>
      <c r="AV219" s="192">
        <v>16312284</v>
      </c>
      <c r="AW219" s="181">
        <v>42</v>
      </c>
      <c r="AX219" s="179">
        <v>80362</v>
      </c>
      <c r="AY219" s="179"/>
    </row>
    <row r="220" spans="1:51" ht="14.4" x14ac:dyDescent="0.3">
      <c r="A220" s="179" t="s">
        <v>254</v>
      </c>
      <c r="B220" s="179" t="s">
        <v>2927</v>
      </c>
      <c r="C220" s="180" t="s">
        <v>4000</v>
      </c>
      <c r="D220" s="181" t="s">
        <v>2869</v>
      </c>
      <c r="E220" s="181" t="s">
        <v>2834</v>
      </c>
      <c r="F220" s="182" t="s">
        <v>2929</v>
      </c>
      <c r="G220" s="181" t="s">
        <v>12</v>
      </c>
      <c r="H220" s="193" t="s">
        <v>2930</v>
      </c>
      <c r="I220" s="184" t="s">
        <v>2930</v>
      </c>
      <c r="J220" s="179" t="s">
        <v>3008</v>
      </c>
      <c r="K220" s="179" t="s">
        <v>3008</v>
      </c>
      <c r="L220" s="179" t="s">
        <v>2932</v>
      </c>
      <c r="M220" s="185"/>
      <c r="N220" s="185"/>
      <c r="O220" s="186"/>
      <c r="P220" s="185"/>
      <c r="Q220" s="182" t="s">
        <v>2933</v>
      </c>
      <c r="R220" s="182" t="s">
        <v>3729</v>
      </c>
      <c r="S220" s="182" t="s">
        <v>2952</v>
      </c>
      <c r="T220" s="179" t="s">
        <v>2953</v>
      </c>
      <c r="U220" s="179" t="s">
        <v>2937</v>
      </c>
      <c r="V220" s="187">
        <v>625</v>
      </c>
      <c r="W220" s="179" t="s">
        <v>2955</v>
      </c>
      <c r="X220" s="188">
        <v>314.07060000000001</v>
      </c>
      <c r="Y220" s="188">
        <v>210.97720000000001</v>
      </c>
      <c r="Z220" s="188">
        <v>119.2576</v>
      </c>
      <c r="AA220" s="188">
        <v>95.808000000000007</v>
      </c>
      <c r="AB220" s="188">
        <v>19.940799999999999</v>
      </c>
      <c r="AC220" s="188">
        <v>53.557200000000002</v>
      </c>
      <c r="AD220" s="179" t="s">
        <v>2984</v>
      </c>
      <c r="AE220" s="188" t="s">
        <v>2940</v>
      </c>
      <c r="AF220" s="189">
        <v>0.29166666666666669</v>
      </c>
      <c r="AG220" s="189">
        <v>0.95833333333333337</v>
      </c>
      <c r="AH220" s="190" t="s">
        <v>2941</v>
      </c>
      <c r="AI220" s="190" t="s">
        <v>2942</v>
      </c>
      <c r="AJ220" s="179" t="s">
        <v>252</v>
      </c>
      <c r="AK220" s="179" t="s">
        <v>4001</v>
      </c>
      <c r="AL220" s="179" t="s">
        <v>40</v>
      </c>
      <c r="AM220" s="179" t="s">
        <v>4002</v>
      </c>
      <c r="AN220" s="179" t="s">
        <v>2102</v>
      </c>
      <c r="AO220" s="179" t="s">
        <v>2382</v>
      </c>
      <c r="AP220" s="191">
        <v>81139604757</v>
      </c>
      <c r="AQ220" s="184">
        <v>41815</v>
      </c>
      <c r="AR220" s="179">
        <v>146</v>
      </c>
      <c r="AS220" s="194"/>
      <c r="AT220" s="195" t="s">
        <v>4003</v>
      </c>
      <c r="AU220" s="181" t="s">
        <v>2946</v>
      </c>
      <c r="AV220" s="192">
        <v>7500000</v>
      </c>
      <c r="AW220" s="181">
        <v>87.1</v>
      </c>
      <c r="AX220" s="179">
        <v>80852</v>
      </c>
      <c r="AY220" s="179"/>
    </row>
    <row r="221" spans="1:51" ht="14.4" x14ac:dyDescent="0.3">
      <c r="A221" s="179" t="s">
        <v>1617</v>
      </c>
      <c r="B221" s="179" t="s">
        <v>2947</v>
      </c>
      <c r="C221" s="180" t="s">
        <v>4004</v>
      </c>
      <c r="D221" s="181" t="s">
        <v>2826</v>
      </c>
      <c r="E221" s="181" t="s">
        <v>2825</v>
      </c>
      <c r="F221" s="182" t="s">
        <v>2972</v>
      </c>
      <c r="G221" s="181" t="s">
        <v>17</v>
      </c>
      <c r="H221" s="193" t="s">
        <v>2930</v>
      </c>
      <c r="I221" s="184" t="s">
        <v>2930</v>
      </c>
      <c r="J221" s="179" t="s">
        <v>4005</v>
      </c>
      <c r="K221" s="179">
        <v>200</v>
      </c>
      <c r="L221" s="179" t="s">
        <v>2950</v>
      </c>
      <c r="M221" s="185"/>
      <c r="N221" s="185"/>
      <c r="O221" s="179" t="s">
        <v>2951</v>
      </c>
      <c r="P221" s="185"/>
      <c r="Q221" s="182" t="s">
        <v>2933</v>
      </c>
      <c r="R221" s="182" t="s">
        <v>2934</v>
      </c>
      <c r="S221" s="182" t="s">
        <v>2952</v>
      </c>
      <c r="T221" s="179" t="s">
        <v>2999</v>
      </c>
      <c r="U221" s="179" t="s">
        <v>2954</v>
      </c>
      <c r="V221" s="187">
        <v>635</v>
      </c>
      <c r="W221" s="179" t="s">
        <v>3342</v>
      </c>
      <c r="X221" s="188">
        <v>241.2972</v>
      </c>
      <c r="Y221" s="188">
        <v>167.17949999999999</v>
      </c>
      <c r="Z221" s="188">
        <v>107.9901</v>
      </c>
      <c r="AA221" s="188">
        <v>68.198700000000002</v>
      </c>
      <c r="AB221" s="188">
        <v>12.495000000000001</v>
      </c>
      <c r="AC221" s="188">
        <v>32.487000000000002</v>
      </c>
      <c r="AD221" s="179" t="s">
        <v>2984</v>
      </c>
      <c r="AE221" s="188" t="s">
        <v>2940</v>
      </c>
      <c r="AF221" s="189">
        <v>0.29166666666666669</v>
      </c>
      <c r="AG221" s="189">
        <v>0.95833333333333337</v>
      </c>
      <c r="AH221" s="190" t="s">
        <v>2941</v>
      </c>
      <c r="AI221" s="190" t="s">
        <v>2942</v>
      </c>
      <c r="AJ221" s="179" t="s">
        <v>192</v>
      </c>
      <c r="AK221" s="179" t="s">
        <v>2977</v>
      </c>
      <c r="AL221" s="179" t="s">
        <v>9</v>
      </c>
      <c r="AM221" s="179" t="s">
        <v>4006</v>
      </c>
      <c r="AN221" s="179" t="s">
        <v>2102</v>
      </c>
      <c r="AO221" s="179" t="s">
        <v>2431</v>
      </c>
      <c r="AP221" s="191">
        <v>81139006792</v>
      </c>
      <c r="AQ221" s="184">
        <v>41817</v>
      </c>
      <c r="AR221" s="179">
        <v>146</v>
      </c>
      <c r="AS221" s="179"/>
      <c r="AT221" s="181" t="s">
        <v>3589</v>
      </c>
      <c r="AU221" s="181" t="s">
        <v>2946</v>
      </c>
      <c r="AV221" s="192">
        <v>11205000</v>
      </c>
      <c r="AW221" s="181">
        <v>18.3</v>
      </c>
      <c r="AX221" s="179">
        <v>80363</v>
      </c>
      <c r="AY221" s="179"/>
    </row>
    <row r="222" spans="1:51" ht="14.4" x14ac:dyDescent="0.3">
      <c r="A222" s="179" t="s">
        <v>952</v>
      </c>
      <c r="B222" s="179" t="s">
        <v>2947</v>
      </c>
      <c r="C222" s="180" t="s">
        <v>4007</v>
      </c>
      <c r="D222" s="181" t="s">
        <v>2861</v>
      </c>
      <c r="E222" s="181" t="s">
        <v>2840</v>
      </c>
      <c r="F222" s="182" t="s">
        <v>3086</v>
      </c>
      <c r="G222" s="181" t="s">
        <v>535</v>
      </c>
      <c r="H222" s="193">
        <v>45087</v>
      </c>
      <c r="I222" s="184"/>
      <c r="J222" s="179" t="s">
        <v>4008</v>
      </c>
      <c r="K222" s="179">
        <v>93</v>
      </c>
      <c r="L222" s="179" t="s">
        <v>2932</v>
      </c>
      <c r="M222" s="185" t="s">
        <v>3164</v>
      </c>
      <c r="N222" s="185"/>
      <c r="O222" s="179" t="s">
        <v>2951</v>
      </c>
      <c r="P222" s="185"/>
      <c r="Q222" s="182" t="s">
        <v>2933</v>
      </c>
      <c r="R222" s="182" t="s">
        <v>2934</v>
      </c>
      <c r="S222" s="182" t="s">
        <v>2952</v>
      </c>
      <c r="T222" s="179" t="s">
        <v>2936</v>
      </c>
      <c r="U222" s="179" t="s">
        <v>2954</v>
      </c>
      <c r="V222" s="179">
        <v>1015</v>
      </c>
      <c r="W222" s="179" t="s">
        <v>3151</v>
      </c>
      <c r="X222" s="188">
        <v>699.70400000000006</v>
      </c>
      <c r="Y222" s="188">
        <v>302.47000000000003</v>
      </c>
      <c r="Z222" s="188">
        <v>173.47200000000001</v>
      </c>
      <c r="AA222" s="188">
        <v>381.435</v>
      </c>
      <c r="AB222" s="188">
        <v>33.360000000000007</v>
      </c>
      <c r="AC222" s="188">
        <v>83.724999999999994</v>
      </c>
      <c r="AD222" s="179" t="s">
        <v>2956</v>
      </c>
      <c r="AE222" s="188" t="s">
        <v>2940</v>
      </c>
      <c r="AF222" s="189">
        <v>0</v>
      </c>
      <c r="AG222" s="189">
        <v>0.99930555555555556</v>
      </c>
      <c r="AH222" s="190" t="s">
        <v>2941</v>
      </c>
      <c r="AI222" s="190" t="s">
        <v>2985</v>
      </c>
      <c r="AJ222" s="179" t="s">
        <v>282</v>
      </c>
      <c r="AK222" s="179" t="s">
        <v>28</v>
      </c>
      <c r="AL222" s="179" t="s">
        <v>28</v>
      </c>
      <c r="AM222" s="179" t="s">
        <v>4009</v>
      </c>
      <c r="AN222" s="179" t="s">
        <v>2102</v>
      </c>
      <c r="AO222" s="179" t="s">
        <v>2461</v>
      </c>
      <c r="AP222" s="191">
        <v>8113806061</v>
      </c>
      <c r="AQ222" s="184">
        <v>41819</v>
      </c>
      <c r="AR222" s="179">
        <v>145</v>
      </c>
      <c r="AS222" s="179"/>
      <c r="AT222" s="181" t="s">
        <v>4010</v>
      </c>
      <c r="AU222" s="181" t="s">
        <v>4011</v>
      </c>
      <c r="AV222" s="192">
        <v>29701755</v>
      </c>
      <c r="AW222" s="181">
        <v>40.1</v>
      </c>
      <c r="AX222" s="179">
        <v>80515</v>
      </c>
      <c r="AY222" s="179"/>
    </row>
    <row r="223" spans="1:51" ht="14.4" x14ac:dyDescent="0.3">
      <c r="A223" s="179" t="s">
        <v>1221</v>
      </c>
      <c r="B223" s="179" t="s">
        <v>2947</v>
      </c>
      <c r="C223" s="180" t="s">
        <v>4012</v>
      </c>
      <c r="D223" s="181" t="s">
        <v>2816</v>
      </c>
      <c r="E223" s="181" t="s">
        <v>2815</v>
      </c>
      <c r="F223" s="182" t="s">
        <v>2972</v>
      </c>
      <c r="G223" s="181" t="s">
        <v>17</v>
      </c>
      <c r="H223" s="193">
        <v>45550</v>
      </c>
      <c r="I223" s="184"/>
      <c r="J223" s="179" t="s">
        <v>3008</v>
      </c>
      <c r="K223" s="179" t="s">
        <v>3008</v>
      </c>
      <c r="L223" s="179" t="s">
        <v>2932</v>
      </c>
      <c r="M223" s="185"/>
      <c r="N223" s="185"/>
      <c r="O223" s="179" t="s">
        <v>2951</v>
      </c>
      <c r="P223" s="185"/>
      <c r="Q223" s="182" t="s">
        <v>2933</v>
      </c>
      <c r="R223" s="182" t="s">
        <v>2934</v>
      </c>
      <c r="S223" s="182" t="s">
        <v>2952</v>
      </c>
      <c r="T223" s="179" t="s">
        <v>2953</v>
      </c>
      <c r="U223" s="179" t="s">
        <v>2954</v>
      </c>
      <c r="V223" s="187">
        <v>1317</v>
      </c>
      <c r="W223" s="179" t="s">
        <v>2992</v>
      </c>
      <c r="X223" s="188">
        <v>314.04799999999994</v>
      </c>
      <c r="Y223" s="188">
        <v>190.672</v>
      </c>
      <c r="Z223" s="188">
        <v>118.1292</v>
      </c>
      <c r="AA223" s="188">
        <v>105.41199999999999</v>
      </c>
      <c r="AB223" s="188">
        <v>13.62</v>
      </c>
      <c r="AC223" s="188">
        <v>41.833800000000004</v>
      </c>
      <c r="AD223" s="179" t="s">
        <v>2984</v>
      </c>
      <c r="AE223" s="188" t="s">
        <v>2940</v>
      </c>
      <c r="AF223" s="189">
        <v>0.29166666666666669</v>
      </c>
      <c r="AG223" s="189">
        <v>0.95833333333333337</v>
      </c>
      <c r="AH223" s="190" t="s">
        <v>2941</v>
      </c>
      <c r="AI223" s="190" t="s">
        <v>2985</v>
      </c>
      <c r="AJ223" s="179" t="s">
        <v>1219</v>
      </c>
      <c r="AK223" s="179" t="s">
        <v>3000</v>
      </c>
      <c r="AL223" s="179" t="s">
        <v>28</v>
      </c>
      <c r="AM223" s="179" t="s">
        <v>4013</v>
      </c>
      <c r="AN223" s="179" t="s">
        <v>2102</v>
      </c>
      <c r="AO223" s="179" t="s">
        <v>2647</v>
      </c>
      <c r="AP223" s="191">
        <v>8113806182</v>
      </c>
      <c r="AQ223" s="184">
        <v>41820</v>
      </c>
      <c r="AR223" s="179">
        <v>145</v>
      </c>
      <c r="AS223" s="179"/>
      <c r="AT223" s="181" t="s">
        <v>4014</v>
      </c>
      <c r="AU223" s="181" t="s">
        <v>2946</v>
      </c>
      <c r="AV223" s="192">
        <v>16602132</v>
      </c>
      <c r="AW223" s="181">
        <v>16.2</v>
      </c>
      <c r="AX223" s="179">
        <v>80571</v>
      </c>
      <c r="AY223" s="179"/>
    </row>
    <row r="224" spans="1:51" ht="14.4" x14ac:dyDescent="0.3">
      <c r="A224" s="179" t="s">
        <v>267</v>
      </c>
      <c r="B224" s="179" t="s">
        <v>2947</v>
      </c>
      <c r="C224" s="180" t="s">
        <v>4015</v>
      </c>
      <c r="D224" s="181" t="s">
        <v>2824</v>
      </c>
      <c r="E224" s="181" t="s">
        <v>2813</v>
      </c>
      <c r="F224" s="182" t="s">
        <v>2929</v>
      </c>
      <c r="G224" s="181" t="s">
        <v>12</v>
      </c>
      <c r="H224" s="193">
        <v>45087</v>
      </c>
      <c r="I224" s="184"/>
      <c r="J224" s="179" t="s">
        <v>4016</v>
      </c>
      <c r="K224" s="179">
        <v>50</v>
      </c>
      <c r="L224" s="179" t="s">
        <v>2965</v>
      </c>
      <c r="M224" s="185"/>
      <c r="N224" s="185"/>
      <c r="O224" s="186"/>
      <c r="P224" s="185"/>
      <c r="Q224" s="182" t="s">
        <v>2933</v>
      </c>
      <c r="R224" s="182" t="s">
        <v>2998</v>
      </c>
      <c r="S224" s="182" t="s">
        <v>2952</v>
      </c>
      <c r="T224" s="179" t="s">
        <v>2999</v>
      </c>
      <c r="U224" s="179" t="s">
        <v>2954</v>
      </c>
      <c r="V224" s="179">
        <v>462</v>
      </c>
      <c r="W224" s="179" t="s">
        <v>3140</v>
      </c>
      <c r="X224" s="188">
        <v>245.655</v>
      </c>
      <c r="Y224" s="188">
        <v>152.5504</v>
      </c>
      <c r="Z224" s="188">
        <v>104.84159999999999</v>
      </c>
      <c r="AA224" s="188">
        <v>101.59660000000001</v>
      </c>
      <c r="AB224" s="188">
        <v>6.2682000000000002</v>
      </c>
      <c r="AC224" s="188">
        <v>27.072500000000005</v>
      </c>
      <c r="AD224" s="179" t="s">
        <v>2939</v>
      </c>
      <c r="AE224" s="188" t="s">
        <v>2940</v>
      </c>
      <c r="AF224" s="189">
        <v>0.29166666666666669</v>
      </c>
      <c r="AG224" s="189">
        <v>0.95833333333333337</v>
      </c>
      <c r="AH224" s="190" t="s">
        <v>2941</v>
      </c>
      <c r="AI224" s="190" t="s">
        <v>2985</v>
      </c>
      <c r="AJ224" s="179" t="s">
        <v>210</v>
      </c>
      <c r="AK224" s="179" t="s">
        <v>3241</v>
      </c>
      <c r="AL224" s="179" t="s">
        <v>9</v>
      </c>
      <c r="AM224" s="179" t="s">
        <v>4017</v>
      </c>
      <c r="AN224" s="179" t="s">
        <v>2102</v>
      </c>
      <c r="AO224" s="179" t="s">
        <v>2410</v>
      </c>
      <c r="AP224" s="191">
        <v>81139008437</v>
      </c>
      <c r="AQ224" s="184">
        <v>41820</v>
      </c>
      <c r="AR224" s="179">
        <v>145</v>
      </c>
      <c r="AS224" s="179"/>
      <c r="AT224" s="181" t="s">
        <v>4018</v>
      </c>
      <c r="AU224" s="181"/>
      <c r="AV224" s="192">
        <v>17646574</v>
      </c>
      <c r="AW224" s="181">
        <v>42.7</v>
      </c>
      <c r="AX224" s="179">
        <v>80362</v>
      </c>
      <c r="AY224" s="179"/>
    </row>
    <row r="225" spans="1:51" ht="14.4" x14ac:dyDescent="0.3">
      <c r="A225" s="179" t="s">
        <v>1655</v>
      </c>
      <c r="B225" s="179" t="s">
        <v>2947</v>
      </c>
      <c r="C225" s="180" t="s">
        <v>4019</v>
      </c>
      <c r="D225" s="181" t="s">
        <v>2818</v>
      </c>
      <c r="E225" s="181" t="s">
        <v>2817</v>
      </c>
      <c r="F225" s="182" t="s">
        <v>2929</v>
      </c>
      <c r="G225" s="181" t="s">
        <v>12</v>
      </c>
      <c r="H225" s="193">
        <v>43945</v>
      </c>
      <c r="I225" s="184">
        <v>43945</v>
      </c>
      <c r="J225" s="179" t="s">
        <v>4020</v>
      </c>
      <c r="K225" s="179">
        <v>80</v>
      </c>
      <c r="L225" s="179" t="s">
        <v>2965</v>
      </c>
      <c r="M225" s="185"/>
      <c r="N225" s="185"/>
      <c r="O225" s="186"/>
      <c r="P225" s="185"/>
      <c r="Q225" s="182" t="s">
        <v>2934</v>
      </c>
      <c r="R225" s="182" t="s">
        <v>2933</v>
      </c>
      <c r="S225" s="182" t="s">
        <v>2952</v>
      </c>
      <c r="T225" s="179" t="s">
        <v>2999</v>
      </c>
      <c r="U225" s="179" t="s">
        <v>2954</v>
      </c>
      <c r="V225" s="179">
        <v>1395</v>
      </c>
      <c r="W225" s="179" t="s">
        <v>3125</v>
      </c>
      <c r="X225" s="188">
        <v>310.06720000000001</v>
      </c>
      <c r="Y225" s="188">
        <v>174.89919999999998</v>
      </c>
      <c r="Z225" s="188">
        <v>113.16</v>
      </c>
      <c r="AA225" s="188">
        <v>120.071</v>
      </c>
      <c r="AB225" s="188">
        <v>14.76</v>
      </c>
      <c r="AC225" s="188">
        <v>30.525000000000002</v>
      </c>
      <c r="AD225" s="179" t="s">
        <v>2984</v>
      </c>
      <c r="AE225" s="188" t="s">
        <v>2940</v>
      </c>
      <c r="AF225" s="189">
        <v>0.29166666666666669</v>
      </c>
      <c r="AG225" s="189">
        <v>0.91666666666666663</v>
      </c>
      <c r="AH225" s="190" t="s">
        <v>2941</v>
      </c>
      <c r="AI225" s="190" t="s">
        <v>2942</v>
      </c>
      <c r="AJ225" s="179" t="s">
        <v>137</v>
      </c>
      <c r="AK225" s="179" t="s">
        <v>2977</v>
      </c>
      <c r="AL225" s="179" t="s">
        <v>9</v>
      </c>
      <c r="AM225" s="179" t="s">
        <v>4021</v>
      </c>
      <c r="AN225" s="179" t="s">
        <v>2102</v>
      </c>
      <c r="AO225" s="179" t="s">
        <v>2425</v>
      </c>
      <c r="AP225" s="191">
        <v>81139001973</v>
      </c>
      <c r="AQ225" s="184">
        <v>41826</v>
      </c>
      <c r="AR225" s="179">
        <v>145</v>
      </c>
      <c r="AS225" s="179"/>
      <c r="AT225" s="181" t="s">
        <v>4022</v>
      </c>
      <c r="AU225" s="181" t="s">
        <v>4023</v>
      </c>
      <c r="AV225" s="192">
        <v>11160000</v>
      </c>
      <c r="AW225" s="181">
        <v>22.9</v>
      </c>
      <c r="AX225" s="179">
        <v>80363</v>
      </c>
      <c r="AY225" s="179"/>
    </row>
    <row r="226" spans="1:51" ht="14.4" x14ac:dyDescent="0.3">
      <c r="A226" s="179" t="s">
        <v>1133</v>
      </c>
      <c r="B226" s="179" t="s">
        <v>2947</v>
      </c>
      <c r="C226" s="180" t="s">
        <v>4024</v>
      </c>
      <c r="D226" s="181" t="s">
        <v>2820</v>
      </c>
      <c r="E226" s="181" t="s">
        <v>2819</v>
      </c>
      <c r="F226" s="182" t="s">
        <v>2929</v>
      </c>
      <c r="G226" s="181" t="s">
        <v>12</v>
      </c>
      <c r="H226" s="193">
        <v>43699</v>
      </c>
      <c r="I226" s="184">
        <v>43699</v>
      </c>
      <c r="J226" s="179" t="s">
        <v>4025</v>
      </c>
      <c r="K226" s="179">
        <v>14</v>
      </c>
      <c r="L226" s="179" t="s">
        <v>2965</v>
      </c>
      <c r="M226" s="185"/>
      <c r="N226" s="185" t="s">
        <v>2951</v>
      </c>
      <c r="O226" s="179" t="s">
        <v>2951</v>
      </c>
      <c r="P226" s="185"/>
      <c r="Q226" s="182" t="s">
        <v>2934</v>
      </c>
      <c r="R226" s="182" t="s">
        <v>2933</v>
      </c>
      <c r="S226" s="182" t="s">
        <v>2952</v>
      </c>
      <c r="T226" s="179" t="s">
        <v>2953</v>
      </c>
      <c r="U226" s="179" t="s">
        <v>2954</v>
      </c>
      <c r="V226" s="179">
        <v>944</v>
      </c>
      <c r="W226" s="179" t="s">
        <v>2992</v>
      </c>
      <c r="X226" s="188">
        <v>260.88720000000001</v>
      </c>
      <c r="Y226" s="188">
        <v>184.44</v>
      </c>
      <c r="Z226" s="188">
        <v>116.4584</v>
      </c>
      <c r="AA226" s="188">
        <v>69.676200000000009</v>
      </c>
      <c r="AB226" s="188">
        <v>11.82</v>
      </c>
      <c r="AC226" s="188">
        <v>34.407999999999994</v>
      </c>
      <c r="AD226" s="179" t="s">
        <v>2984</v>
      </c>
      <c r="AE226" s="188" t="s">
        <v>2940</v>
      </c>
      <c r="AF226" s="189">
        <v>0.29166666666666669</v>
      </c>
      <c r="AG226" s="189">
        <v>0.95833333333333337</v>
      </c>
      <c r="AH226" s="190" t="s">
        <v>2941</v>
      </c>
      <c r="AI226" s="190" t="s">
        <v>2942</v>
      </c>
      <c r="AJ226" s="179" t="s">
        <v>909</v>
      </c>
      <c r="AK226" s="179" t="s">
        <v>2977</v>
      </c>
      <c r="AL226" s="179" t="s">
        <v>9</v>
      </c>
      <c r="AM226" s="179" t="s">
        <v>4026</v>
      </c>
      <c r="AN226" s="179" t="s">
        <v>2102</v>
      </c>
      <c r="AO226" s="179" t="s">
        <v>2667</v>
      </c>
      <c r="AP226" s="191">
        <v>81139001503</v>
      </c>
      <c r="AQ226" s="184">
        <v>41880</v>
      </c>
      <c r="AR226" s="179">
        <v>143</v>
      </c>
      <c r="AS226" s="179"/>
      <c r="AT226" s="181" t="s">
        <v>4027</v>
      </c>
      <c r="AU226" s="181" t="s">
        <v>2946</v>
      </c>
      <c r="AV226" s="192">
        <v>15197437</v>
      </c>
      <c r="AW226" s="181">
        <v>20.399999999999999</v>
      </c>
      <c r="AX226" s="179">
        <v>80363</v>
      </c>
      <c r="AY226" s="179"/>
    </row>
    <row r="227" spans="1:51" ht="14.4" x14ac:dyDescent="0.3">
      <c r="A227" s="179" t="s">
        <v>286</v>
      </c>
      <c r="B227" s="179" t="s">
        <v>2947</v>
      </c>
      <c r="C227" s="180" t="s">
        <v>4028</v>
      </c>
      <c r="D227" s="181" t="s">
        <v>2871</v>
      </c>
      <c r="E227" s="181" t="s">
        <v>2813</v>
      </c>
      <c r="F227" s="182" t="s">
        <v>2972</v>
      </c>
      <c r="G227" s="181" t="s">
        <v>17</v>
      </c>
      <c r="H227" s="193">
        <v>44672</v>
      </c>
      <c r="I227" s="184"/>
      <c r="J227" s="179" t="s">
        <v>4029</v>
      </c>
      <c r="K227" s="179">
        <v>44</v>
      </c>
      <c r="L227" s="179" t="s">
        <v>2965</v>
      </c>
      <c r="M227" s="185"/>
      <c r="N227" s="185"/>
      <c r="O227" s="179" t="s">
        <v>2951</v>
      </c>
      <c r="P227" s="185"/>
      <c r="Q227" s="182" t="s">
        <v>2933</v>
      </c>
      <c r="R227" s="182" t="s">
        <v>2934</v>
      </c>
      <c r="S227" s="182" t="s">
        <v>2952</v>
      </c>
      <c r="T227" s="179" t="s">
        <v>2953</v>
      </c>
      <c r="U227" s="179" t="s">
        <v>2954</v>
      </c>
      <c r="V227" s="187">
        <v>816</v>
      </c>
      <c r="W227" s="179" t="s">
        <v>3067</v>
      </c>
      <c r="X227" s="188">
        <v>255.7278</v>
      </c>
      <c r="Y227" s="188">
        <v>128.17439999999999</v>
      </c>
      <c r="Z227" s="188">
        <v>111.14039999999999</v>
      </c>
      <c r="AA227" s="188">
        <v>113.2521</v>
      </c>
      <c r="AB227" s="188">
        <v>3.96</v>
      </c>
      <c r="AC227" s="188">
        <v>98.205600000000004</v>
      </c>
      <c r="AD227" s="179" t="s">
        <v>2956</v>
      </c>
      <c r="AE227" s="188" t="s">
        <v>3017</v>
      </c>
      <c r="AF227" s="189">
        <v>0.29166666666666669</v>
      </c>
      <c r="AG227" s="189">
        <v>0.99930555555555556</v>
      </c>
      <c r="AH227" s="190" t="s">
        <v>2941</v>
      </c>
      <c r="AI227" s="190" t="s">
        <v>2985</v>
      </c>
      <c r="AJ227" s="179" t="s">
        <v>167</v>
      </c>
      <c r="AK227" s="179" t="s">
        <v>3241</v>
      </c>
      <c r="AL227" s="179" t="s">
        <v>9</v>
      </c>
      <c r="AM227" s="179" t="s">
        <v>4030</v>
      </c>
      <c r="AN227" s="179" t="s">
        <v>2102</v>
      </c>
      <c r="AO227" s="179" t="s">
        <v>2432</v>
      </c>
      <c r="AP227" s="191">
        <v>81139004566</v>
      </c>
      <c r="AQ227" s="184">
        <v>41880</v>
      </c>
      <c r="AR227" s="179">
        <v>143</v>
      </c>
      <c r="AS227" s="179"/>
      <c r="AT227" s="181" t="s">
        <v>4031</v>
      </c>
      <c r="AU227" s="181" t="s">
        <v>2946</v>
      </c>
      <c r="AV227" s="192">
        <v>14811226</v>
      </c>
      <c r="AW227" s="181">
        <v>40.5</v>
      </c>
      <c r="AX227" s="179">
        <v>80362</v>
      </c>
      <c r="AY227" s="179"/>
    </row>
    <row r="228" spans="1:51" ht="14.4" x14ac:dyDescent="0.3">
      <c r="A228" s="179" t="s">
        <v>665</v>
      </c>
      <c r="B228" s="179" t="s">
        <v>2927</v>
      </c>
      <c r="C228" s="180" t="s">
        <v>4032</v>
      </c>
      <c r="D228" s="181" t="s">
        <v>2853</v>
      </c>
      <c r="E228" s="181" t="s">
        <v>2825</v>
      </c>
      <c r="F228" s="182" t="s">
        <v>2929</v>
      </c>
      <c r="G228" s="181" t="s">
        <v>12</v>
      </c>
      <c r="H228" s="193" t="s">
        <v>2930</v>
      </c>
      <c r="I228" s="184" t="s">
        <v>2930</v>
      </c>
      <c r="J228" s="179" t="s">
        <v>4033</v>
      </c>
      <c r="K228" s="179">
        <v>51</v>
      </c>
      <c r="L228" s="179" t="s">
        <v>2965</v>
      </c>
      <c r="M228" s="185"/>
      <c r="N228" s="185"/>
      <c r="O228" s="186"/>
      <c r="P228" s="185"/>
      <c r="Q228" s="182" t="s">
        <v>2934</v>
      </c>
      <c r="R228" s="182" t="s">
        <v>2933</v>
      </c>
      <c r="S228" s="182" t="s">
        <v>2952</v>
      </c>
      <c r="T228" s="179" t="s">
        <v>2953</v>
      </c>
      <c r="U228" s="179" t="s">
        <v>2937</v>
      </c>
      <c r="V228" s="179">
        <v>1228</v>
      </c>
      <c r="W228" s="179" t="s">
        <v>3003</v>
      </c>
      <c r="X228" s="188">
        <v>291.625</v>
      </c>
      <c r="Y228" s="188">
        <v>185.375</v>
      </c>
      <c r="Z228" s="188">
        <v>107.44800000000001</v>
      </c>
      <c r="AA228" s="188">
        <v>96.99</v>
      </c>
      <c r="AB228" s="188">
        <v>5.6</v>
      </c>
      <c r="AC228" s="188">
        <v>50.985000000000007</v>
      </c>
      <c r="AD228" s="179" t="s">
        <v>2984</v>
      </c>
      <c r="AE228" s="188" t="s">
        <v>2940</v>
      </c>
      <c r="AF228" s="189">
        <v>0.29166666666666669</v>
      </c>
      <c r="AG228" s="189">
        <v>0.91666666666666663</v>
      </c>
      <c r="AH228" s="190" t="s">
        <v>2941</v>
      </c>
      <c r="AI228" s="190" t="s">
        <v>2942</v>
      </c>
      <c r="AJ228" s="179" t="s">
        <v>663</v>
      </c>
      <c r="AK228" s="179" t="s">
        <v>3229</v>
      </c>
      <c r="AL228" s="179" t="s">
        <v>9</v>
      </c>
      <c r="AM228" s="179" t="s">
        <v>4034</v>
      </c>
      <c r="AN228" s="179" t="s">
        <v>2102</v>
      </c>
      <c r="AO228" s="179" t="s">
        <v>2390</v>
      </c>
      <c r="AP228" s="191">
        <v>81139000783</v>
      </c>
      <c r="AQ228" s="184">
        <v>41882</v>
      </c>
      <c r="AR228" s="179">
        <v>143</v>
      </c>
      <c r="AS228" s="194">
        <v>42705</v>
      </c>
      <c r="AT228" s="195" t="s">
        <v>4035</v>
      </c>
      <c r="AU228" s="195" t="s">
        <v>2946</v>
      </c>
      <c r="AV228" s="192">
        <v>14620000</v>
      </c>
      <c r="AW228" s="181">
        <v>12</v>
      </c>
      <c r="AX228" s="179">
        <v>80352</v>
      </c>
      <c r="AY228" s="179" t="s">
        <v>4036</v>
      </c>
    </row>
    <row r="229" spans="1:51" ht="14.4" x14ac:dyDescent="0.3">
      <c r="A229" s="179" t="s">
        <v>1810</v>
      </c>
      <c r="B229" s="179" t="s">
        <v>2927</v>
      </c>
      <c r="C229" s="180" t="s">
        <v>4037</v>
      </c>
      <c r="D229" s="181" t="s">
        <v>2858</v>
      </c>
      <c r="E229" s="181" t="s">
        <v>2813</v>
      </c>
      <c r="F229" s="182" t="s">
        <v>2929</v>
      </c>
      <c r="G229" s="181" t="s">
        <v>12</v>
      </c>
      <c r="H229" s="193" t="s">
        <v>2930</v>
      </c>
      <c r="I229" s="184" t="s">
        <v>2930</v>
      </c>
      <c r="J229" s="179" t="s">
        <v>3008</v>
      </c>
      <c r="K229" s="179" t="s">
        <v>3008</v>
      </c>
      <c r="L229" s="179" t="s">
        <v>2932</v>
      </c>
      <c r="M229" s="185"/>
      <c r="N229" s="185"/>
      <c r="O229" s="186"/>
      <c r="P229" s="185"/>
      <c r="Q229" s="182" t="s">
        <v>2934</v>
      </c>
      <c r="R229" s="182" t="s">
        <v>2933</v>
      </c>
      <c r="S229" s="182" t="s">
        <v>2952</v>
      </c>
      <c r="T229" s="179" t="s">
        <v>2953</v>
      </c>
      <c r="U229" s="179" t="s">
        <v>2937</v>
      </c>
      <c r="V229" s="179">
        <v>1145</v>
      </c>
      <c r="W229" s="179" t="s">
        <v>3003</v>
      </c>
      <c r="X229" s="188">
        <v>265.88799999999998</v>
      </c>
      <c r="Y229" s="188">
        <v>179.8305</v>
      </c>
      <c r="Z229" s="188">
        <v>113.38600000000001</v>
      </c>
      <c r="AA229" s="188">
        <v>79.254499999999993</v>
      </c>
      <c r="AB229" s="188">
        <v>17.355</v>
      </c>
      <c r="AC229" s="188">
        <v>34.3904</v>
      </c>
      <c r="AD229" s="179" t="s">
        <v>2984</v>
      </c>
      <c r="AE229" s="188" t="s">
        <v>2940</v>
      </c>
      <c r="AF229" s="189">
        <v>0.29166666666666669</v>
      </c>
      <c r="AG229" s="189">
        <v>0.99930555555555556</v>
      </c>
      <c r="AH229" s="190" t="s">
        <v>2941</v>
      </c>
      <c r="AI229" s="190" t="s">
        <v>2942</v>
      </c>
      <c r="AJ229" s="179" t="s">
        <v>820</v>
      </c>
      <c r="AK229" s="179" t="s">
        <v>3302</v>
      </c>
      <c r="AL229" s="179" t="s">
        <v>9</v>
      </c>
      <c r="AM229" s="179" t="s">
        <v>4038</v>
      </c>
      <c r="AN229" s="179" t="s">
        <v>2102</v>
      </c>
      <c r="AO229" s="179" t="s">
        <v>2367</v>
      </c>
      <c r="AP229" s="191">
        <v>81139002205</v>
      </c>
      <c r="AQ229" s="184">
        <v>41898</v>
      </c>
      <c r="AR229" s="179">
        <v>143</v>
      </c>
      <c r="AS229" s="194">
        <v>43405</v>
      </c>
      <c r="AT229" s="195" t="s">
        <v>4039</v>
      </c>
      <c r="AU229" s="195" t="s">
        <v>2946</v>
      </c>
      <c r="AV229" s="192">
        <v>12468000</v>
      </c>
      <c r="AW229" s="181">
        <v>30.1</v>
      </c>
      <c r="AX229" s="179">
        <v>80351</v>
      </c>
      <c r="AY229" s="179" t="s">
        <v>4040</v>
      </c>
    </row>
    <row r="230" spans="1:51" ht="14.4" x14ac:dyDescent="0.3">
      <c r="A230" s="179" t="s">
        <v>1741</v>
      </c>
      <c r="B230" s="179" t="s">
        <v>2947</v>
      </c>
      <c r="C230" s="180" t="s">
        <v>4041</v>
      </c>
      <c r="D230" s="181" t="s">
        <v>2858</v>
      </c>
      <c r="E230" s="181" t="s">
        <v>2813</v>
      </c>
      <c r="F230" s="182" t="s">
        <v>2929</v>
      </c>
      <c r="G230" s="181" t="s">
        <v>12</v>
      </c>
      <c r="H230" s="193">
        <v>44512</v>
      </c>
      <c r="I230" s="184"/>
      <c r="J230" s="179" t="s">
        <v>3008</v>
      </c>
      <c r="K230" s="179" t="s">
        <v>3008</v>
      </c>
      <c r="L230" s="179" t="s">
        <v>2932</v>
      </c>
      <c r="M230" s="185"/>
      <c r="N230" s="185"/>
      <c r="O230" s="186"/>
      <c r="P230" s="185" t="s">
        <v>2951</v>
      </c>
      <c r="Q230" s="182" t="s">
        <v>2934</v>
      </c>
      <c r="R230" s="182" t="s">
        <v>2933</v>
      </c>
      <c r="S230" s="182" t="s">
        <v>2952</v>
      </c>
      <c r="T230" s="179" t="s">
        <v>2999</v>
      </c>
      <c r="U230" s="179" t="s">
        <v>2954</v>
      </c>
      <c r="V230" s="179">
        <v>1251</v>
      </c>
      <c r="W230" s="179" t="s">
        <v>3861</v>
      </c>
      <c r="X230" s="188">
        <v>198.0684</v>
      </c>
      <c r="Y230" s="188">
        <v>128.25</v>
      </c>
      <c r="Z230" s="188">
        <v>92.779799999999994</v>
      </c>
      <c r="AA230" s="188">
        <v>47.231999999999999</v>
      </c>
      <c r="AB230" s="188">
        <v>14.34</v>
      </c>
      <c r="AC230" s="188">
        <v>52.624000000000002</v>
      </c>
      <c r="AD230" s="179" t="s">
        <v>2984</v>
      </c>
      <c r="AE230" s="188" t="s">
        <v>2957</v>
      </c>
      <c r="AF230" s="189">
        <v>0.29166666666666669</v>
      </c>
      <c r="AG230" s="189">
        <v>0.95833333333333337</v>
      </c>
      <c r="AH230" s="190" t="s">
        <v>2941</v>
      </c>
      <c r="AI230" s="190" t="s">
        <v>2942</v>
      </c>
      <c r="AJ230" s="179" t="s">
        <v>1739</v>
      </c>
      <c r="AK230" s="179" t="s">
        <v>3302</v>
      </c>
      <c r="AL230" s="179" t="s">
        <v>9</v>
      </c>
      <c r="AM230" s="179" t="s">
        <v>4042</v>
      </c>
      <c r="AN230" s="179" t="s">
        <v>2102</v>
      </c>
      <c r="AO230" s="179" t="s">
        <v>2582</v>
      </c>
      <c r="AP230" s="191">
        <v>81139000802</v>
      </c>
      <c r="AQ230" s="184">
        <v>41906</v>
      </c>
      <c r="AR230" s="179">
        <v>143</v>
      </c>
      <c r="AS230" s="179"/>
      <c r="AT230" s="181"/>
      <c r="AU230" s="181"/>
      <c r="AV230" s="192">
        <v>11000000</v>
      </c>
      <c r="AW230" s="181">
        <v>22.8</v>
      </c>
      <c r="AX230" s="179">
        <v>80351</v>
      </c>
      <c r="AY230" s="179"/>
    </row>
    <row r="231" spans="1:51" ht="14.4" x14ac:dyDescent="0.3">
      <c r="A231" s="179" t="s">
        <v>123</v>
      </c>
      <c r="B231" s="179" t="s">
        <v>2927</v>
      </c>
      <c r="C231" s="180" t="s">
        <v>4043</v>
      </c>
      <c r="D231" s="181" t="s">
        <v>2853</v>
      </c>
      <c r="E231" s="181" t="s">
        <v>2825</v>
      </c>
      <c r="F231" s="182" t="s">
        <v>2929</v>
      </c>
      <c r="G231" s="181" t="s">
        <v>12</v>
      </c>
      <c r="H231" s="193" t="s">
        <v>2930</v>
      </c>
      <c r="I231" s="184" t="s">
        <v>2930</v>
      </c>
      <c r="J231" s="179" t="s">
        <v>4044</v>
      </c>
      <c r="K231" s="179">
        <v>140</v>
      </c>
      <c r="L231" s="179" t="s">
        <v>2950</v>
      </c>
      <c r="M231" s="185"/>
      <c r="N231" s="185"/>
      <c r="O231" s="186"/>
      <c r="P231" s="185"/>
      <c r="Q231" s="182" t="s">
        <v>2933</v>
      </c>
      <c r="R231" s="182" t="s">
        <v>2934</v>
      </c>
      <c r="S231" s="182" t="s">
        <v>2952</v>
      </c>
      <c r="T231" s="179" t="s">
        <v>2953</v>
      </c>
      <c r="U231" s="179" t="s">
        <v>2937</v>
      </c>
      <c r="V231" s="179">
        <v>1205</v>
      </c>
      <c r="W231" s="179" t="s">
        <v>2992</v>
      </c>
      <c r="X231" s="188">
        <v>337.23900000000003</v>
      </c>
      <c r="Y231" s="188">
        <v>197.25</v>
      </c>
      <c r="Z231" s="188">
        <v>120.53999999999998</v>
      </c>
      <c r="AA231" s="188">
        <v>126.41999999999999</v>
      </c>
      <c r="AB231" s="188">
        <v>21.9</v>
      </c>
      <c r="AC231" s="188">
        <v>40.248000000000005</v>
      </c>
      <c r="AD231" s="179" t="s">
        <v>2984</v>
      </c>
      <c r="AE231" s="188" t="s">
        <v>2940</v>
      </c>
      <c r="AF231" s="189">
        <v>0.29166666666666669</v>
      </c>
      <c r="AG231" s="189">
        <v>0.91666666666666663</v>
      </c>
      <c r="AH231" s="190" t="s">
        <v>2941</v>
      </c>
      <c r="AI231" s="190" t="s">
        <v>2942</v>
      </c>
      <c r="AJ231" s="179" t="s">
        <v>121</v>
      </c>
      <c r="AK231" s="179" t="s">
        <v>3302</v>
      </c>
      <c r="AL231" s="179" t="s">
        <v>9</v>
      </c>
      <c r="AM231" s="179" t="s">
        <v>4045</v>
      </c>
      <c r="AN231" s="179" t="s">
        <v>2102</v>
      </c>
      <c r="AO231" s="179" t="s">
        <v>2351</v>
      </c>
      <c r="AP231" s="191">
        <v>81139003420</v>
      </c>
      <c r="AQ231" s="184">
        <v>41911</v>
      </c>
      <c r="AR231" s="179">
        <v>142</v>
      </c>
      <c r="AS231" s="194">
        <v>42675</v>
      </c>
      <c r="AT231" s="195" t="s">
        <v>4046</v>
      </c>
      <c r="AU231" s="195" t="s">
        <v>4047</v>
      </c>
      <c r="AV231" s="192">
        <v>11997000</v>
      </c>
      <c r="AW231" s="181">
        <v>11.5</v>
      </c>
      <c r="AX231" s="179">
        <v>80351</v>
      </c>
      <c r="AY231" s="179" t="s">
        <v>4048</v>
      </c>
    </row>
    <row r="232" spans="1:51" ht="14.4" x14ac:dyDescent="0.3">
      <c r="A232" s="179" t="s">
        <v>1683</v>
      </c>
      <c r="B232" s="179" t="s">
        <v>2947</v>
      </c>
      <c r="C232" s="180" t="s">
        <v>4049</v>
      </c>
      <c r="D232" s="181" t="s">
        <v>2856</v>
      </c>
      <c r="E232" s="181" t="s">
        <v>2819</v>
      </c>
      <c r="F232" s="182" t="s">
        <v>2972</v>
      </c>
      <c r="G232" s="181" t="s">
        <v>17</v>
      </c>
      <c r="H232" s="193">
        <v>45899</v>
      </c>
      <c r="I232" s="184" t="s">
        <v>2930</v>
      </c>
      <c r="J232" s="179" t="s">
        <v>4050</v>
      </c>
      <c r="K232" s="179">
        <v>210</v>
      </c>
      <c r="L232" s="179" t="s">
        <v>2950</v>
      </c>
      <c r="M232" s="185"/>
      <c r="N232" s="185"/>
      <c r="O232" s="179" t="s">
        <v>2951</v>
      </c>
      <c r="P232" s="185"/>
      <c r="Q232" s="182" t="s">
        <v>2934</v>
      </c>
      <c r="R232" s="182" t="s">
        <v>2933</v>
      </c>
      <c r="S232" s="182" t="s">
        <v>2952</v>
      </c>
      <c r="T232" s="179" t="s">
        <v>2953</v>
      </c>
      <c r="U232" s="179" t="s">
        <v>2954</v>
      </c>
      <c r="V232" s="179">
        <v>1115</v>
      </c>
      <c r="W232" s="179" t="s">
        <v>3140</v>
      </c>
      <c r="X232" s="188">
        <v>322.75</v>
      </c>
      <c r="Y232" s="188">
        <v>189.375</v>
      </c>
      <c r="Z232" s="188">
        <v>121</v>
      </c>
      <c r="AA232" s="188">
        <v>130.17399999999998</v>
      </c>
      <c r="AB232" s="188">
        <v>18.149999999999999</v>
      </c>
      <c r="AC232" s="188">
        <v>34.527999999999999</v>
      </c>
      <c r="AD232" s="179" t="s">
        <v>2984</v>
      </c>
      <c r="AE232" s="188" t="s">
        <v>2940</v>
      </c>
      <c r="AF232" s="189">
        <v>0.25</v>
      </c>
      <c r="AG232" s="189">
        <v>0.95833333333333337</v>
      </c>
      <c r="AH232" s="190" t="s">
        <v>2941</v>
      </c>
      <c r="AI232" s="190" t="s">
        <v>2942</v>
      </c>
      <c r="AJ232" s="179" t="s">
        <v>1681</v>
      </c>
      <c r="AK232" s="179" t="s">
        <v>3302</v>
      </c>
      <c r="AL232" s="179" t="s">
        <v>9</v>
      </c>
      <c r="AM232" s="179" t="s">
        <v>4051</v>
      </c>
      <c r="AN232" s="179" t="s">
        <v>2102</v>
      </c>
      <c r="AO232" s="179" t="s">
        <v>2657</v>
      </c>
      <c r="AP232" s="191"/>
      <c r="AQ232" s="184">
        <v>41912</v>
      </c>
      <c r="AR232" s="179">
        <v>142</v>
      </c>
      <c r="AS232" s="199" t="s">
        <v>4052</v>
      </c>
      <c r="AT232" s="198" t="s">
        <v>4053</v>
      </c>
      <c r="AU232" s="198" t="s">
        <v>2946</v>
      </c>
      <c r="AV232" s="192">
        <v>16066000</v>
      </c>
      <c r="AW232" s="181">
        <v>22.7</v>
      </c>
      <c r="AX232" s="179">
        <v>80351</v>
      </c>
      <c r="AY232" s="179" t="s">
        <v>4054</v>
      </c>
    </row>
    <row r="233" spans="1:51" ht="14.4" x14ac:dyDescent="0.3">
      <c r="A233" s="179" t="s">
        <v>1579</v>
      </c>
      <c r="B233" s="179" t="s">
        <v>2927</v>
      </c>
      <c r="C233" s="180" t="s">
        <v>4055</v>
      </c>
      <c r="D233" s="181" t="s">
        <v>2838</v>
      </c>
      <c r="E233" s="181" t="s">
        <v>2830</v>
      </c>
      <c r="F233" s="182" t="s">
        <v>2929</v>
      </c>
      <c r="G233" s="181" t="s">
        <v>12</v>
      </c>
      <c r="H233" s="193" t="s">
        <v>2930</v>
      </c>
      <c r="I233" s="184" t="s">
        <v>2930</v>
      </c>
      <c r="J233" s="179" t="s">
        <v>4056</v>
      </c>
      <c r="K233" s="179">
        <v>59</v>
      </c>
      <c r="L233" s="179" t="s">
        <v>2965</v>
      </c>
      <c r="M233" s="185"/>
      <c r="N233" s="185"/>
      <c r="O233" s="186"/>
      <c r="P233" s="185"/>
      <c r="Q233" s="182" t="s">
        <v>2933</v>
      </c>
      <c r="R233" s="182" t="s">
        <v>2934</v>
      </c>
      <c r="S233" s="182" t="s">
        <v>2952</v>
      </c>
      <c r="T233" s="179" t="s">
        <v>2953</v>
      </c>
      <c r="U233" s="179" t="s">
        <v>2937</v>
      </c>
      <c r="V233" s="187">
        <v>1098</v>
      </c>
      <c r="W233" s="179" t="s">
        <v>2983</v>
      </c>
      <c r="X233" s="188">
        <v>378.47320000000002</v>
      </c>
      <c r="Y233" s="188">
        <v>300.05779999999999</v>
      </c>
      <c r="Z233" s="188">
        <v>140.97299999999998</v>
      </c>
      <c r="AA233" s="188">
        <v>61.936000000000007</v>
      </c>
      <c r="AB233" s="188">
        <v>50.484899999999996</v>
      </c>
      <c r="AC233" s="188">
        <v>36.379199999999997</v>
      </c>
      <c r="AD233" s="179" t="s">
        <v>2984</v>
      </c>
      <c r="AE233" s="188" t="s">
        <v>2940</v>
      </c>
      <c r="AF233" s="189">
        <v>0.29166666666666669</v>
      </c>
      <c r="AG233" s="189">
        <v>0.95833333333333337</v>
      </c>
      <c r="AH233" s="190" t="s">
        <v>2941</v>
      </c>
      <c r="AI233" s="190" t="s">
        <v>2942</v>
      </c>
      <c r="AJ233" s="179" t="s">
        <v>1277</v>
      </c>
      <c r="AK233" s="179" t="s">
        <v>3034</v>
      </c>
      <c r="AL233" s="179" t="s">
        <v>4</v>
      </c>
      <c r="AM233" s="179" t="s">
        <v>4057</v>
      </c>
      <c r="AN233" s="179" t="s">
        <v>2102</v>
      </c>
      <c r="AO233" s="179" t="s">
        <v>2288</v>
      </c>
      <c r="AP233" s="191">
        <v>81139001399</v>
      </c>
      <c r="AQ233" s="184">
        <v>41912</v>
      </c>
      <c r="AR233" s="179">
        <v>142</v>
      </c>
      <c r="AS233" s="194"/>
      <c r="AT233" s="195"/>
      <c r="AU233" s="195"/>
      <c r="AV233" s="192">
        <v>8064000</v>
      </c>
      <c r="AW233" s="181">
        <v>26.2</v>
      </c>
      <c r="AX233" s="179">
        <v>80115</v>
      </c>
      <c r="AY233" s="179"/>
    </row>
    <row r="234" spans="1:51" ht="14.4" x14ac:dyDescent="0.3">
      <c r="A234" s="179" t="s">
        <v>47</v>
      </c>
      <c r="B234" s="179" t="s">
        <v>2947</v>
      </c>
      <c r="C234" s="180" t="s">
        <v>4058</v>
      </c>
      <c r="D234" s="181" t="s">
        <v>2860</v>
      </c>
      <c r="E234" s="181" t="s">
        <v>2830</v>
      </c>
      <c r="F234" s="182" t="s">
        <v>2972</v>
      </c>
      <c r="G234" s="181" t="s">
        <v>17</v>
      </c>
      <c r="H234" s="193" t="s">
        <v>2930</v>
      </c>
      <c r="I234" s="184" t="s">
        <v>2930</v>
      </c>
      <c r="J234" s="179" t="s">
        <v>3008</v>
      </c>
      <c r="K234" s="179" t="s">
        <v>3008</v>
      </c>
      <c r="L234" s="179" t="s">
        <v>2932</v>
      </c>
      <c r="M234" s="185"/>
      <c r="N234" s="185"/>
      <c r="O234" s="186"/>
      <c r="P234" s="185"/>
      <c r="Q234" s="182" t="s">
        <v>2934</v>
      </c>
      <c r="R234" s="182" t="s">
        <v>2933</v>
      </c>
      <c r="S234" s="182" t="s">
        <v>2935</v>
      </c>
      <c r="T234" s="179" t="s">
        <v>2953</v>
      </c>
      <c r="U234" s="179" t="s">
        <v>2954</v>
      </c>
      <c r="V234" s="179">
        <v>1270</v>
      </c>
      <c r="W234" s="179" t="s">
        <v>2992</v>
      </c>
      <c r="X234" s="188">
        <v>280.62719999999996</v>
      </c>
      <c r="Y234" s="188">
        <v>174.62639999999999</v>
      </c>
      <c r="Z234" s="188">
        <v>114.7547</v>
      </c>
      <c r="AA234" s="188">
        <v>92.595399999999998</v>
      </c>
      <c r="AB234" s="188">
        <v>11.448300000000001</v>
      </c>
      <c r="AC234" s="188">
        <v>32.832000000000001</v>
      </c>
      <c r="AD234" s="179" t="s">
        <v>2984</v>
      </c>
      <c r="AE234" s="188" t="s">
        <v>2940</v>
      </c>
      <c r="AF234" s="189">
        <v>0.29166666666666669</v>
      </c>
      <c r="AG234" s="189">
        <v>0.91666666666666663</v>
      </c>
      <c r="AH234" s="190" t="s">
        <v>2941</v>
      </c>
      <c r="AI234" s="190" t="s">
        <v>2985</v>
      </c>
      <c r="AJ234" s="179" t="s">
        <v>45</v>
      </c>
      <c r="AK234" s="179" t="s">
        <v>2981</v>
      </c>
      <c r="AL234" s="179" t="s">
        <v>28</v>
      </c>
      <c r="AM234" s="179" t="s">
        <v>4059</v>
      </c>
      <c r="AN234" s="179" t="s">
        <v>2102</v>
      </c>
      <c r="AO234" s="179" t="s">
        <v>2452</v>
      </c>
      <c r="AP234" s="191">
        <v>8113806241</v>
      </c>
      <c r="AQ234" s="184">
        <v>41930</v>
      </c>
      <c r="AR234" s="179">
        <v>142</v>
      </c>
      <c r="AS234" s="179"/>
      <c r="AT234" s="181" t="s">
        <v>4060</v>
      </c>
      <c r="AU234" s="181" t="s">
        <v>4061</v>
      </c>
      <c r="AV234" s="192">
        <v>10680000</v>
      </c>
      <c r="AW234" s="181">
        <v>16.100000000000001</v>
      </c>
      <c r="AX234" s="179">
        <v>80582</v>
      </c>
      <c r="AY234" s="179"/>
    </row>
    <row r="235" spans="1:51" ht="14.4" x14ac:dyDescent="0.3">
      <c r="A235" s="179" t="s">
        <v>1284</v>
      </c>
      <c r="B235" s="179" t="s">
        <v>2947</v>
      </c>
      <c r="C235" s="180" t="s">
        <v>4062</v>
      </c>
      <c r="D235" s="181" t="s">
        <v>2860</v>
      </c>
      <c r="E235" s="181" t="s">
        <v>2830</v>
      </c>
      <c r="F235" s="182" t="s">
        <v>2972</v>
      </c>
      <c r="G235" s="181" t="s">
        <v>17</v>
      </c>
      <c r="H235" s="193">
        <v>45632</v>
      </c>
      <c r="I235" s="193"/>
      <c r="J235" s="179" t="s">
        <v>3008</v>
      </c>
      <c r="K235" s="179" t="s">
        <v>3008</v>
      </c>
      <c r="L235" s="179" t="s">
        <v>2932</v>
      </c>
      <c r="M235" s="185"/>
      <c r="N235" s="185"/>
      <c r="O235" s="179" t="s">
        <v>2951</v>
      </c>
      <c r="P235" s="185"/>
      <c r="Q235" s="182" t="s">
        <v>2934</v>
      </c>
      <c r="R235" s="182" t="s">
        <v>2933</v>
      </c>
      <c r="S235" s="182" t="s">
        <v>2952</v>
      </c>
      <c r="T235" s="179" t="s">
        <v>2953</v>
      </c>
      <c r="U235" s="179" t="s">
        <v>2954</v>
      </c>
      <c r="V235" s="179">
        <v>926</v>
      </c>
      <c r="W235" s="179" t="s">
        <v>2992</v>
      </c>
      <c r="X235" s="188">
        <v>377.25</v>
      </c>
      <c r="Y235" s="188">
        <v>227.25</v>
      </c>
      <c r="Z235" s="188">
        <v>123.03899999999999</v>
      </c>
      <c r="AA235" s="188">
        <v>127.155</v>
      </c>
      <c r="AB235" s="188">
        <v>29.3</v>
      </c>
      <c r="AC235" s="188">
        <v>57.405000000000001</v>
      </c>
      <c r="AD235" s="179" t="s">
        <v>2984</v>
      </c>
      <c r="AE235" s="188" t="s">
        <v>2940</v>
      </c>
      <c r="AF235" s="189">
        <v>0.29166666666666669</v>
      </c>
      <c r="AG235" s="189">
        <v>0.95833333333333337</v>
      </c>
      <c r="AH235" s="190" t="s">
        <v>2941</v>
      </c>
      <c r="AI235" s="190" t="s">
        <v>2942</v>
      </c>
      <c r="AJ235" s="179" t="s">
        <v>1282</v>
      </c>
      <c r="AK235" s="179" t="s">
        <v>3229</v>
      </c>
      <c r="AL235" s="179" t="s">
        <v>9</v>
      </c>
      <c r="AM235" s="179" t="s">
        <v>4063</v>
      </c>
      <c r="AN235" s="179" t="s">
        <v>2102</v>
      </c>
      <c r="AO235" s="179" t="s">
        <v>2572</v>
      </c>
      <c r="AP235" s="191">
        <v>81139605159</v>
      </c>
      <c r="AQ235" s="184">
        <v>41943</v>
      </c>
      <c r="AR235" s="179">
        <v>141</v>
      </c>
      <c r="AS235" s="179"/>
      <c r="AT235" s="181" t="s">
        <v>3933</v>
      </c>
      <c r="AU235" s="181" t="s">
        <v>2946</v>
      </c>
      <c r="AV235" s="192">
        <v>10250000</v>
      </c>
      <c r="AW235" s="181">
        <v>7.1</v>
      </c>
      <c r="AX235" s="179">
        <v>80352</v>
      </c>
      <c r="AY235" s="179"/>
    </row>
    <row r="236" spans="1:51" ht="14.4" x14ac:dyDescent="0.3">
      <c r="A236" s="179" t="s">
        <v>925</v>
      </c>
      <c r="B236" s="179" t="s">
        <v>2947</v>
      </c>
      <c r="C236" s="180" t="s">
        <v>4064</v>
      </c>
      <c r="D236" s="181" t="s">
        <v>2857</v>
      </c>
      <c r="E236" s="181" t="s">
        <v>2815</v>
      </c>
      <c r="F236" s="182" t="s">
        <v>2929</v>
      </c>
      <c r="G236" s="181" t="s">
        <v>12</v>
      </c>
      <c r="H236" s="193">
        <v>45087</v>
      </c>
      <c r="I236" s="184"/>
      <c r="J236" s="179" t="s">
        <v>4065</v>
      </c>
      <c r="K236" s="179">
        <v>77</v>
      </c>
      <c r="L236" s="179" t="s">
        <v>2965</v>
      </c>
      <c r="M236" s="185"/>
      <c r="N236" s="185"/>
      <c r="O236" s="186"/>
      <c r="P236" s="185" t="s">
        <v>2951</v>
      </c>
      <c r="Q236" s="182" t="s">
        <v>2933</v>
      </c>
      <c r="R236" s="182" t="s">
        <v>2934</v>
      </c>
      <c r="S236" s="182" t="s">
        <v>2935</v>
      </c>
      <c r="T236" s="179" t="s">
        <v>2953</v>
      </c>
      <c r="U236" s="179" t="s">
        <v>2954</v>
      </c>
      <c r="V236" s="187">
        <v>1341</v>
      </c>
      <c r="W236" s="179" t="s">
        <v>2992</v>
      </c>
      <c r="X236" s="188">
        <v>230.58849999999998</v>
      </c>
      <c r="Y236" s="188">
        <v>161.14599999999999</v>
      </c>
      <c r="Z236" s="188">
        <v>121.8789</v>
      </c>
      <c r="AA236" s="188">
        <v>65.049599999999998</v>
      </c>
      <c r="AB236" s="188">
        <v>15.419999999999998</v>
      </c>
      <c r="AC236" s="188">
        <v>103.10579999999999</v>
      </c>
      <c r="AD236" s="179" t="s">
        <v>2956</v>
      </c>
      <c r="AE236" s="188" t="s">
        <v>2957</v>
      </c>
      <c r="AF236" s="189">
        <v>0.29166666666666669</v>
      </c>
      <c r="AG236" s="189">
        <v>0.99930555555555556</v>
      </c>
      <c r="AH236" s="190" t="s">
        <v>2941</v>
      </c>
      <c r="AI236" s="190" t="s">
        <v>2985</v>
      </c>
      <c r="AJ236" s="179" t="s">
        <v>436</v>
      </c>
      <c r="AK236" s="179" t="s">
        <v>3000</v>
      </c>
      <c r="AL236" s="179" t="s">
        <v>28</v>
      </c>
      <c r="AM236" s="179" t="s">
        <v>4066</v>
      </c>
      <c r="AN236" s="179" t="s">
        <v>2102</v>
      </c>
      <c r="AO236" s="179" t="s">
        <v>2713</v>
      </c>
      <c r="AP236" s="191"/>
      <c r="AQ236" s="184">
        <v>41943</v>
      </c>
      <c r="AR236" s="179">
        <v>141</v>
      </c>
      <c r="AS236" s="179"/>
      <c r="AT236" s="181" t="s">
        <v>4067</v>
      </c>
      <c r="AU236" s="181" t="s">
        <v>2946</v>
      </c>
      <c r="AV236" s="192">
        <v>13845062</v>
      </c>
      <c r="AW236" s="181">
        <v>16.5</v>
      </c>
      <c r="AX236" s="179">
        <v>80571</v>
      </c>
      <c r="AY236" s="179"/>
    </row>
    <row r="237" spans="1:51" ht="14.4" x14ac:dyDescent="0.3">
      <c r="A237" s="179" t="s">
        <v>1337</v>
      </c>
      <c r="B237" s="179" t="s">
        <v>2927</v>
      </c>
      <c r="C237" s="180" t="s">
        <v>4068</v>
      </c>
      <c r="D237" s="181" t="s">
        <v>2826</v>
      </c>
      <c r="E237" s="181" t="s">
        <v>2825</v>
      </c>
      <c r="F237" s="182" t="s">
        <v>2929</v>
      </c>
      <c r="G237" s="181" t="s">
        <v>12</v>
      </c>
      <c r="H237" s="193" t="s">
        <v>2930</v>
      </c>
      <c r="I237" s="184" t="s">
        <v>2930</v>
      </c>
      <c r="J237" s="179" t="s">
        <v>4069</v>
      </c>
      <c r="K237" s="179">
        <v>550</v>
      </c>
      <c r="L237" s="179" t="s">
        <v>3026</v>
      </c>
      <c r="M237" s="185"/>
      <c r="N237" s="185"/>
      <c r="O237" s="186"/>
      <c r="P237" s="185"/>
      <c r="Q237" s="182" t="s">
        <v>2934</v>
      </c>
      <c r="R237" s="182" t="s">
        <v>2933</v>
      </c>
      <c r="S237" s="182" t="s">
        <v>2952</v>
      </c>
      <c r="T237" s="179" t="s">
        <v>2953</v>
      </c>
      <c r="U237" s="179" t="s">
        <v>2937</v>
      </c>
      <c r="V237" s="179">
        <v>1341</v>
      </c>
      <c r="W237" s="179" t="s">
        <v>3140</v>
      </c>
      <c r="X237" s="188">
        <v>316.48320000000001</v>
      </c>
      <c r="Y237" s="188">
        <v>179.03160000000003</v>
      </c>
      <c r="Z237" s="188">
        <v>117.935</v>
      </c>
      <c r="AA237" s="188">
        <v>121.21619999999999</v>
      </c>
      <c r="AB237" s="188">
        <v>16.416399999999999</v>
      </c>
      <c r="AC237" s="188">
        <v>23.908500000000004</v>
      </c>
      <c r="AD237" s="179" t="s">
        <v>2939</v>
      </c>
      <c r="AE237" s="188" t="s">
        <v>2940</v>
      </c>
      <c r="AF237" s="189">
        <v>0.29166666666666669</v>
      </c>
      <c r="AG237" s="189">
        <v>0.95833333333333337</v>
      </c>
      <c r="AH237" s="190" t="s">
        <v>2941</v>
      </c>
      <c r="AI237" s="190" t="s">
        <v>2942</v>
      </c>
      <c r="AJ237" s="179" t="s">
        <v>1335</v>
      </c>
      <c r="AK237" s="179" t="s">
        <v>3010</v>
      </c>
      <c r="AL237" s="179" t="s">
        <v>36</v>
      </c>
      <c r="AM237" s="179" t="s">
        <v>4070</v>
      </c>
      <c r="AN237" s="179" t="s">
        <v>2102</v>
      </c>
      <c r="AO237" s="179" t="s">
        <v>2384</v>
      </c>
      <c r="AP237" s="191">
        <v>81139000823</v>
      </c>
      <c r="AQ237" s="184">
        <v>41961</v>
      </c>
      <c r="AR237" s="179">
        <v>141</v>
      </c>
      <c r="AS237" s="194"/>
      <c r="AT237" s="195" t="s">
        <v>4071</v>
      </c>
      <c r="AU237" s="195" t="s">
        <v>2946</v>
      </c>
      <c r="AV237" s="192">
        <v>7560000</v>
      </c>
      <c r="AW237" s="181">
        <v>30</v>
      </c>
      <c r="AX237" s="179">
        <v>82121</v>
      </c>
      <c r="AY237" s="179"/>
    </row>
    <row r="238" spans="1:51" ht="14.4" x14ac:dyDescent="0.3">
      <c r="A238" s="179" t="s">
        <v>64</v>
      </c>
      <c r="B238" s="179" t="s">
        <v>2927</v>
      </c>
      <c r="C238" s="180" t="s">
        <v>4072</v>
      </c>
      <c r="D238" s="181" t="s">
        <v>2857</v>
      </c>
      <c r="E238" s="181" t="s">
        <v>2815</v>
      </c>
      <c r="F238" s="182" t="s">
        <v>2972</v>
      </c>
      <c r="G238" s="181" t="s">
        <v>17</v>
      </c>
      <c r="H238" s="193" t="s">
        <v>2930</v>
      </c>
      <c r="I238" s="184" t="s">
        <v>2930</v>
      </c>
      <c r="J238" s="179" t="s">
        <v>3008</v>
      </c>
      <c r="K238" s="179" t="s">
        <v>3008</v>
      </c>
      <c r="L238" s="179" t="s">
        <v>2932</v>
      </c>
      <c r="M238" s="185"/>
      <c r="N238" s="185"/>
      <c r="O238" s="179" t="s">
        <v>2951</v>
      </c>
      <c r="P238" s="185"/>
      <c r="Q238" s="182" t="s">
        <v>2934</v>
      </c>
      <c r="R238" s="182" t="s">
        <v>2933</v>
      </c>
      <c r="S238" s="182" t="s">
        <v>2935</v>
      </c>
      <c r="T238" s="179" t="s">
        <v>2953</v>
      </c>
      <c r="U238" s="179" t="s">
        <v>2937</v>
      </c>
      <c r="V238" s="179">
        <v>631</v>
      </c>
      <c r="W238" s="179" t="s">
        <v>2992</v>
      </c>
      <c r="X238" s="188">
        <v>352.6925</v>
      </c>
      <c r="Y238" s="188">
        <v>196.44839999999999</v>
      </c>
      <c r="Z238" s="188">
        <v>121.73699999999999</v>
      </c>
      <c r="AA238" s="188">
        <v>142</v>
      </c>
      <c r="AB238" s="188">
        <v>26.009999999999998</v>
      </c>
      <c r="AC238" s="188">
        <v>33.234999999999999</v>
      </c>
      <c r="AD238" s="179" t="s">
        <v>2984</v>
      </c>
      <c r="AE238" s="188" t="s">
        <v>2940</v>
      </c>
      <c r="AF238" s="189">
        <v>0.29166666666666669</v>
      </c>
      <c r="AG238" s="189">
        <v>0.95833333333333337</v>
      </c>
      <c r="AH238" s="190" t="s">
        <v>2941</v>
      </c>
      <c r="AI238" s="190" t="s">
        <v>2985</v>
      </c>
      <c r="AJ238" s="179" t="s">
        <v>62</v>
      </c>
      <c r="AK238" s="179" t="s">
        <v>455</v>
      </c>
      <c r="AL238" s="179" t="s">
        <v>28</v>
      </c>
      <c r="AM238" s="179" t="s">
        <v>4073</v>
      </c>
      <c r="AN238" s="179" t="s">
        <v>2102</v>
      </c>
      <c r="AO238" s="179" t="s">
        <v>2379</v>
      </c>
      <c r="AP238" s="191">
        <v>81139002305</v>
      </c>
      <c r="AQ238" s="184">
        <v>41969</v>
      </c>
      <c r="AR238" s="179">
        <v>141</v>
      </c>
      <c r="AS238" s="194"/>
      <c r="AT238" s="195" t="s">
        <v>4074</v>
      </c>
      <c r="AU238" s="195" t="s">
        <v>4075</v>
      </c>
      <c r="AV238" s="192">
        <v>7008000</v>
      </c>
      <c r="AW238" s="181">
        <v>20.399999999999999</v>
      </c>
      <c r="AX238" s="179">
        <v>80561</v>
      </c>
      <c r="AY238" s="179"/>
    </row>
    <row r="239" spans="1:51" ht="14.4" x14ac:dyDescent="0.3">
      <c r="A239" s="179" t="s">
        <v>1657</v>
      </c>
      <c r="B239" s="179" t="s">
        <v>2947</v>
      </c>
      <c r="C239" s="180" t="s">
        <v>3880</v>
      </c>
      <c r="D239" s="181" t="s">
        <v>2853</v>
      </c>
      <c r="E239" s="181" t="s">
        <v>2825</v>
      </c>
      <c r="F239" s="182" t="s">
        <v>2929</v>
      </c>
      <c r="G239" s="181" t="s">
        <v>12</v>
      </c>
      <c r="H239" s="193">
        <v>43945</v>
      </c>
      <c r="I239" s="184">
        <v>43945</v>
      </c>
      <c r="J239" s="179" t="s">
        <v>4076</v>
      </c>
      <c r="K239" s="179">
        <v>350</v>
      </c>
      <c r="L239" s="179" t="s">
        <v>2950</v>
      </c>
      <c r="M239" s="185"/>
      <c r="N239" s="185"/>
      <c r="O239" s="186"/>
      <c r="P239" s="185"/>
      <c r="Q239" s="182" t="s">
        <v>2934</v>
      </c>
      <c r="R239" s="182" t="s">
        <v>2933</v>
      </c>
      <c r="S239" s="182" t="s">
        <v>2952</v>
      </c>
      <c r="T239" s="179" t="s">
        <v>2953</v>
      </c>
      <c r="U239" s="179" t="s">
        <v>2954</v>
      </c>
      <c r="V239" s="179">
        <v>1094</v>
      </c>
      <c r="W239" s="179" t="s">
        <v>3140</v>
      </c>
      <c r="X239" s="188">
        <v>307.5</v>
      </c>
      <c r="Y239" s="188">
        <v>189.375</v>
      </c>
      <c r="Z239" s="188">
        <v>121</v>
      </c>
      <c r="AA239" s="188">
        <v>101.8875</v>
      </c>
      <c r="AB239" s="188">
        <v>18.149999999999999</v>
      </c>
      <c r="AC239" s="188">
        <v>34.632000000000005</v>
      </c>
      <c r="AD239" s="179" t="s">
        <v>2984</v>
      </c>
      <c r="AE239" s="188" t="s">
        <v>2940</v>
      </c>
      <c r="AF239" s="189">
        <v>0.29166666666666669</v>
      </c>
      <c r="AG239" s="189">
        <v>0.95833333333333337</v>
      </c>
      <c r="AH239" s="190" t="s">
        <v>2941</v>
      </c>
      <c r="AI239" s="190" t="s">
        <v>2942</v>
      </c>
      <c r="AJ239" s="179" t="s">
        <v>376</v>
      </c>
      <c r="AK239" s="179" t="s">
        <v>3229</v>
      </c>
      <c r="AL239" s="179" t="s">
        <v>9</v>
      </c>
      <c r="AM239" s="179" t="s">
        <v>4077</v>
      </c>
      <c r="AN239" s="179" t="s">
        <v>2102</v>
      </c>
      <c r="AO239" s="179" t="s">
        <v>2422</v>
      </c>
      <c r="AP239" s="191">
        <v>81139000821</v>
      </c>
      <c r="AQ239" s="184">
        <v>41973</v>
      </c>
      <c r="AR239" s="179">
        <v>140</v>
      </c>
      <c r="AS239" s="179"/>
      <c r="AT239" s="181" t="s">
        <v>4078</v>
      </c>
      <c r="AU239" s="181" t="s">
        <v>2946</v>
      </c>
      <c r="AV239" s="192">
        <v>10560000</v>
      </c>
      <c r="AW239" s="181">
        <v>6.6</v>
      </c>
      <c r="AX239" s="179">
        <v>80352</v>
      </c>
      <c r="AY239" s="179"/>
    </row>
    <row r="240" spans="1:51" ht="14.4" x14ac:dyDescent="0.3">
      <c r="A240" s="179" t="s">
        <v>1564</v>
      </c>
      <c r="B240" s="179" t="s">
        <v>2947</v>
      </c>
      <c r="C240" s="180" t="s">
        <v>3468</v>
      </c>
      <c r="D240" s="181" t="s">
        <v>2862</v>
      </c>
      <c r="E240" s="181" t="s">
        <v>2819</v>
      </c>
      <c r="F240" s="182" t="s">
        <v>2929</v>
      </c>
      <c r="G240" s="181" t="s">
        <v>12</v>
      </c>
      <c r="H240" s="193">
        <v>43993</v>
      </c>
      <c r="I240" s="184">
        <v>43993</v>
      </c>
      <c r="J240" s="179" t="s">
        <v>4079</v>
      </c>
      <c r="K240" s="179">
        <v>71</v>
      </c>
      <c r="L240" s="179" t="s">
        <v>2965</v>
      </c>
      <c r="M240" s="185"/>
      <c r="N240" s="185" t="s">
        <v>2951</v>
      </c>
      <c r="O240" s="186"/>
      <c r="P240" s="185"/>
      <c r="Q240" s="182" t="s">
        <v>2934</v>
      </c>
      <c r="R240" s="182" t="s">
        <v>2933</v>
      </c>
      <c r="S240" s="182" t="s">
        <v>2952</v>
      </c>
      <c r="T240" s="179" t="s">
        <v>2999</v>
      </c>
      <c r="U240" s="179" t="s">
        <v>2954</v>
      </c>
      <c r="V240" s="179">
        <v>1038</v>
      </c>
      <c r="W240" s="179" t="s">
        <v>3406</v>
      </c>
      <c r="X240" s="188">
        <v>320.81660000000005</v>
      </c>
      <c r="Y240" s="188">
        <v>212.1114</v>
      </c>
      <c r="Z240" s="188">
        <v>121.95200000000001</v>
      </c>
      <c r="AA240" s="188">
        <v>77.699999999999989</v>
      </c>
      <c r="AB240" s="188">
        <v>23.536000000000001</v>
      </c>
      <c r="AC240" s="188">
        <v>46.5792</v>
      </c>
      <c r="AD240" s="179" t="s">
        <v>2984</v>
      </c>
      <c r="AE240" s="188" t="s">
        <v>2940</v>
      </c>
      <c r="AF240" s="189">
        <v>0.29166666666666669</v>
      </c>
      <c r="AG240" s="189">
        <v>0.95833333333333337</v>
      </c>
      <c r="AH240" s="190" t="s">
        <v>2941</v>
      </c>
      <c r="AI240" s="190" t="s">
        <v>2942</v>
      </c>
      <c r="AJ240" s="179" t="s">
        <v>137</v>
      </c>
      <c r="AK240" s="179" t="s">
        <v>2977</v>
      </c>
      <c r="AL240" s="179" t="s">
        <v>9</v>
      </c>
      <c r="AM240" s="179" t="s">
        <v>4080</v>
      </c>
      <c r="AN240" s="179" t="s">
        <v>2102</v>
      </c>
      <c r="AO240" s="179" t="s">
        <v>2649</v>
      </c>
      <c r="AP240" s="191">
        <v>81139000795</v>
      </c>
      <c r="AQ240" s="184">
        <v>41974</v>
      </c>
      <c r="AR240" s="179">
        <v>140</v>
      </c>
      <c r="AS240" s="179"/>
      <c r="AT240" s="181" t="s">
        <v>4081</v>
      </c>
      <c r="AU240" s="181" t="s">
        <v>2946</v>
      </c>
      <c r="AV240" s="192">
        <v>15979396</v>
      </c>
      <c r="AW240" s="181">
        <v>21.6</v>
      </c>
      <c r="AX240" s="179">
        <v>80363</v>
      </c>
      <c r="AY240" s="179"/>
    </row>
    <row r="241" spans="1:51" ht="14.4" x14ac:dyDescent="0.3">
      <c r="A241" s="179" t="s">
        <v>869</v>
      </c>
      <c r="B241" s="179" t="s">
        <v>2947</v>
      </c>
      <c r="C241" s="180" t="s">
        <v>4082</v>
      </c>
      <c r="D241" s="181" t="s">
        <v>2876</v>
      </c>
      <c r="E241" s="181" t="s">
        <v>2867</v>
      </c>
      <c r="F241" s="182" t="s">
        <v>3086</v>
      </c>
      <c r="G241" s="181" t="s">
        <v>535</v>
      </c>
      <c r="H241" s="193">
        <v>45087</v>
      </c>
      <c r="I241" s="184"/>
      <c r="J241" s="179" t="s">
        <v>4083</v>
      </c>
      <c r="K241" s="179">
        <v>170</v>
      </c>
      <c r="L241" s="179" t="s">
        <v>2950</v>
      </c>
      <c r="M241" s="185"/>
      <c r="N241" s="185"/>
      <c r="O241" s="179" t="s">
        <v>2951</v>
      </c>
      <c r="P241" s="185"/>
      <c r="Q241" s="182" t="s">
        <v>2933</v>
      </c>
      <c r="R241" s="182" t="s">
        <v>2934</v>
      </c>
      <c r="S241" s="182" t="s">
        <v>2952</v>
      </c>
      <c r="T241" s="179" t="s">
        <v>2999</v>
      </c>
      <c r="U241" s="179" t="s">
        <v>2954</v>
      </c>
      <c r="V241" s="187">
        <v>1162</v>
      </c>
      <c r="W241" s="179" t="s">
        <v>2992</v>
      </c>
      <c r="X241" s="188">
        <v>409.5104</v>
      </c>
      <c r="Y241" s="188">
        <v>311.18080000000003</v>
      </c>
      <c r="Z241" s="188">
        <v>162.9616</v>
      </c>
      <c r="AA241" s="188">
        <v>84.917599999999993</v>
      </c>
      <c r="AB241" s="188">
        <v>22.482400000000002</v>
      </c>
      <c r="AC241" s="188">
        <v>113.93989999999999</v>
      </c>
      <c r="AD241" s="179" t="s">
        <v>2956</v>
      </c>
      <c r="AE241" s="188" t="s">
        <v>2940</v>
      </c>
      <c r="AF241" s="189">
        <v>0</v>
      </c>
      <c r="AG241" s="189">
        <v>0.99930555555555556</v>
      </c>
      <c r="AH241" s="190" t="s">
        <v>2941</v>
      </c>
      <c r="AI241" s="190" t="s">
        <v>2985</v>
      </c>
      <c r="AJ241" s="179" t="s">
        <v>210</v>
      </c>
      <c r="AK241" s="179" t="s">
        <v>3241</v>
      </c>
      <c r="AL241" s="179" t="s">
        <v>9</v>
      </c>
      <c r="AM241" s="179" t="s">
        <v>4084</v>
      </c>
      <c r="AN241" s="179" t="s">
        <v>2102</v>
      </c>
      <c r="AO241" s="179" t="s">
        <v>2808</v>
      </c>
      <c r="AP241" s="191">
        <v>81139001121</v>
      </c>
      <c r="AQ241" s="184">
        <v>41989</v>
      </c>
      <c r="AR241" s="179">
        <v>140</v>
      </c>
      <c r="AS241" s="179"/>
      <c r="AT241" s="181" t="s">
        <v>4085</v>
      </c>
      <c r="AU241" s="181" t="s">
        <v>4086</v>
      </c>
      <c r="AV241" s="192">
        <v>25115538</v>
      </c>
      <c r="AW241" s="181">
        <v>42.4</v>
      </c>
      <c r="AX241" s="179">
        <v>80362</v>
      </c>
      <c r="AY241" s="179"/>
    </row>
    <row r="242" spans="1:51" ht="14.4" x14ac:dyDescent="0.3">
      <c r="A242" s="179" t="s">
        <v>678</v>
      </c>
      <c r="B242" s="179" t="s">
        <v>2927</v>
      </c>
      <c r="C242" s="180" t="s">
        <v>4087</v>
      </c>
      <c r="D242" s="181" t="s">
        <v>2829</v>
      </c>
      <c r="E242" s="181" t="s">
        <v>2815</v>
      </c>
      <c r="F242" s="182" t="s">
        <v>2929</v>
      </c>
      <c r="G242" s="181" t="s">
        <v>12</v>
      </c>
      <c r="H242" s="193" t="s">
        <v>2930</v>
      </c>
      <c r="I242" s="184" t="s">
        <v>2930</v>
      </c>
      <c r="J242" s="179" t="s">
        <v>3008</v>
      </c>
      <c r="K242" s="179" t="s">
        <v>3008</v>
      </c>
      <c r="L242" s="179" t="s">
        <v>2932</v>
      </c>
      <c r="M242" s="185"/>
      <c r="N242" s="185"/>
      <c r="O242" s="186"/>
      <c r="P242" s="185"/>
      <c r="Q242" s="182" t="s">
        <v>2934</v>
      </c>
      <c r="R242" s="182" t="s">
        <v>2933</v>
      </c>
      <c r="S242" s="182" t="s">
        <v>2952</v>
      </c>
      <c r="T242" s="179" t="s">
        <v>2953</v>
      </c>
      <c r="U242" s="179" t="s">
        <v>2937</v>
      </c>
      <c r="V242" s="179">
        <v>1506</v>
      </c>
      <c r="W242" s="179" t="s">
        <v>3140</v>
      </c>
      <c r="X242" s="188">
        <v>338.42250000000001</v>
      </c>
      <c r="Y242" s="188">
        <v>193.14750000000001</v>
      </c>
      <c r="Z242" s="188">
        <v>119.515</v>
      </c>
      <c r="AA242" s="188">
        <v>129.19999999999999</v>
      </c>
      <c r="AB242" s="188">
        <v>18.2896</v>
      </c>
      <c r="AC242" s="188">
        <v>39.071999999999996</v>
      </c>
      <c r="AD242" s="179" t="s">
        <v>2984</v>
      </c>
      <c r="AE242" s="188" t="s">
        <v>2940</v>
      </c>
      <c r="AF242" s="189">
        <v>0.29166666666666669</v>
      </c>
      <c r="AG242" s="189">
        <v>0.91666666666666663</v>
      </c>
      <c r="AH242" s="190" t="s">
        <v>2941</v>
      </c>
      <c r="AI242" s="190" t="s">
        <v>2985</v>
      </c>
      <c r="AJ242" s="179" t="s">
        <v>676</v>
      </c>
      <c r="AK242" s="179" t="s">
        <v>3110</v>
      </c>
      <c r="AL242" s="179" t="s">
        <v>28</v>
      </c>
      <c r="AM242" s="179" t="s">
        <v>4088</v>
      </c>
      <c r="AN242" s="179" t="s">
        <v>2102</v>
      </c>
      <c r="AO242" s="179" t="s">
        <v>2723</v>
      </c>
      <c r="AP242" s="191">
        <v>81139003852</v>
      </c>
      <c r="AQ242" s="184">
        <v>41994</v>
      </c>
      <c r="AR242" s="179">
        <v>140</v>
      </c>
      <c r="AS242" s="194" t="s">
        <v>4089</v>
      </c>
      <c r="AT242" s="195" t="s">
        <v>4090</v>
      </c>
      <c r="AU242" s="195" t="s">
        <v>4091</v>
      </c>
      <c r="AV242" s="192">
        <v>10500000</v>
      </c>
      <c r="AW242" s="181">
        <v>22.3</v>
      </c>
      <c r="AX242" s="179">
        <v>80581</v>
      </c>
      <c r="AY242" s="179" t="s">
        <v>4092</v>
      </c>
    </row>
    <row r="243" spans="1:51" ht="14.4" x14ac:dyDescent="0.3">
      <c r="A243" s="179" t="s">
        <v>1406</v>
      </c>
      <c r="B243" s="179" t="s">
        <v>2947</v>
      </c>
      <c r="C243" s="180" t="s">
        <v>3514</v>
      </c>
      <c r="D243" s="181" t="s">
        <v>2838</v>
      </c>
      <c r="E243" s="181" t="s">
        <v>2830</v>
      </c>
      <c r="F243" s="182" t="s">
        <v>2929</v>
      </c>
      <c r="G243" s="181" t="s">
        <v>12</v>
      </c>
      <c r="H243" s="193" t="s">
        <v>2930</v>
      </c>
      <c r="I243" s="184" t="s">
        <v>2930</v>
      </c>
      <c r="J243" s="179" t="s">
        <v>3008</v>
      </c>
      <c r="K243" s="179" t="s">
        <v>3008</v>
      </c>
      <c r="L243" s="179" t="s">
        <v>2932</v>
      </c>
      <c r="M243" s="185"/>
      <c r="N243" s="185"/>
      <c r="O243" s="186"/>
      <c r="P243" s="185"/>
      <c r="Q243" s="182" t="s">
        <v>2934</v>
      </c>
      <c r="R243" s="182" t="s">
        <v>2933</v>
      </c>
      <c r="S243" s="182" t="s">
        <v>2935</v>
      </c>
      <c r="T243" s="179" t="s">
        <v>2953</v>
      </c>
      <c r="U243" s="179" t="s">
        <v>2954</v>
      </c>
      <c r="V243" s="179">
        <v>1062</v>
      </c>
      <c r="W243" s="179" t="s">
        <v>3140</v>
      </c>
      <c r="X243" s="188">
        <v>268.59519999999998</v>
      </c>
      <c r="Y243" s="188">
        <v>186.90399999999997</v>
      </c>
      <c r="Z243" s="188">
        <v>113.8984</v>
      </c>
      <c r="AA243" s="188">
        <v>67.82820000000001</v>
      </c>
      <c r="AB243" s="188">
        <v>14.04</v>
      </c>
      <c r="AC243" s="188">
        <v>40.444800000000001</v>
      </c>
      <c r="AD243" s="179" t="s">
        <v>2984</v>
      </c>
      <c r="AE243" s="188" t="s">
        <v>2940</v>
      </c>
      <c r="AF243" s="189">
        <v>0.29166666666666669</v>
      </c>
      <c r="AG243" s="189">
        <v>0.95833333333333337</v>
      </c>
      <c r="AH243" s="190" t="s">
        <v>2941</v>
      </c>
      <c r="AI243" s="190" t="s">
        <v>2942</v>
      </c>
      <c r="AJ243" s="179" t="s">
        <v>663</v>
      </c>
      <c r="AK243" s="179" t="s">
        <v>3229</v>
      </c>
      <c r="AL243" s="179" t="s">
        <v>9</v>
      </c>
      <c r="AM243" s="179" t="s">
        <v>4093</v>
      </c>
      <c r="AN243" s="179" t="s">
        <v>2102</v>
      </c>
      <c r="AO243" s="179" t="s">
        <v>2482</v>
      </c>
      <c r="AP243" s="191">
        <v>81139001219</v>
      </c>
      <c r="AQ243" s="184">
        <v>42004</v>
      </c>
      <c r="AR243" s="179">
        <v>139</v>
      </c>
      <c r="AS243" s="199" t="s">
        <v>4094</v>
      </c>
      <c r="AT243" s="198" t="s">
        <v>4095</v>
      </c>
      <c r="AU243" s="198" t="s">
        <v>4096</v>
      </c>
      <c r="AV243" s="192">
        <v>12146000</v>
      </c>
      <c r="AW243" s="181">
        <v>13.1</v>
      </c>
      <c r="AX243" s="179">
        <v>80352</v>
      </c>
      <c r="AY243" s="179" t="s">
        <v>4097</v>
      </c>
    </row>
    <row r="244" spans="1:51" ht="14.4" x14ac:dyDescent="0.3">
      <c r="A244" s="179" t="s">
        <v>1685</v>
      </c>
      <c r="B244" s="179" t="s">
        <v>2947</v>
      </c>
      <c r="C244" s="180" t="s">
        <v>4098</v>
      </c>
      <c r="D244" s="181" t="s">
        <v>2824</v>
      </c>
      <c r="E244" s="181" t="s">
        <v>2813</v>
      </c>
      <c r="F244" s="182" t="s">
        <v>2929</v>
      </c>
      <c r="G244" s="181" t="s">
        <v>12</v>
      </c>
      <c r="H244" s="193" t="s">
        <v>2930</v>
      </c>
      <c r="I244" s="184"/>
      <c r="J244" s="179" t="s">
        <v>4099</v>
      </c>
      <c r="K244" s="179">
        <v>650</v>
      </c>
      <c r="L244" s="179" t="s">
        <v>3026</v>
      </c>
      <c r="M244" s="185"/>
      <c r="N244" s="185"/>
      <c r="O244" s="186"/>
      <c r="P244" s="185"/>
      <c r="Q244" s="182" t="s">
        <v>2933</v>
      </c>
      <c r="R244" s="182" t="s">
        <v>2934</v>
      </c>
      <c r="S244" s="182" t="s">
        <v>2952</v>
      </c>
      <c r="T244" s="179" t="s">
        <v>2999</v>
      </c>
      <c r="U244" s="179" t="s">
        <v>2937</v>
      </c>
      <c r="V244" s="187">
        <v>455</v>
      </c>
      <c r="W244" s="179" t="s">
        <v>2955</v>
      </c>
      <c r="X244" s="188">
        <v>210.119</v>
      </c>
      <c r="Y244" s="188">
        <v>136.9177</v>
      </c>
      <c r="Z244" s="188">
        <v>102.60899999999999</v>
      </c>
      <c r="AA244" s="188">
        <v>60.606000000000002</v>
      </c>
      <c r="AB244" s="188">
        <v>13.440000000000001</v>
      </c>
      <c r="AC244" s="188">
        <v>64.757999999999996</v>
      </c>
      <c r="AD244" s="179" t="s">
        <v>2956</v>
      </c>
      <c r="AE244" s="188" t="s">
        <v>2957</v>
      </c>
      <c r="AF244" s="189">
        <v>0.29166666666666669</v>
      </c>
      <c r="AG244" s="189">
        <v>0.95833333333333337</v>
      </c>
      <c r="AH244" s="190" t="s">
        <v>2941</v>
      </c>
      <c r="AI244" s="190" t="s">
        <v>2985</v>
      </c>
      <c r="AJ244" s="179" t="s">
        <v>210</v>
      </c>
      <c r="AK244" s="179" t="s">
        <v>3241</v>
      </c>
      <c r="AL244" s="179" t="s">
        <v>9</v>
      </c>
      <c r="AM244" s="179" t="s">
        <v>4100</v>
      </c>
      <c r="AN244" s="179" t="s">
        <v>2102</v>
      </c>
      <c r="AO244" s="179" t="s">
        <v>2543</v>
      </c>
      <c r="AP244" s="191">
        <v>81139605051</v>
      </c>
      <c r="AQ244" s="184">
        <v>42004</v>
      </c>
      <c r="AR244" s="179">
        <v>139</v>
      </c>
      <c r="AS244" s="194" t="s">
        <v>4101</v>
      </c>
      <c r="AT244" s="195" t="s">
        <v>4102</v>
      </c>
      <c r="AU244" s="195" t="s">
        <v>4103</v>
      </c>
      <c r="AV244" s="192">
        <v>12506000</v>
      </c>
      <c r="AW244" s="181">
        <v>40.9</v>
      </c>
      <c r="AX244" s="179">
        <v>80362</v>
      </c>
      <c r="AY244" s="179" t="s">
        <v>4104</v>
      </c>
    </row>
    <row r="245" spans="1:51" ht="14.4" x14ac:dyDescent="0.3">
      <c r="A245" s="179" t="s">
        <v>1495</v>
      </c>
      <c r="B245" s="179" t="s">
        <v>2947</v>
      </c>
      <c r="C245" s="180" t="s">
        <v>4105</v>
      </c>
      <c r="D245" s="181" t="s">
        <v>2826</v>
      </c>
      <c r="E245" s="181" t="s">
        <v>2825</v>
      </c>
      <c r="F245" s="182" t="s">
        <v>2929</v>
      </c>
      <c r="G245" s="181" t="s">
        <v>12</v>
      </c>
      <c r="H245" s="193">
        <v>43697</v>
      </c>
      <c r="I245" s="184">
        <v>43697</v>
      </c>
      <c r="J245" s="179" t="s">
        <v>4106</v>
      </c>
      <c r="K245" s="179">
        <v>150</v>
      </c>
      <c r="L245" s="179" t="s">
        <v>2950</v>
      </c>
      <c r="M245" s="185"/>
      <c r="N245" s="185" t="s">
        <v>2951</v>
      </c>
      <c r="O245" s="186"/>
      <c r="P245" s="185"/>
      <c r="Q245" s="182" t="s">
        <v>2934</v>
      </c>
      <c r="R245" s="182" t="s">
        <v>2933</v>
      </c>
      <c r="S245" s="182" t="s">
        <v>2952</v>
      </c>
      <c r="T245" s="179" t="s">
        <v>2974</v>
      </c>
      <c r="U245" s="179" t="s">
        <v>2954</v>
      </c>
      <c r="V245" s="179">
        <v>1110</v>
      </c>
      <c r="W245" s="179" t="s">
        <v>2992</v>
      </c>
      <c r="X245" s="188">
        <v>312.03360000000004</v>
      </c>
      <c r="Y245" s="188">
        <v>228.66839999999999</v>
      </c>
      <c r="Z245" s="188">
        <v>112.54649999999999</v>
      </c>
      <c r="AA245" s="188">
        <v>67.176000000000002</v>
      </c>
      <c r="AB245" s="188">
        <v>15.870000000000001</v>
      </c>
      <c r="AC245" s="188">
        <v>70.359700000000004</v>
      </c>
      <c r="AD245" s="179" t="s">
        <v>2956</v>
      </c>
      <c r="AE245" s="188" t="s">
        <v>2940</v>
      </c>
      <c r="AF245" s="189">
        <v>0.29166666666666669</v>
      </c>
      <c r="AG245" s="189">
        <v>0.99930555555555556</v>
      </c>
      <c r="AH245" s="190" t="s">
        <v>2941</v>
      </c>
      <c r="AI245" s="190" t="s">
        <v>2942</v>
      </c>
      <c r="AJ245" s="179" t="s">
        <v>192</v>
      </c>
      <c r="AK245" s="179" t="s">
        <v>2977</v>
      </c>
      <c r="AL245" s="179" t="s">
        <v>9</v>
      </c>
      <c r="AM245" s="179" t="s">
        <v>4107</v>
      </c>
      <c r="AN245" s="179" t="s">
        <v>2102</v>
      </c>
      <c r="AO245" s="179" t="s">
        <v>2427</v>
      </c>
      <c r="AP245" s="191">
        <v>81139004577</v>
      </c>
      <c r="AQ245" s="184">
        <v>42035</v>
      </c>
      <c r="AR245" s="179">
        <v>138</v>
      </c>
      <c r="AS245" s="179"/>
      <c r="AT245" s="181" t="s">
        <v>4108</v>
      </c>
      <c r="AU245" s="181" t="s">
        <v>2946</v>
      </c>
      <c r="AV245" s="192">
        <v>15063671</v>
      </c>
      <c r="AW245" s="181">
        <v>18.2</v>
      </c>
      <c r="AX245" s="179">
        <v>80363</v>
      </c>
      <c r="AY245" s="179"/>
    </row>
    <row r="246" spans="1:51" ht="14.4" x14ac:dyDescent="0.3">
      <c r="A246" s="179" t="s">
        <v>1396</v>
      </c>
      <c r="B246" s="179" t="s">
        <v>2927</v>
      </c>
      <c r="C246" s="180" t="s">
        <v>4109</v>
      </c>
      <c r="D246" s="181" t="s">
        <v>2847</v>
      </c>
      <c r="E246" s="181" t="s">
        <v>2830</v>
      </c>
      <c r="F246" s="182" t="s">
        <v>2929</v>
      </c>
      <c r="G246" s="181" t="s">
        <v>12</v>
      </c>
      <c r="H246" s="193" t="s">
        <v>2930</v>
      </c>
      <c r="I246" s="184" t="s">
        <v>2930</v>
      </c>
      <c r="J246" s="179" t="s">
        <v>4110</v>
      </c>
      <c r="K246" s="179">
        <v>400</v>
      </c>
      <c r="L246" s="179" t="s">
        <v>2950</v>
      </c>
      <c r="M246" s="185"/>
      <c r="N246" s="185"/>
      <c r="O246" s="186"/>
      <c r="P246" s="185"/>
      <c r="Q246" s="182" t="s">
        <v>2934</v>
      </c>
      <c r="R246" s="182" t="s">
        <v>2933</v>
      </c>
      <c r="S246" s="182" t="s">
        <v>2952</v>
      </c>
      <c r="T246" s="179" t="s">
        <v>2999</v>
      </c>
      <c r="U246" s="179" t="s">
        <v>2937</v>
      </c>
      <c r="V246" s="179">
        <v>767</v>
      </c>
      <c r="W246" s="179" t="s">
        <v>2992</v>
      </c>
      <c r="X246" s="188">
        <v>483.08260000000007</v>
      </c>
      <c r="Y246" s="188">
        <v>218.75670000000002</v>
      </c>
      <c r="Z246" s="188">
        <v>112.41929999999999</v>
      </c>
      <c r="AA246" s="188">
        <v>136.79050000000001</v>
      </c>
      <c r="AB246" s="188">
        <v>27.537299999999998</v>
      </c>
      <c r="AC246" s="188">
        <v>57.19</v>
      </c>
      <c r="AD246" s="179" t="s">
        <v>2984</v>
      </c>
      <c r="AE246" s="188" t="s">
        <v>2940</v>
      </c>
      <c r="AF246" s="189">
        <v>0.29166666666666669</v>
      </c>
      <c r="AG246" s="189">
        <v>0.99930555555555556</v>
      </c>
      <c r="AH246" s="190" t="s">
        <v>2941</v>
      </c>
      <c r="AI246" s="190" t="s">
        <v>2985</v>
      </c>
      <c r="AJ246" s="179" t="s">
        <v>1119</v>
      </c>
      <c r="AK246" s="179" t="s">
        <v>3256</v>
      </c>
      <c r="AL246" s="179" t="s">
        <v>4</v>
      </c>
      <c r="AM246" s="179" t="s">
        <v>4111</v>
      </c>
      <c r="AN246" s="179" t="s">
        <v>2102</v>
      </c>
      <c r="AO246" s="179" t="s">
        <v>2787</v>
      </c>
      <c r="AP246" s="191"/>
      <c r="AQ246" s="184">
        <v>42082</v>
      </c>
      <c r="AR246" s="179">
        <v>137</v>
      </c>
      <c r="AS246" s="194"/>
      <c r="AT246" s="195" t="s">
        <v>4112</v>
      </c>
      <c r="AU246" s="195" t="s">
        <v>2946</v>
      </c>
      <c r="AV246" s="192">
        <v>8710000</v>
      </c>
      <c r="AW246" s="181">
        <v>33</v>
      </c>
      <c r="AX246" s="179">
        <v>80224</v>
      </c>
      <c r="AY246" s="179"/>
    </row>
    <row r="247" spans="1:51" ht="14.4" x14ac:dyDescent="0.3">
      <c r="A247" s="179" t="s">
        <v>1449</v>
      </c>
      <c r="B247" s="179" t="s">
        <v>2947</v>
      </c>
      <c r="C247" s="180" t="s">
        <v>4113</v>
      </c>
      <c r="D247" s="181" t="s">
        <v>2832</v>
      </c>
      <c r="E247" s="181" t="s">
        <v>2813</v>
      </c>
      <c r="F247" s="182" t="s">
        <v>2972</v>
      </c>
      <c r="G247" s="181" t="s">
        <v>17</v>
      </c>
      <c r="H247" s="193">
        <v>45382</v>
      </c>
      <c r="I247" s="193">
        <v>45382</v>
      </c>
      <c r="J247" s="179" t="s">
        <v>4114</v>
      </c>
      <c r="K247" s="179">
        <v>30</v>
      </c>
      <c r="L247" s="179" t="s">
        <v>2965</v>
      </c>
      <c r="M247" s="185"/>
      <c r="N247" s="185"/>
      <c r="O247" s="179" t="s">
        <v>2951</v>
      </c>
      <c r="P247" s="185" t="s">
        <v>2951</v>
      </c>
      <c r="Q247" s="182" t="s">
        <v>2933</v>
      </c>
      <c r="R247" s="182" t="s">
        <v>2934</v>
      </c>
      <c r="S247" s="182" t="s">
        <v>2952</v>
      </c>
      <c r="T247" s="179" t="s">
        <v>2974</v>
      </c>
      <c r="U247" s="179" t="s">
        <v>2954</v>
      </c>
      <c r="V247" s="187">
        <v>715</v>
      </c>
      <c r="W247" s="179" t="s">
        <v>3109</v>
      </c>
      <c r="X247" s="188">
        <v>272.46339999999998</v>
      </c>
      <c r="Y247" s="188">
        <v>210.12860000000001</v>
      </c>
      <c r="Z247" s="188">
        <v>158.4128</v>
      </c>
      <c r="AA247" s="188">
        <v>37.668100000000003</v>
      </c>
      <c r="AB247" s="188">
        <v>17.68</v>
      </c>
      <c r="AC247" s="188">
        <v>114.67549999999999</v>
      </c>
      <c r="AD247" s="179" t="s">
        <v>2956</v>
      </c>
      <c r="AE247" s="188" t="s">
        <v>4115</v>
      </c>
      <c r="AF247" s="189">
        <v>0</v>
      </c>
      <c r="AG247" s="189">
        <v>0.99930555555555556</v>
      </c>
      <c r="AH247" s="190" t="s">
        <v>2941</v>
      </c>
      <c r="AI247" s="190" t="s">
        <v>2985</v>
      </c>
      <c r="AJ247" s="179" t="s">
        <v>167</v>
      </c>
      <c r="AK247" s="179" t="s">
        <v>3241</v>
      </c>
      <c r="AL247" s="179" t="s">
        <v>9</v>
      </c>
      <c r="AM247" s="179" t="s">
        <v>4116</v>
      </c>
      <c r="AN247" s="179" t="s">
        <v>2102</v>
      </c>
      <c r="AO247" s="179" t="s">
        <v>2558</v>
      </c>
      <c r="AP247" s="191">
        <v>81139002285</v>
      </c>
      <c r="AQ247" s="184">
        <v>42083</v>
      </c>
      <c r="AR247" s="179">
        <v>137</v>
      </c>
      <c r="AS247" s="179"/>
      <c r="AT247" s="181" t="s">
        <v>4117</v>
      </c>
      <c r="AU247" s="181" t="s">
        <v>2946</v>
      </c>
      <c r="AV247" s="192">
        <v>19953000</v>
      </c>
      <c r="AW247" s="181">
        <v>40.6</v>
      </c>
      <c r="AX247" s="179">
        <v>80362</v>
      </c>
      <c r="AY247" s="179"/>
    </row>
    <row r="248" spans="1:51" ht="14.4" x14ac:dyDescent="0.3">
      <c r="A248" s="179" t="s">
        <v>1634</v>
      </c>
      <c r="B248" s="179" t="s">
        <v>2927</v>
      </c>
      <c r="C248" s="180" t="s">
        <v>4118</v>
      </c>
      <c r="D248" s="181" t="s">
        <v>2857</v>
      </c>
      <c r="E248" s="181" t="s">
        <v>2815</v>
      </c>
      <c r="F248" s="182" t="s">
        <v>2929</v>
      </c>
      <c r="G248" s="181" t="s">
        <v>12</v>
      </c>
      <c r="H248" s="193" t="s">
        <v>2930</v>
      </c>
      <c r="I248" s="184"/>
      <c r="J248" s="179" t="s">
        <v>3008</v>
      </c>
      <c r="K248" s="179" t="s">
        <v>3008</v>
      </c>
      <c r="L248" s="179" t="s">
        <v>2932</v>
      </c>
      <c r="M248" s="185"/>
      <c r="N248" s="185"/>
      <c r="O248" s="186"/>
      <c r="P248" s="185"/>
      <c r="Q248" s="182" t="s">
        <v>2933</v>
      </c>
      <c r="R248" s="182" t="s">
        <v>2934</v>
      </c>
      <c r="S248" s="182" t="s">
        <v>2935</v>
      </c>
      <c r="T248" s="179" t="s">
        <v>2953</v>
      </c>
      <c r="U248" s="179" t="s">
        <v>2937</v>
      </c>
      <c r="V248" s="187">
        <v>1030</v>
      </c>
      <c r="W248" s="179" t="s">
        <v>3140</v>
      </c>
      <c r="X248" s="188">
        <v>300</v>
      </c>
      <c r="Y248" s="188">
        <v>195</v>
      </c>
      <c r="Z248" s="188">
        <v>116.64449999999999</v>
      </c>
      <c r="AA248" s="188">
        <v>85.259999999999991</v>
      </c>
      <c r="AB248" s="188">
        <v>21.9</v>
      </c>
      <c r="AC248" s="188">
        <v>40.256999999999998</v>
      </c>
      <c r="AD248" s="179" t="s">
        <v>2984</v>
      </c>
      <c r="AE248" s="188" t="s">
        <v>2940</v>
      </c>
      <c r="AF248" s="189">
        <v>0.29166666666666669</v>
      </c>
      <c r="AG248" s="189">
        <v>0.91666666666666663</v>
      </c>
      <c r="AH248" s="190" t="s">
        <v>2976</v>
      </c>
      <c r="AI248" s="190" t="s">
        <v>2985</v>
      </c>
      <c r="AJ248" s="179" t="s">
        <v>1632</v>
      </c>
      <c r="AK248" s="179" t="s">
        <v>3113</v>
      </c>
      <c r="AL248" s="179" t="s">
        <v>28</v>
      </c>
      <c r="AM248" s="179" t="s">
        <v>4119</v>
      </c>
      <c r="AN248" s="179" t="s">
        <v>2102</v>
      </c>
      <c r="AO248" s="179" t="s">
        <v>2332</v>
      </c>
      <c r="AP248" s="191">
        <v>81139000787</v>
      </c>
      <c r="AQ248" s="184">
        <v>42094</v>
      </c>
      <c r="AR248" s="179">
        <v>136</v>
      </c>
      <c r="AS248" s="194">
        <v>43344</v>
      </c>
      <c r="AT248" s="195" t="s">
        <v>4120</v>
      </c>
      <c r="AU248" s="195" t="s">
        <v>2946</v>
      </c>
      <c r="AV248" s="192">
        <v>14090100</v>
      </c>
      <c r="AW248" s="181">
        <v>20.100000000000001</v>
      </c>
      <c r="AX248" s="179">
        <v>80572</v>
      </c>
      <c r="AY248" s="179" t="s">
        <v>4121</v>
      </c>
    </row>
    <row r="249" spans="1:51" ht="14.4" x14ac:dyDescent="0.3">
      <c r="A249" s="179" t="s">
        <v>1303</v>
      </c>
      <c r="B249" s="179" t="s">
        <v>2927</v>
      </c>
      <c r="C249" s="180" t="s">
        <v>4122</v>
      </c>
      <c r="D249" s="181" t="s">
        <v>2835</v>
      </c>
      <c r="E249" s="181" t="s">
        <v>2834</v>
      </c>
      <c r="F249" s="182" t="s">
        <v>2929</v>
      </c>
      <c r="G249" s="181" t="s">
        <v>12</v>
      </c>
      <c r="H249" s="193" t="s">
        <v>2930</v>
      </c>
      <c r="I249" s="184" t="s">
        <v>2930</v>
      </c>
      <c r="J249" s="179" t="s">
        <v>3008</v>
      </c>
      <c r="K249" s="179" t="s">
        <v>3008</v>
      </c>
      <c r="L249" s="179" t="s">
        <v>2932</v>
      </c>
      <c r="M249" s="185"/>
      <c r="N249" s="185"/>
      <c r="O249" s="186"/>
      <c r="P249" s="185" t="s">
        <v>2951</v>
      </c>
      <c r="Q249" s="182" t="s">
        <v>2934</v>
      </c>
      <c r="R249" s="182" t="s">
        <v>2933</v>
      </c>
      <c r="S249" s="182" t="s">
        <v>2935</v>
      </c>
      <c r="T249" s="179" t="s">
        <v>2953</v>
      </c>
      <c r="U249" s="179" t="s">
        <v>2937</v>
      </c>
      <c r="V249" s="179">
        <v>1573</v>
      </c>
      <c r="W249" s="179" t="s">
        <v>3140</v>
      </c>
      <c r="X249" s="188">
        <v>290.8125</v>
      </c>
      <c r="Y249" s="188">
        <v>190.459</v>
      </c>
      <c r="Z249" s="188">
        <v>121.624</v>
      </c>
      <c r="AA249" s="188">
        <v>82.765999999999991</v>
      </c>
      <c r="AB249" s="188">
        <v>20.61</v>
      </c>
      <c r="AC249" s="188">
        <v>33.7896</v>
      </c>
      <c r="AD249" s="179" t="s">
        <v>2984</v>
      </c>
      <c r="AE249" s="188" t="s">
        <v>2940</v>
      </c>
      <c r="AF249" s="189">
        <v>0.29166666666666669</v>
      </c>
      <c r="AG249" s="189">
        <v>0.91666666666666663</v>
      </c>
      <c r="AH249" s="190" t="s">
        <v>2941</v>
      </c>
      <c r="AI249" s="190" t="s">
        <v>2985</v>
      </c>
      <c r="AJ249" s="179" t="s">
        <v>1301</v>
      </c>
      <c r="AK249" s="179" t="s">
        <v>28</v>
      </c>
      <c r="AL249" s="179" t="s">
        <v>28</v>
      </c>
      <c r="AM249" s="179" t="s">
        <v>4123</v>
      </c>
      <c r="AN249" s="179" t="s">
        <v>2102</v>
      </c>
      <c r="AO249" s="179" t="s">
        <v>2311</v>
      </c>
      <c r="AP249" s="191">
        <v>8113806064</v>
      </c>
      <c r="AQ249" s="184">
        <v>42094</v>
      </c>
      <c r="AR249" s="179">
        <v>136</v>
      </c>
      <c r="AS249" s="194">
        <v>43252</v>
      </c>
      <c r="AT249" s="195" t="s">
        <v>4124</v>
      </c>
      <c r="AU249" s="195" t="s">
        <v>2946</v>
      </c>
      <c r="AV249" s="192">
        <v>12442000</v>
      </c>
      <c r="AW249" s="181">
        <v>29</v>
      </c>
      <c r="AX249" s="179">
        <v>80515</v>
      </c>
      <c r="AY249" s="179" t="s">
        <v>4125</v>
      </c>
    </row>
    <row r="250" spans="1:51" ht="14.4" x14ac:dyDescent="0.3">
      <c r="A250" s="179" t="s">
        <v>224</v>
      </c>
      <c r="B250" s="179" t="s">
        <v>2927</v>
      </c>
      <c r="C250" s="180" t="s">
        <v>4126</v>
      </c>
      <c r="D250" s="181" t="s">
        <v>2816</v>
      </c>
      <c r="E250" s="181" t="s">
        <v>2815</v>
      </c>
      <c r="F250" s="182" t="s">
        <v>2929</v>
      </c>
      <c r="G250" s="181" t="s">
        <v>12</v>
      </c>
      <c r="H250" s="193" t="s">
        <v>2930</v>
      </c>
      <c r="I250" s="184" t="s">
        <v>2930</v>
      </c>
      <c r="J250" s="179" t="s">
        <v>4127</v>
      </c>
      <c r="K250" s="179">
        <v>110</v>
      </c>
      <c r="L250" s="179" t="s">
        <v>2950</v>
      </c>
      <c r="M250" s="185"/>
      <c r="N250" s="185"/>
      <c r="O250" s="186"/>
      <c r="P250" s="185"/>
      <c r="Q250" s="182" t="s">
        <v>2934</v>
      </c>
      <c r="R250" s="182" t="s">
        <v>2933</v>
      </c>
      <c r="S250" s="182" t="s">
        <v>2952</v>
      </c>
      <c r="T250" s="179" t="s">
        <v>2953</v>
      </c>
      <c r="U250" s="179" t="s">
        <v>2937</v>
      </c>
      <c r="V250" s="179">
        <v>924</v>
      </c>
      <c r="W250" s="179" t="s">
        <v>3140</v>
      </c>
      <c r="X250" s="188">
        <v>299.12820000000005</v>
      </c>
      <c r="Y250" s="188">
        <v>202.28890000000004</v>
      </c>
      <c r="Z250" s="188">
        <v>125.10759999999999</v>
      </c>
      <c r="AA250" s="188">
        <v>77.681600000000003</v>
      </c>
      <c r="AB250" s="188">
        <v>12.335999999999999</v>
      </c>
      <c r="AC250" s="188">
        <v>37.018599999999999</v>
      </c>
      <c r="AD250" s="179" t="s">
        <v>2984</v>
      </c>
      <c r="AE250" s="188" t="s">
        <v>2940</v>
      </c>
      <c r="AF250" s="189">
        <v>0.29166666666666669</v>
      </c>
      <c r="AG250" s="189">
        <v>0.91666666666666663</v>
      </c>
      <c r="AH250" s="190" t="s">
        <v>2941</v>
      </c>
      <c r="AI250" s="190" t="s">
        <v>2985</v>
      </c>
      <c r="AJ250" s="179" t="s">
        <v>222</v>
      </c>
      <c r="AK250" s="179" t="s">
        <v>2981</v>
      </c>
      <c r="AL250" s="179" t="s">
        <v>28</v>
      </c>
      <c r="AM250" s="179" t="s">
        <v>3628</v>
      </c>
      <c r="AN250" s="179" t="s">
        <v>2102</v>
      </c>
      <c r="AO250" s="179" t="s">
        <v>2406</v>
      </c>
      <c r="AP250" s="191"/>
      <c r="AQ250" s="184">
        <v>42122</v>
      </c>
      <c r="AR250" s="179">
        <v>136</v>
      </c>
      <c r="AS250" s="194"/>
      <c r="AT250" s="195" t="s">
        <v>4128</v>
      </c>
      <c r="AU250" s="195" t="s">
        <v>2946</v>
      </c>
      <c r="AV250" s="192">
        <v>9576000</v>
      </c>
      <c r="AW250" s="181">
        <v>21.1</v>
      </c>
      <c r="AX250" s="179">
        <v>80582</v>
      </c>
      <c r="AY250" s="179"/>
    </row>
    <row r="251" spans="1:51" ht="14.4" x14ac:dyDescent="0.3">
      <c r="A251" s="179" t="s">
        <v>1851</v>
      </c>
      <c r="B251" s="179" t="s">
        <v>2947</v>
      </c>
      <c r="C251" s="180" t="s">
        <v>4129</v>
      </c>
      <c r="D251" s="181" t="s">
        <v>2835</v>
      </c>
      <c r="E251" s="181" t="s">
        <v>2834</v>
      </c>
      <c r="F251" s="182" t="s">
        <v>2929</v>
      </c>
      <c r="G251" s="181" t="s">
        <v>12</v>
      </c>
      <c r="H251" s="193" t="s">
        <v>2930</v>
      </c>
      <c r="I251" s="184"/>
      <c r="J251" s="179" t="s">
        <v>4130</v>
      </c>
      <c r="K251" s="179">
        <v>120</v>
      </c>
      <c r="L251" s="179" t="s">
        <v>2950</v>
      </c>
      <c r="M251" s="185"/>
      <c r="N251" s="185"/>
      <c r="O251" s="186"/>
      <c r="P251" s="185"/>
      <c r="Q251" s="182" t="s">
        <v>2933</v>
      </c>
      <c r="R251" s="182" t="s">
        <v>2934</v>
      </c>
      <c r="S251" s="182" t="s">
        <v>2952</v>
      </c>
      <c r="T251" s="179" t="s">
        <v>2953</v>
      </c>
      <c r="U251" s="179" t="s">
        <v>2954</v>
      </c>
      <c r="V251" s="179">
        <v>1116</v>
      </c>
      <c r="W251" s="179" t="s">
        <v>2955</v>
      </c>
      <c r="X251" s="188">
        <v>202.65210000000002</v>
      </c>
      <c r="Y251" s="188">
        <v>138.49290000000002</v>
      </c>
      <c r="Z251" s="188">
        <v>105.49679999999999</v>
      </c>
      <c r="AA251" s="188">
        <v>53.215199999999996</v>
      </c>
      <c r="AB251" s="188">
        <v>9.2080000000000002</v>
      </c>
      <c r="AC251" s="188">
        <v>34.229300000000002</v>
      </c>
      <c r="AD251" s="179" t="s">
        <v>2984</v>
      </c>
      <c r="AE251" s="188" t="s">
        <v>2940</v>
      </c>
      <c r="AF251" s="189">
        <v>0.29166666666666669</v>
      </c>
      <c r="AG251" s="189">
        <v>0.91666666666666663</v>
      </c>
      <c r="AH251" s="190" t="s">
        <v>2941</v>
      </c>
      <c r="AI251" s="190" t="s">
        <v>2942</v>
      </c>
      <c r="AJ251" s="179" t="s">
        <v>1849</v>
      </c>
      <c r="AK251" s="179" t="s">
        <v>32</v>
      </c>
      <c r="AL251" s="179" t="s">
        <v>32</v>
      </c>
      <c r="AM251" s="179" t="s">
        <v>4131</v>
      </c>
      <c r="AN251" s="179" t="s">
        <v>2102</v>
      </c>
      <c r="AO251" s="179" t="s">
        <v>2530</v>
      </c>
      <c r="AP251" s="191"/>
      <c r="AQ251" s="184">
        <v>42124</v>
      </c>
      <c r="AR251" s="179">
        <v>135</v>
      </c>
      <c r="AS251" s="194" t="s">
        <v>4132</v>
      </c>
      <c r="AT251" s="195" t="s">
        <v>4133</v>
      </c>
      <c r="AU251" s="195" t="s">
        <v>4134</v>
      </c>
      <c r="AV251" s="192">
        <v>10307259</v>
      </c>
      <c r="AW251" s="181">
        <v>31.5</v>
      </c>
      <c r="AX251" s="179">
        <v>80614</v>
      </c>
      <c r="AY251" s="179" t="s">
        <v>4135</v>
      </c>
    </row>
    <row r="252" spans="1:51" ht="14.4" x14ac:dyDescent="0.3">
      <c r="A252" s="179" t="s">
        <v>967</v>
      </c>
      <c r="B252" s="179" t="s">
        <v>2927</v>
      </c>
      <c r="C252" s="180" t="s">
        <v>4136</v>
      </c>
      <c r="D252" s="181" t="s">
        <v>2860</v>
      </c>
      <c r="E252" s="181" t="s">
        <v>2830</v>
      </c>
      <c r="F252" s="182" t="s">
        <v>2929</v>
      </c>
      <c r="G252" s="181" t="s">
        <v>12</v>
      </c>
      <c r="H252" s="193" t="s">
        <v>2930</v>
      </c>
      <c r="I252" s="184" t="s">
        <v>2930</v>
      </c>
      <c r="J252" s="179" t="s">
        <v>3008</v>
      </c>
      <c r="K252" s="179" t="s">
        <v>3008</v>
      </c>
      <c r="L252" s="179" t="s">
        <v>2932</v>
      </c>
      <c r="M252" s="185"/>
      <c r="N252" s="185"/>
      <c r="O252" s="186"/>
      <c r="P252" s="185"/>
      <c r="Q252" s="182" t="s">
        <v>2934</v>
      </c>
      <c r="R252" s="182" t="s">
        <v>2933</v>
      </c>
      <c r="S252" s="182" t="s">
        <v>2935</v>
      </c>
      <c r="T252" s="179" t="s">
        <v>2953</v>
      </c>
      <c r="U252" s="179" t="s">
        <v>2937</v>
      </c>
      <c r="V252" s="187">
        <v>1097</v>
      </c>
      <c r="W252" s="179" t="s">
        <v>2992</v>
      </c>
      <c r="X252" s="188">
        <v>307.72159999999997</v>
      </c>
      <c r="Y252" s="188">
        <v>211.048</v>
      </c>
      <c r="Z252" s="188">
        <v>109.9136</v>
      </c>
      <c r="AA252" s="188">
        <v>95.821600000000004</v>
      </c>
      <c r="AB252" s="188">
        <v>14.890499999999999</v>
      </c>
      <c r="AC252" s="188">
        <v>52.827500000000001</v>
      </c>
      <c r="AD252" s="179" t="s">
        <v>2984</v>
      </c>
      <c r="AE252" s="188" t="s">
        <v>2940</v>
      </c>
      <c r="AF252" s="189">
        <v>0.29166666666666669</v>
      </c>
      <c r="AG252" s="189">
        <v>0.95833333333333337</v>
      </c>
      <c r="AH252" s="190" t="s">
        <v>2941</v>
      </c>
      <c r="AI252" s="190" t="s">
        <v>2942</v>
      </c>
      <c r="AJ252" s="179" t="s">
        <v>246</v>
      </c>
      <c r="AK252" s="179" t="s">
        <v>3229</v>
      </c>
      <c r="AL252" s="179" t="s">
        <v>9</v>
      </c>
      <c r="AM252" s="179" t="s">
        <v>4137</v>
      </c>
      <c r="AN252" s="179" t="s">
        <v>2102</v>
      </c>
      <c r="AO252" s="179" t="s">
        <v>2322</v>
      </c>
      <c r="AP252" s="191">
        <v>81139605045</v>
      </c>
      <c r="AQ252" s="184">
        <v>42144</v>
      </c>
      <c r="AR252" s="179">
        <v>135</v>
      </c>
      <c r="AS252" s="194">
        <v>42614</v>
      </c>
      <c r="AT252" s="195" t="s">
        <v>4138</v>
      </c>
      <c r="AU252" s="195" t="s">
        <v>4139</v>
      </c>
      <c r="AV252" s="192">
        <v>12706000</v>
      </c>
      <c r="AW252" s="181">
        <v>20.8</v>
      </c>
      <c r="AX252" s="179">
        <v>80352</v>
      </c>
      <c r="AY252" s="179" t="s">
        <v>4140</v>
      </c>
    </row>
    <row r="253" spans="1:51" ht="14.4" x14ac:dyDescent="0.3">
      <c r="A253" s="179" t="s">
        <v>1646</v>
      </c>
      <c r="B253" s="179" t="s">
        <v>2947</v>
      </c>
      <c r="C253" s="180" t="s">
        <v>4141</v>
      </c>
      <c r="D253" s="181" t="s">
        <v>2859</v>
      </c>
      <c r="E253" s="181" t="s">
        <v>2815</v>
      </c>
      <c r="F253" s="182" t="s">
        <v>2929</v>
      </c>
      <c r="G253" s="181" t="s">
        <v>12</v>
      </c>
      <c r="H253" s="193" t="s">
        <v>2930</v>
      </c>
      <c r="I253" s="184" t="s">
        <v>2930</v>
      </c>
      <c r="J253" s="179" t="s">
        <v>4142</v>
      </c>
      <c r="K253" s="179">
        <v>300</v>
      </c>
      <c r="L253" s="179" t="s">
        <v>2950</v>
      </c>
      <c r="M253" s="185"/>
      <c r="N253" s="185"/>
      <c r="O253" s="186"/>
      <c r="P253" s="185"/>
      <c r="Q253" s="182" t="s">
        <v>2934</v>
      </c>
      <c r="R253" s="182" t="s">
        <v>2933</v>
      </c>
      <c r="S253" s="182" t="s">
        <v>2935</v>
      </c>
      <c r="T253" s="179" t="s">
        <v>2953</v>
      </c>
      <c r="U253" s="179" t="s">
        <v>2954</v>
      </c>
      <c r="V253" s="179">
        <v>1012</v>
      </c>
      <c r="W253" s="179" t="s">
        <v>2938</v>
      </c>
      <c r="X253" s="188">
        <v>300</v>
      </c>
      <c r="Y253" s="188">
        <v>181.8</v>
      </c>
      <c r="Z253" s="188">
        <v>109.27199999999999</v>
      </c>
      <c r="AA253" s="188">
        <v>101.205</v>
      </c>
      <c r="AB253" s="188">
        <v>17.399999999999999</v>
      </c>
      <c r="AC253" s="188">
        <v>36.660000000000004</v>
      </c>
      <c r="AD253" s="179" t="s">
        <v>2984</v>
      </c>
      <c r="AE253" s="188" t="s">
        <v>2940</v>
      </c>
      <c r="AF253" s="189">
        <v>0.29166666666666669</v>
      </c>
      <c r="AG253" s="189">
        <v>0.91666666666666663</v>
      </c>
      <c r="AH253" s="190" t="s">
        <v>2941</v>
      </c>
      <c r="AI253" s="190" t="s">
        <v>2985</v>
      </c>
      <c r="AJ253" s="179" t="s">
        <v>1644</v>
      </c>
      <c r="AK253" s="179" t="s">
        <v>3182</v>
      </c>
      <c r="AL253" s="179" t="s">
        <v>28</v>
      </c>
      <c r="AM253" s="179" t="s">
        <v>4143</v>
      </c>
      <c r="AN253" s="179" t="s">
        <v>2102</v>
      </c>
      <c r="AO253" s="179" t="s">
        <v>2707</v>
      </c>
      <c r="AP253" s="191">
        <v>8113806196</v>
      </c>
      <c r="AQ253" s="184">
        <v>42149</v>
      </c>
      <c r="AR253" s="179">
        <v>135</v>
      </c>
      <c r="AS253" s="179"/>
      <c r="AT253" s="181"/>
      <c r="AU253" s="181"/>
      <c r="AV253" s="192">
        <v>12460000</v>
      </c>
      <c r="AW253" s="181">
        <v>24.3</v>
      </c>
      <c r="AX253" s="179">
        <v>80552</v>
      </c>
      <c r="AY253" s="179"/>
    </row>
    <row r="254" spans="1:51" ht="14.4" x14ac:dyDescent="0.3">
      <c r="A254" s="179" t="s">
        <v>875</v>
      </c>
      <c r="B254" s="179" t="s">
        <v>2927</v>
      </c>
      <c r="C254" s="180" t="s">
        <v>3922</v>
      </c>
      <c r="D254" s="181" t="s">
        <v>2853</v>
      </c>
      <c r="E254" s="181" t="s">
        <v>2825</v>
      </c>
      <c r="F254" s="182" t="s">
        <v>2929</v>
      </c>
      <c r="G254" s="181" t="s">
        <v>12</v>
      </c>
      <c r="H254" s="193" t="s">
        <v>2930</v>
      </c>
      <c r="I254" s="184" t="s">
        <v>2930</v>
      </c>
      <c r="J254" s="179" t="s">
        <v>4144</v>
      </c>
      <c r="K254" s="179">
        <v>2700</v>
      </c>
      <c r="L254" s="179" t="s">
        <v>2932</v>
      </c>
      <c r="M254" s="185"/>
      <c r="N254" s="185"/>
      <c r="O254" s="186"/>
      <c r="P254" s="185"/>
      <c r="Q254" s="182" t="s">
        <v>2934</v>
      </c>
      <c r="R254" s="182" t="s">
        <v>2933</v>
      </c>
      <c r="S254" s="182" t="s">
        <v>2952</v>
      </c>
      <c r="T254" s="179" t="s">
        <v>2953</v>
      </c>
      <c r="U254" s="179" t="s">
        <v>2937</v>
      </c>
      <c r="V254" s="179">
        <v>1395</v>
      </c>
      <c r="W254" s="179" t="s">
        <v>3140</v>
      </c>
      <c r="X254" s="188">
        <v>264</v>
      </c>
      <c r="Y254" s="188">
        <v>177</v>
      </c>
      <c r="Z254" s="188">
        <v>113.37299999999999</v>
      </c>
      <c r="AA254" s="188">
        <v>73.125</v>
      </c>
      <c r="AB254" s="188">
        <v>13.92</v>
      </c>
      <c r="AC254" s="188">
        <v>34.947000000000003</v>
      </c>
      <c r="AD254" s="179" t="s">
        <v>2984</v>
      </c>
      <c r="AE254" s="188" t="s">
        <v>2940</v>
      </c>
      <c r="AF254" s="189">
        <v>0.29166666666666669</v>
      </c>
      <c r="AG254" s="189">
        <v>0.99930555555555556</v>
      </c>
      <c r="AH254" s="190" t="s">
        <v>2941</v>
      </c>
      <c r="AI254" s="190" t="s">
        <v>2942</v>
      </c>
      <c r="AJ254" s="179" t="s">
        <v>873</v>
      </c>
      <c r="AK254" s="179" t="s">
        <v>3922</v>
      </c>
      <c r="AL254" s="179" t="s">
        <v>9</v>
      </c>
      <c r="AM254" s="179" t="s">
        <v>4145</v>
      </c>
      <c r="AN254" s="179" t="s">
        <v>2102</v>
      </c>
      <c r="AO254" s="179" t="s">
        <v>2296</v>
      </c>
      <c r="AP254" s="191">
        <v>81139605141</v>
      </c>
      <c r="AQ254" s="184">
        <v>42154</v>
      </c>
      <c r="AR254" s="179">
        <v>134</v>
      </c>
      <c r="AS254" s="194">
        <v>43374</v>
      </c>
      <c r="AT254" s="195" t="s">
        <v>4146</v>
      </c>
      <c r="AU254" s="195" t="s">
        <v>2946</v>
      </c>
      <c r="AV254" s="192">
        <v>13511000</v>
      </c>
      <c r="AW254" s="181">
        <v>15</v>
      </c>
      <c r="AX254" s="179">
        <v>80353</v>
      </c>
      <c r="AY254" s="179" t="s">
        <v>4147</v>
      </c>
    </row>
    <row r="255" spans="1:51" ht="14.4" x14ac:dyDescent="0.3">
      <c r="A255" s="179" t="s">
        <v>209</v>
      </c>
      <c r="B255" s="179" t="s">
        <v>2947</v>
      </c>
      <c r="C255" s="180" t="s">
        <v>4148</v>
      </c>
      <c r="D255" s="181" t="s">
        <v>2859</v>
      </c>
      <c r="E255" s="181" t="s">
        <v>2815</v>
      </c>
      <c r="F255" s="182" t="s">
        <v>2972</v>
      </c>
      <c r="G255" s="181" t="s">
        <v>17</v>
      </c>
      <c r="H255" s="193">
        <v>45867</v>
      </c>
      <c r="I255" s="184"/>
      <c r="J255" s="179" t="s">
        <v>3529</v>
      </c>
      <c r="K255" s="179">
        <v>32</v>
      </c>
      <c r="L255" s="179" t="s">
        <v>2965</v>
      </c>
      <c r="M255" s="185"/>
      <c r="N255" s="185"/>
      <c r="O255" s="186"/>
      <c r="P255" s="185" t="s">
        <v>2951</v>
      </c>
      <c r="Q255" s="182" t="s">
        <v>2933</v>
      </c>
      <c r="R255" s="182" t="s">
        <v>2934</v>
      </c>
      <c r="S255" s="182" t="s">
        <v>2952</v>
      </c>
      <c r="T255" s="179" t="s">
        <v>2953</v>
      </c>
      <c r="U255" s="179" t="s">
        <v>2954</v>
      </c>
      <c r="V255" s="187">
        <v>1082</v>
      </c>
      <c r="W255" s="179" t="s">
        <v>2938</v>
      </c>
      <c r="X255" s="188">
        <v>262.14179999999999</v>
      </c>
      <c r="Y255" s="188">
        <v>179.9667</v>
      </c>
      <c r="Z255" s="188">
        <v>111.71850000000001</v>
      </c>
      <c r="AA255" s="188">
        <v>70.059300000000007</v>
      </c>
      <c r="AB255" s="188">
        <v>14.673</v>
      </c>
      <c r="AC255" s="188">
        <v>86.871299999999991</v>
      </c>
      <c r="AD255" s="179" t="s">
        <v>2956</v>
      </c>
      <c r="AE255" s="188" t="s">
        <v>3017</v>
      </c>
      <c r="AF255" s="189">
        <v>0.29166666666666669</v>
      </c>
      <c r="AG255" s="189">
        <v>0.99930555555555556</v>
      </c>
      <c r="AH255" s="190" t="s">
        <v>2941</v>
      </c>
      <c r="AI255" s="190" t="s">
        <v>2985</v>
      </c>
      <c r="AJ255" s="179" t="s">
        <v>207</v>
      </c>
      <c r="AK255" s="179" t="s">
        <v>3110</v>
      </c>
      <c r="AL255" s="179" t="s">
        <v>28</v>
      </c>
      <c r="AM255" s="179" t="s">
        <v>4149</v>
      </c>
      <c r="AN255" s="179" t="s">
        <v>2102</v>
      </c>
      <c r="AO255" s="179" t="s">
        <v>2711</v>
      </c>
      <c r="AP255" s="191"/>
      <c r="AQ255" s="184">
        <v>42155</v>
      </c>
      <c r="AR255" s="179">
        <v>134</v>
      </c>
      <c r="AS255" s="179"/>
      <c r="AT255" s="181" t="s">
        <v>3324</v>
      </c>
      <c r="AU255" s="181" t="s">
        <v>2946</v>
      </c>
      <c r="AV255" s="192">
        <v>19231349</v>
      </c>
      <c r="AW255" s="181">
        <v>23.3</v>
      </c>
      <c r="AX255" s="179">
        <v>80581</v>
      </c>
      <c r="AY255" s="179"/>
    </row>
    <row r="256" spans="1:51" ht="14.4" x14ac:dyDescent="0.3">
      <c r="A256" s="179" t="s">
        <v>859</v>
      </c>
      <c r="B256" s="179" t="s">
        <v>2927</v>
      </c>
      <c r="C256" s="180" t="s">
        <v>4150</v>
      </c>
      <c r="D256" s="181" t="s">
        <v>2857</v>
      </c>
      <c r="E256" s="181" t="s">
        <v>2815</v>
      </c>
      <c r="F256" s="182" t="s">
        <v>2929</v>
      </c>
      <c r="G256" s="181" t="s">
        <v>12</v>
      </c>
      <c r="H256" s="193" t="s">
        <v>2930</v>
      </c>
      <c r="I256" s="184" t="s">
        <v>2930</v>
      </c>
      <c r="J256" s="179" t="s">
        <v>4151</v>
      </c>
      <c r="K256" s="179">
        <v>0</v>
      </c>
      <c r="L256" s="179" t="s">
        <v>2965</v>
      </c>
      <c r="M256" s="185"/>
      <c r="N256" s="185"/>
      <c r="O256" s="186"/>
      <c r="P256" s="185"/>
      <c r="Q256" s="182" t="s">
        <v>2933</v>
      </c>
      <c r="R256" s="182" t="s">
        <v>2934</v>
      </c>
      <c r="S256" s="182" t="s">
        <v>2935</v>
      </c>
      <c r="T256" s="179" t="s">
        <v>2999</v>
      </c>
      <c r="U256" s="179" t="s">
        <v>2937</v>
      </c>
      <c r="V256" s="187">
        <v>352</v>
      </c>
      <c r="W256" s="179" t="s">
        <v>3140</v>
      </c>
      <c r="X256" s="188">
        <v>166.5265</v>
      </c>
      <c r="Y256" s="188">
        <v>121.18080000000002</v>
      </c>
      <c r="Z256" s="188">
        <v>95.699700000000007</v>
      </c>
      <c r="AA256" s="188">
        <v>46.7</v>
      </c>
      <c r="AB256" s="188">
        <v>10.270800000000001</v>
      </c>
      <c r="AC256" s="188">
        <v>48.943999999999996</v>
      </c>
      <c r="AD256" s="179" t="s">
        <v>2984</v>
      </c>
      <c r="AE256" s="188" t="s">
        <v>2957</v>
      </c>
      <c r="AF256" s="189">
        <v>0.29166666666666669</v>
      </c>
      <c r="AG256" s="189">
        <v>0.91666666666666663</v>
      </c>
      <c r="AH256" s="190" t="s">
        <v>2941</v>
      </c>
      <c r="AI256" s="190" t="s">
        <v>2985</v>
      </c>
      <c r="AJ256" s="179" t="s">
        <v>857</v>
      </c>
      <c r="AK256" s="179" t="s">
        <v>3000</v>
      </c>
      <c r="AL256" s="179" t="s">
        <v>28</v>
      </c>
      <c r="AM256" s="179" t="s">
        <v>4152</v>
      </c>
      <c r="AN256" s="179" t="s">
        <v>2102</v>
      </c>
      <c r="AO256" s="179" t="s">
        <v>2363</v>
      </c>
      <c r="AP256" s="191">
        <v>81139009866</v>
      </c>
      <c r="AQ256" s="184">
        <v>42185</v>
      </c>
      <c r="AR256" s="179">
        <v>133</v>
      </c>
      <c r="AS256" s="194">
        <v>45200</v>
      </c>
      <c r="AT256" s="195" t="s">
        <v>4153</v>
      </c>
      <c r="AU256" s="195" t="s">
        <v>2946</v>
      </c>
      <c r="AV256" s="192">
        <v>8400000</v>
      </c>
      <c r="AW256" s="181">
        <v>18.100000000000001</v>
      </c>
      <c r="AX256" s="179">
        <v>80571</v>
      </c>
      <c r="AY256" s="179" t="s">
        <v>4154</v>
      </c>
    </row>
    <row r="257" spans="1:51" ht="14.4" x14ac:dyDescent="0.3">
      <c r="A257" s="179" t="s">
        <v>442</v>
      </c>
      <c r="B257" s="179" t="s">
        <v>2947</v>
      </c>
      <c r="C257" s="180" t="s">
        <v>4155</v>
      </c>
      <c r="D257" s="181" t="s">
        <v>2857</v>
      </c>
      <c r="E257" s="181" t="s">
        <v>2815</v>
      </c>
      <c r="F257" s="182" t="s">
        <v>2929</v>
      </c>
      <c r="G257" s="181" t="s">
        <v>12</v>
      </c>
      <c r="H257" s="193">
        <v>43983</v>
      </c>
      <c r="I257" s="184">
        <v>43983</v>
      </c>
      <c r="J257" s="179" t="s">
        <v>4156</v>
      </c>
      <c r="K257" s="179">
        <v>139</v>
      </c>
      <c r="L257" s="179" t="s">
        <v>2950</v>
      </c>
      <c r="M257" s="185"/>
      <c r="N257" s="185"/>
      <c r="O257" s="186"/>
      <c r="P257" s="185"/>
      <c r="Q257" s="182" t="s">
        <v>2934</v>
      </c>
      <c r="R257" s="182" t="s">
        <v>2933</v>
      </c>
      <c r="S257" s="182" t="s">
        <v>2935</v>
      </c>
      <c r="T257" s="179" t="s">
        <v>2953</v>
      </c>
      <c r="U257" s="179" t="s">
        <v>2954</v>
      </c>
      <c r="V257" s="179">
        <v>824</v>
      </c>
      <c r="W257" s="179" t="s">
        <v>4157</v>
      </c>
      <c r="X257" s="188">
        <v>186.18299999999999</v>
      </c>
      <c r="Y257" s="188">
        <v>133.30099999999999</v>
      </c>
      <c r="Z257" s="188">
        <v>98.643000000000001</v>
      </c>
      <c r="AA257" s="188">
        <v>45.998399999999997</v>
      </c>
      <c r="AB257" s="188">
        <v>13.3</v>
      </c>
      <c r="AC257" s="188">
        <v>24.8064</v>
      </c>
      <c r="AD257" s="179" t="s">
        <v>2939</v>
      </c>
      <c r="AE257" s="188" t="s">
        <v>2957</v>
      </c>
      <c r="AF257" s="189">
        <v>0.29166666666666669</v>
      </c>
      <c r="AG257" s="189">
        <v>0.95833333333333337</v>
      </c>
      <c r="AH257" s="190" t="s">
        <v>2941</v>
      </c>
      <c r="AI257" s="190" t="s">
        <v>2985</v>
      </c>
      <c r="AJ257" s="179" t="s">
        <v>440</v>
      </c>
      <c r="AK257" s="179" t="s">
        <v>3000</v>
      </c>
      <c r="AL257" s="179" t="s">
        <v>28</v>
      </c>
      <c r="AM257" s="179" t="s">
        <v>4158</v>
      </c>
      <c r="AN257" s="179" t="s">
        <v>2102</v>
      </c>
      <c r="AO257" s="179" t="s">
        <v>2655</v>
      </c>
      <c r="AP257" s="191">
        <v>81139001306</v>
      </c>
      <c r="AQ257" s="184">
        <v>42185</v>
      </c>
      <c r="AR257" s="179">
        <v>133</v>
      </c>
      <c r="AS257" s="179"/>
      <c r="AT257" s="181"/>
      <c r="AU257" s="181"/>
      <c r="AV257" s="192">
        <v>14077010</v>
      </c>
      <c r="AW257" s="181">
        <v>19.100000000000001</v>
      </c>
      <c r="AX257" s="179">
        <v>80571</v>
      </c>
      <c r="AY257" s="179"/>
    </row>
    <row r="258" spans="1:51" ht="14.4" x14ac:dyDescent="0.3">
      <c r="A258" s="179" t="s">
        <v>463</v>
      </c>
      <c r="B258" s="179" t="s">
        <v>2927</v>
      </c>
      <c r="C258" s="180" t="s">
        <v>4159</v>
      </c>
      <c r="D258" s="181" t="s">
        <v>2816</v>
      </c>
      <c r="E258" s="181" t="s">
        <v>2815</v>
      </c>
      <c r="F258" s="182" t="s">
        <v>2929</v>
      </c>
      <c r="G258" s="181" t="s">
        <v>12</v>
      </c>
      <c r="H258" s="193" t="s">
        <v>2930</v>
      </c>
      <c r="I258" s="184" t="s">
        <v>2930</v>
      </c>
      <c r="J258" s="179" t="s">
        <v>4160</v>
      </c>
      <c r="K258" s="179">
        <v>687</v>
      </c>
      <c r="L258" s="179" t="s">
        <v>3026</v>
      </c>
      <c r="M258" s="185"/>
      <c r="N258" s="185"/>
      <c r="O258" s="186"/>
      <c r="P258" s="185"/>
      <c r="Q258" s="182" t="s">
        <v>2934</v>
      </c>
      <c r="R258" s="182" t="s">
        <v>2933</v>
      </c>
      <c r="S258" s="182" t="s">
        <v>2952</v>
      </c>
      <c r="T258" s="179" t="s">
        <v>2953</v>
      </c>
      <c r="U258" s="179" t="s">
        <v>2937</v>
      </c>
      <c r="V258" s="179">
        <v>1499</v>
      </c>
      <c r="W258" s="179" t="s">
        <v>3003</v>
      </c>
      <c r="X258" s="188">
        <v>277.29660000000001</v>
      </c>
      <c r="Y258" s="188">
        <v>174.08399999999997</v>
      </c>
      <c r="Z258" s="188">
        <v>101.92030000000001</v>
      </c>
      <c r="AA258" s="188">
        <v>80.652000000000001</v>
      </c>
      <c r="AB258" s="188">
        <v>10.26</v>
      </c>
      <c r="AC258" s="188">
        <v>16.830000000000002</v>
      </c>
      <c r="AD258" s="179" t="s">
        <v>2939</v>
      </c>
      <c r="AE258" s="188" t="s">
        <v>2940</v>
      </c>
      <c r="AF258" s="189">
        <v>0.29166666666666669</v>
      </c>
      <c r="AG258" s="189">
        <v>0.91666666666666663</v>
      </c>
      <c r="AH258" s="190" t="s">
        <v>2941</v>
      </c>
      <c r="AI258" s="190" t="s">
        <v>2985</v>
      </c>
      <c r="AJ258" s="179" t="s">
        <v>461</v>
      </c>
      <c r="AK258" s="179" t="s">
        <v>2981</v>
      </c>
      <c r="AL258" s="179" t="s">
        <v>28</v>
      </c>
      <c r="AM258" s="179" t="s">
        <v>4161</v>
      </c>
      <c r="AN258" s="179" t="s">
        <v>2102</v>
      </c>
      <c r="AO258" s="179" t="s">
        <v>2364</v>
      </c>
      <c r="AP258" s="191">
        <v>81139605118</v>
      </c>
      <c r="AQ258" s="184">
        <v>42185</v>
      </c>
      <c r="AR258" s="179">
        <v>133</v>
      </c>
      <c r="AS258" s="194">
        <v>42736</v>
      </c>
      <c r="AT258" s="195" t="s">
        <v>4162</v>
      </c>
      <c r="AU258" s="195" t="s">
        <v>4163</v>
      </c>
      <c r="AV258" s="192">
        <v>12338000</v>
      </c>
      <c r="AW258" s="181">
        <v>21.9</v>
      </c>
      <c r="AX258" s="179">
        <v>80582</v>
      </c>
      <c r="AY258" s="179" t="s">
        <v>4164</v>
      </c>
    </row>
    <row r="259" spans="1:51" ht="14.4" x14ac:dyDescent="0.3">
      <c r="A259" s="179" t="s">
        <v>543</v>
      </c>
      <c r="B259" s="179" t="s">
        <v>2947</v>
      </c>
      <c r="C259" s="180" t="s">
        <v>4165</v>
      </c>
      <c r="D259" s="181" t="s">
        <v>2816</v>
      </c>
      <c r="E259" s="181" t="s">
        <v>2815</v>
      </c>
      <c r="F259" s="182" t="s">
        <v>2972</v>
      </c>
      <c r="G259" s="181" t="s">
        <v>17</v>
      </c>
      <c r="H259" s="193" t="s">
        <v>2930</v>
      </c>
      <c r="I259" s="184" t="s">
        <v>2930</v>
      </c>
      <c r="J259" s="179" t="s">
        <v>3008</v>
      </c>
      <c r="K259" s="179" t="s">
        <v>3008</v>
      </c>
      <c r="L259" s="179" t="s">
        <v>2932</v>
      </c>
      <c r="M259" s="185"/>
      <c r="N259" s="185" t="s">
        <v>2951</v>
      </c>
      <c r="O259" s="186"/>
      <c r="P259" s="185"/>
      <c r="Q259" s="182" t="s">
        <v>2934</v>
      </c>
      <c r="R259" s="182" t="s">
        <v>2933</v>
      </c>
      <c r="S259" s="182" t="s">
        <v>2952</v>
      </c>
      <c r="T259" s="179" t="s">
        <v>2999</v>
      </c>
      <c r="U259" s="179" t="s">
        <v>2954</v>
      </c>
      <c r="V259" s="179">
        <v>744</v>
      </c>
      <c r="W259" s="179" t="s">
        <v>3140</v>
      </c>
      <c r="X259" s="188">
        <v>306.464</v>
      </c>
      <c r="Y259" s="188">
        <v>211.78799999999998</v>
      </c>
      <c r="Z259" s="188">
        <v>120.19200000000001</v>
      </c>
      <c r="AA259" s="188">
        <v>83.165999999999997</v>
      </c>
      <c r="AB259" s="188">
        <v>13.731399999999999</v>
      </c>
      <c r="AC259" s="188">
        <v>68.008500000000012</v>
      </c>
      <c r="AD259" s="179" t="s">
        <v>2956</v>
      </c>
      <c r="AE259" s="188" t="s">
        <v>2940</v>
      </c>
      <c r="AF259" s="189">
        <v>0.29166666666666669</v>
      </c>
      <c r="AG259" s="189">
        <v>0.91666666666666663</v>
      </c>
      <c r="AH259" s="190" t="s">
        <v>2941</v>
      </c>
      <c r="AI259" s="190" t="s">
        <v>2985</v>
      </c>
      <c r="AJ259" s="179" t="s">
        <v>461</v>
      </c>
      <c r="AK259" s="179" t="s">
        <v>2981</v>
      </c>
      <c r="AL259" s="179" t="s">
        <v>28</v>
      </c>
      <c r="AM259" s="179" t="s">
        <v>4166</v>
      </c>
      <c r="AN259" s="179" t="s">
        <v>2102</v>
      </c>
      <c r="AO259" s="179" t="s">
        <v>2799</v>
      </c>
      <c r="AP259" s="191">
        <v>81139605104</v>
      </c>
      <c r="AQ259" s="184">
        <v>42185</v>
      </c>
      <c r="AR259" s="179">
        <v>133</v>
      </c>
      <c r="AS259" s="179"/>
      <c r="AT259" s="181" t="s">
        <v>4167</v>
      </c>
      <c r="AU259" s="181" t="s">
        <v>4168</v>
      </c>
      <c r="AV259" s="192">
        <v>11956000</v>
      </c>
      <c r="AW259" s="181">
        <v>21.4</v>
      </c>
      <c r="AX259" s="179">
        <v>80582</v>
      </c>
      <c r="AY259" s="179"/>
    </row>
    <row r="260" spans="1:51" ht="14.4" x14ac:dyDescent="0.3">
      <c r="A260" s="179" t="s">
        <v>1092</v>
      </c>
      <c r="B260" s="179" t="s">
        <v>2927</v>
      </c>
      <c r="C260" s="180" t="s">
        <v>4169</v>
      </c>
      <c r="D260" s="181" t="s">
        <v>2839</v>
      </c>
      <c r="E260" s="181" t="s">
        <v>2834</v>
      </c>
      <c r="F260" s="182" t="s">
        <v>2929</v>
      </c>
      <c r="G260" s="181" t="s">
        <v>12</v>
      </c>
      <c r="H260" s="193" t="s">
        <v>2930</v>
      </c>
      <c r="I260" s="184"/>
      <c r="J260" s="179" t="s">
        <v>4170</v>
      </c>
      <c r="K260" s="179">
        <v>400</v>
      </c>
      <c r="L260" s="179" t="s">
        <v>2950</v>
      </c>
      <c r="M260" s="185"/>
      <c r="N260" s="185"/>
      <c r="O260" s="186"/>
      <c r="P260" s="185"/>
      <c r="Q260" s="182" t="s">
        <v>2934</v>
      </c>
      <c r="R260" s="182" t="s">
        <v>2933</v>
      </c>
      <c r="S260" s="182" t="s">
        <v>2952</v>
      </c>
      <c r="T260" s="179" t="s">
        <v>2953</v>
      </c>
      <c r="U260" s="179" t="s">
        <v>2937</v>
      </c>
      <c r="V260" s="179">
        <v>565</v>
      </c>
      <c r="W260" s="179" t="s">
        <v>2992</v>
      </c>
      <c r="X260" s="188">
        <v>226.86949999999999</v>
      </c>
      <c r="Y260" s="188">
        <v>153.0925</v>
      </c>
      <c r="Z260" s="188">
        <v>99.686999999999983</v>
      </c>
      <c r="AA260" s="188">
        <v>60.77000000000001</v>
      </c>
      <c r="AB260" s="188">
        <v>9.5474999999999994</v>
      </c>
      <c r="AC260" s="188">
        <v>29.224999999999998</v>
      </c>
      <c r="AD260" s="179" t="s">
        <v>2939</v>
      </c>
      <c r="AE260" s="188" t="s">
        <v>2940</v>
      </c>
      <c r="AF260" s="189">
        <v>0.29166666666666669</v>
      </c>
      <c r="AG260" s="189">
        <v>0.91666666666666663</v>
      </c>
      <c r="AH260" s="190" t="s">
        <v>2941</v>
      </c>
      <c r="AI260" s="190" t="s">
        <v>2942</v>
      </c>
      <c r="AJ260" s="179" t="s">
        <v>1090</v>
      </c>
      <c r="AK260" s="179" t="s">
        <v>3404</v>
      </c>
      <c r="AL260" s="179" t="s">
        <v>32</v>
      </c>
      <c r="AM260" s="179" t="s">
        <v>4171</v>
      </c>
      <c r="AN260" s="179" t="s">
        <v>2102</v>
      </c>
      <c r="AO260" s="179" t="s">
        <v>2326</v>
      </c>
      <c r="AP260" s="191">
        <v>81139001391</v>
      </c>
      <c r="AQ260" s="184">
        <v>42185</v>
      </c>
      <c r="AR260" s="179">
        <v>133</v>
      </c>
      <c r="AS260" s="194">
        <v>42675</v>
      </c>
      <c r="AT260" s="195" t="s">
        <v>4172</v>
      </c>
      <c r="AU260" s="195" t="s">
        <v>4173</v>
      </c>
      <c r="AV260" s="192">
        <v>12224000</v>
      </c>
      <c r="AW260" s="181">
        <v>53.1</v>
      </c>
      <c r="AX260" s="179">
        <v>80652</v>
      </c>
      <c r="AY260" s="179" t="s">
        <v>4174</v>
      </c>
    </row>
    <row r="261" spans="1:51" ht="14.4" x14ac:dyDescent="0.3">
      <c r="A261" s="179" t="s">
        <v>407</v>
      </c>
      <c r="B261" s="179" t="s">
        <v>2947</v>
      </c>
      <c r="C261" s="180" t="s">
        <v>4175</v>
      </c>
      <c r="D261" s="181" t="s">
        <v>2859</v>
      </c>
      <c r="E261" s="181" t="s">
        <v>2815</v>
      </c>
      <c r="F261" s="182" t="s">
        <v>2929</v>
      </c>
      <c r="G261" s="181" t="s">
        <v>12</v>
      </c>
      <c r="H261" s="193" t="s">
        <v>2930</v>
      </c>
      <c r="I261" s="184" t="s">
        <v>2930</v>
      </c>
      <c r="J261" s="179" t="s">
        <v>4142</v>
      </c>
      <c r="K261" s="179">
        <v>1500</v>
      </c>
      <c r="L261" s="179" t="s">
        <v>2932</v>
      </c>
      <c r="M261" s="185"/>
      <c r="N261" s="185"/>
      <c r="O261" s="186"/>
      <c r="P261" s="185"/>
      <c r="Q261" s="182" t="s">
        <v>2934</v>
      </c>
      <c r="R261" s="182" t="s">
        <v>2933</v>
      </c>
      <c r="S261" s="182" t="s">
        <v>2935</v>
      </c>
      <c r="T261" s="179" t="s">
        <v>2953</v>
      </c>
      <c r="U261" s="179" t="s">
        <v>2954</v>
      </c>
      <c r="V261" s="179">
        <v>1058</v>
      </c>
      <c r="W261" s="179" t="s">
        <v>3067</v>
      </c>
      <c r="X261" s="188">
        <v>269.39000000000004</v>
      </c>
      <c r="Y261" s="188">
        <v>145.35999999999999</v>
      </c>
      <c r="Z261" s="188">
        <v>108.82560000000001</v>
      </c>
      <c r="AA261" s="188">
        <v>109.27499999999999</v>
      </c>
      <c r="AB261" s="188">
        <v>8.7009999999999987</v>
      </c>
      <c r="AC261" s="188">
        <v>20.731999999999999</v>
      </c>
      <c r="AD261" s="179" t="s">
        <v>2939</v>
      </c>
      <c r="AE261" s="188" t="s">
        <v>2940</v>
      </c>
      <c r="AF261" s="189">
        <v>0.29166666666666669</v>
      </c>
      <c r="AG261" s="189">
        <v>0.91666666666666663</v>
      </c>
      <c r="AH261" s="190" t="s">
        <v>2941</v>
      </c>
      <c r="AI261" s="190" t="s">
        <v>2985</v>
      </c>
      <c r="AJ261" s="179" t="s">
        <v>405</v>
      </c>
      <c r="AK261" s="179" t="s">
        <v>3182</v>
      </c>
      <c r="AL261" s="179" t="s">
        <v>28</v>
      </c>
      <c r="AM261" s="179" t="s">
        <v>4176</v>
      </c>
      <c r="AN261" s="179" t="s">
        <v>2102</v>
      </c>
      <c r="AO261" s="179" t="s">
        <v>2612</v>
      </c>
      <c r="AP261" s="191">
        <v>81139009378</v>
      </c>
      <c r="AQ261" s="184">
        <v>42200</v>
      </c>
      <c r="AR261" s="179">
        <v>133</v>
      </c>
      <c r="AS261" s="194" t="s">
        <v>4177</v>
      </c>
      <c r="AT261" s="195" t="s">
        <v>4178</v>
      </c>
      <c r="AU261" s="195" t="s">
        <v>2946</v>
      </c>
      <c r="AV261" s="192">
        <v>11899000</v>
      </c>
      <c r="AW261" s="181">
        <v>20.6</v>
      </c>
      <c r="AX261" s="179">
        <v>80552</v>
      </c>
      <c r="AY261" s="179" t="s">
        <v>4179</v>
      </c>
    </row>
    <row r="262" spans="1:51" ht="14.4" x14ac:dyDescent="0.3">
      <c r="A262" s="179" t="s">
        <v>1750</v>
      </c>
      <c r="B262" s="179" t="s">
        <v>2947</v>
      </c>
      <c r="C262" s="180" t="s">
        <v>4180</v>
      </c>
      <c r="D262" s="181" t="s">
        <v>2836</v>
      </c>
      <c r="E262" s="181" t="s">
        <v>2825</v>
      </c>
      <c r="F262" s="182" t="s">
        <v>2929</v>
      </c>
      <c r="G262" s="181" t="s">
        <v>12</v>
      </c>
      <c r="H262" s="193" t="s">
        <v>2930</v>
      </c>
      <c r="I262" s="184" t="s">
        <v>2930</v>
      </c>
      <c r="J262" s="179" t="s">
        <v>4181</v>
      </c>
      <c r="K262" s="179">
        <v>83</v>
      </c>
      <c r="L262" s="179" t="s">
        <v>2965</v>
      </c>
      <c r="M262" s="185"/>
      <c r="N262" s="185"/>
      <c r="O262" s="186"/>
      <c r="P262" s="185"/>
      <c r="Q262" s="182" t="s">
        <v>2933</v>
      </c>
      <c r="R262" s="182" t="s">
        <v>2934</v>
      </c>
      <c r="S262" s="182" t="s">
        <v>2952</v>
      </c>
      <c r="T262" s="179" t="s">
        <v>2953</v>
      </c>
      <c r="U262" s="179" t="s">
        <v>2954</v>
      </c>
      <c r="V262" s="187">
        <v>827</v>
      </c>
      <c r="W262" s="179" t="s">
        <v>3003</v>
      </c>
      <c r="X262" s="188">
        <v>295.64100000000002</v>
      </c>
      <c r="Y262" s="188">
        <v>192.60000000000002</v>
      </c>
      <c r="Z262" s="188">
        <v>118.6185</v>
      </c>
      <c r="AA262" s="188">
        <v>80.954999999999998</v>
      </c>
      <c r="AB262" s="188">
        <v>23.625</v>
      </c>
      <c r="AC262" s="188">
        <v>34.44</v>
      </c>
      <c r="AD262" s="179" t="s">
        <v>2984</v>
      </c>
      <c r="AE262" s="188" t="s">
        <v>2940</v>
      </c>
      <c r="AF262" s="189">
        <v>0.29166666666666669</v>
      </c>
      <c r="AG262" s="189">
        <v>0.95833333333333337</v>
      </c>
      <c r="AH262" s="190" t="s">
        <v>2941</v>
      </c>
      <c r="AI262" s="190" t="s">
        <v>2942</v>
      </c>
      <c r="AJ262" s="179" t="s">
        <v>55</v>
      </c>
      <c r="AK262" s="179" t="s">
        <v>3302</v>
      </c>
      <c r="AL262" s="179" t="s">
        <v>9</v>
      </c>
      <c r="AM262" s="179" t="s">
        <v>4182</v>
      </c>
      <c r="AN262" s="179" t="s">
        <v>2102</v>
      </c>
      <c r="AO262" s="179" t="s">
        <v>2665</v>
      </c>
      <c r="AP262" s="191">
        <v>81139605091</v>
      </c>
      <c r="AQ262" s="184">
        <v>42200</v>
      </c>
      <c r="AR262" s="179">
        <v>133</v>
      </c>
      <c r="AS262" s="194" t="s">
        <v>4183</v>
      </c>
      <c r="AT262" s="195" t="s">
        <v>4184</v>
      </c>
      <c r="AU262" s="195" t="s">
        <v>4185</v>
      </c>
      <c r="AV262" s="192">
        <v>14658000</v>
      </c>
      <c r="AW262" s="181">
        <v>4.9000000000000004</v>
      </c>
      <c r="AX262" s="179">
        <v>80351</v>
      </c>
      <c r="AY262" s="179" t="s">
        <v>4186</v>
      </c>
    </row>
    <row r="263" spans="1:51" ht="14.4" x14ac:dyDescent="0.3">
      <c r="A263" s="179" t="s">
        <v>114</v>
      </c>
      <c r="B263" s="179" t="s">
        <v>2947</v>
      </c>
      <c r="C263" s="180" t="s">
        <v>4187</v>
      </c>
      <c r="D263" s="181" t="s">
        <v>2858</v>
      </c>
      <c r="E263" s="181" t="s">
        <v>2813</v>
      </c>
      <c r="F263" s="182" t="s">
        <v>2929</v>
      </c>
      <c r="G263" s="181" t="s">
        <v>12</v>
      </c>
      <c r="H263" s="193" t="s">
        <v>2930</v>
      </c>
      <c r="I263" s="184" t="s">
        <v>2930</v>
      </c>
      <c r="J263" s="179" t="s">
        <v>4188</v>
      </c>
      <c r="K263" s="179">
        <v>28</v>
      </c>
      <c r="L263" s="179" t="s">
        <v>2965</v>
      </c>
      <c r="M263" s="185"/>
      <c r="N263" s="185"/>
      <c r="O263" s="186"/>
      <c r="P263" s="185"/>
      <c r="Q263" s="182" t="s">
        <v>2933</v>
      </c>
      <c r="R263" s="182" t="s">
        <v>2934</v>
      </c>
      <c r="S263" s="182" t="s">
        <v>2952</v>
      </c>
      <c r="T263" s="179" t="s">
        <v>2953</v>
      </c>
      <c r="U263" s="179" t="s">
        <v>2954</v>
      </c>
      <c r="V263" s="187">
        <v>800</v>
      </c>
      <c r="W263" s="179" t="s">
        <v>4189</v>
      </c>
      <c r="X263" s="188">
        <v>186.0471</v>
      </c>
      <c r="Y263" s="188">
        <v>111.3021</v>
      </c>
      <c r="Z263" s="188">
        <v>82.718999999999994</v>
      </c>
      <c r="AA263" s="188">
        <v>66.100999999999999</v>
      </c>
      <c r="AB263" s="188">
        <v>9.3360000000000003</v>
      </c>
      <c r="AC263" s="188">
        <v>102.88199999999999</v>
      </c>
      <c r="AD263" s="179" t="s">
        <v>2956</v>
      </c>
      <c r="AE263" s="188" t="s">
        <v>2957</v>
      </c>
      <c r="AF263" s="189">
        <v>0.29166666666666669</v>
      </c>
      <c r="AG263" s="189">
        <v>0.91666666666666663</v>
      </c>
      <c r="AH263" s="190" t="s">
        <v>2941</v>
      </c>
      <c r="AI263" s="190" t="s">
        <v>2942</v>
      </c>
      <c r="AJ263" s="179" t="s">
        <v>112</v>
      </c>
      <c r="AK263" s="179" t="s">
        <v>3010</v>
      </c>
      <c r="AL263" s="179" t="s">
        <v>36</v>
      </c>
      <c r="AM263" s="179" t="s">
        <v>4190</v>
      </c>
      <c r="AN263" s="179" t="s">
        <v>2102</v>
      </c>
      <c r="AO263" s="179" t="s">
        <v>2569</v>
      </c>
      <c r="AP263" s="191"/>
      <c r="AQ263" s="184">
        <v>42246</v>
      </c>
      <c r="AR263" s="179">
        <v>131</v>
      </c>
      <c r="AS263" s="199" t="s">
        <v>4191</v>
      </c>
      <c r="AT263" s="198"/>
      <c r="AU263" s="198"/>
      <c r="AV263" s="192">
        <v>15091000</v>
      </c>
      <c r="AW263" s="181">
        <v>16</v>
      </c>
      <c r="AX263" s="179">
        <v>82121</v>
      </c>
      <c r="AY263" s="179" t="s">
        <v>4192</v>
      </c>
    </row>
    <row r="264" spans="1:51" ht="14.4" x14ac:dyDescent="0.3">
      <c r="A264" s="179" t="s">
        <v>1597</v>
      </c>
      <c r="B264" s="179" t="s">
        <v>2947</v>
      </c>
      <c r="C264" s="180" t="s">
        <v>4193</v>
      </c>
      <c r="D264" s="181" t="s">
        <v>2836</v>
      </c>
      <c r="E264" s="181" t="s">
        <v>2825</v>
      </c>
      <c r="F264" s="182" t="s">
        <v>2972</v>
      </c>
      <c r="G264" s="181" t="s">
        <v>17</v>
      </c>
      <c r="H264" s="193">
        <v>45200</v>
      </c>
      <c r="I264" s="184"/>
      <c r="J264" s="179" t="s">
        <v>4194</v>
      </c>
      <c r="K264" s="179">
        <v>550</v>
      </c>
      <c r="L264" s="179" t="s">
        <v>3026</v>
      </c>
      <c r="M264" s="181" t="s">
        <v>3164</v>
      </c>
      <c r="N264" s="185"/>
      <c r="O264" s="186"/>
      <c r="P264" s="185"/>
      <c r="Q264" s="182" t="s">
        <v>2933</v>
      </c>
      <c r="R264" s="182" t="s">
        <v>2998</v>
      </c>
      <c r="S264" s="182" t="s">
        <v>2952</v>
      </c>
      <c r="T264" s="179" t="s">
        <v>2999</v>
      </c>
      <c r="U264" s="179" t="s">
        <v>2954</v>
      </c>
      <c r="V264" s="179">
        <v>1401</v>
      </c>
      <c r="W264" s="179" t="s">
        <v>3093</v>
      </c>
      <c r="X264" s="188">
        <v>245.96040000000002</v>
      </c>
      <c r="Y264" s="188">
        <v>155.55119999999999</v>
      </c>
      <c r="Z264" s="188">
        <v>138.1164</v>
      </c>
      <c r="AA264" s="188">
        <v>66.852800000000002</v>
      </c>
      <c r="AB264" s="188">
        <v>12.72</v>
      </c>
      <c r="AC264" s="188">
        <v>71.331999999999994</v>
      </c>
      <c r="AD264" s="179" t="s">
        <v>2956</v>
      </c>
      <c r="AE264" s="188" t="s">
        <v>2957</v>
      </c>
      <c r="AF264" s="189">
        <v>0.29166666666666669</v>
      </c>
      <c r="AG264" s="189">
        <v>0.91666666666666663</v>
      </c>
      <c r="AH264" s="190" t="s">
        <v>2941</v>
      </c>
      <c r="AI264" s="190" t="s">
        <v>2942</v>
      </c>
      <c r="AJ264" s="179" t="s">
        <v>201</v>
      </c>
      <c r="AK264" s="179" t="s">
        <v>3345</v>
      </c>
      <c r="AL264" s="179" t="s">
        <v>36</v>
      </c>
      <c r="AM264" s="179" t="s">
        <v>4195</v>
      </c>
      <c r="AN264" s="179" t="s">
        <v>2102</v>
      </c>
      <c r="AO264" s="179" t="s">
        <v>2518</v>
      </c>
      <c r="AP264" s="191">
        <v>81139003779</v>
      </c>
      <c r="AQ264" s="184">
        <v>42246</v>
      </c>
      <c r="AR264" s="179">
        <v>131</v>
      </c>
      <c r="AS264" s="179"/>
      <c r="AT264" s="181" t="s">
        <v>4196</v>
      </c>
      <c r="AU264" s="181" t="s">
        <v>4197</v>
      </c>
      <c r="AV264" s="192">
        <v>18540000</v>
      </c>
      <c r="AW264" s="181">
        <v>28</v>
      </c>
      <c r="AX264" s="179">
        <v>82191</v>
      </c>
      <c r="AY264" s="179"/>
    </row>
    <row r="265" spans="1:51" ht="14.4" x14ac:dyDescent="0.3">
      <c r="A265" s="179" t="s">
        <v>300</v>
      </c>
      <c r="B265" s="179" t="s">
        <v>2947</v>
      </c>
      <c r="C265" s="180" t="s">
        <v>4198</v>
      </c>
      <c r="D265" s="181" t="s">
        <v>2824</v>
      </c>
      <c r="E265" s="181" t="s">
        <v>2813</v>
      </c>
      <c r="F265" s="182" t="s">
        <v>2929</v>
      </c>
      <c r="G265" s="181" t="s">
        <v>12</v>
      </c>
      <c r="H265" s="193">
        <v>44987</v>
      </c>
      <c r="I265" s="184"/>
      <c r="J265" s="179" t="s">
        <v>3008</v>
      </c>
      <c r="K265" s="179" t="s">
        <v>3008</v>
      </c>
      <c r="L265" s="179" t="s">
        <v>2932</v>
      </c>
      <c r="M265" s="185"/>
      <c r="N265" s="185"/>
      <c r="O265" s="186"/>
      <c r="P265" s="185"/>
      <c r="Q265" s="182" t="s">
        <v>2933</v>
      </c>
      <c r="R265" s="182" t="s">
        <v>2934</v>
      </c>
      <c r="S265" s="182" t="s">
        <v>2952</v>
      </c>
      <c r="T265" s="179" t="s">
        <v>2953</v>
      </c>
      <c r="U265" s="179" t="s">
        <v>2954</v>
      </c>
      <c r="V265" s="187">
        <v>1223</v>
      </c>
      <c r="W265" s="179" t="s">
        <v>3093</v>
      </c>
      <c r="X265" s="188">
        <v>235.9496</v>
      </c>
      <c r="Y265" s="188">
        <v>167.32159999999999</v>
      </c>
      <c r="Z265" s="188">
        <v>114.0938</v>
      </c>
      <c r="AA265" s="188">
        <v>63.725999999999999</v>
      </c>
      <c r="AB265" s="188">
        <v>6.3385999999999996</v>
      </c>
      <c r="AC265" s="188">
        <v>29.297999999999998</v>
      </c>
      <c r="AD265" s="179" t="s">
        <v>2939</v>
      </c>
      <c r="AE265" s="188" t="s">
        <v>2940</v>
      </c>
      <c r="AF265" s="189">
        <v>0.29166666666666669</v>
      </c>
      <c r="AG265" s="189">
        <v>0.99930555555555556</v>
      </c>
      <c r="AH265" s="190" t="s">
        <v>2941</v>
      </c>
      <c r="AI265" s="190" t="s">
        <v>2985</v>
      </c>
      <c r="AJ265" s="179" t="s">
        <v>298</v>
      </c>
      <c r="AK265" s="179" t="s">
        <v>3241</v>
      </c>
      <c r="AL265" s="179" t="s">
        <v>9</v>
      </c>
      <c r="AM265" s="179" t="s">
        <v>4199</v>
      </c>
      <c r="AN265" s="179" t="s">
        <v>2102</v>
      </c>
      <c r="AO265" s="179" t="s">
        <v>2438</v>
      </c>
      <c r="AP265" s="191">
        <v>8113890519</v>
      </c>
      <c r="AQ265" s="184">
        <v>42266</v>
      </c>
      <c r="AR265" s="179">
        <v>131</v>
      </c>
      <c r="AS265" s="179"/>
      <c r="AT265" s="181" t="s">
        <v>4200</v>
      </c>
      <c r="AU265" s="181" t="s">
        <v>2946</v>
      </c>
      <c r="AV265" s="192">
        <v>24112536</v>
      </c>
      <c r="AW265" s="181">
        <v>42.2</v>
      </c>
      <c r="AX265" s="179">
        <v>80362</v>
      </c>
      <c r="AY265" s="179"/>
    </row>
    <row r="266" spans="1:51" ht="14.4" x14ac:dyDescent="0.3">
      <c r="A266" s="179" t="s">
        <v>212</v>
      </c>
      <c r="B266" s="179" t="s">
        <v>2927</v>
      </c>
      <c r="C266" s="180" t="s">
        <v>4201</v>
      </c>
      <c r="D266" s="181" t="s">
        <v>2814</v>
      </c>
      <c r="E266" s="181" t="s">
        <v>2813</v>
      </c>
      <c r="F266" s="182" t="s">
        <v>2929</v>
      </c>
      <c r="G266" s="181" t="s">
        <v>12</v>
      </c>
      <c r="H266" s="193">
        <v>44512</v>
      </c>
      <c r="I266" s="184"/>
      <c r="J266" s="179" t="s">
        <v>4202</v>
      </c>
      <c r="K266" s="179">
        <v>17</v>
      </c>
      <c r="L266" s="179" t="s">
        <v>2965</v>
      </c>
      <c r="M266" s="185"/>
      <c r="N266" s="185"/>
      <c r="O266" s="186"/>
      <c r="P266" s="185"/>
      <c r="Q266" s="182" t="s">
        <v>2933</v>
      </c>
      <c r="R266" s="182" t="s">
        <v>2934</v>
      </c>
      <c r="S266" s="182" t="s">
        <v>2952</v>
      </c>
      <c r="T266" s="179" t="s">
        <v>2953</v>
      </c>
      <c r="U266" s="179" t="s">
        <v>2937</v>
      </c>
      <c r="V266" s="187">
        <v>1258</v>
      </c>
      <c r="W266" s="179" t="s">
        <v>3448</v>
      </c>
      <c r="X266" s="188">
        <v>221.774</v>
      </c>
      <c r="Y266" s="188">
        <v>143.43700000000001</v>
      </c>
      <c r="Z266" s="188">
        <v>94.052999999999983</v>
      </c>
      <c r="AA266" s="188">
        <v>67.944999999999993</v>
      </c>
      <c r="AB266" s="188">
        <v>11.77</v>
      </c>
      <c r="AC266" s="188">
        <v>23.6</v>
      </c>
      <c r="AD266" s="179" t="s">
        <v>2939</v>
      </c>
      <c r="AE266" s="188" t="s">
        <v>2940</v>
      </c>
      <c r="AF266" s="189">
        <v>0.29166666666666669</v>
      </c>
      <c r="AG266" s="189">
        <v>0.95833333333333337</v>
      </c>
      <c r="AH266" s="190" t="s">
        <v>2941</v>
      </c>
      <c r="AI266" s="190" t="s">
        <v>2985</v>
      </c>
      <c r="AJ266" s="179" t="s">
        <v>210</v>
      </c>
      <c r="AK266" s="179" t="s">
        <v>3241</v>
      </c>
      <c r="AL266" s="179" t="s">
        <v>9</v>
      </c>
      <c r="AM266" s="179" t="s">
        <v>4203</v>
      </c>
      <c r="AN266" s="179" t="s">
        <v>2102</v>
      </c>
      <c r="AO266" s="179" t="s">
        <v>2262</v>
      </c>
      <c r="AP266" s="191">
        <v>81139001401</v>
      </c>
      <c r="AQ266" s="184">
        <v>42277</v>
      </c>
      <c r="AR266" s="179">
        <v>130</v>
      </c>
      <c r="AS266" s="194"/>
      <c r="AT266" s="195" t="s">
        <v>3412</v>
      </c>
      <c r="AU266" s="195" t="s">
        <v>2946</v>
      </c>
      <c r="AV266" s="192">
        <v>9768000</v>
      </c>
      <c r="AW266" s="181">
        <v>42.5</v>
      </c>
      <c r="AX266" s="179">
        <v>80362</v>
      </c>
      <c r="AY266" s="179"/>
    </row>
    <row r="267" spans="1:51" ht="14.4" x14ac:dyDescent="0.3">
      <c r="A267" s="179" t="s">
        <v>1210</v>
      </c>
      <c r="B267" s="179" t="s">
        <v>2947</v>
      </c>
      <c r="C267" s="180" t="s">
        <v>4204</v>
      </c>
      <c r="D267" s="181" t="s">
        <v>2848</v>
      </c>
      <c r="E267" s="181" t="s">
        <v>2827</v>
      </c>
      <c r="F267" s="182" t="s">
        <v>2929</v>
      </c>
      <c r="G267" s="181" t="s">
        <v>12</v>
      </c>
      <c r="H267" s="193" t="s">
        <v>2930</v>
      </c>
      <c r="I267" s="184" t="s">
        <v>2930</v>
      </c>
      <c r="J267" s="179" t="s">
        <v>4205</v>
      </c>
      <c r="K267" s="179">
        <v>1500</v>
      </c>
      <c r="L267" s="179" t="s">
        <v>2932</v>
      </c>
      <c r="M267" s="185"/>
      <c r="N267" s="185"/>
      <c r="O267" s="186"/>
      <c r="P267" s="185"/>
      <c r="Q267" s="182" t="s">
        <v>2934</v>
      </c>
      <c r="R267" s="182" t="s">
        <v>2933</v>
      </c>
      <c r="S267" s="182" t="s">
        <v>2935</v>
      </c>
      <c r="T267" s="179" t="s">
        <v>2953</v>
      </c>
      <c r="U267" s="179" t="s">
        <v>2954</v>
      </c>
      <c r="V267" s="179">
        <v>1167</v>
      </c>
      <c r="W267" s="179" t="s">
        <v>3140</v>
      </c>
      <c r="X267" s="188">
        <v>313</v>
      </c>
      <c r="Y267" s="188">
        <v>190.14750000000001</v>
      </c>
      <c r="Z267" s="188">
        <v>118.267</v>
      </c>
      <c r="AA267" s="188">
        <v>102.0775</v>
      </c>
      <c r="AB267" s="188">
        <v>22.875</v>
      </c>
      <c r="AC267" s="188">
        <v>33.344999999999999</v>
      </c>
      <c r="AD267" s="179" t="s">
        <v>2984</v>
      </c>
      <c r="AE267" s="188" t="s">
        <v>2940</v>
      </c>
      <c r="AF267" s="189">
        <v>0.29166666666666669</v>
      </c>
      <c r="AG267" s="189">
        <v>0.95833333333333337</v>
      </c>
      <c r="AH267" s="190" t="s">
        <v>2941</v>
      </c>
      <c r="AI267" s="190" t="s">
        <v>2942</v>
      </c>
      <c r="AJ267" s="179" t="s">
        <v>1208</v>
      </c>
      <c r="AK267" s="179" t="s">
        <v>3617</v>
      </c>
      <c r="AL267" s="179" t="s">
        <v>48</v>
      </c>
      <c r="AM267" s="179" t="s">
        <v>4206</v>
      </c>
      <c r="AN267" s="179" t="s">
        <v>2102</v>
      </c>
      <c r="AO267" s="179" t="s">
        <v>2599</v>
      </c>
      <c r="AP267" s="191">
        <v>81139605154</v>
      </c>
      <c r="AQ267" s="184">
        <v>42277</v>
      </c>
      <c r="AR267" s="179">
        <v>130</v>
      </c>
      <c r="AS267" s="179"/>
      <c r="AT267" s="181" t="s">
        <v>4207</v>
      </c>
      <c r="AU267" s="181" t="s">
        <v>2946</v>
      </c>
      <c r="AV267" s="192">
        <v>10920000</v>
      </c>
      <c r="AW267" s="181">
        <v>94</v>
      </c>
      <c r="AX267" s="179">
        <v>81155</v>
      </c>
      <c r="AY267" s="179"/>
    </row>
    <row r="268" spans="1:51" ht="14.4" x14ac:dyDescent="0.3">
      <c r="A268" s="179" t="s">
        <v>370</v>
      </c>
      <c r="B268" s="179" t="s">
        <v>2927</v>
      </c>
      <c r="C268" s="180" t="s">
        <v>4208</v>
      </c>
      <c r="D268" s="181" t="s">
        <v>2822</v>
      </c>
      <c r="E268" s="181" t="s">
        <v>2821</v>
      </c>
      <c r="F268" s="182" t="s">
        <v>2929</v>
      </c>
      <c r="G268" s="181" t="s">
        <v>12</v>
      </c>
      <c r="H268" s="193" t="s">
        <v>2930</v>
      </c>
      <c r="I268" s="184" t="s">
        <v>2930</v>
      </c>
      <c r="J268" s="179" t="s">
        <v>3008</v>
      </c>
      <c r="K268" s="179" t="s">
        <v>3008</v>
      </c>
      <c r="L268" s="179" t="s">
        <v>2932</v>
      </c>
      <c r="M268" s="185"/>
      <c r="N268" s="185"/>
      <c r="O268" s="186"/>
      <c r="P268" s="185"/>
      <c r="Q268" s="182" t="s">
        <v>2934</v>
      </c>
      <c r="R268" s="182" t="s">
        <v>2933</v>
      </c>
      <c r="S268" s="182" t="s">
        <v>2952</v>
      </c>
      <c r="T268" s="179" t="s">
        <v>2953</v>
      </c>
      <c r="U268" s="179" t="s">
        <v>2937</v>
      </c>
      <c r="V268" s="179">
        <v>986</v>
      </c>
      <c r="W268" s="179" t="s">
        <v>4209</v>
      </c>
      <c r="X268" s="188">
        <v>211.511</v>
      </c>
      <c r="Y268" s="188">
        <v>153.94300000000001</v>
      </c>
      <c r="Z268" s="188">
        <v>94.501500000000007</v>
      </c>
      <c r="AA268" s="188">
        <v>56.224000000000011</v>
      </c>
      <c r="AB268" s="188">
        <v>12.45</v>
      </c>
      <c r="AC268" s="188">
        <v>33.54</v>
      </c>
      <c r="AD268" s="179" t="s">
        <v>2984</v>
      </c>
      <c r="AE268" s="188" t="s">
        <v>2940</v>
      </c>
      <c r="AF268" s="189">
        <v>0.29166666666666669</v>
      </c>
      <c r="AG268" s="189">
        <v>0.91666666666666663</v>
      </c>
      <c r="AH268" s="190" t="s">
        <v>2941</v>
      </c>
      <c r="AI268" s="190" t="s">
        <v>2942</v>
      </c>
      <c r="AJ268" s="179" t="s">
        <v>368</v>
      </c>
      <c r="AK268" s="179" t="s">
        <v>3281</v>
      </c>
      <c r="AL268" s="179" t="s">
        <v>36</v>
      </c>
      <c r="AM268" s="179" t="s">
        <v>4210</v>
      </c>
      <c r="AN268" s="179" t="s">
        <v>2102</v>
      </c>
      <c r="AO268" s="179" t="s">
        <v>2402</v>
      </c>
      <c r="AP268" s="191">
        <v>81139000810</v>
      </c>
      <c r="AQ268" s="184">
        <v>42277</v>
      </c>
      <c r="AR268" s="179">
        <v>130</v>
      </c>
      <c r="AS268" s="194"/>
      <c r="AT268" s="195" t="s">
        <v>3504</v>
      </c>
      <c r="AU268" s="195" t="s">
        <v>2946</v>
      </c>
      <c r="AV268" s="192">
        <v>6840000</v>
      </c>
      <c r="AW268" s="181">
        <v>18.2</v>
      </c>
      <c r="AX268" s="179">
        <v>82161</v>
      </c>
      <c r="AY268" s="179"/>
    </row>
    <row r="269" spans="1:51" ht="14.4" x14ac:dyDescent="0.3">
      <c r="A269" s="179" t="s">
        <v>1350</v>
      </c>
      <c r="B269" s="179" t="s">
        <v>2947</v>
      </c>
      <c r="C269" s="180" t="s">
        <v>4211</v>
      </c>
      <c r="D269" s="181" t="s">
        <v>2852</v>
      </c>
      <c r="E269" s="181" t="s">
        <v>2817</v>
      </c>
      <c r="F269" s="182" t="s">
        <v>2929</v>
      </c>
      <c r="G269" s="181" t="s">
        <v>12</v>
      </c>
      <c r="H269" s="193">
        <v>44672</v>
      </c>
      <c r="I269" s="184"/>
      <c r="J269" s="179" t="s">
        <v>4212</v>
      </c>
      <c r="K269" s="179">
        <v>200</v>
      </c>
      <c r="L269" s="179" t="s">
        <v>2950</v>
      </c>
      <c r="M269" s="185"/>
      <c r="N269" s="185"/>
      <c r="O269" s="186"/>
      <c r="P269" s="185" t="s">
        <v>2951</v>
      </c>
      <c r="Q269" s="182" t="s">
        <v>2934</v>
      </c>
      <c r="R269" s="182" t="s">
        <v>2933</v>
      </c>
      <c r="S269" s="182" t="s">
        <v>2952</v>
      </c>
      <c r="T269" s="179" t="s">
        <v>2953</v>
      </c>
      <c r="U269" s="179" t="s">
        <v>2954</v>
      </c>
      <c r="V269" s="179">
        <v>538</v>
      </c>
      <c r="W269" s="179" t="s">
        <v>4213</v>
      </c>
      <c r="X269" s="188">
        <v>257.3954</v>
      </c>
      <c r="Y269" s="188">
        <v>164.511</v>
      </c>
      <c r="Z269" s="188">
        <v>102.3544</v>
      </c>
      <c r="AA269" s="188">
        <v>81.909899999999993</v>
      </c>
      <c r="AB269" s="188">
        <v>13.19</v>
      </c>
      <c r="AC269" s="188">
        <v>36.256</v>
      </c>
      <c r="AD269" s="179" t="s">
        <v>2984</v>
      </c>
      <c r="AE269" s="188" t="s">
        <v>2940</v>
      </c>
      <c r="AF269" s="189">
        <v>0.29166666666666669</v>
      </c>
      <c r="AG269" s="189">
        <v>0.95833333333333337</v>
      </c>
      <c r="AH269" s="190" t="s">
        <v>2941</v>
      </c>
      <c r="AI269" s="190" t="s">
        <v>2942</v>
      </c>
      <c r="AJ269" s="179" t="s">
        <v>131</v>
      </c>
      <c r="AK269" s="179" t="s">
        <v>3293</v>
      </c>
      <c r="AL269" s="179" t="s">
        <v>9</v>
      </c>
      <c r="AM269" s="179" t="s">
        <v>4214</v>
      </c>
      <c r="AN269" s="179" t="s">
        <v>2102</v>
      </c>
      <c r="AO269" s="179" t="s">
        <v>2760</v>
      </c>
      <c r="AP269" s="191">
        <v>81139001396</v>
      </c>
      <c r="AQ269" s="184">
        <v>42277</v>
      </c>
      <c r="AR269" s="179">
        <v>130</v>
      </c>
      <c r="AS269" s="179"/>
      <c r="AT269" s="181"/>
      <c r="AU269" s="181"/>
      <c r="AV269" s="192">
        <v>19875654</v>
      </c>
      <c r="AW269" s="181">
        <v>26</v>
      </c>
      <c r="AX269" s="179">
        <v>80361</v>
      </c>
      <c r="AY269" s="179"/>
    </row>
    <row r="270" spans="1:51" ht="14.4" x14ac:dyDescent="0.3">
      <c r="A270" s="179" t="s">
        <v>1805</v>
      </c>
      <c r="B270" s="179" t="s">
        <v>2927</v>
      </c>
      <c r="C270" s="180" t="s">
        <v>4215</v>
      </c>
      <c r="D270" s="181" t="s">
        <v>2833</v>
      </c>
      <c r="E270" s="181" t="s">
        <v>2821</v>
      </c>
      <c r="F270" s="182" t="s">
        <v>2929</v>
      </c>
      <c r="G270" s="181" t="s">
        <v>12</v>
      </c>
      <c r="H270" s="193" t="s">
        <v>2930</v>
      </c>
      <c r="I270" s="184" t="s">
        <v>2930</v>
      </c>
      <c r="J270" s="179" t="s">
        <v>4216</v>
      </c>
      <c r="K270" s="179">
        <v>110</v>
      </c>
      <c r="L270" s="179" t="s">
        <v>2950</v>
      </c>
      <c r="M270" s="185"/>
      <c r="N270" s="185"/>
      <c r="O270" s="186"/>
      <c r="P270" s="185"/>
      <c r="Q270" s="182" t="s">
        <v>2934</v>
      </c>
      <c r="R270" s="182" t="s">
        <v>2933</v>
      </c>
      <c r="S270" s="182" t="s">
        <v>2952</v>
      </c>
      <c r="T270" s="179" t="s">
        <v>2953</v>
      </c>
      <c r="U270" s="179" t="s">
        <v>2937</v>
      </c>
      <c r="V270" s="179">
        <v>1215</v>
      </c>
      <c r="W270" s="179" t="s">
        <v>2955</v>
      </c>
      <c r="X270" s="188">
        <v>311.36</v>
      </c>
      <c r="Y270" s="188">
        <v>210.58500000000001</v>
      </c>
      <c r="Z270" s="188">
        <v>133.55199999999999</v>
      </c>
      <c r="AA270" s="188">
        <v>93.16</v>
      </c>
      <c r="AB270" s="188">
        <v>20.25</v>
      </c>
      <c r="AC270" s="188">
        <v>41.300000000000004</v>
      </c>
      <c r="AD270" s="179" t="s">
        <v>2984</v>
      </c>
      <c r="AE270" s="188" t="s">
        <v>2940</v>
      </c>
      <c r="AF270" s="189">
        <v>0.29166666666666669</v>
      </c>
      <c r="AG270" s="189">
        <v>0.95833333333333337</v>
      </c>
      <c r="AH270" s="190" t="s">
        <v>2941</v>
      </c>
      <c r="AI270" s="190" t="s">
        <v>2942</v>
      </c>
      <c r="AJ270" s="179" t="s">
        <v>1803</v>
      </c>
      <c r="AK270" s="179" t="s">
        <v>4217</v>
      </c>
      <c r="AL270" s="179" t="s">
        <v>36</v>
      </c>
      <c r="AM270" s="179" t="s">
        <v>4218</v>
      </c>
      <c r="AN270" s="179" t="s">
        <v>2102</v>
      </c>
      <c r="AO270" s="179" t="s">
        <v>2409</v>
      </c>
      <c r="AP270" s="191">
        <v>81139002217</v>
      </c>
      <c r="AQ270" s="184">
        <v>42277</v>
      </c>
      <c r="AR270" s="179">
        <v>130</v>
      </c>
      <c r="AS270" s="199">
        <v>43466</v>
      </c>
      <c r="AT270" s="198" t="s">
        <v>3441</v>
      </c>
      <c r="AU270" s="198" t="s">
        <v>2946</v>
      </c>
      <c r="AV270" s="192">
        <v>15807000</v>
      </c>
      <c r="AW270" s="181">
        <v>5.0999999999999996</v>
      </c>
      <c r="AX270" s="179">
        <v>82181</v>
      </c>
      <c r="AY270" s="179" t="s">
        <v>4219</v>
      </c>
    </row>
    <row r="271" spans="1:51" ht="14.4" x14ac:dyDescent="0.3">
      <c r="A271" s="179" t="s">
        <v>752</v>
      </c>
      <c r="B271" s="179" t="s">
        <v>2927</v>
      </c>
      <c r="C271" s="180" t="s">
        <v>4220</v>
      </c>
      <c r="D271" s="181" t="s">
        <v>2856</v>
      </c>
      <c r="E271" s="181" t="s">
        <v>2819</v>
      </c>
      <c r="F271" s="182" t="s">
        <v>2929</v>
      </c>
      <c r="G271" s="181" t="s">
        <v>12</v>
      </c>
      <c r="H271" s="193" t="s">
        <v>2930</v>
      </c>
      <c r="I271" s="184" t="s">
        <v>2930</v>
      </c>
      <c r="J271" s="179" t="s">
        <v>4221</v>
      </c>
      <c r="K271" s="179">
        <v>765</v>
      </c>
      <c r="L271" s="179" t="s">
        <v>3026</v>
      </c>
      <c r="M271" s="185"/>
      <c r="N271" s="185"/>
      <c r="O271" s="186"/>
      <c r="P271" s="185"/>
      <c r="Q271" s="182" t="s">
        <v>2934</v>
      </c>
      <c r="R271" s="182" t="s">
        <v>2933</v>
      </c>
      <c r="S271" s="182" t="s">
        <v>2952</v>
      </c>
      <c r="T271" s="179" t="s">
        <v>2953</v>
      </c>
      <c r="U271" s="179" t="s">
        <v>2937</v>
      </c>
      <c r="V271" s="179">
        <v>1159</v>
      </c>
      <c r="W271" s="179" t="s">
        <v>2992</v>
      </c>
      <c r="X271" s="188">
        <v>266.08499999999998</v>
      </c>
      <c r="Y271" s="188">
        <v>189.76349999999996</v>
      </c>
      <c r="Z271" s="188">
        <v>119.28</v>
      </c>
      <c r="AA271" s="188">
        <v>70.289999999999992</v>
      </c>
      <c r="AB271" s="188">
        <v>21.1</v>
      </c>
      <c r="AC271" s="188">
        <v>33.629999999999995</v>
      </c>
      <c r="AD271" s="179" t="s">
        <v>2984</v>
      </c>
      <c r="AE271" s="188" t="s">
        <v>2940</v>
      </c>
      <c r="AF271" s="189">
        <v>0.29166666666666669</v>
      </c>
      <c r="AG271" s="189">
        <v>0.99930555555555556</v>
      </c>
      <c r="AH271" s="190" t="s">
        <v>2941</v>
      </c>
      <c r="AI271" s="190" t="s">
        <v>2942</v>
      </c>
      <c r="AJ271" s="179" t="s">
        <v>198</v>
      </c>
      <c r="AK271" s="179" t="s">
        <v>2977</v>
      </c>
      <c r="AL271" s="179" t="s">
        <v>9</v>
      </c>
      <c r="AM271" s="179" t="s">
        <v>4222</v>
      </c>
      <c r="AN271" s="179" t="s">
        <v>2102</v>
      </c>
      <c r="AO271" s="179" t="s">
        <v>2741</v>
      </c>
      <c r="AP271" s="191">
        <v>81139009386</v>
      </c>
      <c r="AQ271" s="184">
        <v>42308</v>
      </c>
      <c r="AR271" s="179">
        <v>129</v>
      </c>
      <c r="AS271" s="194">
        <v>43405</v>
      </c>
      <c r="AT271" s="195" t="s">
        <v>4223</v>
      </c>
      <c r="AU271" s="195" t="s">
        <v>2946</v>
      </c>
      <c r="AV271" s="192">
        <v>16919000</v>
      </c>
      <c r="AW271" s="181">
        <v>22.6</v>
      </c>
      <c r="AX271" s="179">
        <v>80363</v>
      </c>
      <c r="AY271" s="179" t="s">
        <v>4224</v>
      </c>
    </row>
    <row r="272" spans="1:51" ht="14.4" x14ac:dyDescent="0.3">
      <c r="A272" s="179" t="s">
        <v>1064</v>
      </c>
      <c r="B272" s="179" t="s">
        <v>2947</v>
      </c>
      <c r="C272" s="180" t="s">
        <v>4225</v>
      </c>
      <c r="D272" s="181" t="s">
        <v>2875</v>
      </c>
      <c r="E272" s="181" t="s">
        <v>2867</v>
      </c>
      <c r="F272" s="182" t="s">
        <v>2972</v>
      </c>
      <c r="G272" s="181" t="s">
        <v>17</v>
      </c>
      <c r="H272" s="193">
        <v>45087</v>
      </c>
      <c r="I272" s="184"/>
      <c r="J272" s="179" t="s">
        <v>4226</v>
      </c>
      <c r="K272" s="179">
        <v>250</v>
      </c>
      <c r="L272" s="179" t="s">
        <v>2950</v>
      </c>
      <c r="M272" s="185"/>
      <c r="N272" s="185" t="s">
        <v>2951</v>
      </c>
      <c r="O272" s="179" t="s">
        <v>2951</v>
      </c>
      <c r="P272" s="185"/>
      <c r="Q272" s="182" t="s">
        <v>2934</v>
      </c>
      <c r="R272" s="182" t="s">
        <v>2933</v>
      </c>
      <c r="S272" s="182" t="s">
        <v>2952</v>
      </c>
      <c r="T272" s="179" t="s">
        <v>2953</v>
      </c>
      <c r="U272" s="179" t="s">
        <v>2954</v>
      </c>
      <c r="V272" s="179">
        <v>1223</v>
      </c>
      <c r="W272" s="179" t="s">
        <v>3003</v>
      </c>
      <c r="X272" s="188">
        <v>256.89140000000003</v>
      </c>
      <c r="Y272" s="188">
        <v>210.88099999999997</v>
      </c>
      <c r="Z272" s="188">
        <v>121.59179999999999</v>
      </c>
      <c r="AA272" s="188">
        <v>44.194199999999995</v>
      </c>
      <c r="AB272" s="188">
        <v>13.754999999999999</v>
      </c>
      <c r="AC272" s="188">
        <v>48.857999999999997</v>
      </c>
      <c r="AD272" s="179" t="s">
        <v>2984</v>
      </c>
      <c r="AE272" s="188" t="s">
        <v>2940</v>
      </c>
      <c r="AF272" s="189">
        <v>0.29166666666666669</v>
      </c>
      <c r="AG272" s="189">
        <v>0.95833333333333337</v>
      </c>
      <c r="AH272" s="190" t="s">
        <v>2941</v>
      </c>
      <c r="AI272" s="190" t="s">
        <v>2985</v>
      </c>
      <c r="AJ272" s="179" t="s">
        <v>78</v>
      </c>
      <c r="AK272" s="179" t="s">
        <v>3256</v>
      </c>
      <c r="AL272" s="179" t="s">
        <v>4</v>
      </c>
      <c r="AM272" s="179" t="s">
        <v>4227</v>
      </c>
      <c r="AN272" s="179" t="s">
        <v>2102</v>
      </c>
      <c r="AO272" s="179" t="s">
        <v>2753</v>
      </c>
      <c r="AP272" s="191">
        <v>8113806118</v>
      </c>
      <c r="AQ272" s="184">
        <v>42308</v>
      </c>
      <c r="AR272" s="179">
        <v>129</v>
      </c>
      <c r="AS272" s="179"/>
      <c r="AT272" s="181" t="s">
        <v>4228</v>
      </c>
      <c r="AU272" s="181" t="s">
        <v>2946</v>
      </c>
      <c r="AV272" s="192">
        <v>18165961</v>
      </c>
      <c r="AW272" s="181">
        <v>26</v>
      </c>
      <c r="AX272" s="179">
        <v>80226</v>
      </c>
      <c r="AY272" s="179"/>
    </row>
    <row r="273" spans="1:51" ht="14.4" x14ac:dyDescent="0.3">
      <c r="A273" s="179" t="s">
        <v>1653</v>
      </c>
      <c r="B273" s="179" t="s">
        <v>2947</v>
      </c>
      <c r="C273" s="180" t="s">
        <v>4229</v>
      </c>
      <c r="D273" s="181" t="s">
        <v>2833</v>
      </c>
      <c r="E273" s="181" t="s">
        <v>2821</v>
      </c>
      <c r="F273" s="182" t="s">
        <v>2972</v>
      </c>
      <c r="G273" s="181" t="s">
        <v>17</v>
      </c>
      <c r="H273" s="193">
        <v>44008</v>
      </c>
      <c r="I273" s="184">
        <v>44008</v>
      </c>
      <c r="J273" s="179" t="s">
        <v>4230</v>
      </c>
      <c r="K273" s="179">
        <v>170</v>
      </c>
      <c r="L273" s="179" t="s">
        <v>2950</v>
      </c>
      <c r="M273" s="185"/>
      <c r="N273" s="185"/>
      <c r="O273" s="186"/>
      <c r="P273" s="185"/>
      <c r="Q273" s="182" t="s">
        <v>2934</v>
      </c>
      <c r="R273" s="182" t="s">
        <v>2933</v>
      </c>
      <c r="S273" s="182" t="s">
        <v>2952</v>
      </c>
      <c r="T273" s="179" t="s">
        <v>2953</v>
      </c>
      <c r="U273" s="179" t="s">
        <v>2954</v>
      </c>
      <c r="V273" s="179">
        <v>1144</v>
      </c>
      <c r="W273" s="179" t="s">
        <v>2955</v>
      </c>
      <c r="X273" s="188">
        <v>261.51299999999998</v>
      </c>
      <c r="Y273" s="188">
        <v>158.79240000000001</v>
      </c>
      <c r="Z273" s="188">
        <v>103.83920000000001</v>
      </c>
      <c r="AA273" s="188">
        <v>83.438999999999993</v>
      </c>
      <c r="AB273" s="188">
        <v>12.243</v>
      </c>
      <c r="AC273" s="188">
        <v>30.0366</v>
      </c>
      <c r="AD273" s="179" t="s">
        <v>2984</v>
      </c>
      <c r="AE273" s="188" t="s">
        <v>2940</v>
      </c>
      <c r="AF273" s="189">
        <v>0.29166666666666669</v>
      </c>
      <c r="AG273" s="189">
        <v>0.91666666666666663</v>
      </c>
      <c r="AH273" s="190" t="s">
        <v>2941</v>
      </c>
      <c r="AI273" s="190" t="s">
        <v>2942</v>
      </c>
      <c r="AJ273" s="179" t="s">
        <v>1150</v>
      </c>
      <c r="AK273" s="179" t="s">
        <v>3010</v>
      </c>
      <c r="AL273" s="179" t="s">
        <v>36</v>
      </c>
      <c r="AM273" s="179" t="s">
        <v>4231</v>
      </c>
      <c r="AN273" s="179" t="s">
        <v>2102</v>
      </c>
      <c r="AO273" s="179" t="s">
        <v>2585</v>
      </c>
      <c r="AP273" s="191">
        <v>81139006787</v>
      </c>
      <c r="AQ273" s="184">
        <v>42308</v>
      </c>
      <c r="AR273" s="179">
        <v>129</v>
      </c>
      <c r="AS273" s="179"/>
      <c r="AT273" s="181" t="s">
        <v>4232</v>
      </c>
      <c r="AU273" s="181" t="s">
        <v>2946</v>
      </c>
      <c r="AV273" s="192">
        <v>14320070.933243331</v>
      </c>
      <c r="AW273" s="181">
        <v>7.4</v>
      </c>
      <c r="AX273" s="179">
        <v>82123</v>
      </c>
      <c r="AY273" s="179"/>
    </row>
    <row r="274" spans="1:51" ht="14.4" x14ac:dyDescent="0.3">
      <c r="A274" s="179" t="s">
        <v>1555</v>
      </c>
      <c r="B274" s="179" t="s">
        <v>2927</v>
      </c>
      <c r="C274" s="180" t="s">
        <v>4233</v>
      </c>
      <c r="D274" s="181" t="s">
        <v>2833</v>
      </c>
      <c r="E274" s="181" t="s">
        <v>2821</v>
      </c>
      <c r="F274" s="182" t="s">
        <v>2929</v>
      </c>
      <c r="G274" s="181" t="s">
        <v>12</v>
      </c>
      <c r="H274" s="193" t="s">
        <v>2930</v>
      </c>
      <c r="I274" s="184" t="s">
        <v>2930</v>
      </c>
      <c r="J274" s="179" t="s">
        <v>3008</v>
      </c>
      <c r="K274" s="179" t="s">
        <v>3008</v>
      </c>
      <c r="L274" s="179" t="s">
        <v>2932</v>
      </c>
      <c r="M274" s="185"/>
      <c r="N274" s="185"/>
      <c r="O274" s="186"/>
      <c r="P274" s="185"/>
      <c r="Q274" s="182" t="s">
        <v>2934</v>
      </c>
      <c r="R274" s="182" t="s">
        <v>2933</v>
      </c>
      <c r="S274" s="182" t="s">
        <v>2952</v>
      </c>
      <c r="T274" s="179" t="s">
        <v>2953</v>
      </c>
      <c r="U274" s="179" t="s">
        <v>2937</v>
      </c>
      <c r="V274" s="179">
        <v>903</v>
      </c>
      <c r="W274" s="179" t="s">
        <v>3140</v>
      </c>
      <c r="X274" s="188">
        <v>306.97519999999997</v>
      </c>
      <c r="Y274" s="188">
        <v>198.89100000000002</v>
      </c>
      <c r="Z274" s="188">
        <v>122.4683</v>
      </c>
      <c r="AA274" s="188">
        <v>94.209000000000017</v>
      </c>
      <c r="AB274" s="188">
        <v>29.474999999999998</v>
      </c>
      <c r="AC274" s="188">
        <v>29.61</v>
      </c>
      <c r="AD274" s="179" t="s">
        <v>2939</v>
      </c>
      <c r="AE274" s="188" t="s">
        <v>2940</v>
      </c>
      <c r="AF274" s="189">
        <v>0.29166666666666669</v>
      </c>
      <c r="AG274" s="189">
        <v>0.91666666666666663</v>
      </c>
      <c r="AH274" s="190" t="s">
        <v>2941</v>
      </c>
      <c r="AI274" s="190" t="s">
        <v>2942</v>
      </c>
      <c r="AJ274" s="179" t="s">
        <v>368</v>
      </c>
      <c r="AK274" s="179" t="s">
        <v>4217</v>
      </c>
      <c r="AL274" s="179" t="s">
        <v>36</v>
      </c>
      <c r="AM274" s="179" t="s">
        <v>4234</v>
      </c>
      <c r="AN274" s="179" t="s">
        <v>2102</v>
      </c>
      <c r="AO274" s="179" t="s">
        <v>2295</v>
      </c>
      <c r="AP274" s="191">
        <v>81139002215</v>
      </c>
      <c r="AQ274" s="184">
        <v>42337</v>
      </c>
      <c r="AR274" s="179">
        <v>128</v>
      </c>
      <c r="AS274" s="199">
        <v>43497</v>
      </c>
      <c r="AT274" s="198" t="s">
        <v>4235</v>
      </c>
      <c r="AU274" s="198" t="s">
        <v>2946</v>
      </c>
      <c r="AV274" s="192">
        <v>12281000</v>
      </c>
      <c r="AW274" s="181">
        <v>5.6</v>
      </c>
      <c r="AX274" s="179">
        <v>82181</v>
      </c>
      <c r="AY274" s="179" t="s">
        <v>4236</v>
      </c>
    </row>
    <row r="275" spans="1:51" ht="14.4" x14ac:dyDescent="0.3">
      <c r="A275" s="179" t="s">
        <v>1361</v>
      </c>
      <c r="B275" s="179" t="s">
        <v>2947</v>
      </c>
      <c r="C275" s="180" t="s">
        <v>4237</v>
      </c>
      <c r="D275" s="181" t="s">
        <v>2857</v>
      </c>
      <c r="E275" s="181" t="s">
        <v>2815</v>
      </c>
      <c r="F275" s="182" t="s">
        <v>2972</v>
      </c>
      <c r="G275" s="181" t="s">
        <v>17</v>
      </c>
      <c r="H275" s="193">
        <v>44987</v>
      </c>
      <c r="I275" s="184"/>
      <c r="J275" s="179" t="s">
        <v>4238</v>
      </c>
      <c r="K275" s="179">
        <v>250</v>
      </c>
      <c r="L275" s="179" t="s">
        <v>2950</v>
      </c>
      <c r="M275" s="185"/>
      <c r="N275" s="185"/>
      <c r="O275" s="179" t="s">
        <v>2951</v>
      </c>
      <c r="P275" s="185"/>
      <c r="Q275" s="182" t="s">
        <v>2933</v>
      </c>
      <c r="R275" s="182" t="s">
        <v>2934</v>
      </c>
      <c r="S275" s="182" t="s">
        <v>2952</v>
      </c>
      <c r="T275" s="179" t="s">
        <v>2953</v>
      </c>
      <c r="U275" s="179" t="s">
        <v>2954</v>
      </c>
      <c r="V275" s="179">
        <v>519</v>
      </c>
      <c r="W275" s="179" t="s">
        <v>4239</v>
      </c>
      <c r="X275" s="188">
        <v>199.19899999999998</v>
      </c>
      <c r="Y275" s="188">
        <v>134.6345</v>
      </c>
      <c r="Z275" s="188">
        <v>88.775399999999991</v>
      </c>
      <c r="AA275" s="188">
        <v>50.977500000000006</v>
      </c>
      <c r="AB275" s="188">
        <v>3.0335999999999999</v>
      </c>
      <c r="AC275" s="188">
        <v>28.476000000000003</v>
      </c>
      <c r="AD275" s="179" t="s">
        <v>2939</v>
      </c>
      <c r="AE275" s="188" t="s">
        <v>2940</v>
      </c>
      <c r="AF275" s="189">
        <v>0</v>
      </c>
      <c r="AG275" s="189">
        <v>0.99930555555555556</v>
      </c>
      <c r="AH275" s="190" t="s">
        <v>2976</v>
      </c>
      <c r="AI275" s="190" t="s">
        <v>2985</v>
      </c>
      <c r="AJ275" s="179" t="s">
        <v>440</v>
      </c>
      <c r="AK275" s="179" t="s">
        <v>3000</v>
      </c>
      <c r="AL275" s="179" t="s">
        <v>28</v>
      </c>
      <c r="AM275" s="179" t="s">
        <v>4240</v>
      </c>
      <c r="AN275" s="179" t="s">
        <v>2102</v>
      </c>
      <c r="AO275" s="179" t="s">
        <v>2516</v>
      </c>
      <c r="AP275" s="191">
        <v>81139001307</v>
      </c>
      <c r="AQ275" s="184">
        <v>42338</v>
      </c>
      <c r="AR275" s="179">
        <v>128</v>
      </c>
      <c r="AS275" s="179"/>
      <c r="AT275" s="181" t="s">
        <v>3584</v>
      </c>
      <c r="AU275" s="181" t="s">
        <v>3585</v>
      </c>
      <c r="AV275" s="192">
        <v>18160829</v>
      </c>
      <c r="AW275" s="181">
        <v>19.2</v>
      </c>
      <c r="AX275" s="179">
        <v>80571</v>
      </c>
      <c r="AY275" s="179"/>
    </row>
    <row r="276" spans="1:51" ht="14.4" x14ac:dyDescent="0.3">
      <c r="A276" s="179" t="s">
        <v>275</v>
      </c>
      <c r="B276" s="179" t="s">
        <v>2947</v>
      </c>
      <c r="C276" s="180" t="s">
        <v>4241</v>
      </c>
      <c r="D276" s="181" t="s">
        <v>2853</v>
      </c>
      <c r="E276" s="181" t="s">
        <v>2825</v>
      </c>
      <c r="F276" s="182" t="s">
        <v>2972</v>
      </c>
      <c r="G276" s="181" t="s">
        <v>17</v>
      </c>
      <c r="H276" s="193">
        <v>44987</v>
      </c>
      <c r="I276" s="184"/>
      <c r="J276" s="179" t="s">
        <v>3008</v>
      </c>
      <c r="K276" s="179" t="s">
        <v>3008</v>
      </c>
      <c r="L276" s="179" t="s">
        <v>2932</v>
      </c>
      <c r="M276" s="185"/>
      <c r="N276" s="185" t="s">
        <v>2951</v>
      </c>
      <c r="O276" s="179" t="s">
        <v>2951</v>
      </c>
      <c r="P276" s="185"/>
      <c r="Q276" s="182" t="s">
        <v>2933</v>
      </c>
      <c r="R276" s="182" t="s">
        <v>2934</v>
      </c>
      <c r="S276" s="182" t="s">
        <v>2952</v>
      </c>
      <c r="T276" s="179" t="s">
        <v>2953</v>
      </c>
      <c r="U276" s="179" t="s">
        <v>2954</v>
      </c>
      <c r="V276" s="187">
        <v>717</v>
      </c>
      <c r="W276" s="179" t="s">
        <v>2992</v>
      </c>
      <c r="X276" s="188">
        <v>300.22270000000003</v>
      </c>
      <c r="Y276" s="188">
        <v>190.01760000000002</v>
      </c>
      <c r="Z276" s="188">
        <v>123.49659999999999</v>
      </c>
      <c r="AA276" s="188">
        <v>92.883200000000002</v>
      </c>
      <c r="AB276" s="188">
        <v>13.7004</v>
      </c>
      <c r="AC276" s="188">
        <v>38.19</v>
      </c>
      <c r="AD276" s="179" t="s">
        <v>2984</v>
      </c>
      <c r="AE276" s="188" t="s">
        <v>2940</v>
      </c>
      <c r="AF276" s="189">
        <v>0.25</v>
      </c>
      <c r="AG276" s="189">
        <v>0.95833333333333337</v>
      </c>
      <c r="AH276" s="190" t="s">
        <v>2941</v>
      </c>
      <c r="AI276" s="190" t="s">
        <v>2942</v>
      </c>
      <c r="AJ276" s="179" t="s">
        <v>195</v>
      </c>
      <c r="AK276" s="179" t="s">
        <v>3922</v>
      </c>
      <c r="AL276" s="179" t="s">
        <v>9</v>
      </c>
      <c r="AM276" s="179" t="s">
        <v>4242</v>
      </c>
      <c r="AN276" s="179" t="s">
        <v>2102</v>
      </c>
      <c r="AO276" s="179" t="s">
        <v>2563</v>
      </c>
      <c r="AP276" s="191">
        <v>81139604749</v>
      </c>
      <c r="AQ276" s="184">
        <v>42338</v>
      </c>
      <c r="AR276" s="179">
        <v>128</v>
      </c>
      <c r="AS276" s="179"/>
      <c r="AT276" s="181" t="s">
        <v>4243</v>
      </c>
      <c r="AU276" s="181" t="s">
        <v>2946</v>
      </c>
      <c r="AV276" s="192">
        <v>17175793</v>
      </c>
      <c r="AW276" s="181">
        <v>8.6</v>
      </c>
      <c r="AX276" s="179">
        <v>80353</v>
      </c>
      <c r="AY276" s="179"/>
    </row>
    <row r="277" spans="1:51" ht="14.4" x14ac:dyDescent="0.3">
      <c r="A277" s="179" t="s">
        <v>1521</v>
      </c>
      <c r="B277" s="179" t="s">
        <v>2947</v>
      </c>
      <c r="C277" s="180" t="s">
        <v>4244</v>
      </c>
      <c r="D277" s="181" t="s">
        <v>2863</v>
      </c>
      <c r="E277" s="181" t="s">
        <v>2813</v>
      </c>
      <c r="F277" s="182" t="s">
        <v>2929</v>
      </c>
      <c r="G277" s="181" t="s">
        <v>12</v>
      </c>
      <c r="H277" s="193">
        <v>44987</v>
      </c>
      <c r="I277" s="184"/>
      <c r="J277" s="179" t="s">
        <v>4245</v>
      </c>
      <c r="K277" s="179">
        <v>130</v>
      </c>
      <c r="L277" s="179" t="s">
        <v>2950</v>
      </c>
      <c r="M277" s="185"/>
      <c r="N277" s="185"/>
      <c r="O277" s="186"/>
      <c r="P277" s="185"/>
      <c r="Q277" s="182" t="s">
        <v>2933</v>
      </c>
      <c r="R277" s="182" t="s">
        <v>2934</v>
      </c>
      <c r="S277" s="182" t="s">
        <v>2952</v>
      </c>
      <c r="T277" s="179" t="s">
        <v>2999</v>
      </c>
      <c r="U277" s="179" t="s">
        <v>2954</v>
      </c>
      <c r="V277" s="187">
        <v>1338</v>
      </c>
      <c r="W277" s="179" t="s">
        <v>3657</v>
      </c>
      <c r="X277" s="188">
        <v>200.1</v>
      </c>
      <c r="Y277" s="188">
        <v>127.41999999999999</v>
      </c>
      <c r="Z277" s="188">
        <v>101.29199999999999</v>
      </c>
      <c r="AA277" s="188">
        <v>72.679999999999993</v>
      </c>
      <c r="AB277" s="188">
        <v>9.9359999999999999</v>
      </c>
      <c r="AC277" s="188">
        <v>123.096</v>
      </c>
      <c r="AD277" s="179" t="s">
        <v>2956</v>
      </c>
      <c r="AE277" s="188" t="s">
        <v>2957</v>
      </c>
      <c r="AF277" s="189">
        <v>0</v>
      </c>
      <c r="AG277" s="189">
        <v>0.99930555555555556</v>
      </c>
      <c r="AH277" s="190" t="s">
        <v>2941</v>
      </c>
      <c r="AI277" s="190" t="s">
        <v>2942</v>
      </c>
      <c r="AJ277" s="179" t="s">
        <v>131</v>
      </c>
      <c r="AK277" s="179" t="s">
        <v>3293</v>
      </c>
      <c r="AL277" s="179" t="s">
        <v>9</v>
      </c>
      <c r="AM277" s="179" t="s">
        <v>4246</v>
      </c>
      <c r="AN277" s="179" t="s">
        <v>2102</v>
      </c>
      <c r="AO277" s="179" t="s">
        <v>2522</v>
      </c>
      <c r="AP277" s="191">
        <v>81139003301</v>
      </c>
      <c r="AQ277" s="184">
        <v>42360</v>
      </c>
      <c r="AR277" s="179">
        <v>128</v>
      </c>
      <c r="AS277" s="179"/>
      <c r="AT277" s="181"/>
      <c r="AU277" s="181"/>
      <c r="AV277" s="192">
        <v>20898558</v>
      </c>
      <c r="AW277" s="181">
        <v>32.1</v>
      </c>
      <c r="AX277" s="179">
        <v>80361</v>
      </c>
      <c r="AY277" s="179"/>
    </row>
    <row r="278" spans="1:51" ht="14.4" x14ac:dyDescent="0.3">
      <c r="A278" s="179" t="s">
        <v>378</v>
      </c>
      <c r="B278" s="179" t="s">
        <v>2947</v>
      </c>
      <c r="C278" s="180" t="s">
        <v>4247</v>
      </c>
      <c r="D278" s="181" t="s">
        <v>2860</v>
      </c>
      <c r="E278" s="181" t="s">
        <v>2830</v>
      </c>
      <c r="F278" s="182" t="s">
        <v>2929</v>
      </c>
      <c r="G278" s="181" t="s">
        <v>12</v>
      </c>
      <c r="H278" s="193">
        <v>44315</v>
      </c>
      <c r="I278" s="184">
        <v>44315</v>
      </c>
      <c r="J278" s="179" t="s">
        <v>3008</v>
      </c>
      <c r="K278" s="179" t="s">
        <v>3008</v>
      </c>
      <c r="L278" s="179" t="s">
        <v>2932</v>
      </c>
      <c r="M278" s="185"/>
      <c r="N278" s="185"/>
      <c r="O278" s="186"/>
      <c r="P278" s="185"/>
      <c r="Q278" s="182" t="s">
        <v>2933</v>
      </c>
      <c r="R278" s="182" t="s">
        <v>2934</v>
      </c>
      <c r="S278" s="182" t="s">
        <v>2952</v>
      </c>
      <c r="T278" s="179" t="s">
        <v>2953</v>
      </c>
      <c r="U278" s="179" t="s">
        <v>2954</v>
      </c>
      <c r="V278" s="187">
        <v>1302</v>
      </c>
      <c r="W278" s="179" t="s">
        <v>2992</v>
      </c>
      <c r="X278" s="188">
        <v>234.14599999999999</v>
      </c>
      <c r="Y278" s="188">
        <v>138.76499999999999</v>
      </c>
      <c r="Z278" s="188">
        <v>101.23050000000001</v>
      </c>
      <c r="AA278" s="188">
        <v>88.164000000000001</v>
      </c>
      <c r="AB278" s="188">
        <v>15.5</v>
      </c>
      <c r="AC278" s="188">
        <v>132.7834</v>
      </c>
      <c r="AD278" s="179" t="s">
        <v>2956</v>
      </c>
      <c r="AE278" s="188" t="s">
        <v>2957</v>
      </c>
      <c r="AF278" s="189">
        <v>0.29166666666666669</v>
      </c>
      <c r="AG278" s="189">
        <v>0.95833333333333337</v>
      </c>
      <c r="AH278" s="190" t="s">
        <v>2941</v>
      </c>
      <c r="AI278" s="190" t="s">
        <v>2942</v>
      </c>
      <c r="AJ278" s="179" t="s">
        <v>376</v>
      </c>
      <c r="AK278" s="179" t="s">
        <v>3229</v>
      </c>
      <c r="AL278" s="179" t="s">
        <v>9</v>
      </c>
      <c r="AM278" s="179" t="s">
        <v>4248</v>
      </c>
      <c r="AN278" s="179" t="s">
        <v>2102</v>
      </c>
      <c r="AO278" s="179" t="s">
        <v>2785</v>
      </c>
      <c r="AP278" s="191">
        <v>81139605150</v>
      </c>
      <c r="AQ278" s="184">
        <v>42363</v>
      </c>
      <c r="AR278" s="179">
        <v>128</v>
      </c>
      <c r="AS278" s="179"/>
      <c r="AT278" s="181"/>
      <c r="AU278" s="181"/>
      <c r="AV278" s="192">
        <v>11925145.149126884</v>
      </c>
      <c r="AW278" s="181">
        <v>9</v>
      </c>
      <c r="AX278" s="179">
        <v>80352</v>
      </c>
      <c r="AY278" s="179"/>
    </row>
    <row r="279" spans="1:51" ht="14.4" x14ac:dyDescent="0.3">
      <c r="A279" s="179" t="s">
        <v>577</v>
      </c>
      <c r="B279" s="179" t="s">
        <v>2927</v>
      </c>
      <c r="C279" s="180" t="s">
        <v>4249</v>
      </c>
      <c r="D279" s="181" t="s">
        <v>2869</v>
      </c>
      <c r="E279" s="181" t="s">
        <v>2834</v>
      </c>
      <c r="F279" s="182" t="s">
        <v>2972</v>
      </c>
      <c r="G279" s="181" t="s">
        <v>17</v>
      </c>
      <c r="H279" s="193" t="s">
        <v>2930</v>
      </c>
      <c r="I279" s="184" t="s">
        <v>2930</v>
      </c>
      <c r="J279" s="179" t="s">
        <v>3008</v>
      </c>
      <c r="K279" s="179" t="s">
        <v>3008</v>
      </c>
      <c r="L279" s="179" t="s">
        <v>2932</v>
      </c>
      <c r="M279" s="185"/>
      <c r="N279" s="185"/>
      <c r="O279" s="179" t="s">
        <v>2951</v>
      </c>
      <c r="P279" s="185"/>
      <c r="Q279" s="182" t="s">
        <v>2933</v>
      </c>
      <c r="R279" s="182" t="s">
        <v>2998</v>
      </c>
      <c r="S279" s="182" t="s">
        <v>2952</v>
      </c>
      <c r="T279" s="179" t="s">
        <v>2953</v>
      </c>
      <c r="U279" s="179" t="s">
        <v>2937</v>
      </c>
      <c r="V279" s="179">
        <v>262</v>
      </c>
      <c r="W279" s="179" t="s">
        <v>2992</v>
      </c>
      <c r="X279" s="188">
        <v>381.2817</v>
      </c>
      <c r="Y279" s="188">
        <v>204.85839999999999</v>
      </c>
      <c r="Z279" s="188">
        <v>134.96189999999999</v>
      </c>
      <c r="AA279" s="188">
        <v>142.23430000000002</v>
      </c>
      <c r="AB279" s="188">
        <v>22.046399999999998</v>
      </c>
      <c r="AC279" s="188">
        <v>32.774999999999999</v>
      </c>
      <c r="AD279" s="179" t="s">
        <v>2984</v>
      </c>
      <c r="AE279" s="188" t="s">
        <v>2940</v>
      </c>
      <c r="AF279" s="189">
        <v>0.29166666666666669</v>
      </c>
      <c r="AG279" s="189">
        <v>0.95833333333333337</v>
      </c>
      <c r="AH279" s="190" t="s">
        <v>2941</v>
      </c>
      <c r="AI279" s="190" t="s">
        <v>2942</v>
      </c>
      <c r="AJ279" s="179" t="s">
        <v>575</v>
      </c>
      <c r="AK279" s="179" t="s">
        <v>4250</v>
      </c>
      <c r="AL279" s="179" t="s">
        <v>40</v>
      </c>
      <c r="AM279" s="179" t="s">
        <v>4251</v>
      </c>
      <c r="AN279" s="179" t="s">
        <v>2102</v>
      </c>
      <c r="AO279" s="179" t="s">
        <v>2805</v>
      </c>
      <c r="AP279" s="191">
        <v>81139604761</v>
      </c>
      <c r="AQ279" s="184">
        <v>42367</v>
      </c>
      <c r="AR279" s="179">
        <v>127</v>
      </c>
      <c r="AS279" s="194"/>
      <c r="AT279" s="195" t="s">
        <v>4252</v>
      </c>
      <c r="AU279" s="195" t="s">
        <v>4253</v>
      </c>
      <c r="AV279" s="192">
        <v>6760000</v>
      </c>
      <c r="AW279" s="181">
        <v>99</v>
      </c>
      <c r="AX279" s="179">
        <v>80853</v>
      </c>
      <c r="AY279" s="179"/>
    </row>
    <row r="280" spans="1:51" ht="14.4" x14ac:dyDescent="0.3">
      <c r="A280" s="179" t="s">
        <v>1339</v>
      </c>
      <c r="B280" s="179" t="s">
        <v>2927</v>
      </c>
      <c r="C280" s="180" t="s">
        <v>4254</v>
      </c>
      <c r="D280" s="181" t="s">
        <v>2858</v>
      </c>
      <c r="E280" s="181" t="s">
        <v>2813</v>
      </c>
      <c r="F280" s="182" t="s">
        <v>2929</v>
      </c>
      <c r="G280" s="181" t="s">
        <v>12</v>
      </c>
      <c r="H280" s="193" t="s">
        <v>2930</v>
      </c>
      <c r="I280" s="184" t="s">
        <v>2930</v>
      </c>
      <c r="J280" s="179" t="s">
        <v>4255</v>
      </c>
      <c r="K280" s="179">
        <v>63</v>
      </c>
      <c r="L280" s="179" t="s">
        <v>2965</v>
      </c>
      <c r="M280" s="185"/>
      <c r="N280" s="185"/>
      <c r="O280" s="186"/>
      <c r="P280" s="185"/>
      <c r="Q280" s="182" t="s">
        <v>2934</v>
      </c>
      <c r="R280" s="182" t="s">
        <v>2933</v>
      </c>
      <c r="S280" s="182" t="s">
        <v>2952</v>
      </c>
      <c r="T280" s="179" t="s">
        <v>2953</v>
      </c>
      <c r="U280" s="179" t="s">
        <v>2937</v>
      </c>
      <c r="V280" s="179">
        <v>1288</v>
      </c>
      <c r="W280" s="179" t="s">
        <v>3406</v>
      </c>
      <c r="X280" s="188">
        <v>225.12350000000001</v>
      </c>
      <c r="Y280" s="188">
        <v>143.65080000000003</v>
      </c>
      <c r="Z280" s="188">
        <v>101.964</v>
      </c>
      <c r="AA280" s="188">
        <v>70.824600000000004</v>
      </c>
      <c r="AB280" s="188">
        <v>7.016</v>
      </c>
      <c r="AC280" s="188">
        <v>21.599900000000002</v>
      </c>
      <c r="AD280" s="179" t="s">
        <v>2939</v>
      </c>
      <c r="AE280" s="188" t="s">
        <v>2940</v>
      </c>
      <c r="AF280" s="189">
        <v>0.29166666666666669</v>
      </c>
      <c r="AG280" s="189">
        <v>0.91666666666666663</v>
      </c>
      <c r="AH280" s="190" t="s">
        <v>2941</v>
      </c>
      <c r="AI280" s="190" t="s">
        <v>2942</v>
      </c>
      <c r="AJ280" s="179" t="s">
        <v>694</v>
      </c>
      <c r="AK280" s="179" t="s">
        <v>3010</v>
      </c>
      <c r="AL280" s="179" t="s">
        <v>36</v>
      </c>
      <c r="AM280" s="179" t="s">
        <v>4190</v>
      </c>
      <c r="AN280" s="179" t="s">
        <v>2102</v>
      </c>
      <c r="AO280" s="179" t="s">
        <v>2347</v>
      </c>
      <c r="AP280" s="191">
        <v>81139001065</v>
      </c>
      <c r="AQ280" s="184">
        <v>42369</v>
      </c>
      <c r="AR280" s="179">
        <v>127</v>
      </c>
      <c r="AS280" s="194">
        <v>43282</v>
      </c>
      <c r="AT280" s="195" t="s">
        <v>4256</v>
      </c>
      <c r="AU280" s="195" t="s">
        <v>2946</v>
      </c>
      <c r="AV280" s="192">
        <v>13506000</v>
      </c>
      <c r="AW280" s="181">
        <v>18</v>
      </c>
      <c r="AX280" s="179">
        <v>82121</v>
      </c>
      <c r="AY280" s="179" t="s">
        <v>4257</v>
      </c>
    </row>
    <row r="281" spans="1:51" ht="14.4" x14ac:dyDescent="0.3">
      <c r="A281" s="179" t="s">
        <v>93</v>
      </c>
      <c r="B281" s="179" t="s">
        <v>2927</v>
      </c>
      <c r="C281" s="180" t="s">
        <v>4258</v>
      </c>
      <c r="D281" s="181" t="s">
        <v>2845</v>
      </c>
      <c r="E281" s="181" t="s">
        <v>2821</v>
      </c>
      <c r="F281" s="182" t="s">
        <v>2929</v>
      </c>
      <c r="G281" s="181" t="s">
        <v>12</v>
      </c>
      <c r="H281" s="193" t="s">
        <v>2930</v>
      </c>
      <c r="I281" s="184" t="s">
        <v>2930</v>
      </c>
      <c r="J281" s="179" t="s">
        <v>3008</v>
      </c>
      <c r="K281" s="179" t="s">
        <v>3008</v>
      </c>
      <c r="L281" s="179" t="s">
        <v>2932</v>
      </c>
      <c r="M281" s="185"/>
      <c r="N281" s="185"/>
      <c r="O281" s="186"/>
      <c r="P281" s="185"/>
      <c r="Q281" s="182" t="s">
        <v>2934</v>
      </c>
      <c r="R281" s="182" t="s">
        <v>2933</v>
      </c>
      <c r="S281" s="182" t="s">
        <v>2952</v>
      </c>
      <c r="T281" s="179" t="s">
        <v>2953</v>
      </c>
      <c r="U281" s="179" t="s">
        <v>2937</v>
      </c>
      <c r="V281" s="179">
        <v>1177</v>
      </c>
      <c r="W281" s="179" t="s">
        <v>2955</v>
      </c>
      <c r="X281" s="188">
        <v>293.05079999999998</v>
      </c>
      <c r="Y281" s="188">
        <v>160.2585</v>
      </c>
      <c r="Z281" s="188">
        <v>103.45050000000001</v>
      </c>
      <c r="AA281" s="188">
        <v>111.24</v>
      </c>
      <c r="AB281" s="188">
        <v>18.96</v>
      </c>
      <c r="AC281" s="188">
        <v>38.158200000000001</v>
      </c>
      <c r="AD281" s="179" t="s">
        <v>2984</v>
      </c>
      <c r="AE281" s="188" t="s">
        <v>2940</v>
      </c>
      <c r="AF281" s="189">
        <v>0.29166666666666669</v>
      </c>
      <c r="AG281" s="189">
        <v>0.95833333333333337</v>
      </c>
      <c r="AH281" s="190" t="s">
        <v>2941</v>
      </c>
      <c r="AI281" s="190" t="s">
        <v>2942</v>
      </c>
      <c r="AJ281" s="179" t="s">
        <v>91</v>
      </c>
      <c r="AK281" s="179" t="s">
        <v>2963</v>
      </c>
      <c r="AL281" s="179" t="s">
        <v>90</v>
      </c>
      <c r="AM281" s="179" t="s">
        <v>4259</v>
      </c>
      <c r="AN281" s="179" t="s">
        <v>2102</v>
      </c>
      <c r="AO281" s="179" t="s">
        <v>2386</v>
      </c>
      <c r="AP281" s="191">
        <v>81139007918</v>
      </c>
      <c r="AQ281" s="184">
        <v>42369</v>
      </c>
      <c r="AR281" s="179">
        <v>127</v>
      </c>
      <c r="AS281" s="194">
        <v>42373</v>
      </c>
      <c r="AT281" s="195" t="s">
        <v>4260</v>
      </c>
      <c r="AU281" s="195" t="s">
        <v>2946</v>
      </c>
      <c r="AV281" s="192">
        <v>8960000</v>
      </c>
      <c r="AW281" s="181">
        <v>91.4</v>
      </c>
      <c r="AX281" s="179">
        <v>82218</v>
      </c>
      <c r="AY281" s="179" t="s">
        <v>4261</v>
      </c>
    </row>
    <row r="282" spans="1:51" ht="14.4" x14ac:dyDescent="0.3">
      <c r="A282" s="179" t="s">
        <v>1248</v>
      </c>
      <c r="B282" s="179" t="s">
        <v>2947</v>
      </c>
      <c r="C282" s="180" t="s">
        <v>4262</v>
      </c>
      <c r="D282" s="181" t="s">
        <v>2872</v>
      </c>
      <c r="E282" s="181" t="s">
        <v>2840</v>
      </c>
      <c r="F282" s="182" t="s">
        <v>2972</v>
      </c>
      <c r="G282" s="181" t="s">
        <v>17</v>
      </c>
      <c r="H282" s="193" t="s">
        <v>2930</v>
      </c>
      <c r="I282" s="184"/>
      <c r="J282" s="179" t="s">
        <v>4263</v>
      </c>
      <c r="K282" s="179">
        <v>110</v>
      </c>
      <c r="L282" s="179" t="s">
        <v>2965</v>
      </c>
      <c r="M282" s="185"/>
      <c r="N282" s="185"/>
      <c r="O282" s="179" t="s">
        <v>2951</v>
      </c>
      <c r="P282" s="185"/>
      <c r="Q282" s="182" t="s">
        <v>2933</v>
      </c>
      <c r="R282" s="182" t="s">
        <v>2934</v>
      </c>
      <c r="S282" s="182" t="s">
        <v>2952</v>
      </c>
      <c r="T282" s="179" t="s">
        <v>2953</v>
      </c>
      <c r="U282" s="179" t="s">
        <v>2954</v>
      </c>
      <c r="V282" s="187">
        <v>1174</v>
      </c>
      <c r="W282" s="179" t="s">
        <v>3140</v>
      </c>
      <c r="X282" s="188">
        <v>331.83</v>
      </c>
      <c r="Y282" s="188">
        <v>193.99499999999998</v>
      </c>
      <c r="Z282" s="188">
        <v>119.86499999999999</v>
      </c>
      <c r="AA282" s="188">
        <v>122.76</v>
      </c>
      <c r="AB282" s="188">
        <v>19.649999999999999</v>
      </c>
      <c r="AC282" s="188">
        <v>38.417999999999999</v>
      </c>
      <c r="AD282" s="179" t="s">
        <v>2984</v>
      </c>
      <c r="AE282" s="188" t="s">
        <v>2940</v>
      </c>
      <c r="AF282" s="189">
        <v>0.29166666666666669</v>
      </c>
      <c r="AG282" s="189">
        <v>0.95833333333333337</v>
      </c>
      <c r="AH282" s="190" t="s">
        <v>2941</v>
      </c>
      <c r="AI282" s="190" t="s">
        <v>2942</v>
      </c>
      <c r="AJ282" s="179" t="s">
        <v>1246</v>
      </c>
      <c r="AK282" s="179" t="s">
        <v>3055</v>
      </c>
      <c r="AL282" s="179" t="s">
        <v>48</v>
      </c>
      <c r="AM282" s="179" t="s">
        <v>4264</v>
      </c>
      <c r="AN282" s="179" t="s">
        <v>2102</v>
      </c>
      <c r="AO282" s="179" t="s">
        <v>2480</v>
      </c>
      <c r="AP282" s="191">
        <v>81139001527</v>
      </c>
      <c r="AQ282" s="184">
        <v>42369</v>
      </c>
      <c r="AR282" s="179">
        <v>127</v>
      </c>
      <c r="AS282" s="179"/>
      <c r="AT282" s="181" t="s">
        <v>4265</v>
      </c>
      <c r="AU282" s="181" t="s">
        <v>4266</v>
      </c>
      <c r="AV282" s="192">
        <v>10200000</v>
      </c>
      <c r="AW282" s="181">
        <v>80.7</v>
      </c>
      <c r="AX282" s="179">
        <v>81153</v>
      </c>
      <c r="AY282" s="179"/>
    </row>
    <row r="283" spans="1:51" ht="14.4" x14ac:dyDescent="0.3">
      <c r="A283" s="179" t="s">
        <v>1086</v>
      </c>
      <c r="B283" s="179" t="s">
        <v>2947</v>
      </c>
      <c r="C283" s="180" t="s">
        <v>4267</v>
      </c>
      <c r="D283" s="181" t="s">
        <v>2848</v>
      </c>
      <c r="E283" s="181" t="s">
        <v>2827</v>
      </c>
      <c r="F283" s="182" t="s">
        <v>2929</v>
      </c>
      <c r="G283" s="181" t="s">
        <v>12</v>
      </c>
      <c r="H283" s="193" t="s">
        <v>2930</v>
      </c>
      <c r="I283" s="184" t="s">
        <v>2930</v>
      </c>
      <c r="J283" s="179" t="s">
        <v>4268</v>
      </c>
      <c r="K283" s="179">
        <v>600</v>
      </c>
      <c r="L283" s="179" t="s">
        <v>3026</v>
      </c>
      <c r="M283" s="185"/>
      <c r="N283" s="185" t="s">
        <v>2951</v>
      </c>
      <c r="O283" s="186"/>
      <c r="P283" s="185"/>
      <c r="Q283" s="182" t="s">
        <v>2934</v>
      </c>
      <c r="R283" s="182" t="s">
        <v>2933</v>
      </c>
      <c r="S283" s="182" t="s">
        <v>2935</v>
      </c>
      <c r="T283" s="179" t="s">
        <v>2953</v>
      </c>
      <c r="U283" s="179" t="s">
        <v>2954</v>
      </c>
      <c r="V283" s="179">
        <v>703</v>
      </c>
      <c r="W283" s="179" t="s">
        <v>3140</v>
      </c>
      <c r="X283" s="188">
        <v>410.07359999999994</v>
      </c>
      <c r="Y283" s="188">
        <v>306.57779999999997</v>
      </c>
      <c r="Z283" s="188">
        <v>122.48660000000002</v>
      </c>
      <c r="AA283" s="188">
        <v>93.456000000000003</v>
      </c>
      <c r="AB283" s="188">
        <v>15.690000000000001</v>
      </c>
      <c r="AC283" s="188">
        <v>155.37899999999999</v>
      </c>
      <c r="AD283" s="179" t="s">
        <v>2956</v>
      </c>
      <c r="AE283" s="188" t="s">
        <v>2940</v>
      </c>
      <c r="AF283" s="189">
        <v>0.29166666666666669</v>
      </c>
      <c r="AG283" s="189">
        <v>0.91666666666666663</v>
      </c>
      <c r="AH283" s="190" t="s">
        <v>2941</v>
      </c>
      <c r="AI283" s="190" t="s">
        <v>2942</v>
      </c>
      <c r="AJ283" s="179" t="s">
        <v>1084</v>
      </c>
      <c r="AK283" s="179" t="s">
        <v>3617</v>
      </c>
      <c r="AL283" s="179" t="s">
        <v>48</v>
      </c>
      <c r="AM283" s="179" t="s">
        <v>4269</v>
      </c>
      <c r="AN283" s="179" t="s">
        <v>2102</v>
      </c>
      <c r="AO283" s="179" t="s">
        <v>2523</v>
      </c>
      <c r="AP283" s="191">
        <v>81139000781</v>
      </c>
      <c r="AQ283" s="184">
        <v>42369</v>
      </c>
      <c r="AR283" s="179">
        <v>127</v>
      </c>
      <c r="AS283" s="179"/>
      <c r="AT283" s="181" t="s">
        <v>4270</v>
      </c>
      <c r="AU283" s="181" t="s">
        <v>4271</v>
      </c>
      <c r="AV283" s="192">
        <v>10245200</v>
      </c>
      <c r="AW283" s="181">
        <v>85.2</v>
      </c>
      <c r="AX283" s="179">
        <v>81155</v>
      </c>
      <c r="AY283" s="179"/>
    </row>
    <row r="284" spans="1:51" ht="14.4" x14ac:dyDescent="0.3">
      <c r="A284" s="179" t="s">
        <v>722</v>
      </c>
      <c r="B284" s="179" t="s">
        <v>2927</v>
      </c>
      <c r="C284" s="180" t="s">
        <v>4272</v>
      </c>
      <c r="D284" s="181" t="s">
        <v>2851</v>
      </c>
      <c r="E284" s="181" t="s">
        <v>2817</v>
      </c>
      <c r="F284" s="182" t="s">
        <v>2929</v>
      </c>
      <c r="G284" s="181" t="s">
        <v>12</v>
      </c>
      <c r="H284" s="193" t="s">
        <v>2930</v>
      </c>
      <c r="I284" s="184" t="s">
        <v>2930</v>
      </c>
      <c r="J284" s="179" t="s">
        <v>4273</v>
      </c>
      <c r="K284" s="179">
        <v>200</v>
      </c>
      <c r="L284" s="179" t="s">
        <v>2950</v>
      </c>
      <c r="M284" s="185"/>
      <c r="N284" s="185"/>
      <c r="O284" s="186"/>
      <c r="P284" s="185"/>
      <c r="Q284" s="182" t="s">
        <v>2934</v>
      </c>
      <c r="R284" s="182" t="s">
        <v>2933</v>
      </c>
      <c r="S284" s="182" t="s">
        <v>2952</v>
      </c>
      <c r="T284" s="179" t="s">
        <v>2953</v>
      </c>
      <c r="U284" s="179" t="s">
        <v>2937</v>
      </c>
      <c r="V284" s="179">
        <v>1080</v>
      </c>
      <c r="W284" s="179" t="s">
        <v>3109</v>
      </c>
      <c r="X284" s="188">
        <v>335.53550000000001</v>
      </c>
      <c r="Y284" s="188">
        <v>267.51549999999997</v>
      </c>
      <c r="Z284" s="188">
        <v>117.76860000000001</v>
      </c>
      <c r="AA284" s="188">
        <v>63.075200000000002</v>
      </c>
      <c r="AB284" s="188">
        <v>38.844999999999999</v>
      </c>
      <c r="AC284" s="188">
        <v>66.452000000000012</v>
      </c>
      <c r="AD284" s="179" t="s">
        <v>2956</v>
      </c>
      <c r="AE284" s="188" t="s">
        <v>2940</v>
      </c>
      <c r="AF284" s="189">
        <v>0</v>
      </c>
      <c r="AG284" s="189">
        <v>0.99930555555555556</v>
      </c>
      <c r="AH284" s="190" t="s">
        <v>2941</v>
      </c>
      <c r="AI284" s="190" t="s">
        <v>2985</v>
      </c>
      <c r="AJ284" s="179" t="s">
        <v>256</v>
      </c>
      <c r="AK284" s="179" t="s">
        <v>3256</v>
      </c>
      <c r="AL284" s="179" t="s">
        <v>4</v>
      </c>
      <c r="AM284" s="179" t="s">
        <v>4274</v>
      </c>
      <c r="AN284" s="179" t="s">
        <v>2102</v>
      </c>
      <c r="AO284" s="179" t="s">
        <v>2372</v>
      </c>
      <c r="AP284" s="191">
        <v>81139001394</v>
      </c>
      <c r="AQ284" s="184">
        <v>42369</v>
      </c>
      <c r="AR284" s="179">
        <v>127</v>
      </c>
      <c r="AS284" s="194" t="s">
        <v>4275</v>
      </c>
      <c r="AT284" s="195" t="s">
        <v>4276</v>
      </c>
      <c r="AU284" s="195" t="s">
        <v>2946</v>
      </c>
      <c r="AV284" s="192">
        <v>21268151</v>
      </c>
      <c r="AW284" s="181">
        <v>26.5</v>
      </c>
      <c r="AX284" s="179">
        <v>80221</v>
      </c>
      <c r="AY284" s="179" t="s">
        <v>4277</v>
      </c>
    </row>
    <row r="285" spans="1:51" ht="14.4" x14ac:dyDescent="0.3">
      <c r="A285" s="179" t="s">
        <v>1790</v>
      </c>
      <c r="B285" s="179" t="s">
        <v>2947</v>
      </c>
      <c r="C285" s="180" t="s">
        <v>3065</v>
      </c>
      <c r="D285" s="181" t="s">
        <v>2820</v>
      </c>
      <c r="E285" s="181" t="s">
        <v>2819</v>
      </c>
      <c r="F285" s="182" t="s">
        <v>2929</v>
      </c>
      <c r="G285" s="181" t="s">
        <v>12</v>
      </c>
      <c r="H285" s="193">
        <v>44056</v>
      </c>
      <c r="I285" s="184">
        <v>44056</v>
      </c>
      <c r="J285" s="179" t="s">
        <v>4278</v>
      </c>
      <c r="K285" s="179">
        <v>56</v>
      </c>
      <c r="L285" s="179" t="s">
        <v>2965</v>
      </c>
      <c r="M285" s="185"/>
      <c r="N285" s="185"/>
      <c r="O285" s="186"/>
      <c r="P285" s="185"/>
      <c r="Q285" s="182" t="s">
        <v>2933</v>
      </c>
      <c r="R285" s="182" t="s">
        <v>2934</v>
      </c>
      <c r="S285" s="182" t="s">
        <v>2952</v>
      </c>
      <c r="T285" s="179" t="s">
        <v>2953</v>
      </c>
      <c r="U285" s="179" t="s">
        <v>2954</v>
      </c>
      <c r="V285" s="187">
        <v>793</v>
      </c>
      <c r="W285" s="179" t="s">
        <v>2992</v>
      </c>
      <c r="X285" s="188">
        <v>293.57099999999997</v>
      </c>
      <c r="Y285" s="188">
        <v>176.541</v>
      </c>
      <c r="Z285" s="188">
        <v>120.86149999999999</v>
      </c>
      <c r="AA285" s="188">
        <v>98.087000000000018</v>
      </c>
      <c r="AB285" s="188">
        <v>18.075000000000003</v>
      </c>
      <c r="AC285" s="188">
        <v>181.79</v>
      </c>
      <c r="AD285" s="179" t="s">
        <v>2956</v>
      </c>
      <c r="AE285" s="188" t="s">
        <v>2957</v>
      </c>
      <c r="AF285" s="189">
        <v>0.29166666666666669</v>
      </c>
      <c r="AG285" s="189">
        <v>0.91666666666666663</v>
      </c>
      <c r="AH285" s="190" t="s">
        <v>2941</v>
      </c>
      <c r="AI285" s="190" t="s">
        <v>2942</v>
      </c>
      <c r="AJ285" s="179" t="s">
        <v>953</v>
      </c>
      <c r="AK285" s="179" t="s">
        <v>2958</v>
      </c>
      <c r="AL285" s="179" t="s">
        <v>4</v>
      </c>
      <c r="AM285" s="179" t="s">
        <v>4279</v>
      </c>
      <c r="AN285" s="179" t="s">
        <v>2102</v>
      </c>
      <c r="AO285" s="179" t="s">
        <v>2716</v>
      </c>
      <c r="AP285" s="191">
        <v>81139609955</v>
      </c>
      <c r="AQ285" s="184">
        <v>42369</v>
      </c>
      <c r="AR285" s="179">
        <v>127</v>
      </c>
      <c r="AS285" s="179"/>
      <c r="AT285" s="181" t="s">
        <v>4280</v>
      </c>
      <c r="AU285" s="181" t="s">
        <v>2946</v>
      </c>
      <c r="AV285" s="192">
        <v>11982796</v>
      </c>
      <c r="AW285" s="181">
        <v>21</v>
      </c>
      <c r="AX285" s="179">
        <v>80117</v>
      </c>
      <c r="AY285" s="179"/>
    </row>
    <row r="286" spans="1:51" ht="14.4" x14ac:dyDescent="0.3">
      <c r="A286" s="179" t="s">
        <v>890</v>
      </c>
      <c r="B286" s="179" t="s">
        <v>2947</v>
      </c>
      <c r="C286" s="180" t="s">
        <v>4281</v>
      </c>
      <c r="D286" s="181" t="s">
        <v>2848</v>
      </c>
      <c r="E286" s="181" t="s">
        <v>2827</v>
      </c>
      <c r="F286" s="182" t="s">
        <v>2929</v>
      </c>
      <c r="G286" s="181" t="s">
        <v>12</v>
      </c>
      <c r="H286" s="193" t="s">
        <v>2930</v>
      </c>
      <c r="I286" s="184" t="s">
        <v>2930</v>
      </c>
      <c r="J286" s="179" t="s">
        <v>4282</v>
      </c>
      <c r="K286" s="179">
        <v>3900</v>
      </c>
      <c r="L286" s="179" t="s">
        <v>2932</v>
      </c>
      <c r="M286" s="185"/>
      <c r="N286" s="185"/>
      <c r="O286" s="186"/>
      <c r="P286" s="185"/>
      <c r="Q286" s="182" t="s">
        <v>2933</v>
      </c>
      <c r="R286" s="182" t="s">
        <v>2934</v>
      </c>
      <c r="S286" s="182" t="s">
        <v>2935</v>
      </c>
      <c r="T286" s="179" t="s">
        <v>2953</v>
      </c>
      <c r="U286" s="179" t="s">
        <v>2954</v>
      </c>
      <c r="V286" s="187">
        <v>1102</v>
      </c>
      <c r="W286" s="179" t="s">
        <v>3140</v>
      </c>
      <c r="X286" s="188">
        <v>375.31779999999998</v>
      </c>
      <c r="Y286" s="188">
        <v>172.71540000000002</v>
      </c>
      <c r="Z286" s="188">
        <v>110.075</v>
      </c>
      <c r="AA286" s="188">
        <v>177.90789999999998</v>
      </c>
      <c r="AB286" s="188">
        <v>17.850000000000001</v>
      </c>
      <c r="AC286" s="188">
        <v>31.163600000000002</v>
      </c>
      <c r="AD286" s="179" t="s">
        <v>2984</v>
      </c>
      <c r="AE286" s="188" t="s">
        <v>2940</v>
      </c>
      <c r="AF286" s="189">
        <v>0.29166666666666669</v>
      </c>
      <c r="AG286" s="189">
        <v>0.91666666666666663</v>
      </c>
      <c r="AH286" s="190" t="s">
        <v>2941</v>
      </c>
      <c r="AI286" s="190" t="s">
        <v>2942</v>
      </c>
      <c r="AJ286" s="179" t="s">
        <v>888</v>
      </c>
      <c r="AK286" s="179" t="s">
        <v>3617</v>
      </c>
      <c r="AL286" s="179" t="s">
        <v>48</v>
      </c>
      <c r="AM286" s="179" t="s">
        <v>4283</v>
      </c>
      <c r="AN286" s="179" t="s">
        <v>2102</v>
      </c>
      <c r="AO286" s="179" t="s">
        <v>2527</v>
      </c>
      <c r="AP286" s="191">
        <v>81139604742</v>
      </c>
      <c r="AQ286" s="184">
        <v>42400</v>
      </c>
      <c r="AR286" s="179">
        <v>126</v>
      </c>
      <c r="AS286" s="179"/>
      <c r="AT286" s="181"/>
      <c r="AU286" s="181"/>
      <c r="AV286" s="192">
        <v>11562440</v>
      </c>
      <c r="AW286" s="181">
        <v>80.5</v>
      </c>
      <c r="AX286" s="179">
        <v>81155</v>
      </c>
      <c r="AY286" s="179"/>
    </row>
    <row r="287" spans="1:51" ht="14.4" x14ac:dyDescent="0.3">
      <c r="A287" s="179" t="s">
        <v>447</v>
      </c>
      <c r="B287" s="179" t="s">
        <v>2927</v>
      </c>
      <c r="C287" s="180" t="s">
        <v>4284</v>
      </c>
      <c r="D287" s="181" t="s">
        <v>2822</v>
      </c>
      <c r="E287" s="181" t="s">
        <v>2821</v>
      </c>
      <c r="F287" s="182" t="s">
        <v>2929</v>
      </c>
      <c r="G287" s="181" t="s">
        <v>12</v>
      </c>
      <c r="H287" s="193" t="s">
        <v>2930</v>
      </c>
      <c r="I287" s="184"/>
      <c r="J287" s="179" t="s">
        <v>4285</v>
      </c>
      <c r="K287" s="179">
        <v>70</v>
      </c>
      <c r="L287" s="179" t="s">
        <v>2965</v>
      </c>
      <c r="M287" s="185"/>
      <c r="N287" s="185"/>
      <c r="O287" s="186"/>
      <c r="P287" s="185"/>
      <c r="Q287" s="182" t="s">
        <v>2933</v>
      </c>
      <c r="R287" s="182" t="s">
        <v>2934</v>
      </c>
      <c r="S287" s="182" t="s">
        <v>2952</v>
      </c>
      <c r="T287" s="179" t="s">
        <v>2953</v>
      </c>
      <c r="U287" s="179" t="s">
        <v>2937</v>
      </c>
      <c r="V287" s="187">
        <v>687</v>
      </c>
      <c r="W287" s="179" t="s">
        <v>2955</v>
      </c>
      <c r="X287" s="188">
        <v>272.40500000000003</v>
      </c>
      <c r="Y287" s="188">
        <v>160.94999999999999</v>
      </c>
      <c r="Z287" s="188">
        <v>102.05579999999999</v>
      </c>
      <c r="AA287" s="188">
        <v>90.944000000000003</v>
      </c>
      <c r="AB287" s="188">
        <v>10.24</v>
      </c>
      <c r="AC287" s="188">
        <v>29.025000000000002</v>
      </c>
      <c r="AD287" s="179" t="s">
        <v>2939</v>
      </c>
      <c r="AE287" s="188" t="s">
        <v>2940</v>
      </c>
      <c r="AF287" s="189">
        <v>0.29166666666666669</v>
      </c>
      <c r="AG287" s="189">
        <v>0.91666666666666663</v>
      </c>
      <c r="AH287" s="190" t="s">
        <v>2941</v>
      </c>
      <c r="AI287" s="190" t="s">
        <v>2942</v>
      </c>
      <c r="AJ287" s="179" t="s">
        <v>445</v>
      </c>
      <c r="AK287" s="179" t="s">
        <v>3281</v>
      </c>
      <c r="AL287" s="179" t="s">
        <v>36</v>
      </c>
      <c r="AM287" s="179" t="s">
        <v>4286</v>
      </c>
      <c r="AN287" s="179" t="s">
        <v>2102</v>
      </c>
      <c r="AO287" s="179" t="s">
        <v>2338</v>
      </c>
      <c r="AP287" s="191">
        <v>81139000791</v>
      </c>
      <c r="AQ287" s="184">
        <v>42400</v>
      </c>
      <c r="AR287" s="179">
        <v>126</v>
      </c>
      <c r="AS287" s="194">
        <v>43405</v>
      </c>
      <c r="AT287" s="195" t="s">
        <v>4287</v>
      </c>
      <c r="AU287" s="195" t="s">
        <v>2946</v>
      </c>
      <c r="AV287" s="192">
        <v>11820000</v>
      </c>
      <c r="AW287" s="181">
        <v>20.6</v>
      </c>
      <c r="AX287" s="179">
        <v>82161</v>
      </c>
      <c r="AY287" s="179" t="s">
        <v>4288</v>
      </c>
    </row>
    <row r="288" spans="1:51" ht="14.4" x14ac:dyDescent="0.3">
      <c r="A288" s="179" t="s">
        <v>296</v>
      </c>
      <c r="B288" s="179" t="s">
        <v>2947</v>
      </c>
      <c r="C288" s="180" t="s">
        <v>4289</v>
      </c>
      <c r="D288" s="181" t="s">
        <v>2862</v>
      </c>
      <c r="E288" s="181" t="s">
        <v>2819</v>
      </c>
      <c r="F288" s="182" t="s">
        <v>2929</v>
      </c>
      <c r="G288" s="181" t="s">
        <v>12</v>
      </c>
      <c r="H288" s="193">
        <v>45087</v>
      </c>
      <c r="I288" s="184"/>
      <c r="J288" s="179" t="s">
        <v>4290</v>
      </c>
      <c r="K288" s="179">
        <v>25</v>
      </c>
      <c r="L288" s="179" t="s">
        <v>2965</v>
      </c>
      <c r="M288" s="185"/>
      <c r="N288" s="185"/>
      <c r="O288" s="186"/>
      <c r="P288" s="185"/>
      <c r="Q288" s="182" t="s">
        <v>2933</v>
      </c>
      <c r="R288" s="182" t="s">
        <v>2934</v>
      </c>
      <c r="S288" s="182" t="s">
        <v>2952</v>
      </c>
      <c r="T288" s="179" t="s">
        <v>2999</v>
      </c>
      <c r="U288" s="179" t="s">
        <v>2954</v>
      </c>
      <c r="V288" s="187">
        <v>491</v>
      </c>
      <c r="W288" s="179" t="s">
        <v>3063</v>
      </c>
      <c r="X288" s="188">
        <v>253.19840000000002</v>
      </c>
      <c r="Y288" s="188">
        <v>147.46720000000002</v>
      </c>
      <c r="Z288" s="188">
        <v>102.86060000000001</v>
      </c>
      <c r="AA288" s="188">
        <v>84.863200000000006</v>
      </c>
      <c r="AB288" s="188">
        <v>9.0919000000000008</v>
      </c>
      <c r="AC288" s="188">
        <v>28.899200000000004</v>
      </c>
      <c r="AD288" s="179" t="s">
        <v>2939</v>
      </c>
      <c r="AE288" s="188" t="s">
        <v>2940</v>
      </c>
      <c r="AF288" s="189">
        <v>0.29166666666666669</v>
      </c>
      <c r="AG288" s="189">
        <v>0.95833333333333337</v>
      </c>
      <c r="AH288" s="190" t="s">
        <v>2941</v>
      </c>
      <c r="AI288" s="190" t="s">
        <v>2942</v>
      </c>
      <c r="AJ288" s="179" t="s">
        <v>137</v>
      </c>
      <c r="AK288" s="179" t="s">
        <v>2977</v>
      </c>
      <c r="AL288" s="179" t="s">
        <v>9</v>
      </c>
      <c r="AM288" s="179" t="s">
        <v>4291</v>
      </c>
      <c r="AN288" s="179" t="s">
        <v>2102</v>
      </c>
      <c r="AO288" s="179" t="s">
        <v>2596</v>
      </c>
      <c r="AP288" s="191">
        <v>81139000796</v>
      </c>
      <c r="AQ288" s="184">
        <v>42400</v>
      </c>
      <c r="AR288" s="179">
        <v>126</v>
      </c>
      <c r="AS288" s="179"/>
      <c r="AT288" s="181" t="s">
        <v>4292</v>
      </c>
      <c r="AU288" s="181" t="s">
        <v>2946</v>
      </c>
      <c r="AV288" s="192">
        <v>15653615</v>
      </c>
      <c r="AW288" s="181">
        <v>23.5</v>
      </c>
      <c r="AX288" s="179">
        <v>80363</v>
      </c>
      <c r="AY288" s="179"/>
    </row>
    <row r="289" spans="1:51" ht="14.4" x14ac:dyDescent="0.3">
      <c r="A289" s="179" t="s">
        <v>934</v>
      </c>
      <c r="B289" s="179" t="s">
        <v>2927</v>
      </c>
      <c r="C289" s="180" t="s">
        <v>3296</v>
      </c>
      <c r="D289" s="181" t="s">
        <v>2845</v>
      </c>
      <c r="E289" s="181" t="s">
        <v>2821</v>
      </c>
      <c r="F289" s="182" t="s">
        <v>2929</v>
      </c>
      <c r="G289" s="181" t="s">
        <v>12</v>
      </c>
      <c r="H289" s="193" t="s">
        <v>2930</v>
      </c>
      <c r="I289" s="184" t="s">
        <v>2930</v>
      </c>
      <c r="J289" s="179" t="s">
        <v>4293</v>
      </c>
      <c r="K289" s="179">
        <v>800</v>
      </c>
      <c r="L289" s="179" t="s">
        <v>3026</v>
      </c>
      <c r="M289" s="185"/>
      <c r="N289" s="185"/>
      <c r="O289" s="186"/>
      <c r="P289" s="185"/>
      <c r="Q289" s="182" t="s">
        <v>2933</v>
      </c>
      <c r="R289" s="182" t="s">
        <v>2934</v>
      </c>
      <c r="S289" s="182" t="s">
        <v>2952</v>
      </c>
      <c r="T289" s="179" t="s">
        <v>2953</v>
      </c>
      <c r="U289" s="179" t="s">
        <v>2937</v>
      </c>
      <c r="V289" s="187">
        <v>0</v>
      </c>
      <c r="W289" s="179" t="s">
        <v>2955</v>
      </c>
      <c r="X289" s="188">
        <v>327.03999999999996</v>
      </c>
      <c r="Y289" s="188">
        <v>168.48399999999998</v>
      </c>
      <c r="Z289" s="188">
        <v>108.03239999999998</v>
      </c>
      <c r="AA289" s="188">
        <v>136.364</v>
      </c>
      <c r="AB289" s="188">
        <v>36.010799999999996</v>
      </c>
      <c r="AC289" s="188">
        <v>37.729999999999997</v>
      </c>
      <c r="AD289" s="179" t="s">
        <v>2984</v>
      </c>
      <c r="AE289" s="188" t="s">
        <v>2940</v>
      </c>
      <c r="AF289" s="189">
        <v>0.29166666666666669</v>
      </c>
      <c r="AG289" s="189">
        <v>0.91666666666666663</v>
      </c>
      <c r="AH289" s="190" t="s">
        <v>2941</v>
      </c>
      <c r="AI289" s="190" t="s">
        <v>2942</v>
      </c>
      <c r="AJ289" s="179" t="s">
        <v>932</v>
      </c>
      <c r="AK289" s="179" t="s">
        <v>90</v>
      </c>
      <c r="AL289" s="179" t="s">
        <v>90</v>
      </c>
      <c r="AM289" s="179" t="s">
        <v>4294</v>
      </c>
      <c r="AN289" s="179" t="s">
        <v>2102</v>
      </c>
      <c r="AO289" s="179" t="s">
        <v>2316</v>
      </c>
      <c r="AP289" s="191"/>
      <c r="AQ289" s="184">
        <v>42420</v>
      </c>
      <c r="AR289" s="179">
        <v>126</v>
      </c>
      <c r="AS289" s="194"/>
      <c r="AT289" s="195" t="s">
        <v>4295</v>
      </c>
      <c r="AU289" s="195" t="s">
        <v>2946</v>
      </c>
      <c r="AV289" s="192">
        <v>7500000</v>
      </c>
      <c r="AW289" s="181">
        <v>83</v>
      </c>
      <c r="AX289" s="179">
        <v>82218</v>
      </c>
      <c r="AY289" s="179"/>
    </row>
    <row r="290" spans="1:51" ht="14.4" x14ac:dyDescent="0.3">
      <c r="A290" s="179" t="s">
        <v>1491</v>
      </c>
      <c r="B290" s="179" t="s">
        <v>2927</v>
      </c>
      <c r="C290" s="180" t="s">
        <v>4296</v>
      </c>
      <c r="D290" s="181" t="s">
        <v>2838</v>
      </c>
      <c r="E290" s="181" t="s">
        <v>2830</v>
      </c>
      <c r="F290" s="182" t="s">
        <v>2929</v>
      </c>
      <c r="G290" s="181" t="s">
        <v>12</v>
      </c>
      <c r="H290" s="193" t="s">
        <v>2930</v>
      </c>
      <c r="I290" s="184" t="s">
        <v>2930</v>
      </c>
      <c r="J290" s="179" t="s">
        <v>3008</v>
      </c>
      <c r="K290" s="179" t="s">
        <v>3008</v>
      </c>
      <c r="L290" s="179" t="s">
        <v>2932</v>
      </c>
      <c r="M290" s="185"/>
      <c r="N290" s="185"/>
      <c r="O290" s="186"/>
      <c r="P290" s="185"/>
      <c r="Q290" s="182" t="s">
        <v>2934</v>
      </c>
      <c r="R290" s="182" t="s">
        <v>2933</v>
      </c>
      <c r="S290" s="182" t="s">
        <v>2952</v>
      </c>
      <c r="T290" s="179" t="s">
        <v>2953</v>
      </c>
      <c r="U290" s="179" t="s">
        <v>2937</v>
      </c>
      <c r="V290" s="179">
        <v>1231</v>
      </c>
      <c r="W290" s="179" t="s">
        <v>3651</v>
      </c>
      <c r="X290" s="188">
        <v>186.2294</v>
      </c>
      <c r="Y290" s="188">
        <v>120.39320000000001</v>
      </c>
      <c r="Z290" s="188">
        <v>88.264800000000008</v>
      </c>
      <c r="AA290" s="188">
        <v>51.116599999999991</v>
      </c>
      <c r="AB290" s="188">
        <v>12.452999999999999</v>
      </c>
      <c r="AC290" s="188">
        <v>46.32</v>
      </c>
      <c r="AD290" s="179" t="s">
        <v>2984</v>
      </c>
      <c r="AE290" s="188" t="s">
        <v>2957</v>
      </c>
      <c r="AF290" s="189">
        <v>0.29166666666666669</v>
      </c>
      <c r="AG290" s="189">
        <v>0.91666666666666663</v>
      </c>
      <c r="AH290" s="190" t="s">
        <v>2941</v>
      </c>
      <c r="AI290" s="190" t="s">
        <v>2942</v>
      </c>
      <c r="AJ290" s="179" t="s">
        <v>508</v>
      </c>
      <c r="AK290" s="179" t="s">
        <v>3034</v>
      </c>
      <c r="AL290" s="179" t="s">
        <v>4</v>
      </c>
      <c r="AM290" s="179" t="s">
        <v>4297</v>
      </c>
      <c r="AN290" s="179" t="s">
        <v>2102</v>
      </c>
      <c r="AO290" s="179" t="s">
        <v>2278</v>
      </c>
      <c r="AP290" s="191">
        <v>81139605036</v>
      </c>
      <c r="AQ290" s="184">
        <v>42429</v>
      </c>
      <c r="AR290" s="179">
        <v>125</v>
      </c>
      <c r="AS290" s="194"/>
      <c r="AT290" s="195" t="s">
        <v>4298</v>
      </c>
      <c r="AU290" s="195" t="s">
        <v>2946</v>
      </c>
      <c r="AV290" s="192">
        <v>8150000</v>
      </c>
      <c r="AW290" s="181">
        <v>14</v>
      </c>
      <c r="AX290" s="179">
        <v>80116</v>
      </c>
      <c r="AY290" s="179"/>
    </row>
    <row r="291" spans="1:51" ht="14.4" x14ac:dyDescent="0.3">
      <c r="A291" s="179" t="s">
        <v>1168</v>
      </c>
      <c r="B291" s="179" t="s">
        <v>2947</v>
      </c>
      <c r="C291" s="180" t="s">
        <v>4299</v>
      </c>
      <c r="D291" s="181" t="s">
        <v>2837</v>
      </c>
      <c r="E291" s="181" t="s">
        <v>2825</v>
      </c>
      <c r="F291" s="182" t="s">
        <v>2929</v>
      </c>
      <c r="G291" s="181" t="s">
        <v>12</v>
      </c>
      <c r="H291" s="193">
        <v>44090</v>
      </c>
      <c r="I291" s="184">
        <v>44090</v>
      </c>
      <c r="J291" s="179" t="s">
        <v>3008</v>
      </c>
      <c r="K291" s="179" t="s">
        <v>3008</v>
      </c>
      <c r="L291" s="179" t="s">
        <v>2932</v>
      </c>
      <c r="M291" s="185"/>
      <c r="N291" s="185"/>
      <c r="O291" s="186"/>
      <c r="P291" s="185"/>
      <c r="Q291" s="182" t="s">
        <v>2933</v>
      </c>
      <c r="R291" s="182" t="s">
        <v>2934</v>
      </c>
      <c r="S291" s="182" t="s">
        <v>2952</v>
      </c>
      <c r="T291" s="179" t="s">
        <v>2953</v>
      </c>
      <c r="U291" s="179" t="s">
        <v>2954</v>
      </c>
      <c r="V291" s="187">
        <v>668</v>
      </c>
      <c r="W291" s="179" t="s">
        <v>2992</v>
      </c>
      <c r="X291" s="188">
        <v>228.82080000000002</v>
      </c>
      <c r="Y291" s="188">
        <v>182.58240000000001</v>
      </c>
      <c r="Z291" s="188">
        <v>116.2248</v>
      </c>
      <c r="AA291" s="188">
        <v>41.385600000000004</v>
      </c>
      <c r="AB291" s="188">
        <v>9.43</v>
      </c>
      <c r="AC291" s="188">
        <v>36.309599999999996</v>
      </c>
      <c r="AD291" s="179" t="s">
        <v>2984</v>
      </c>
      <c r="AE291" s="188" t="s">
        <v>2940</v>
      </c>
      <c r="AF291" s="189">
        <v>0.29166666666666669</v>
      </c>
      <c r="AG291" s="189">
        <v>0.91666666666666663</v>
      </c>
      <c r="AH291" s="190" t="s">
        <v>2941</v>
      </c>
      <c r="AI291" s="190" t="s">
        <v>2942</v>
      </c>
      <c r="AJ291" s="179" t="s">
        <v>14</v>
      </c>
      <c r="AK291" s="179" t="s">
        <v>3302</v>
      </c>
      <c r="AL291" s="179" t="s">
        <v>9</v>
      </c>
      <c r="AM291" s="179" t="s">
        <v>4300</v>
      </c>
      <c r="AN291" s="179" t="s">
        <v>2102</v>
      </c>
      <c r="AO291" s="179" t="s">
        <v>2533</v>
      </c>
      <c r="AP291" s="191">
        <v>81139605101</v>
      </c>
      <c r="AQ291" s="184">
        <v>42429</v>
      </c>
      <c r="AR291" s="179">
        <v>125</v>
      </c>
      <c r="AS291" s="179"/>
      <c r="AT291" s="181" t="s">
        <v>4301</v>
      </c>
      <c r="AU291" s="181" t="s">
        <v>2946</v>
      </c>
      <c r="AV291" s="192">
        <v>13278289</v>
      </c>
      <c r="AW291" s="181">
        <v>1.7</v>
      </c>
      <c r="AX291" s="179">
        <v>80351</v>
      </c>
      <c r="AY291" s="179"/>
    </row>
    <row r="292" spans="1:51" ht="14.4" x14ac:dyDescent="0.3">
      <c r="A292" s="179" t="s">
        <v>136</v>
      </c>
      <c r="B292" s="179" t="s">
        <v>2947</v>
      </c>
      <c r="C292" s="180" t="s">
        <v>4302</v>
      </c>
      <c r="D292" s="181" t="s">
        <v>2870</v>
      </c>
      <c r="E292" s="181" t="s">
        <v>2867</v>
      </c>
      <c r="F292" s="182" t="s">
        <v>3750</v>
      </c>
      <c r="G292" s="181" t="s">
        <v>134</v>
      </c>
      <c r="H292" s="193">
        <v>45310</v>
      </c>
      <c r="I292" s="193">
        <v>45316</v>
      </c>
      <c r="J292" s="179" t="s">
        <v>4303</v>
      </c>
      <c r="K292" s="179">
        <v>250</v>
      </c>
      <c r="L292" s="179" t="s">
        <v>2950</v>
      </c>
      <c r="M292" s="185"/>
      <c r="N292" s="185"/>
      <c r="O292" s="186"/>
      <c r="P292" s="185"/>
      <c r="Q292" s="182" t="s">
        <v>2933</v>
      </c>
      <c r="R292" s="182" t="s">
        <v>2998</v>
      </c>
      <c r="S292" s="182" t="s">
        <v>2952</v>
      </c>
      <c r="T292" s="179" t="s">
        <v>2999</v>
      </c>
      <c r="U292" s="179" t="s">
        <v>2954</v>
      </c>
      <c r="V292" s="179">
        <v>118</v>
      </c>
      <c r="W292" s="179" t="s">
        <v>4304</v>
      </c>
      <c r="X292" s="188">
        <v>129.2928</v>
      </c>
      <c r="Y292" s="188">
        <v>129.2928</v>
      </c>
      <c r="Z292" s="188">
        <v>69.678400000000011</v>
      </c>
      <c r="AA292" s="188">
        <v>30.4832</v>
      </c>
      <c r="AB292" s="188">
        <v>13.524800000000001</v>
      </c>
      <c r="AC292" s="188">
        <v>31.930200000000003</v>
      </c>
      <c r="AD292" s="179" t="s">
        <v>2984</v>
      </c>
      <c r="AE292" s="188" t="s">
        <v>2957</v>
      </c>
      <c r="AF292" s="189">
        <v>0.33333333333333331</v>
      </c>
      <c r="AG292" s="189">
        <v>0.95833333333333337</v>
      </c>
      <c r="AH292" s="190" t="s">
        <v>2941</v>
      </c>
      <c r="AI292" s="190" t="s">
        <v>2942</v>
      </c>
      <c r="AJ292" s="179" t="s">
        <v>131</v>
      </c>
      <c r="AK292" s="179" t="s">
        <v>3293</v>
      </c>
      <c r="AL292" s="179" t="s">
        <v>9</v>
      </c>
      <c r="AM292" s="179" t="s">
        <v>4305</v>
      </c>
      <c r="AN292" s="179" t="s">
        <v>2102</v>
      </c>
      <c r="AO292" s="179" t="s">
        <v>2536</v>
      </c>
      <c r="AP292" s="191">
        <v>81139007914</v>
      </c>
      <c r="AQ292" s="184">
        <v>42459</v>
      </c>
      <c r="AR292" s="179">
        <v>124</v>
      </c>
      <c r="AS292" s="179"/>
      <c r="AT292" s="181" t="s">
        <v>4306</v>
      </c>
      <c r="AU292" s="181" t="s">
        <v>2946</v>
      </c>
      <c r="AV292" s="192">
        <v>18560000</v>
      </c>
      <c r="AW292" s="181">
        <v>30</v>
      </c>
      <c r="AX292" s="179">
        <v>80361</v>
      </c>
      <c r="AY292" s="179"/>
    </row>
    <row r="293" spans="1:51" ht="14.4" x14ac:dyDescent="0.3">
      <c r="A293" s="179" t="s">
        <v>1038</v>
      </c>
      <c r="B293" s="179" t="s">
        <v>2927</v>
      </c>
      <c r="C293" s="180" t="s">
        <v>4307</v>
      </c>
      <c r="D293" s="181" t="s">
        <v>2875</v>
      </c>
      <c r="E293" s="181" t="s">
        <v>2867</v>
      </c>
      <c r="F293" s="182" t="s">
        <v>2929</v>
      </c>
      <c r="G293" s="181" t="s">
        <v>12</v>
      </c>
      <c r="H293" s="193" t="s">
        <v>2930</v>
      </c>
      <c r="I293" s="184" t="s">
        <v>2930</v>
      </c>
      <c r="J293" s="179" t="s">
        <v>4308</v>
      </c>
      <c r="K293" s="179">
        <v>300</v>
      </c>
      <c r="L293" s="179" t="s">
        <v>2950</v>
      </c>
      <c r="M293" s="185"/>
      <c r="N293" s="185"/>
      <c r="O293" s="186"/>
      <c r="P293" s="185"/>
      <c r="Q293" s="182" t="s">
        <v>2934</v>
      </c>
      <c r="R293" s="182" t="s">
        <v>2933</v>
      </c>
      <c r="S293" s="182" t="s">
        <v>2952</v>
      </c>
      <c r="T293" s="179" t="s">
        <v>2953</v>
      </c>
      <c r="U293" s="179" t="s">
        <v>2937</v>
      </c>
      <c r="V293" s="179">
        <v>904</v>
      </c>
      <c r="W293" s="179" t="s">
        <v>2955</v>
      </c>
      <c r="X293" s="188">
        <v>285.76350000000002</v>
      </c>
      <c r="Y293" s="188">
        <v>140.94</v>
      </c>
      <c r="Z293" s="188">
        <v>114.26</v>
      </c>
      <c r="AA293" s="188">
        <v>74.095199999999991</v>
      </c>
      <c r="AB293" s="188">
        <v>22.4466</v>
      </c>
      <c r="AC293" s="188">
        <v>25.281600000000001</v>
      </c>
      <c r="AD293" s="179" t="s">
        <v>2939</v>
      </c>
      <c r="AE293" s="188" t="s">
        <v>2940</v>
      </c>
      <c r="AF293" s="189">
        <v>0</v>
      </c>
      <c r="AG293" s="189">
        <v>0.99930555555555556</v>
      </c>
      <c r="AH293" s="190" t="s">
        <v>2941</v>
      </c>
      <c r="AI293" s="190" t="s">
        <v>2985</v>
      </c>
      <c r="AJ293" s="179" t="s">
        <v>78</v>
      </c>
      <c r="AK293" s="179" t="s">
        <v>3256</v>
      </c>
      <c r="AL293" s="179" t="s">
        <v>4</v>
      </c>
      <c r="AM293" s="179" t="s">
        <v>4309</v>
      </c>
      <c r="AN293" s="179" t="s">
        <v>2102</v>
      </c>
      <c r="AO293" s="179" t="s">
        <v>2742</v>
      </c>
      <c r="AP293" s="191">
        <v>8113806117</v>
      </c>
      <c r="AQ293" s="184">
        <v>42460</v>
      </c>
      <c r="AR293" s="179">
        <v>124</v>
      </c>
      <c r="AS293" s="194"/>
      <c r="AT293" s="195" t="s">
        <v>4310</v>
      </c>
      <c r="AU293" s="195" t="s">
        <v>2946</v>
      </c>
      <c r="AV293" s="192">
        <v>7000000</v>
      </c>
      <c r="AW293" s="181">
        <v>26.1</v>
      </c>
      <c r="AX293" s="179">
        <v>80226</v>
      </c>
      <c r="AY293" s="179"/>
    </row>
    <row r="294" spans="1:51" ht="14.4" x14ac:dyDescent="0.3">
      <c r="A294" s="179" t="s">
        <v>1036</v>
      </c>
      <c r="B294" s="179" t="s">
        <v>2947</v>
      </c>
      <c r="C294" s="180" t="s">
        <v>4311</v>
      </c>
      <c r="D294" s="181" t="s">
        <v>2855</v>
      </c>
      <c r="E294" s="181" t="s">
        <v>2815</v>
      </c>
      <c r="F294" s="182" t="s">
        <v>2972</v>
      </c>
      <c r="G294" s="181" t="s">
        <v>17</v>
      </c>
      <c r="H294" s="193">
        <v>45087</v>
      </c>
      <c r="I294" s="184"/>
      <c r="J294" s="179" t="s">
        <v>4312</v>
      </c>
      <c r="K294" s="179">
        <v>350</v>
      </c>
      <c r="L294" s="179" t="s">
        <v>2950</v>
      </c>
      <c r="M294" s="185"/>
      <c r="N294" s="185"/>
      <c r="O294" s="179" t="s">
        <v>2951</v>
      </c>
      <c r="P294" s="185"/>
      <c r="Q294" s="182" t="s">
        <v>2934</v>
      </c>
      <c r="R294" s="182" t="s">
        <v>2933</v>
      </c>
      <c r="S294" s="182" t="s">
        <v>2952</v>
      </c>
      <c r="T294" s="179" t="s">
        <v>2953</v>
      </c>
      <c r="U294" s="179" t="s">
        <v>2954</v>
      </c>
      <c r="V294" s="179">
        <v>950</v>
      </c>
      <c r="W294" s="179" t="s">
        <v>3140</v>
      </c>
      <c r="X294" s="188">
        <v>451.78770000000003</v>
      </c>
      <c r="Y294" s="188">
        <v>189.5497</v>
      </c>
      <c r="Z294" s="188">
        <v>107.72919999999999</v>
      </c>
      <c r="AA294" s="188">
        <v>271.85400000000004</v>
      </c>
      <c r="AB294" s="188">
        <v>17.401999999999997</v>
      </c>
      <c r="AC294" s="188">
        <v>33.384</v>
      </c>
      <c r="AD294" s="179" t="s">
        <v>2984</v>
      </c>
      <c r="AE294" s="188" t="s">
        <v>2940</v>
      </c>
      <c r="AF294" s="189">
        <v>0</v>
      </c>
      <c r="AG294" s="189">
        <v>0.99930555555555556</v>
      </c>
      <c r="AH294" s="190" t="s">
        <v>2941</v>
      </c>
      <c r="AI294" s="190" t="s">
        <v>2985</v>
      </c>
      <c r="AJ294" s="179" t="s">
        <v>814</v>
      </c>
      <c r="AK294" s="179" t="s">
        <v>2981</v>
      </c>
      <c r="AL294" s="179" t="s">
        <v>28</v>
      </c>
      <c r="AM294" s="179" t="s">
        <v>4313</v>
      </c>
      <c r="AN294" s="179" t="s">
        <v>2102</v>
      </c>
      <c r="AO294" s="179" t="s">
        <v>2803</v>
      </c>
      <c r="AP294" s="191"/>
      <c r="AQ294" s="184">
        <v>42490</v>
      </c>
      <c r="AR294" s="179">
        <v>123</v>
      </c>
      <c r="AS294" s="179"/>
      <c r="AT294" s="181" t="s">
        <v>4314</v>
      </c>
      <c r="AU294" s="181" t="s">
        <v>2946</v>
      </c>
      <c r="AV294" s="192">
        <v>19838603</v>
      </c>
      <c r="AW294" s="181">
        <v>22.3</v>
      </c>
      <c r="AX294" s="179">
        <v>80582</v>
      </c>
      <c r="AY294" s="179"/>
    </row>
    <row r="295" spans="1:51" ht="14.4" x14ac:dyDescent="0.3">
      <c r="A295" s="179" t="s">
        <v>389</v>
      </c>
      <c r="B295" s="179" t="s">
        <v>2927</v>
      </c>
      <c r="C295" s="180" t="s">
        <v>4315</v>
      </c>
      <c r="D295" s="181" t="s">
        <v>2848</v>
      </c>
      <c r="E295" s="181" t="s">
        <v>2827</v>
      </c>
      <c r="F295" s="182" t="s">
        <v>2929</v>
      </c>
      <c r="G295" s="181" t="s">
        <v>12</v>
      </c>
      <c r="H295" s="193" t="s">
        <v>2930</v>
      </c>
      <c r="I295" s="184" t="s">
        <v>2930</v>
      </c>
      <c r="J295" s="179" t="s">
        <v>4316</v>
      </c>
      <c r="K295" s="179">
        <v>2000</v>
      </c>
      <c r="L295" s="179" t="s">
        <v>2932</v>
      </c>
      <c r="M295" s="185"/>
      <c r="N295" s="185"/>
      <c r="O295" s="186"/>
      <c r="P295" s="185"/>
      <c r="Q295" s="182" t="s">
        <v>2934</v>
      </c>
      <c r="R295" s="182" t="s">
        <v>2933</v>
      </c>
      <c r="S295" s="182" t="s">
        <v>2935</v>
      </c>
      <c r="T295" s="179" t="s">
        <v>2953</v>
      </c>
      <c r="U295" s="179" t="s">
        <v>2937</v>
      </c>
      <c r="V295" s="179">
        <v>1024</v>
      </c>
      <c r="W295" s="179" t="s">
        <v>2992</v>
      </c>
      <c r="X295" s="188">
        <v>307.88430000000005</v>
      </c>
      <c r="Y295" s="188">
        <v>186.6645</v>
      </c>
      <c r="Z295" s="188">
        <v>120.761</v>
      </c>
      <c r="AA295" s="188">
        <v>92.88</v>
      </c>
      <c r="AB295" s="188">
        <v>18.015000000000001</v>
      </c>
      <c r="AC295" s="188">
        <v>33.7288</v>
      </c>
      <c r="AD295" s="179" t="s">
        <v>2984</v>
      </c>
      <c r="AE295" s="188" t="s">
        <v>2940</v>
      </c>
      <c r="AF295" s="189">
        <v>0.29166666666666669</v>
      </c>
      <c r="AG295" s="189">
        <v>0.95833333333333337</v>
      </c>
      <c r="AH295" s="190" t="s">
        <v>2941</v>
      </c>
      <c r="AI295" s="190" t="s">
        <v>2942</v>
      </c>
      <c r="AJ295" s="179" t="s">
        <v>387</v>
      </c>
      <c r="AK295" s="179" t="s">
        <v>3617</v>
      </c>
      <c r="AL295" s="179" t="s">
        <v>48</v>
      </c>
      <c r="AM295" s="179" t="s">
        <v>4317</v>
      </c>
      <c r="AN295" s="179" t="s">
        <v>2102</v>
      </c>
      <c r="AO295" s="179" t="s">
        <v>2299</v>
      </c>
      <c r="AP295" s="191">
        <v>81139604748</v>
      </c>
      <c r="AQ295" s="184">
        <v>42497</v>
      </c>
      <c r="AR295" s="179">
        <v>123</v>
      </c>
      <c r="AS295" s="199">
        <v>43800</v>
      </c>
      <c r="AT295" s="198" t="s">
        <v>4074</v>
      </c>
      <c r="AU295" s="198" t="s">
        <v>4318</v>
      </c>
      <c r="AV295" s="192">
        <v>11328264</v>
      </c>
      <c r="AW295" s="181">
        <v>121</v>
      </c>
      <c r="AX295" s="179">
        <v>81155</v>
      </c>
      <c r="AY295" s="179" t="s">
        <v>4319</v>
      </c>
    </row>
    <row r="296" spans="1:51" ht="14.4" x14ac:dyDescent="0.3">
      <c r="A296" s="179" t="s">
        <v>1174</v>
      </c>
      <c r="B296" s="179" t="s">
        <v>2947</v>
      </c>
      <c r="C296" s="180" t="s">
        <v>4320</v>
      </c>
      <c r="D296" s="181" t="s">
        <v>2859</v>
      </c>
      <c r="E296" s="181" t="s">
        <v>2815</v>
      </c>
      <c r="F296" s="182" t="s">
        <v>2929</v>
      </c>
      <c r="G296" s="181" t="s">
        <v>12</v>
      </c>
      <c r="H296" s="193" t="s">
        <v>2930</v>
      </c>
      <c r="I296" s="184"/>
      <c r="J296" s="179" t="s">
        <v>4321</v>
      </c>
      <c r="K296" s="179">
        <v>76</v>
      </c>
      <c r="L296" s="179" t="s">
        <v>2965</v>
      </c>
      <c r="M296" s="185"/>
      <c r="N296" s="185"/>
      <c r="O296" s="186"/>
      <c r="P296" s="185"/>
      <c r="Q296" s="182" t="s">
        <v>2934</v>
      </c>
      <c r="R296" s="182" t="s">
        <v>2933</v>
      </c>
      <c r="S296" s="182" t="s">
        <v>2935</v>
      </c>
      <c r="T296" s="179" t="s">
        <v>2953</v>
      </c>
      <c r="U296" s="179" t="s">
        <v>2954</v>
      </c>
      <c r="V296" s="179">
        <v>980</v>
      </c>
      <c r="W296" s="179" t="s">
        <v>4322</v>
      </c>
      <c r="X296" s="188">
        <v>248.00489999999999</v>
      </c>
      <c r="Y296" s="188">
        <v>155.3409</v>
      </c>
      <c r="Z296" s="188">
        <v>102.30119999999999</v>
      </c>
      <c r="AA296" s="188">
        <v>81.66340000000001</v>
      </c>
      <c r="AB296" s="188">
        <v>7.6640000000000006</v>
      </c>
      <c r="AC296" s="188">
        <v>30.543200000000002</v>
      </c>
      <c r="AD296" s="179" t="s">
        <v>2984</v>
      </c>
      <c r="AE296" s="188" t="s">
        <v>2940</v>
      </c>
      <c r="AF296" s="189">
        <v>0.29166666666666669</v>
      </c>
      <c r="AG296" s="189">
        <v>0.91666666666666663</v>
      </c>
      <c r="AH296" s="190" t="s">
        <v>2941</v>
      </c>
      <c r="AI296" s="190" t="s">
        <v>2985</v>
      </c>
      <c r="AJ296" s="179" t="s">
        <v>322</v>
      </c>
      <c r="AK296" s="179" t="s">
        <v>3110</v>
      </c>
      <c r="AL296" s="179" t="s">
        <v>28</v>
      </c>
      <c r="AM296" s="179" t="s">
        <v>4323</v>
      </c>
      <c r="AN296" s="179" t="s">
        <v>2102</v>
      </c>
      <c r="AO296" s="179" t="s">
        <v>2733</v>
      </c>
      <c r="AP296" s="191">
        <v>81139604774</v>
      </c>
      <c r="AQ296" s="184">
        <v>42519</v>
      </c>
      <c r="AR296" s="179">
        <v>122</v>
      </c>
      <c r="AS296" s="179"/>
      <c r="AT296" s="181" t="s">
        <v>4324</v>
      </c>
      <c r="AU296" s="181" t="s">
        <v>2946</v>
      </c>
      <c r="AV296" s="192">
        <v>10894600</v>
      </c>
      <c r="AW296" s="181">
        <v>23.1</v>
      </c>
      <c r="AX296" s="179">
        <v>80581</v>
      </c>
      <c r="AY296" s="179"/>
    </row>
    <row r="297" spans="1:51" ht="14.4" x14ac:dyDescent="0.3">
      <c r="A297" s="179" t="s">
        <v>1332</v>
      </c>
      <c r="B297" s="179" t="s">
        <v>2927</v>
      </c>
      <c r="C297" s="180" t="s">
        <v>4325</v>
      </c>
      <c r="D297" s="181" t="s">
        <v>2862</v>
      </c>
      <c r="E297" s="181" t="s">
        <v>2819</v>
      </c>
      <c r="F297" s="182" t="s">
        <v>2929</v>
      </c>
      <c r="G297" s="181" t="s">
        <v>12</v>
      </c>
      <c r="H297" s="193" t="s">
        <v>2930</v>
      </c>
      <c r="I297" s="184" t="s">
        <v>2930</v>
      </c>
      <c r="J297" s="179" t="s">
        <v>4326</v>
      </c>
      <c r="K297" s="179">
        <v>220</v>
      </c>
      <c r="L297" s="179" t="s">
        <v>2950</v>
      </c>
      <c r="M297" s="185"/>
      <c r="N297" s="185"/>
      <c r="O297" s="186"/>
      <c r="P297" s="185"/>
      <c r="Q297" s="182" t="s">
        <v>2934</v>
      </c>
      <c r="R297" s="182" t="s">
        <v>2933</v>
      </c>
      <c r="S297" s="182" t="s">
        <v>2952</v>
      </c>
      <c r="T297" s="179" t="s">
        <v>2974</v>
      </c>
      <c r="U297" s="179" t="s">
        <v>2937</v>
      </c>
      <c r="V297" s="179">
        <v>1918</v>
      </c>
      <c r="W297" s="179" t="s">
        <v>3075</v>
      </c>
      <c r="X297" s="188">
        <v>220.47719999999998</v>
      </c>
      <c r="Y297" s="188">
        <v>150.36519999999999</v>
      </c>
      <c r="Z297" s="188">
        <v>110.82969999999999</v>
      </c>
      <c r="AA297" s="188">
        <v>58.844000000000001</v>
      </c>
      <c r="AB297" s="188">
        <v>23.218</v>
      </c>
      <c r="AC297" s="188">
        <v>139.34699999999998</v>
      </c>
      <c r="AD297" s="179" t="s">
        <v>2956</v>
      </c>
      <c r="AE297" s="188" t="s">
        <v>2957</v>
      </c>
      <c r="AF297" s="189">
        <v>0</v>
      </c>
      <c r="AG297" s="189">
        <v>0.99930555555555556</v>
      </c>
      <c r="AH297" s="190" t="s">
        <v>2941</v>
      </c>
      <c r="AI297" s="190" t="s">
        <v>2942</v>
      </c>
      <c r="AJ297" s="179" t="s">
        <v>837</v>
      </c>
      <c r="AK297" s="179" t="s">
        <v>2958</v>
      </c>
      <c r="AL297" s="179" t="s">
        <v>4</v>
      </c>
      <c r="AM297" s="179" t="s">
        <v>4327</v>
      </c>
      <c r="AN297" s="179" t="s">
        <v>2102</v>
      </c>
      <c r="AO297" s="179" t="s">
        <v>2734</v>
      </c>
      <c r="AP297" s="191">
        <v>81139605037</v>
      </c>
      <c r="AQ297" s="184">
        <v>42526</v>
      </c>
      <c r="AR297" s="179">
        <v>122</v>
      </c>
      <c r="AS297" s="194"/>
      <c r="AT297" s="195" t="s">
        <v>4328</v>
      </c>
      <c r="AU297" s="195" t="s">
        <v>2946</v>
      </c>
      <c r="AV297" s="192">
        <v>10010000</v>
      </c>
      <c r="AW297" s="181">
        <v>22.2</v>
      </c>
      <c r="AX297" s="179">
        <v>80119</v>
      </c>
      <c r="AY297" s="179"/>
    </row>
    <row r="298" spans="1:51" ht="14.4" x14ac:dyDescent="0.3">
      <c r="A298" s="179" t="s">
        <v>896</v>
      </c>
      <c r="B298" s="179" t="s">
        <v>2927</v>
      </c>
      <c r="C298" s="180" t="s">
        <v>4329</v>
      </c>
      <c r="D298" s="181" t="s">
        <v>2843</v>
      </c>
      <c r="E298" s="181" t="s">
        <v>2840</v>
      </c>
      <c r="F298" s="182" t="s">
        <v>2929</v>
      </c>
      <c r="G298" s="181" t="s">
        <v>12</v>
      </c>
      <c r="H298" s="193" t="s">
        <v>2930</v>
      </c>
      <c r="I298" s="184" t="s">
        <v>2930</v>
      </c>
      <c r="J298" s="179" t="s">
        <v>4330</v>
      </c>
      <c r="K298" s="179">
        <v>160</v>
      </c>
      <c r="L298" s="179" t="s">
        <v>2965</v>
      </c>
      <c r="M298" s="185"/>
      <c r="N298" s="185"/>
      <c r="O298" s="186"/>
      <c r="P298" s="185"/>
      <c r="Q298" s="182" t="s">
        <v>2934</v>
      </c>
      <c r="R298" s="182" t="s">
        <v>2933</v>
      </c>
      <c r="S298" s="182" t="s">
        <v>2952</v>
      </c>
      <c r="T298" s="179" t="s">
        <v>2936</v>
      </c>
      <c r="U298" s="179" t="s">
        <v>2937</v>
      </c>
      <c r="V298" s="179">
        <v>851</v>
      </c>
      <c r="W298" s="179" t="s">
        <v>2955</v>
      </c>
      <c r="X298" s="188">
        <v>179.93919999999997</v>
      </c>
      <c r="Y298" s="188">
        <v>131.86879999999996</v>
      </c>
      <c r="Z298" s="188">
        <v>101.42540000000001</v>
      </c>
      <c r="AA298" s="188">
        <v>38.651199999999996</v>
      </c>
      <c r="AB298" s="188">
        <v>7.82</v>
      </c>
      <c r="AC298" s="188">
        <v>62.329799999999999</v>
      </c>
      <c r="AD298" s="179" t="s">
        <v>2956</v>
      </c>
      <c r="AE298" s="188" t="s">
        <v>2957</v>
      </c>
      <c r="AF298" s="189">
        <v>0.29166666666666669</v>
      </c>
      <c r="AG298" s="189">
        <v>0.95833333333333337</v>
      </c>
      <c r="AH298" s="190" t="s">
        <v>2941</v>
      </c>
      <c r="AI298" s="190" t="s">
        <v>2942</v>
      </c>
      <c r="AJ298" s="179" t="s">
        <v>894</v>
      </c>
      <c r="AK298" s="179" t="s">
        <v>90</v>
      </c>
      <c r="AL298" s="179" t="s">
        <v>90</v>
      </c>
      <c r="AM298" s="179" t="s">
        <v>4331</v>
      </c>
      <c r="AN298" s="179" t="s">
        <v>2102</v>
      </c>
      <c r="AO298" s="179" t="s">
        <v>2320</v>
      </c>
      <c r="AP298" s="191"/>
      <c r="AQ298" s="184">
        <v>42527</v>
      </c>
      <c r="AR298" s="179">
        <v>122</v>
      </c>
      <c r="AS298" s="194"/>
      <c r="AT298" s="195" t="s">
        <v>4332</v>
      </c>
      <c r="AU298" s="195" t="s">
        <v>2946</v>
      </c>
      <c r="AV298" s="192">
        <v>9540000</v>
      </c>
      <c r="AW298" s="181">
        <v>85.4</v>
      </c>
      <c r="AX298" s="179">
        <v>82211</v>
      </c>
      <c r="AY298" s="179"/>
    </row>
    <row r="299" spans="1:51" ht="14.4" x14ac:dyDescent="0.3">
      <c r="A299" s="179" t="s">
        <v>783</v>
      </c>
      <c r="B299" s="179" t="s">
        <v>2947</v>
      </c>
      <c r="C299" s="180" t="s">
        <v>4333</v>
      </c>
      <c r="D299" s="181" t="s">
        <v>2868</v>
      </c>
      <c r="E299" s="181" t="s">
        <v>2867</v>
      </c>
      <c r="F299" s="182" t="s">
        <v>3086</v>
      </c>
      <c r="G299" s="181" t="s">
        <v>535</v>
      </c>
      <c r="H299" s="193">
        <v>45160</v>
      </c>
      <c r="I299" s="184">
        <v>45160</v>
      </c>
      <c r="J299" s="179" t="s">
        <v>4334</v>
      </c>
      <c r="K299" s="179">
        <v>300</v>
      </c>
      <c r="L299" s="179" t="s">
        <v>2950</v>
      </c>
      <c r="M299" s="185"/>
      <c r="N299" s="185"/>
      <c r="O299" s="179" t="s">
        <v>2951</v>
      </c>
      <c r="P299" s="185" t="s">
        <v>2951</v>
      </c>
      <c r="Q299" s="182" t="s">
        <v>2933</v>
      </c>
      <c r="R299" s="182" t="s">
        <v>2934</v>
      </c>
      <c r="S299" s="182" t="s">
        <v>2952</v>
      </c>
      <c r="T299" s="179" t="s">
        <v>2953</v>
      </c>
      <c r="U299" s="179" t="s">
        <v>2954</v>
      </c>
      <c r="V299" s="187">
        <v>1257</v>
      </c>
      <c r="W299" s="179" t="s">
        <v>4335</v>
      </c>
      <c r="X299" s="188">
        <v>425.18679999999995</v>
      </c>
      <c r="Y299" s="188">
        <v>249.20849999999999</v>
      </c>
      <c r="Z299" s="188">
        <v>125.53189999999999</v>
      </c>
      <c r="AA299" s="188">
        <v>151.9341</v>
      </c>
      <c r="AB299" s="188">
        <v>18.527999999999999</v>
      </c>
      <c r="AC299" s="188">
        <v>80.445700000000002</v>
      </c>
      <c r="AD299" s="179" t="s">
        <v>2956</v>
      </c>
      <c r="AE299" s="188" t="s">
        <v>2940</v>
      </c>
      <c r="AF299" s="189">
        <v>0</v>
      </c>
      <c r="AG299" s="189">
        <v>0.99930555555555556</v>
      </c>
      <c r="AH299" s="190" t="s">
        <v>2941</v>
      </c>
      <c r="AI299" s="190" t="s">
        <v>2942</v>
      </c>
      <c r="AJ299" s="179" t="s">
        <v>691</v>
      </c>
      <c r="AK299" s="179" t="s">
        <v>3034</v>
      </c>
      <c r="AL299" s="179" t="s">
        <v>4</v>
      </c>
      <c r="AM299" s="179" t="s">
        <v>4336</v>
      </c>
      <c r="AN299" s="179" t="s">
        <v>2102</v>
      </c>
      <c r="AO299" s="179" t="s">
        <v>2786</v>
      </c>
      <c r="AP299" s="191">
        <v>81139606342</v>
      </c>
      <c r="AQ299" s="184">
        <v>42533</v>
      </c>
      <c r="AR299" s="179">
        <v>122</v>
      </c>
      <c r="AS299" s="179"/>
      <c r="AT299" s="181" t="s">
        <v>4337</v>
      </c>
      <c r="AU299" s="181" t="s">
        <v>4338</v>
      </c>
      <c r="AV299" s="192">
        <v>31725051</v>
      </c>
      <c r="AW299" s="181">
        <v>19.5</v>
      </c>
      <c r="AX299" s="179">
        <v>80118</v>
      </c>
      <c r="AY299" s="179"/>
    </row>
    <row r="300" spans="1:51" ht="14.4" x14ac:dyDescent="0.3">
      <c r="A300" s="179" t="s">
        <v>1768</v>
      </c>
      <c r="B300" s="179" t="s">
        <v>2927</v>
      </c>
      <c r="C300" s="180" t="s">
        <v>4339</v>
      </c>
      <c r="D300" s="181" t="s">
        <v>2818</v>
      </c>
      <c r="E300" s="181" t="s">
        <v>2817</v>
      </c>
      <c r="F300" s="182" t="s">
        <v>2929</v>
      </c>
      <c r="G300" s="181" t="s">
        <v>12</v>
      </c>
      <c r="H300" s="193" t="s">
        <v>2930</v>
      </c>
      <c r="I300" s="184"/>
      <c r="J300" s="179" t="s">
        <v>4340</v>
      </c>
      <c r="K300" s="179">
        <v>160</v>
      </c>
      <c r="L300" s="179" t="s">
        <v>2950</v>
      </c>
      <c r="M300" s="185"/>
      <c r="N300" s="185"/>
      <c r="O300" s="186"/>
      <c r="P300" s="185"/>
      <c r="Q300" s="182" t="s">
        <v>2934</v>
      </c>
      <c r="R300" s="182" t="s">
        <v>2933</v>
      </c>
      <c r="S300" s="182" t="s">
        <v>2952</v>
      </c>
      <c r="T300" s="179" t="s">
        <v>2974</v>
      </c>
      <c r="U300" s="179" t="s">
        <v>2937</v>
      </c>
      <c r="V300" s="179">
        <v>1075</v>
      </c>
      <c r="W300" s="179" t="s">
        <v>3093</v>
      </c>
      <c r="X300" s="188">
        <v>226.16399999999999</v>
      </c>
      <c r="Y300" s="188">
        <v>131.76859999999999</v>
      </c>
      <c r="Z300" s="188">
        <v>83.3</v>
      </c>
      <c r="AA300" s="188">
        <v>84.051599999999993</v>
      </c>
      <c r="AB300" s="188">
        <v>7.72</v>
      </c>
      <c r="AC300" s="188">
        <v>18.766400000000001</v>
      </c>
      <c r="AD300" s="179" t="s">
        <v>2939</v>
      </c>
      <c r="AE300" s="188" t="s">
        <v>2940</v>
      </c>
      <c r="AF300" s="189">
        <v>0.29166666666666669</v>
      </c>
      <c r="AG300" s="189">
        <v>0.91666666666666663</v>
      </c>
      <c r="AH300" s="190" t="s">
        <v>2941</v>
      </c>
      <c r="AI300" s="190" t="s">
        <v>2942</v>
      </c>
      <c r="AJ300" s="179" t="s">
        <v>879</v>
      </c>
      <c r="AK300" s="179" t="s">
        <v>2958</v>
      </c>
      <c r="AL300" s="179" t="s">
        <v>4</v>
      </c>
      <c r="AM300" s="179" t="s">
        <v>4341</v>
      </c>
      <c r="AN300" s="179" t="s">
        <v>2102</v>
      </c>
      <c r="AO300" s="179" t="s">
        <v>2276</v>
      </c>
      <c r="AP300" s="191">
        <v>81139008347</v>
      </c>
      <c r="AQ300" s="184">
        <v>42540</v>
      </c>
      <c r="AR300" s="179">
        <v>122</v>
      </c>
      <c r="AS300" s="194"/>
      <c r="AT300" s="195" t="s">
        <v>4342</v>
      </c>
      <c r="AU300" s="195" t="s">
        <v>4343</v>
      </c>
      <c r="AV300" s="192">
        <v>9100000</v>
      </c>
      <c r="AW300" s="181">
        <v>28.5</v>
      </c>
      <c r="AX300" s="179">
        <v>80114</v>
      </c>
      <c r="AY300" s="179"/>
    </row>
    <row r="301" spans="1:51" ht="14.4" x14ac:dyDescent="0.3">
      <c r="A301" s="179" t="s">
        <v>1713</v>
      </c>
      <c r="B301" s="179" t="s">
        <v>2947</v>
      </c>
      <c r="C301" s="180" t="s">
        <v>4344</v>
      </c>
      <c r="D301" s="181" t="s">
        <v>2816</v>
      </c>
      <c r="E301" s="181" t="s">
        <v>2815</v>
      </c>
      <c r="F301" s="182" t="s">
        <v>2929</v>
      </c>
      <c r="G301" s="181" t="s">
        <v>12</v>
      </c>
      <c r="H301" s="193" t="s">
        <v>2930</v>
      </c>
      <c r="I301" s="184" t="s">
        <v>2930</v>
      </c>
      <c r="J301" s="179" t="s">
        <v>4345</v>
      </c>
      <c r="K301" s="179">
        <v>30</v>
      </c>
      <c r="L301" s="179" t="s">
        <v>2965</v>
      </c>
      <c r="M301" s="185"/>
      <c r="N301" s="185"/>
      <c r="O301" s="186"/>
      <c r="P301" s="185"/>
      <c r="Q301" s="182" t="s">
        <v>2934</v>
      </c>
      <c r="R301" s="182" t="s">
        <v>2933</v>
      </c>
      <c r="S301" s="182" t="s">
        <v>2952</v>
      </c>
      <c r="T301" s="179" t="s">
        <v>2953</v>
      </c>
      <c r="U301" s="179" t="s">
        <v>2954</v>
      </c>
      <c r="V301" s="179">
        <v>885</v>
      </c>
      <c r="W301" s="179" t="s">
        <v>3140</v>
      </c>
      <c r="X301" s="188">
        <v>274.4196</v>
      </c>
      <c r="Y301" s="188">
        <v>170.48910000000001</v>
      </c>
      <c r="Z301" s="188">
        <v>111.29610000000001</v>
      </c>
      <c r="AA301" s="188">
        <v>82.189499999999995</v>
      </c>
      <c r="AB301" s="188">
        <v>10.37</v>
      </c>
      <c r="AC301" s="188">
        <v>33.552900000000001</v>
      </c>
      <c r="AD301" s="179" t="s">
        <v>2984</v>
      </c>
      <c r="AE301" s="188" t="s">
        <v>2940</v>
      </c>
      <c r="AF301" s="189">
        <v>0.29166666666666669</v>
      </c>
      <c r="AG301" s="189">
        <v>0.91666666666666663</v>
      </c>
      <c r="AH301" s="190" t="s">
        <v>2941</v>
      </c>
      <c r="AI301" s="190" t="s">
        <v>2985</v>
      </c>
      <c r="AJ301" s="179" t="s">
        <v>461</v>
      </c>
      <c r="AK301" s="179" t="s">
        <v>2981</v>
      </c>
      <c r="AL301" s="179" t="s">
        <v>28</v>
      </c>
      <c r="AM301" s="179" t="s">
        <v>4346</v>
      </c>
      <c r="AN301" s="179" t="s">
        <v>2102</v>
      </c>
      <c r="AO301" s="179" t="s">
        <v>2610</v>
      </c>
      <c r="AP301" s="191">
        <v>81139006288</v>
      </c>
      <c r="AQ301" s="184">
        <v>42546</v>
      </c>
      <c r="AR301" s="179">
        <v>122</v>
      </c>
      <c r="AS301" s="179"/>
      <c r="AT301" s="181"/>
      <c r="AU301" s="181"/>
      <c r="AV301" s="192">
        <v>10733100</v>
      </c>
      <c r="AW301" s="181">
        <v>21.2</v>
      </c>
      <c r="AX301" s="179">
        <v>80582</v>
      </c>
      <c r="AY301" s="179"/>
    </row>
    <row r="302" spans="1:51" ht="14.4" x14ac:dyDescent="0.3">
      <c r="A302" s="179" t="s">
        <v>1131</v>
      </c>
      <c r="B302" s="179" t="s">
        <v>2947</v>
      </c>
      <c r="C302" s="180" t="s">
        <v>4347</v>
      </c>
      <c r="D302" s="181" t="s">
        <v>2852</v>
      </c>
      <c r="E302" s="181" t="s">
        <v>2817</v>
      </c>
      <c r="F302" s="182" t="s">
        <v>2929</v>
      </c>
      <c r="G302" s="181" t="s">
        <v>12</v>
      </c>
      <c r="H302" s="193">
        <v>45437</v>
      </c>
      <c r="I302" s="184"/>
      <c r="J302" s="179" t="s">
        <v>4348</v>
      </c>
      <c r="K302" s="179">
        <v>400</v>
      </c>
      <c r="L302" s="179" t="s">
        <v>2950</v>
      </c>
      <c r="M302" s="185"/>
      <c r="N302" s="185"/>
      <c r="O302" s="186"/>
      <c r="P302" s="185"/>
      <c r="Q302" s="182" t="s">
        <v>2934</v>
      </c>
      <c r="R302" s="182" t="s">
        <v>2933</v>
      </c>
      <c r="S302" s="182" t="s">
        <v>2952</v>
      </c>
      <c r="T302" s="179" t="s">
        <v>2974</v>
      </c>
      <c r="U302" s="179" t="s">
        <v>2954</v>
      </c>
      <c r="V302" s="179">
        <v>1960</v>
      </c>
      <c r="W302" s="179" t="s">
        <v>2938</v>
      </c>
      <c r="X302" s="188">
        <v>261.58740000000006</v>
      </c>
      <c r="Y302" s="188">
        <v>147.90060000000003</v>
      </c>
      <c r="Z302" s="188">
        <v>126.0369</v>
      </c>
      <c r="AA302" s="188">
        <v>99.3018</v>
      </c>
      <c r="AB302" s="188">
        <v>5.8205999999999998</v>
      </c>
      <c r="AC302" s="188">
        <v>127.3539</v>
      </c>
      <c r="AD302" s="179" t="s">
        <v>2956</v>
      </c>
      <c r="AE302" s="188" t="s">
        <v>2957</v>
      </c>
      <c r="AF302" s="189">
        <v>0</v>
      </c>
      <c r="AG302" s="189">
        <v>0.99930555555555556</v>
      </c>
      <c r="AH302" s="190" t="s">
        <v>2941</v>
      </c>
      <c r="AI302" s="190" t="s">
        <v>2985</v>
      </c>
      <c r="AJ302" s="179" t="s">
        <v>1119</v>
      </c>
      <c r="AK302" s="179" t="s">
        <v>3256</v>
      </c>
      <c r="AL302" s="179" t="s">
        <v>4</v>
      </c>
      <c r="AM302" s="179" t="s">
        <v>4349</v>
      </c>
      <c r="AN302" s="179" t="s">
        <v>2102</v>
      </c>
      <c r="AO302" s="179" t="s">
        <v>2492</v>
      </c>
      <c r="AP302" s="191">
        <v>81139001309</v>
      </c>
      <c r="AQ302" s="184">
        <v>42550</v>
      </c>
      <c r="AR302" s="179">
        <v>121</v>
      </c>
      <c r="AS302" s="179"/>
      <c r="AT302" s="181" t="s">
        <v>4350</v>
      </c>
      <c r="AU302" s="181" t="s">
        <v>2946</v>
      </c>
      <c r="AV302" s="192">
        <v>20206328</v>
      </c>
      <c r="AW302" s="181">
        <v>30</v>
      </c>
      <c r="AX302" s="179">
        <v>80224</v>
      </c>
      <c r="AY302" s="179"/>
    </row>
    <row r="303" spans="1:51" ht="14.4" x14ac:dyDescent="0.3">
      <c r="A303" s="179" t="s">
        <v>510</v>
      </c>
      <c r="B303" s="179" t="s">
        <v>2947</v>
      </c>
      <c r="C303" s="180" t="s">
        <v>4351</v>
      </c>
      <c r="D303" s="181" t="s">
        <v>2854</v>
      </c>
      <c r="E303" s="181" t="s">
        <v>2821</v>
      </c>
      <c r="F303" s="182" t="s">
        <v>2929</v>
      </c>
      <c r="G303" s="181" t="s">
        <v>12</v>
      </c>
      <c r="H303" s="193">
        <v>45087</v>
      </c>
      <c r="I303" s="184"/>
      <c r="J303" s="179" t="s">
        <v>4352</v>
      </c>
      <c r="K303" s="179">
        <v>14</v>
      </c>
      <c r="L303" s="179" t="s">
        <v>2965</v>
      </c>
      <c r="M303" s="185"/>
      <c r="N303" s="185"/>
      <c r="O303" s="186"/>
      <c r="P303" s="185"/>
      <c r="Q303" s="182" t="s">
        <v>2933</v>
      </c>
      <c r="R303" s="182" t="s">
        <v>2934</v>
      </c>
      <c r="S303" s="182" t="s">
        <v>2952</v>
      </c>
      <c r="T303" s="179" t="s">
        <v>2936</v>
      </c>
      <c r="U303" s="179" t="s">
        <v>2954</v>
      </c>
      <c r="V303" s="187">
        <v>900</v>
      </c>
      <c r="W303" s="179" t="s">
        <v>3140</v>
      </c>
      <c r="X303" s="188">
        <v>343.21839999999997</v>
      </c>
      <c r="Y303" s="188">
        <v>201.88629999999998</v>
      </c>
      <c r="Z303" s="188">
        <v>126.11280000000001</v>
      </c>
      <c r="AA303" s="188">
        <v>129.76910000000001</v>
      </c>
      <c r="AB303" s="188">
        <v>13.488</v>
      </c>
      <c r="AC303" s="188">
        <v>43.346799999999995</v>
      </c>
      <c r="AD303" s="179" t="s">
        <v>2984</v>
      </c>
      <c r="AE303" s="188" t="s">
        <v>2940</v>
      </c>
      <c r="AF303" s="189">
        <v>0.29166666666666669</v>
      </c>
      <c r="AG303" s="189">
        <v>0.95833333333333337</v>
      </c>
      <c r="AH303" s="190" t="s">
        <v>2941</v>
      </c>
      <c r="AI303" s="190" t="s">
        <v>2942</v>
      </c>
      <c r="AJ303" s="179" t="s">
        <v>508</v>
      </c>
      <c r="AK303" s="179" t="s">
        <v>3034</v>
      </c>
      <c r="AL303" s="179" t="s">
        <v>4</v>
      </c>
      <c r="AM303" s="179" t="s">
        <v>4353</v>
      </c>
      <c r="AN303" s="179" t="s">
        <v>2102</v>
      </c>
      <c r="AO303" s="179" t="s">
        <v>2524</v>
      </c>
      <c r="AP303" s="191">
        <v>8113806110</v>
      </c>
      <c r="AQ303" s="184">
        <v>42551</v>
      </c>
      <c r="AR303" s="179">
        <v>121</v>
      </c>
      <c r="AS303" s="179"/>
      <c r="AT303" s="181" t="s">
        <v>4354</v>
      </c>
      <c r="AU303" s="181" t="s">
        <v>2946</v>
      </c>
      <c r="AV303" s="192">
        <v>12875328</v>
      </c>
      <c r="AW303" s="181">
        <v>16.899999999999999</v>
      </c>
      <c r="AX303" s="179">
        <v>80116</v>
      </c>
      <c r="AY303" s="179"/>
    </row>
    <row r="304" spans="1:51" ht="14.4" x14ac:dyDescent="0.3">
      <c r="A304" s="179" t="s">
        <v>538</v>
      </c>
      <c r="B304" s="179" t="s">
        <v>2947</v>
      </c>
      <c r="C304" s="180" t="s">
        <v>4355</v>
      </c>
      <c r="D304" s="181" t="s">
        <v>2875</v>
      </c>
      <c r="E304" s="181" t="s">
        <v>2867</v>
      </c>
      <c r="F304" s="182" t="s">
        <v>3086</v>
      </c>
      <c r="G304" s="181" t="s">
        <v>535</v>
      </c>
      <c r="H304" s="193">
        <v>44842</v>
      </c>
      <c r="I304" s="184">
        <v>44842</v>
      </c>
      <c r="J304" s="179" t="s">
        <v>4356</v>
      </c>
      <c r="K304" s="179">
        <v>260</v>
      </c>
      <c r="L304" s="179" t="s">
        <v>2950</v>
      </c>
      <c r="M304" s="185"/>
      <c r="N304" s="185" t="s">
        <v>2951</v>
      </c>
      <c r="O304" s="179" t="s">
        <v>2951</v>
      </c>
      <c r="P304" s="185" t="s">
        <v>2951</v>
      </c>
      <c r="Q304" s="182" t="s">
        <v>2934</v>
      </c>
      <c r="R304" s="182" t="s">
        <v>2933</v>
      </c>
      <c r="S304" s="182" t="s">
        <v>2952</v>
      </c>
      <c r="T304" s="179" t="s">
        <v>2953</v>
      </c>
      <c r="U304" s="179" t="s">
        <v>2954</v>
      </c>
      <c r="V304" s="179">
        <v>1677</v>
      </c>
      <c r="W304" s="179" t="s">
        <v>4357</v>
      </c>
      <c r="X304" s="188">
        <v>409.20598000000001</v>
      </c>
      <c r="Y304" s="188">
        <v>277.48419999999999</v>
      </c>
      <c r="Z304" s="188">
        <v>154.33600000000001</v>
      </c>
      <c r="AA304" s="188">
        <v>108.0104</v>
      </c>
      <c r="AB304" s="188">
        <v>11.704000000000001</v>
      </c>
      <c r="AC304" s="188">
        <v>83.814800000000005</v>
      </c>
      <c r="AD304" s="179" t="s">
        <v>2956</v>
      </c>
      <c r="AE304" s="188" t="s">
        <v>2940</v>
      </c>
      <c r="AF304" s="189">
        <v>0</v>
      </c>
      <c r="AG304" s="189">
        <v>0.99930555555555556</v>
      </c>
      <c r="AH304" s="190" t="s">
        <v>2976</v>
      </c>
      <c r="AI304" s="190" t="s">
        <v>2985</v>
      </c>
      <c r="AJ304" s="179" t="s">
        <v>536</v>
      </c>
      <c r="AK304" s="179" t="s">
        <v>3256</v>
      </c>
      <c r="AL304" s="179" t="s">
        <v>4</v>
      </c>
      <c r="AM304" s="179" t="s">
        <v>4358</v>
      </c>
      <c r="AN304" s="179" t="s">
        <v>2102</v>
      </c>
      <c r="AO304" s="179" t="s">
        <v>2526</v>
      </c>
      <c r="AP304" s="191">
        <v>81139606341</v>
      </c>
      <c r="AQ304" s="184">
        <v>42556</v>
      </c>
      <c r="AR304" s="179">
        <v>121</v>
      </c>
      <c r="AS304" s="179"/>
      <c r="AT304" s="181" t="s">
        <v>4359</v>
      </c>
      <c r="AU304" s="181" t="s">
        <v>2946</v>
      </c>
      <c r="AV304" s="192">
        <v>32267155</v>
      </c>
      <c r="AW304" s="181">
        <v>26.3</v>
      </c>
      <c r="AX304" s="179">
        <v>80225</v>
      </c>
      <c r="AY304" s="179"/>
    </row>
    <row r="305" spans="1:51" ht="14.4" x14ac:dyDescent="0.3">
      <c r="A305" s="179" t="s">
        <v>359</v>
      </c>
      <c r="B305" s="179" t="s">
        <v>2947</v>
      </c>
      <c r="C305" s="180" t="s">
        <v>4360</v>
      </c>
      <c r="D305" s="181" t="s">
        <v>2858</v>
      </c>
      <c r="E305" s="181" t="s">
        <v>2813</v>
      </c>
      <c r="F305" s="182" t="s">
        <v>2929</v>
      </c>
      <c r="G305" s="181" t="s">
        <v>12</v>
      </c>
      <c r="H305" s="193">
        <v>44054</v>
      </c>
      <c r="I305" s="184">
        <v>44054</v>
      </c>
      <c r="J305" s="179" t="s">
        <v>3008</v>
      </c>
      <c r="K305" s="179" t="s">
        <v>3008</v>
      </c>
      <c r="L305" s="179" t="s">
        <v>2932</v>
      </c>
      <c r="M305" s="185"/>
      <c r="N305" s="185"/>
      <c r="O305" s="179" t="s">
        <v>2951</v>
      </c>
      <c r="P305" s="185"/>
      <c r="Q305" s="182" t="s">
        <v>2934</v>
      </c>
      <c r="R305" s="182" t="s">
        <v>2933</v>
      </c>
      <c r="S305" s="182" t="s">
        <v>2952</v>
      </c>
      <c r="T305" s="179" t="s">
        <v>2974</v>
      </c>
      <c r="U305" s="179" t="s">
        <v>2954</v>
      </c>
      <c r="V305" s="179">
        <v>1013</v>
      </c>
      <c r="W305" s="179" t="s">
        <v>3063</v>
      </c>
      <c r="X305" s="188">
        <v>258.76650000000001</v>
      </c>
      <c r="Y305" s="188">
        <v>148.95859999999999</v>
      </c>
      <c r="Z305" s="188">
        <v>120.02430000000001</v>
      </c>
      <c r="AA305" s="188">
        <v>94.582899999999995</v>
      </c>
      <c r="AB305" s="188">
        <v>19.3644</v>
      </c>
      <c r="AC305" s="188">
        <v>36.684899999999999</v>
      </c>
      <c r="AD305" s="179" t="s">
        <v>2984</v>
      </c>
      <c r="AE305" s="188" t="s">
        <v>2940</v>
      </c>
      <c r="AF305" s="189">
        <v>0.29166666666666669</v>
      </c>
      <c r="AG305" s="189">
        <v>0.95833333333333337</v>
      </c>
      <c r="AH305" s="190" t="s">
        <v>2941</v>
      </c>
      <c r="AI305" s="190" t="s">
        <v>2942</v>
      </c>
      <c r="AJ305" s="179" t="s">
        <v>357</v>
      </c>
      <c r="AK305" s="179" t="s">
        <v>3010</v>
      </c>
      <c r="AL305" s="179" t="s">
        <v>36</v>
      </c>
      <c r="AM305" s="179" t="s">
        <v>4361</v>
      </c>
      <c r="AN305" s="179" t="s">
        <v>2102</v>
      </c>
      <c r="AO305" s="179" t="s">
        <v>2648</v>
      </c>
      <c r="AP305" s="191">
        <v>81139006797</v>
      </c>
      <c r="AQ305" s="184">
        <v>42582</v>
      </c>
      <c r="AR305" s="179">
        <v>120</v>
      </c>
      <c r="AS305" s="179"/>
      <c r="AT305" s="181" t="s">
        <v>3760</v>
      </c>
      <c r="AU305" s="181" t="s">
        <v>2946</v>
      </c>
      <c r="AV305" s="192">
        <v>15518108</v>
      </c>
      <c r="AW305" s="181">
        <v>14.4</v>
      </c>
      <c r="AX305" s="179">
        <v>82121</v>
      </c>
      <c r="AY305" s="179"/>
    </row>
    <row r="306" spans="1:51" ht="14.4" x14ac:dyDescent="0.3">
      <c r="A306" s="179" t="s">
        <v>1627</v>
      </c>
      <c r="B306" s="179" t="s">
        <v>2947</v>
      </c>
      <c r="C306" s="180" t="s">
        <v>4362</v>
      </c>
      <c r="D306" s="181" t="s">
        <v>2822</v>
      </c>
      <c r="E306" s="181" t="s">
        <v>2821</v>
      </c>
      <c r="F306" s="182" t="s">
        <v>2929</v>
      </c>
      <c r="G306" s="181" t="s">
        <v>12</v>
      </c>
      <c r="H306" s="193" t="s">
        <v>2930</v>
      </c>
      <c r="I306" s="184"/>
      <c r="J306" s="179" t="s">
        <v>4363</v>
      </c>
      <c r="K306" s="179">
        <v>120</v>
      </c>
      <c r="L306" s="179" t="s">
        <v>2950</v>
      </c>
      <c r="M306" s="185"/>
      <c r="N306" s="185" t="s">
        <v>2951</v>
      </c>
      <c r="O306" s="186"/>
      <c r="P306" s="185"/>
      <c r="Q306" s="182" t="s">
        <v>2933</v>
      </c>
      <c r="R306" s="182" t="s">
        <v>2934</v>
      </c>
      <c r="S306" s="182" t="s">
        <v>2952</v>
      </c>
      <c r="T306" s="179" t="s">
        <v>2936</v>
      </c>
      <c r="U306" s="179" t="s">
        <v>2954</v>
      </c>
      <c r="V306" s="187">
        <v>912</v>
      </c>
      <c r="W306" s="179" t="s">
        <v>3140</v>
      </c>
      <c r="X306" s="188">
        <v>333.94499999999999</v>
      </c>
      <c r="Y306" s="188">
        <v>202.13</v>
      </c>
      <c r="Z306" s="188">
        <v>115.818</v>
      </c>
      <c r="AA306" s="188">
        <v>117.8266</v>
      </c>
      <c r="AB306" s="188">
        <v>12.4375</v>
      </c>
      <c r="AC306" s="188">
        <v>228.05799999999999</v>
      </c>
      <c r="AD306" s="179" t="s">
        <v>2956</v>
      </c>
      <c r="AE306" s="188" t="s">
        <v>3017</v>
      </c>
      <c r="AF306" s="189">
        <v>0.25</v>
      </c>
      <c r="AG306" s="189">
        <v>0.91666666666666663</v>
      </c>
      <c r="AH306" s="190" t="s">
        <v>2941</v>
      </c>
      <c r="AI306" s="190" t="s">
        <v>2942</v>
      </c>
      <c r="AJ306" s="179" t="s">
        <v>1150</v>
      </c>
      <c r="AK306" s="179" t="s">
        <v>3010</v>
      </c>
      <c r="AL306" s="179" t="s">
        <v>36</v>
      </c>
      <c r="AM306" s="179" t="s">
        <v>4364</v>
      </c>
      <c r="AN306" s="179" t="s">
        <v>2102</v>
      </c>
      <c r="AO306" s="179" t="s">
        <v>2547</v>
      </c>
      <c r="AP306" s="191">
        <v>81139000792</v>
      </c>
      <c r="AQ306" s="184">
        <v>42589</v>
      </c>
      <c r="AR306" s="179">
        <v>120</v>
      </c>
      <c r="AS306" s="179"/>
      <c r="AT306" s="181" t="s">
        <v>4365</v>
      </c>
      <c r="AU306" s="181" t="s">
        <v>2946</v>
      </c>
      <c r="AV306" s="192">
        <v>12400440</v>
      </c>
      <c r="AW306" s="181">
        <v>11.3</v>
      </c>
      <c r="AX306" s="179">
        <v>82123</v>
      </c>
      <c r="AY306" s="179"/>
    </row>
    <row r="307" spans="1:51" ht="14.4" x14ac:dyDescent="0.3">
      <c r="A307" s="179" t="s">
        <v>1808</v>
      </c>
      <c r="B307" s="179" t="s">
        <v>2927</v>
      </c>
      <c r="C307" s="180" t="s">
        <v>4366</v>
      </c>
      <c r="D307" s="181" t="s">
        <v>2836</v>
      </c>
      <c r="E307" s="181" t="s">
        <v>2825</v>
      </c>
      <c r="F307" s="182" t="s">
        <v>2929</v>
      </c>
      <c r="G307" s="181" t="s">
        <v>12</v>
      </c>
      <c r="H307" s="193" t="s">
        <v>2930</v>
      </c>
      <c r="I307" s="184" t="s">
        <v>2930</v>
      </c>
      <c r="J307" s="179" t="s">
        <v>4367</v>
      </c>
      <c r="K307" s="179">
        <v>140</v>
      </c>
      <c r="L307" s="179" t="s">
        <v>2950</v>
      </c>
      <c r="M307" s="185"/>
      <c r="N307" s="185"/>
      <c r="O307" s="186"/>
      <c r="P307" s="185"/>
      <c r="Q307" s="182" t="s">
        <v>2933</v>
      </c>
      <c r="R307" s="182" t="s">
        <v>2934</v>
      </c>
      <c r="S307" s="182" t="s">
        <v>2952</v>
      </c>
      <c r="T307" s="179" t="s">
        <v>2974</v>
      </c>
      <c r="U307" s="179" t="s">
        <v>2937</v>
      </c>
      <c r="V307" s="187">
        <v>1103</v>
      </c>
      <c r="W307" s="179" t="s">
        <v>2992</v>
      </c>
      <c r="X307" s="188">
        <v>309.14203000000003</v>
      </c>
      <c r="Y307" s="188">
        <v>231.17719999999997</v>
      </c>
      <c r="Z307" s="188">
        <v>139.98879999999997</v>
      </c>
      <c r="AA307" s="188">
        <v>47.58</v>
      </c>
      <c r="AB307" s="188">
        <v>13.332600000000001</v>
      </c>
      <c r="AC307" s="188">
        <v>59.8752</v>
      </c>
      <c r="AD307" s="179" t="s">
        <v>2984</v>
      </c>
      <c r="AE307" s="188" t="s">
        <v>2940</v>
      </c>
      <c r="AF307" s="189">
        <v>0.29166666666666669</v>
      </c>
      <c r="AG307" s="189">
        <v>0.91666666666666663</v>
      </c>
      <c r="AH307" s="190" t="s">
        <v>2941</v>
      </c>
      <c r="AI307" s="190" t="s">
        <v>2942</v>
      </c>
      <c r="AJ307" s="179" t="s">
        <v>1806</v>
      </c>
      <c r="AK307" s="179" t="s">
        <v>3345</v>
      </c>
      <c r="AL307" s="179" t="s">
        <v>36</v>
      </c>
      <c r="AM307" s="179" t="s">
        <v>4368</v>
      </c>
      <c r="AN307" s="179" t="s">
        <v>2102</v>
      </c>
      <c r="AO307" s="179" t="s">
        <v>2309</v>
      </c>
      <c r="AP307" s="191">
        <v>81139002297</v>
      </c>
      <c r="AQ307" s="184">
        <v>42589</v>
      </c>
      <c r="AR307" s="179">
        <v>120</v>
      </c>
      <c r="AS307" s="199">
        <v>43586</v>
      </c>
      <c r="AT307" s="198" t="s">
        <v>4369</v>
      </c>
      <c r="AU307" s="198" t="s">
        <v>2946</v>
      </c>
      <c r="AV307" s="192">
        <v>11107850</v>
      </c>
      <c r="AW307" s="181">
        <v>6.7</v>
      </c>
      <c r="AX307" s="179">
        <v>82191</v>
      </c>
      <c r="AY307" s="179" t="s">
        <v>4370</v>
      </c>
    </row>
    <row r="308" spans="1:51" ht="14.4" x14ac:dyDescent="0.3">
      <c r="A308" s="179" t="s">
        <v>1573</v>
      </c>
      <c r="B308" s="179" t="s">
        <v>2927</v>
      </c>
      <c r="C308" s="180" t="s">
        <v>4371</v>
      </c>
      <c r="D308" s="181" t="s">
        <v>2868</v>
      </c>
      <c r="E308" s="181" t="s">
        <v>2867</v>
      </c>
      <c r="F308" s="182" t="s">
        <v>2929</v>
      </c>
      <c r="G308" s="181" t="s">
        <v>12</v>
      </c>
      <c r="H308" s="193" t="s">
        <v>2930</v>
      </c>
      <c r="I308" s="184" t="s">
        <v>2930</v>
      </c>
      <c r="J308" s="179" t="s">
        <v>4372</v>
      </c>
      <c r="K308" s="179">
        <v>750</v>
      </c>
      <c r="L308" s="179" t="s">
        <v>3026</v>
      </c>
      <c r="M308" s="185"/>
      <c r="N308" s="185"/>
      <c r="O308" s="186"/>
      <c r="P308" s="185"/>
      <c r="Q308" s="182" t="s">
        <v>2933</v>
      </c>
      <c r="R308" s="182" t="s">
        <v>2934</v>
      </c>
      <c r="S308" s="182" t="s">
        <v>2952</v>
      </c>
      <c r="T308" s="179" t="s">
        <v>2974</v>
      </c>
      <c r="U308" s="179" t="s">
        <v>2937</v>
      </c>
      <c r="V308" s="187">
        <v>926</v>
      </c>
      <c r="W308" s="179" t="s">
        <v>2992</v>
      </c>
      <c r="X308" s="188">
        <v>355.01399999999995</v>
      </c>
      <c r="Y308" s="188">
        <v>225.06</v>
      </c>
      <c r="Z308" s="188">
        <v>123.30249999999999</v>
      </c>
      <c r="AA308" s="188">
        <v>107.54499999999999</v>
      </c>
      <c r="AB308" s="188">
        <v>13.28</v>
      </c>
      <c r="AC308" s="188">
        <v>60.6096</v>
      </c>
      <c r="AD308" s="179" t="s">
        <v>2956</v>
      </c>
      <c r="AE308" s="188" t="s">
        <v>2940</v>
      </c>
      <c r="AF308" s="189">
        <v>0</v>
      </c>
      <c r="AG308" s="189">
        <v>0.99930555555555556</v>
      </c>
      <c r="AH308" s="190" t="s">
        <v>2941</v>
      </c>
      <c r="AI308" s="190" t="s">
        <v>2942</v>
      </c>
      <c r="AJ308" s="179" t="s">
        <v>837</v>
      </c>
      <c r="AK308" s="179" t="s">
        <v>2958</v>
      </c>
      <c r="AL308" s="179" t="s">
        <v>4</v>
      </c>
      <c r="AM308" s="179" t="s">
        <v>4373</v>
      </c>
      <c r="AN308" s="179" t="s">
        <v>2102</v>
      </c>
      <c r="AO308" s="179" t="s">
        <v>2376</v>
      </c>
      <c r="AP308" s="191">
        <v>81139604772</v>
      </c>
      <c r="AQ308" s="184">
        <v>42590</v>
      </c>
      <c r="AR308" s="179">
        <v>120</v>
      </c>
      <c r="AS308" s="194"/>
      <c r="AT308" s="195" t="s">
        <v>4374</v>
      </c>
      <c r="AU308" s="195" t="s">
        <v>2946</v>
      </c>
      <c r="AV308" s="192">
        <v>8671800</v>
      </c>
      <c r="AW308" s="181">
        <v>21.6</v>
      </c>
      <c r="AX308" s="179">
        <v>80119</v>
      </c>
      <c r="AY308" s="179"/>
    </row>
    <row r="309" spans="1:51" ht="14.4" x14ac:dyDescent="0.3">
      <c r="A309" s="179" t="s">
        <v>1422</v>
      </c>
      <c r="B309" s="179" t="s">
        <v>2947</v>
      </c>
      <c r="C309" s="180" t="s">
        <v>4375</v>
      </c>
      <c r="D309" s="181" t="s">
        <v>2842</v>
      </c>
      <c r="E309" s="181" t="s">
        <v>2834</v>
      </c>
      <c r="F309" s="182" t="s">
        <v>2929</v>
      </c>
      <c r="G309" s="181" t="s">
        <v>12</v>
      </c>
      <c r="H309" s="193" t="s">
        <v>2930</v>
      </c>
      <c r="I309" s="184" t="s">
        <v>2930</v>
      </c>
      <c r="J309" s="179" t="s">
        <v>3732</v>
      </c>
      <c r="K309" s="179">
        <v>50</v>
      </c>
      <c r="L309" s="179" t="s">
        <v>2965</v>
      </c>
      <c r="M309" s="185"/>
      <c r="N309" s="185" t="s">
        <v>2951</v>
      </c>
      <c r="O309" s="186"/>
      <c r="P309" s="185"/>
      <c r="Q309" s="182" t="s">
        <v>2934</v>
      </c>
      <c r="R309" s="182" t="s">
        <v>2933</v>
      </c>
      <c r="S309" s="182" t="s">
        <v>2952</v>
      </c>
      <c r="T309" s="179" t="s">
        <v>2953</v>
      </c>
      <c r="U309" s="179" t="s">
        <v>2954</v>
      </c>
      <c r="V309" s="179">
        <v>1213</v>
      </c>
      <c r="W309" s="179" t="s">
        <v>4376</v>
      </c>
      <c r="X309" s="188">
        <v>341.25119999999998</v>
      </c>
      <c r="Y309" s="188">
        <v>196.1824</v>
      </c>
      <c r="Z309" s="188">
        <v>107.4054</v>
      </c>
      <c r="AA309" s="188">
        <v>85.701000000000008</v>
      </c>
      <c r="AB309" s="188">
        <v>9.89</v>
      </c>
      <c r="AC309" s="188">
        <v>43.243199999999995</v>
      </c>
      <c r="AD309" s="179" t="s">
        <v>2984</v>
      </c>
      <c r="AE309" s="188" t="s">
        <v>2940</v>
      </c>
      <c r="AF309" s="189">
        <v>0.29166666666666669</v>
      </c>
      <c r="AG309" s="189">
        <v>0.91666666666666663</v>
      </c>
      <c r="AH309" s="190" t="s">
        <v>2941</v>
      </c>
      <c r="AI309" s="190" t="s">
        <v>2942</v>
      </c>
      <c r="AJ309" s="179" t="s">
        <v>1420</v>
      </c>
      <c r="AK309" s="179" t="s">
        <v>3132</v>
      </c>
      <c r="AL309" s="179" t="s">
        <v>58</v>
      </c>
      <c r="AM309" s="179" t="s">
        <v>4377</v>
      </c>
      <c r="AN309" s="179" t="s">
        <v>2102</v>
      </c>
      <c r="AO309" s="179" t="s">
        <v>2528</v>
      </c>
      <c r="AP309" s="191">
        <v>81139604756</v>
      </c>
      <c r="AQ309" s="184">
        <v>42613</v>
      </c>
      <c r="AR309" s="179">
        <v>119</v>
      </c>
      <c r="AS309" s="179"/>
      <c r="AT309" s="181"/>
      <c r="AU309" s="181"/>
      <c r="AV309" s="192">
        <v>10410240</v>
      </c>
      <c r="AW309" s="181">
        <v>40.200000000000003</v>
      </c>
      <c r="AX309" s="179">
        <v>80752</v>
      </c>
      <c r="AY309" s="179"/>
    </row>
    <row r="310" spans="1:51" ht="14.4" x14ac:dyDescent="0.3">
      <c r="A310" s="179" t="s">
        <v>1623</v>
      </c>
      <c r="B310" s="179" t="s">
        <v>2947</v>
      </c>
      <c r="C310" s="180" t="s">
        <v>4378</v>
      </c>
      <c r="D310" s="181" t="s">
        <v>2836</v>
      </c>
      <c r="E310" s="181" t="s">
        <v>2825</v>
      </c>
      <c r="F310" s="182" t="s">
        <v>2929</v>
      </c>
      <c r="G310" s="181" t="s">
        <v>12</v>
      </c>
      <c r="H310" s="193" t="s">
        <v>2930</v>
      </c>
      <c r="I310" s="184"/>
      <c r="J310" s="179" t="s">
        <v>4379</v>
      </c>
      <c r="K310" s="179">
        <v>46</v>
      </c>
      <c r="L310" s="179" t="s">
        <v>2965</v>
      </c>
      <c r="M310" s="185"/>
      <c r="N310" s="185"/>
      <c r="O310" s="186"/>
      <c r="P310" s="185"/>
      <c r="Q310" s="182" t="s">
        <v>2933</v>
      </c>
      <c r="R310" s="182" t="s">
        <v>2934</v>
      </c>
      <c r="S310" s="182" t="s">
        <v>2952</v>
      </c>
      <c r="T310" s="179" t="s">
        <v>2974</v>
      </c>
      <c r="U310" s="179" t="s">
        <v>2954</v>
      </c>
      <c r="V310" s="187">
        <v>1079</v>
      </c>
      <c r="W310" s="179" t="s">
        <v>3140</v>
      </c>
      <c r="X310" s="188">
        <v>317.88900000000001</v>
      </c>
      <c r="Y310" s="188">
        <v>208.83330000000001</v>
      </c>
      <c r="Z310" s="188">
        <v>120.47280000000001</v>
      </c>
      <c r="AA310" s="188">
        <v>87.521699999999996</v>
      </c>
      <c r="AB310" s="188">
        <v>17.891999999999999</v>
      </c>
      <c r="AC310" s="188">
        <v>54.799799999999991</v>
      </c>
      <c r="AD310" s="179" t="s">
        <v>2984</v>
      </c>
      <c r="AE310" s="188" t="s">
        <v>2940</v>
      </c>
      <c r="AF310" s="189">
        <v>0.29166666666666669</v>
      </c>
      <c r="AG310" s="189">
        <v>0.91666666666666663</v>
      </c>
      <c r="AH310" s="190" t="s">
        <v>2941</v>
      </c>
      <c r="AI310" s="190" t="s">
        <v>2942</v>
      </c>
      <c r="AJ310" s="179" t="s">
        <v>201</v>
      </c>
      <c r="AK310" s="179" t="s">
        <v>3345</v>
      </c>
      <c r="AL310" s="179" t="s">
        <v>36</v>
      </c>
      <c r="AM310" s="179" t="s">
        <v>4380</v>
      </c>
      <c r="AN310" s="179" t="s">
        <v>2102</v>
      </c>
      <c r="AO310" s="179" t="s">
        <v>2704</v>
      </c>
      <c r="AP310" s="191">
        <v>81139002660</v>
      </c>
      <c r="AQ310" s="184">
        <v>42613</v>
      </c>
      <c r="AR310" s="179">
        <v>119</v>
      </c>
      <c r="AS310" s="179"/>
      <c r="AT310" s="181"/>
      <c r="AU310" s="181"/>
      <c r="AV310" s="192">
        <v>10208000</v>
      </c>
      <c r="AW310" s="181">
        <v>28.5</v>
      </c>
      <c r="AX310" s="179">
        <v>82191</v>
      </c>
      <c r="AY310" s="179"/>
    </row>
    <row r="311" spans="1:51" ht="14.4" x14ac:dyDescent="0.3">
      <c r="A311" s="179" t="s">
        <v>1481</v>
      </c>
      <c r="B311" s="179" t="s">
        <v>2947</v>
      </c>
      <c r="C311" s="180" t="s">
        <v>4381</v>
      </c>
      <c r="D311" s="181" t="s">
        <v>2864</v>
      </c>
      <c r="E311" s="181" t="s">
        <v>2827</v>
      </c>
      <c r="F311" s="182" t="s">
        <v>2929</v>
      </c>
      <c r="G311" s="181" t="s">
        <v>12</v>
      </c>
      <c r="H311" s="193">
        <v>44246</v>
      </c>
      <c r="I311" s="184">
        <v>44246</v>
      </c>
      <c r="J311" s="179" t="s">
        <v>4382</v>
      </c>
      <c r="K311" s="179">
        <v>400</v>
      </c>
      <c r="L311" s="179" t="s">
        <v>2950</v>
      </c>
      <c r="M311" s="185"/>
      <c r="N311" s="185" t="s">
        <v>2951</v>
      </c>
      <c r="O311" s="186"/>
      <c r="P311" s="185"/>
      <c r="Q311" s="182" t="s">
        <v>2933</v>
      </c>
      <c r="R311" s="182" t="s">
        <v>2934</v>
      </c>
      <c r="S311" s="182" t="s">
        <v>2952</v>
      </c>
      <c r="T311" s="179" t="s">
        <v>2974</v>
      </c>
      <c r="U311" s="179" t="s">
        <v>2954</v>
      </c>
      <c r="V311" s="187">
        <v>1660</v>
      </c>
      <c r="W311" s="179" t="s">
        <v>2992</v>
      </c>
      <c r="X311" s="188">
        <v>422.40649999999999</v>
      </c>
      <c r="Y311" s="188">
        <v>321.31640000000004</v>
      </c>
      <c r="Z311" s="188">
        <v>123.69380000000001</v>
      </c>
      <c r="AA311" s="188">
        <v>81.462599999999995</v>
      </c>
      <c r="AB311" s="188">
        <v>25.619</v>
      </c>
      <c r="AC311" s="188">
        <v>143.04640000000001</v>
      </c>
      <c r="AD311" s="179" t="s">
        <v>2956</v>
      </c>
      <c r="AE311" s="188" t="s">
        <v>2940</v>
      </c>
      <c r="AF311" s="189">
        <v>0.29166666666666669</v>
      </c>
      <c r="AG311" s="189">
        <v>0.91666666666666663</v>
      </c>
      <c r="AH311" s="190" t="s">
        <v>2941</v>
      </c>
      <c r="AI311" s="190" t="s">
        <v>2942</v>
      </c>
      <c r="AJ311" s="179" t="s">
        <v>1479</v>
      </c>
      <c r="AK311" s="179" t="s">
        <v>143</v>
      </c>
      <c r="AL311" s="179" t="s">
        <v>48</v>
      </c>
      <c r="AM311" s="179" t="s">
        <v>4383</v>
      </c>
      <c r="AN311" s="179" t="s">
        <v>2102</v>
      </c>
      <c r="AO311" s="179" t="s">
        <v>2414</v>
      </c>
      <c r="AP311" s="191">
        <v>81139002293</v>
      </c>
      <c r="AQ311" s="184">
        <v>42613</v>
      </c>
      <c r="AR311" s="179">
        <v>119</v>
      </c>
      <c r="AS311" s="179"/>
      <c r="AT311" s="181" t="s">
        <v>4384</v>
      </c>
      <c r="AU311" s="181" t="s">
        <v>2946</v>
      </c>
      <c r="AV311" s="192">
        <v>12335689</v>
      </c>
      <c r="AW311" s="181">
        <v>63.9</v>
      </c>
      <c r="AX311" s="179">
        <v>81171</v>
      </c>
      <c r="AY311" s="179"/>
    </row>
    <row r="312" spans="1:51" ht="14.4" x14ac:dyDescent="0.3">
      <c r="A312" s="179" t="s">
        <v>1032</v>
      </c>
      <c r="B312" s="179" t="s">
        <v>2927</v>
      </c>
      <c r="C312" s="180" t="s">
        <v>4385</v>
      </c>
      <c r="D312" s="181" t="s">
        <v>2846</v>
      </c>
      <c r="E312" s="181" t="s">
        <v>2821</v>
      </c>
      <c r="F312" s="182" t="s">
        <v>2929</v>
      </c>
      <c r="G312" s="181" t="s">
        <v>12</v>
      </c>
      <c r="H312" s="193" t="s">
        <v>2930</v>
      </c>
      <c r="I312" s="184" t="s">
        <v>2930</v>
      </c>
      <c r="J312" s="179" t="s">
        <v>4386</v>
      </c>
      <c r="K312" s="179">
        <v>110</v>
      </c>
      <c r="L312" s="179" t="s">
        <v>2950</v>
      </c>
      <c r="M312" s="185"/>
      <c r="N312" s="185"/>
      <c r="O312" s="186"/>
      <c r="P312" s="185"/>
      <c r="Q312" s="182" t="s">
        <v>2933</v>
      </c>
      <c r="R312" s="182" t="s">
        <v>2934</v>
      </c>
      <c r="S312" s="182" t="s">
        <v>2952</v>
      </c>
      <c r="T312" s="179" t="s">
        <v>2974</v>
      </c>
      <c r="U312" s="179" t="s">
        <v>2937</v>
      </c>
      <c r="V312" s="187">
        <v>544</v>
      </c>
      <c r="W312" s="179" t="s">
        <v>3140</v>
      </c>
      <c r="X312" s="188">
        <v>335.53770000000003</v>
      </c>
      <c r="Y312" s="188">
        <v>206.22570000000002</v>
      </c>
      <c r="Z312" s="188">
        <v>128.80259999999998</v>
      </c>
      <c r="AA312" s="188">
        <v>107.892</v>
      </c>
      <c r="AB312" s="188">
        <v>15.443999999999999</v>
      </c>
      <c r="AC312" s="188">
        <v>45.48</v>
      </c>
      <c r="AD312" s="179" t="s">
        <v>2984</v>
      </c>
      <c r="AE312" s="188" t="s">
        <v>2940</v>
      </c>
      <c r="AF312" s="189">
        <v>0.29166666666666669</v>
      </c>
      <c r="AG312" s="189">
        <v>0.99930555555555556</v>
      </c>
      <c r="AH312" s="190" t="s">
        <v>2941</v>
      </c>
      <c r="AI312" s="190" t="s">
        <v>2942</v>
      </c>
      <c r="AJ312" s="179" t="s">
        <v>586</v>
      </c>
      <c r="AK312" s="179" t="s">
        <v>36</v>
      </c>
      <c r="AL312" s="179" t="s">
        <v>36</v>
      </c>
      <c r="AM312" s="179" t="s">
        <v>4387</v>
      </c>
      <c r="AN312" s="179" t="s">
        <v>2102</v>
      </c>
      <c r="AO312" s="179" t="s">
        <v>2285</v>
      </c>
      <c r="AP312" s="191">
        <v>81139002149</v>
      </c>
      <c r="AQ312" s="184">
        <v>42614</v>
      </c>
      <c r="AR312" s="179">
        <v>119</v>
      </c>
      <c r="AS312" s="194"/>
      <c r="AT312" s="195" t="s">
        <v>4388</v>
      </c>
      <c r="AU312" s="195" t="s">
        <v>2946</v>
      </c>
      <c r="AV312" s="192">
        <v>8520000</v>
      </c>
      <c r="AW312" s="181">
        <v>13</v>
      </c>
      <c r="AX312" s="179">
        <v>82115</v>
      </c>
      <c r="AY312" s="179"/>
    </row>
    <row r="313" spans="1:51" ht="14.4" x14ac:dyDescent="0.3">
      <c r="A313" s="179" t="s">
        <v>1368</v>
      </c>
      <c r="B313" s="179" t="s">
        <v>2927</v>
      </c>
      <c r="C313" s="180" t="s">
        <v>4389</v>
      </c>
      <c r="D313" s="181" t="s">
        <v>2822</v>
      </c>
      <c r="E313" s="181" t="s">
        <v>2821</v>
      </c>
      <c r="F313" s="182" t="s">
        <v>2929</v>
      </c>
      <c r="G313" s="181" t="s">
        <v>12</v>
      </c>
      <c r="H313" s="193" t="s">
        <v>2930</v>
      </c>
      <c r="I313" s="184" t="s">
        <v>2930</v>
      </c>
      <c r="J313" s="179" t="s">
        <v>3173</v>
      </c>
      <c r="K313" s="179">
        <v>588</v>
      </c>
      <c r="L313" s="179" t="s">
        <v>3026</v>
      </c>
      <c r="M313" s="185"/>
      <c r="N313" s="185"/>
      <c r="O313" s="186"/>
      <c r="P313" s="185"/>
      <c r="Q313" s="182" t="s">
        <v>2934</v>
      </c>
      <c r="R313" s="182" t="s">
        <v>2933</v>
      </c>
      <c r="S313" s="182" t="s">
        <v>2952</v>
      </c>
      <c r="T313" s="179" t="s">
        <v>2974</v>
      </c>
      <c r="U313" s="179" t="s">
        <v>2937</v>
      </c>
      <c r="V313" s="179">
        <v>978</v>
      </c>
      <c r="W313" s="179" t="s">
        <v>2992</v>
      </c>
      <c r="X313" s="188">
        <v>279.62639999999999</v>
      </c>
      <c r="Y313" s="188">
        <v>184.22060000000002</v>
      </c>
      <c r="Z313" s="188">
        <v>118.17959999999999</v>
      </c>
      <c r="AA313" s="188">
        <v>80.777900000000002</v>
      </c>
      <c r="AB313" s="188">
        <v>9.68</v>
      </c>
      <c r="AC313" s="188">
        <v>41.697599999999994</v>
      </c>
      <c r="AD313" s="179" t="s">
        <v>2984</v>
      </c>
      <c r="AE313" s="188" t="s">
        <v>2940</v>
      </c>
      <c r="AF313" s="189">
        <v>0</v>
      </c>
      <c r="AG313" s="189">
        <v>0.99930555555555556</v>
      </c>
      <c r="AH313" s="190" t="s">
        <v>2976</v>
      </c>
      <c r="AI313" s="190" t="s">
        <v>2942</v>
      </c>
      <c r="AJ313" s="179" t="s">
        <v>1366</v>
      </c>
      <c r="AK313" s="179" t="s">
        <v>36</v>
      </c>
      <c r="AL313" s="179" t="s">
        <v>36</v>
      </c>
      <c r="AM313" s="179" t="s">
        <v>4390</v>
      </c>
      <c r="AN313" s="179" t="s">
        <v>2102</v>
      </c>
      <c r="AO313" s="179" t="s">
        <v>2744</v>
      </c>
      <c r="AP313" s="191">
        <v>81139002219</v>
      </c>
      <c r="AQ313" s="184">
        <v>42615</v>
      </c>
      <c r="AR313" s="179">
        <v>119</v>
      </c>
      <c r="AS313" s="194"/>
      <c r="AT313" s="195" t="s">
        <v>4388</v>
      </c>
      <c r="AU313" s="195" t="s">
        <v>2946</v>
      </c>
      <c r="AV313" s="192">
        <v>9483000</v>
      </c>
      <c r="AW313" s="181">
        <v>14.1</v>
      </c>
      <c r="AX313" s="179">
        <v>82111</v>
      </c>
      <c r="AY313" s="179"/>
    </row>
    <row r="314" spans="1:51" ht="14.4" x14ac:dyDescent="0.3">
      <c r="A314" s="179" t="s">
        <v>893</v>
      </c>
      <c r="B314" s="179" t="s">
        <v>2947</v>
      </c>
      <c r="C314" s="180" t="s">
        <v>4391</v>
      </c>
      <c r="D314" s="181" t="s">
        <v>2872</v>
      </c>
      <c r="E314" s="181" t="s">
        <v>2840</v>
      </c>
      <c r="F314" s="182" t="s">
        <v>2929</v>
      </c>
      <c r="G314" s="181" t="s">
        <v>12</v>
      </c>
      <c r="H314" s="193" t="s">
        <v>2930</v>
      </c>
      <c r="I314" s="184" t="s">
        <v>2930</v>
      </c>
      <c r="J314" s="179" t="s">
        <v>4392</v>
      </c>
      <c r="K314" s="179">
        <v>63</v>
      </c>
      <c r="L314" s="179" t="s">
        <v>2965</v>
      </c>
      <c r="M314" s="185"/>
      <c r="N314" s="185"/>
      <c r="O314" s="186"/>
      <c r="P314" s="185"/>
      <c r="Q314" s="182" t="s">
        <v>2933</v>
      </c>
      <c r="R314" s="182" t="s">
        <v>2934</v>
      </c>
      <c r="S314" s="182" t="s">
        <v>2952</v>
      </c>
      <c r="T314" s="179" t="s">
        <v>2974</v>
      </c>
      <c r="U314" s="179" t="s">
        <v>2954</v>
      </c>
      <c r="V314" s="187">
        <v>1100</v>
      </c>
      <c r="W314" s="179" t="s">
        <v>2992</v>
      </c>
      <c r="X314" s="188">
        <v>318.58679999999998</v>
      </c>
      <c r="Y314" s="188">
        <v>205.60760000000002</v>
      </c>
      <c r="Z314" s="188">
        <v>120.29279999999999</v>
      </c>
      <c r="AA314" s="188">
        <v>97.294799999999995</v>
      </c>
      <c r="AB314" s="188">
        <v>15.357600000000001</v>
      </c>
      <c r="AC314" s="188">
        <v>43.041600000000003</v>
      </c>
      <c r="AD314" s="179" t="s">
        <v>2984</v>
      </c>
      <c r="AE314" s="188" t="s">
        <v>2940</v>
      </c>
      <c r="AF314" s="189">
        <v>0.29166666666666669</v>
      </c>
      <c r="AG314" s="189">
        <v>0.91666666666666663</v>
      </c>
      <c r="AH314" s="190" t="s">
        <v>2941</v>
      </c>
      <c r="AI314" s="190" t="s">
        <v>2942</v>
      </c>
      <c r="AJ314" s="179" t="s">
        <v>891</v>
      </c>
      <c r="AK314" s="179" t="s">
        <v>3055</v>
      </c>
      <c r="AL314" s="179" t="s">
        <v>48</v>
      </c>
      <c r="AM314" s="179" t="s">
        <v>4393</v>
      </c>
      <c r="AN314" s="179" t="s">
        <v>2102</v>
      </c>
      <c r="AO314" s="179" t="s">
        <v>2683</v>
      </c>
      <c r="AP314" s="191">
        <v>81139001218</v>
      </c>
      <c r="AQ314" s="184">
        <v>42643</v>
      </c>
      <c r="AR314" s="179">
        <v>118</v>
      </c>
      <c r="AS314" s="179"/>
      <c r="AT314" s="181" t="s">
        <v>4394</v>
      </c>
      <c r="AU314" s="181" t="s">
        <v>2946</v>
      </c>
      <c r="AV314" s="192">
        <v>10576946</v>
      </c>
      <c r="AW314" s="181">
        <v>80.599999999999994</v>
      </c>
      <c r="AX314" s="179">
        <v>81153</v>
      </c>
      <c r="AY314" s="179"/>
    </row>
    <row r="315" spans="1:51" ht="14.4" x14ac:dyDescent="0.3">
      <c r="A315" s="179" t="s">
        <v>1595</v>
      </c>
      <c r="B315" s="179" t="s">
        <v>2947</v>
      </c>
      <c r="C315" s="180" t="s">
        <v>4395</v>
      </c>
      <c r="D315" s="181" t="s">
        <v>2829</v>
      </c>
      <c r="E315" s="181" t="s">
        <v>2815</v>
      </c>
      <c r="F315" s="182" t="s">
        <v>2929</v>
      </c>
      <c r="G315" s="181" t="s">
        <v>12</v>
      </c>
      <c r="H315" s="193">
        <v>45087</v>
      </c>
      <c r="I315" s="184"/>
      <c r="J315" s="179" t="s">
        <v>4396</v>
      </c>
      <c r="K315" s="179">
        <v>300</v>
      </c>
      <c r="L315" s="179" t="s">
        <v>2950</v>
      </c>
      <c r="M315" s="185"/>
      <c r="N315" s="185" t="s">
        <v>2951</v>
      </c>
      <c r="O315" s="186"/>
      <c r="P315" s="185"/>
      <c r="Q315" s="182" t="s">
        <v>2934</v>
      </c>
      <c r="R315" s="182" t="s">
        <v>2933</v>
      </c>
      <c r="S315" s="182" t="s">
        <v>2952</v>
      </c>
      <c r="T315" s="179" t="s">
        <v>2974</v>
      </c>
      <c r="U315" s="179" t="s">
        <v>2954</v>
      </c>
      <c r="V315" s="179">
        <v>462</v>
      </c>
      <c r="W315" s="179" t="s">
        <v>2992</v>
      </c>
      <c r="X315" s="188">
        <v>286.57979999999998</v>
      </c>
      <c r="Y315" s="188">
        <v>165.13589999999999</v>
      </c>
      <c r="Z315" s="188">
        <v>114.96000000000001</v>
      </c>
      <c r="AA315" s="188">
        <v>82.836600000000004</v>
      </c>
      <c r="AB315" s="188">
        <v>14.370000000000001</v>
      </c>
      <c r="AC315" s="188">
        <v>159.41249999999999</v>
      </c>
      <c r="AD315" s="179" t="s">
        <v>2956</v>
      </c>
      <c r="AE315" s="188" t="s">
        <v>2957</v>
      </c>
      <c r="AF315" s="189">
        <v>0.29166666666666669</v>
      </c>
      <c r="AG315" s="189">
        <v>0.99930555555555556</v>
      </c>
      <c r="AH315" s="190" t="s">
        <v>2941</v>
      </c>
      <c r="AI315" s="190" t="s">
        <v>2985</v>
      </c>
      <c r="AJ315" s="179" t="s">
        <v>178</v>
      </c>
      <c r="AK315" s="179" t="s">
        <v>28</v>
      </c>
      <c r="AL315" s="179" t="s">
        <v>28</v>
      </c>
      <c r="AM315" s="179" t="s">
        <v>4397</v>
      </c>
      <c r="AN315" s="179" t="s">
        <v>2102</v>
      </c>
      <c r="AO315" s="179" t="s">
        <v>2550</v>
      </c>
      <c r="AP315" s="191">
        <v>81139604775</v>
      </c>
      <c r="AQ315" s="184">
        <v>42643</v>
      </c>
      <c r="AR315" s="179">
        <v>118</v>
      </c>
      <c r="AS315" s="179"/>
      <c r="AT315" s="181" t="s">
        <v>4398</v>
      </c>
      <c r="AU315" s="181" t="s">
        <v>2946</v>
      </c>
      <c r="AV315" s="192">
        <v>15137268</v>
      </c>
      <c r="AW315" s="181">
        <v>23.7</v>
      </c>
      <c r="AX315" s="179">
        <v>80511</v>
      </c>
      <c r="AY315" s="179"/>
    </row>
    <row r="316" spans="1:51" ht="14.4" x14ac:dyDescent="0.3">
      <c r="A316" s="179" t="s">
        <v>76</v>
      </c>
      <c r="B316" s="179" t="s">
        <v>2927</v>
      </c>
      <c r="C316" s="180" t="s">
        <v>4399</v>
      </c>
      <c r="D316" s="181" t="s">
        <v>2828</v>
      </c>
      <c r="E316" s="181" t="s">
        <v>2827</v>
      </c>
      <c r="F316" s="182" t="s">
        <v>2929</v>
      </c>
      <c r="G316" s="181" t="s">
        <v>12</v>
      </c>
      <c r="H316" s="193" t="s">
        <v>2930</v>
      </c>
      <c r="I316" s="184" t="s">
        <v>2930</v>
      </c>
      <c r="J316" s="179" t="s">
        <v>4400</v>
      </c>
      <c r="K316" s="179">
        <v>400</v>
      </c>
      <c r="L316" s="179" t="s">
        <v>2950</v>
      </c>
      <c r="M316" s="185"/>
      <c r="N316" s="185"/>
      <c r="O316" s="186"/>
      <c r="P316" s="185"/>
      <c r="Q316" s="182" t="s">
        <v>2934</v>
      </c>
      <c r="R316" s="182" t="s">
        <v>2933</v>
      </c>
      <c r="S316" s="182" t="s">
        <v>2952</v>
      </c>
      <c r="T316" s="179" t="s">
        <v>2974</v>
      </c>
      <c r="U316" s="179" t="s">
        <v>2937</v>
      </c>
      <c r="V316" s="179">
        <v>1249</v>
      </c>
      <c r="W316" s="179" t="s">
        <v>2992</v>
      </c>
      <c r="X316" s="188">
        <v>267.32499999999999</v>
      </c>
      <c r="Y316" s="188">
        <v>211.70250000000001</v>
      </c>
      <c r="Z316" s="188">
        <v>120.83</v>
      </c>
      <c r="AA316" s="188">
        <v>50.232500000000002</v>
      </c>
      <c r="AB316" s="188">
        <v>14.05</v>
      </c>
      <c r="AC316" s="188">
        <v>57.057000000000002</v>
      </c>
      <c r="AD316" s="179" t="s">
        <v>2984</v>
      </c>
      <c r="AE316" s="188" t="s">
        <v>2940</v>
      </c>
      <c r="AF316" s="189">
        <v>0.29166666666666669</v>
      </c>
      <c r="AG316" s="189">
        <v>0.95833333333333337</v>
      </c>
      <c r="AH316" s="190" t="s">
        <v>2941</v>
      </c>
      <c r="AI316" s="190" t="s">
        <v>2942</v>
      </c>
      <c r="AJ316" s="179" t="s">
        <v>74</v>
      </c>
      <c r="AK316" s="179" t="s">
        <v>3364</v>
      </c>
      <c r="AL316" s="179" t="s">
        <v>48</v>
      </c>
      <c r="AM316" s="179" t="s">
        <v>4401</v>
      </c>
      <c r="AN316" s="179" t="s">
        <v>2102</v>
      </c>
      <c r="AO316" s="179" t="s">
        <v>2317</v>
      </c>
      <c r="AP316" s="191">
        <v>81139000825</v>
      </c>
      <c r="AQ316" s="184">
        <v>42665</v>
      </c>
      <c r="AR316" s="179">
        <v>118</v>
      </c>
      <c r="AS316" s="199">
        <v>43617</v>
      </c>
      <c r="AT316" s="198" t="s">
        <v>4196</v>
      </c>
      <c r="AU316" s="181" t="s">
        <v>2946</v>
      </c>
      <c r="AV316" s="192">
        <v>10000000</v>
      </c>
      <c r="AW316" s="181">
        <v>56.3</v>
      </c>
      <c r="AX316" s="179">
        <v>81161</v>
      </c>
      <c r="AY316" s="179" t="s">
        <v>4402</v>
      </c>
    </row>
    <row r="317" spans="1:51" ht="14.4" x14ac:dyDescent="0.3">
      <c r="A317" s="179" t="s">
        <v>983</v>
      </c>
      <c r="B317" s="179" t="s">
        <v>2947</v>
      </c>
      <c r="C317" s="180" t="s">
        <v>4403</v>
      </c>
      <c r="D317" s="181" t="s">
        <v>2828</v>
      </c>
      <c r="E317" s="181" t="s">
        <v>2827</v>
      </c>
      <c r="F317" s="182" t="s">
        <v>2929</v>
      </c>
      <c r="G317" s="181" t="s">
        <v>12</v>
      </c>
      <c r="H317" s="193" t="s">
        <v>2930</v>
      </c>
      <c r="I317" s="184" t="s">
        <v>2930</v>
      </c>
      <c r="J317" s="179" t="s">
        <v>4404</v>
      </c>
      <c r="K317" s="179">
        <v>230</v>
      </c>
      <c r="L317" s="179" t="s">
        <v>2950</v>
      </c>
      <c r="M317" s="185"/>
      <c r="N317" s="185"/>
      <c r="O317" s="186"/>
      <c r="P317" s="185"/>
      <c r="Q317" s="182" t="s">
        <v>2934</v>
      </c>
      <c r="R317" s="182" t="s">
        <v>2933</v>
      </c>
      <c r="S317" s="182" t="s">
        <v>2952</v>
      </c>
      <c r="T317" s="179" t="s">
        <v>2974</v>
      </c>
      <c r="U317" s="179" t="s">
        <v>2954</v>
      </c>
      <c r="V317" s="179">
        <v>1202</v>
      </c>
      <c r="W317" s="179" t="s">
        <v>3140</v>
      </c>
      <c r="X317" s="188">
        <v>375.3408</v>
      </c>
      <c r="Y317" s="188">
        <v>208.56880000000001</v>
      </c>
      <c r="Z317" s="188">
        <v>123.45580000000001</v>
      </c>
      <c r="AA317" s="188">
        <v>163.15700000000001</v>
      </c>
      <c r="AB317" s="188">
        <v>19.934999999999999</v>
      </c>
      <c r="AC317" s="188">
        <v>47.355599999999995</v>
      </c>
      <c r="AD317" s="179" t="s">
        <v>2984</v>
      </c>
      <c r="AE317" s="188" t="s">
        <v>2940</v>
      </c>
      <c r="AF317" s="189">
        <v>0.29166666666666669</v>
      </c>
      <c r="AG317" s="189">
        <v>0.95833333333333337</v>
      </c>
      <c r="AH317" s="190" t="s">
        <v>2941</v>
      </c>
      <c r="AI317" s="190" t="s">
        <v>2942</v>
      </c>
      <c r="AJ317" s="179" t="s">
        <v>97</v>
      </c>
      <c r="AK317" s="179" t="s">
        <v>48</v>
      </c>
      <c r="AL317" s="179" t="s">
        <v>48</v>
      </c>
      <c r="AM317" s="179" t="s">
        <v>4405</v>
      </c>
      <c r="AN317" s="179" t="s">
        <v>2102</v>
      </c>
      <c r="AO317" s="179" t="s">
        <v>2614</v>
      </c>
      <c r="AP317" s="191"/>
      <c r="AQ317" s="184">
        <v>42673</v>
      </c>
      <c r="AR317" s="179">
        <v>117</v>
      </c>
      <c r="AS317" s="179"/>
      <c r="AT317" s="181" t="s">
        <v>4406</v>
      </c>
      <c r="AU317" s="181" t="s">
        <v>2946</v>
      </c>
      <c r="AV317" s="192">
        <v>11880000</v>
      </c>
      <c r="AW317" s="181">
        <v>60.2</v>
      </c>
      <c r="AX317" s="179">
        <v>81119</v>
      </c>
      <c r="AY317" s="179"/>
    </row>
    <row r="318" spans="1:51" ht="14.4" x14ac:dyDescent="0.3">
      <c r="A318" s="179" t="s">
        <v>281</v>
      </c>
      <c r="B318" s="179" t="s">
        <v>2927</v>
      </c>
      <c r="C318" s="180" t="s">
        <v>4407</v>
      </c>
      <c r="D318" s="181" t="s">
        <v>2869</v>
      </c>
      <c r="E318" s="181" t="s">
        <v>2834</v>
      </c>
      <c r="F318" s="182" t="s">
        <v>2929</v>
      </c>
      <c r="G318" s="181" t="s">
        <v>12</v>
      </c>
      <c r="H318" s="193" t="s">
        <v>2930</v>
      </c>
      <c r="I318" s="184" t="s">
        <v>2930</v>
      </c>
      <c r="J318" s="179" t="s">
        <v>3008</v>
      </c>
      <c r="K318" s="179" t="s">
        <v>3008</v>
      </c>
      <c r="L318" s="179" t="s">
        <v>2932</v>
      </c>
      <c r="M318" s="185"/>
      <c r="N318" s="185"/>
      <c r="O318" s="186"/>
      <c r="P318" s="185"/>
      <c r="Q318" s="182" t="s">
        <v>2933</v>
      </c>
      <c r="R318" s="182" t="s">
        <v>2998</v>
      </c>
      <c r="S318" s="182" t="s">
        <v>2952</v>
      </c>
      <c r="T318" s="179" t="s">
        <v>2974</v>
      </c>
      <c r="U318" s="179" t="s">
        <v>2937</v>
      </c>
      <c r="V318" s="179">
        <v>1064</v>
      </c>
      <c r="W318" s="179" t="s">
        <v>3003</v>
      </c>
      <c r="X318" s="188">
        <v>277.87639999999999</v>
      </c>
      <c r="Y318" s="188">
        <v>206.65479999999999</v>
      </c>
      <c r="Z318" s="188">
        <v>129.1052</v>
      </c>
      <c r="AA318" s="188">
        <v>62.809600000000003</v>
      </c>
      <c r="AB318" s="188">
        <v>16.103999999999999</v>
      </c>
      <c r="AC318" s="188">
        <v>44.612000000000002</v>
      </c>
      <c r="AD318" s="179" t="s">
        <v>2984</v>
      </c>
      <c r="AE318" s="188" t="s">
        <v>2940</v>
      </c>
      <c r="AF318" s="189">
        <v>0.25</v>
      </c>
      <c r="AG318" s="189">
        <v>0.95833333333333337</v>
      </c>
      <c r="AH318" s="190" t="s">
        <v>2941</v>
      </c>
      <c r="AI318" s="190" t="s">
        <v>2942</v>
      </c>
      <c r="AJ318" s="179" t="s">
        <v>279</v>
      </c>
      <c r="AK318" s="179" t="s">
        <v>4001</v>
      </c>
      <c r="AL318" s="179" t="s">
        <v>40</v>
      </c>
      <c r="AM318" s="179" t="s">
        <v>4408</v>
      </c>
      <c r="AN318" s="179" t="s">
        <v>2102</v>
      </c>
      <c r="AO318" s="179" t="s">
        <v>2375</v>
      </c>
      <c r="AP318" s="191">
        <v>81139604758</v>
      </c>
      <c r="AQ318" s="184">
        <v>42695</v>
      </c>
      <c r="AR318" s="179">
        <v>117</v>
      </c>
      <c r="AS318" s="194"/>
      <c r="AT318" s="195" t="s">
        <v>4409</v>
      </c>
      <c r="AU318" s="195" t="s">
        <v>2946</v>
      </c>
      <c r="AV318" s="192">
        <v>9408000</v>
      </c>
      <c r="AW318" s="181">
        <v>87.2</v>
      </c>
      <c r="AX318" s="179">
        <v>80852</v>
      </c>
      <c r="AY318" s="179"/>
    </row>
    <row r="319" spans="1:51" ht="14.4" x14ac:dyDescent="0.3">
      <c r="A319" s="179" t="s">
        <v>142</v>
      </c>
      <c r="B319" s="179" t="s">
        <v>2947</v>
      </c>
      <c r="C319" s="180" t="s">
        <v>4410</v>
      </c>
      <c r="D319" s="181" t="s">
        <v>2820</v>
      </c>
      <c r="E319" s="181" t="s">
        <v>2819</v>
      </c>
      <c r="F319" s="182" t="s">
        <v>2929</v>
      </c>
      <c r="G319" s="181" t="s">
        <v>12</v>
      </c>
      <c r="H319" s="193">
        <v>44960</v>
      </c>
      <c r="I319" s="184"/>
      <c r="J319" s="179" t="s">
        <v>4411</v>
      </c>
      <c r="K319" s="179">
        <v>300</v>
      </c>
      <c r="L319" s="179" t="s">
        <v>2950</v>
      </c>
      <c r="M319" s="185"/>
      <c r="N319" s="185"/>
      <c r="O319" s="186"/>
      <c r="P319" s="185"/>
      <c r="Q319" s="182" t="s">
        <v>2933</v>
      </c>
      <c r="R319" s="182" t="s">
        <v>2934</v>
      </c>
      <c r="S319" s="182" t="s">
        <v>2952</v>
      </c>
      <c r="T319" s="179" t="s">
        <v>2953</v>
      </c>
      <c r="U319" s="179" t="s">
        <v>2954</v>
      </c>
      <c r="V319" s="187">
        <v>1021</v>
      </c>
      <c r="W319" s="179" t="s">
        <v>2955</v>
      </c>
      <c r="X319" s="188">
        <v>308.14139999999998</v>
      </c>
      <c r="Y319" s="188">
        <v>154.26250000000002</v>
      </c>
      <c r="Z319" s="188">
        <v>105.38460000000001</v>
      </c>
      <c r="AA319" s="188">
        <v>120.70099999999999</v>
      </c>
      <c r="AB319" s="188">
        <v>12.576000000000001</v>
      </c>
      <c r="AC319" s="188">
        <v>23.299499999999998</v>
      </c>
      <c r="AD319" s="179" t="s">
        <v>2939</v>
      </c>
      <c r="AE319" s="188" t="s">
        <v>2940</v>
      </c>
      <c r="AF319" s="189">
        <v>0.25</v>
      </c>
      <c r="AG319" s="189">
        <v>0.95833333333333337</v>
      </c>
      <c r="AH319" s="190" t="s">
        <v>2941</v>
      </c>
      <c r="AI319" s="190" t="s">
        <v>2942</v>
      </c>
      <c r="AJ319" s="179" t="s">
        <v>140</v>
      </c>
      <c r="AK319" s="179" t="s">
        <v>2977</v>
      </c>
      <c r="AL319" s="179" t="s">
        <v>9</v>
      </c>
      <c r="AM319" s="179" t="s">
        <v>4412</v>
      </c>
      <c r="AN319" s="179" t="s">
        <v>2102</v>
      </c>
      <c r="AO319" s="179" t="s">
        <v>2520</v>
      </c>
      <c r="AP319" s="191"/>
      <c r="AQ319" s="184">
        <v>42703</v>
      </c>
      <c r="AR319" s="179">
        <v>116</v>
      </c>
      <c r="AS319" s="179"/>
      <c r="AT319" s="181"/>
      <c r="AU319" s="181"/>
      <c r="AV319" s="192">
        <v>16396957</v>
      </c>
      <c r="AW319" s="181">
        <v>20.2</v>
      </c>
      <c r="AX319" s="179">
        <v>80363</v>
      </c>
      <c r="AY319" s="179"/>
    </row>
    <row r="320" spans="1:51" ht="14.4" x14ac:dyDescent="0.3">
      <c r="A320" s="179" t="s">
        <v>203</v>
      </c>
      <c r="B320" s="179" t="s">
        <v>2947</v>
      </c>
      <c r="C320" s="180" t="s">
        <v>4413</v>
      </c>
      <c r="D320" s="181" t="s">
        <v>2836</v>
      </c>
      <c r="E320" s="181" t="s">
        <v>2825</v>
      </c>
      <c r="F320" s="182" t="s">
        <v>2972</v>
      </c>
      <c r="G320" s="181" t="s">
        <v>17</v>
      </c>
      <c r="H320" s="193">
        <v>45087</v>
      </c>
      <c r="I320" s="184"/>
      <c r="J320" s="179" t="s">
        <v>4414</v>
      </c>
      <c r="K320" s="179">
        <v>120</v>
      </c>
      <c r="L320" s="179" t="s">
        <v>2950</v>
      </c>
      <c r="M320" s="181" t="s">
        <v>3164</v>
      </c>
      <c r="N320" s="185"/>
      <c r="O320" s="179" t="s">
        <v>2951</v>
      </c>
      <c r="P320" s="185" t="s">
        <v>2951</v>
      </c>
      <c r="Q320" s="182" t="s">
        <v>2933</v>
      </c>
      <c r="R320" s="182" t="s">
        <v>2934</v>
      </c>
      <c r="S320" s="182" t="s">
        <v>2952</v>
      </c>
      <c r="T320" s="179" t="s">
        <v>2953</v>
      </c>
      <c r="U320" s="179" t="s">
        <v>2954</v>
      </c>
      <c r="V320" s="187">
        <v>1138</v>
      </c>
      <c r="W320" s="179" t="s">
        <v>2992</v>
      </c>
      <c r="X320" s="188">
        <v>540.1037</v>
      </c>
      <c r="Y320" s="188">
        <v>256.97449999999998</v>
      </c>
      <c r="Z320" s="188">
        <v>146.43860000000001</v>
      </c>
      <c r="AA320" s="188">
        <v>263.66740000000004</v>
      </c>
      <c r="AB320" s="188">
        <v>18.16</v>
      </c>
      <c r="AC320" s="188">
        <v>74.346999999999994</v>
      </c>
      <c r="AD320" s="179" t="s">
        <v>2956</v>
      </c>
      <c r="AE320" s="188" t="s">
        <v>2940</v>
      </c>
      <c r="AF320" s="189">
        <v>0.25</v>
      </c>
      <c r="AG320" s="189">
        <v>0.91666666666666663</v>
      </c>
      <c r="AH320" s="190" t="s">
        <v>2941</v>
      </c>
      <c r="AI320" s="190" t="s">
        <v>2942</v>
      </c>
      <c r="AJ320" s="179" t="s">
        <v>201</v>
      </c>
      <c r="AK320" s="179" t="s">
        <v>3345</v>
      </c>
      <c r="AL320" s="179" t="s">
        <v>36</v>
      </c>
      <c r="AM320" s="179" t="s">
        <v>4415</v>
      </c>
      <c r="AN320" s="179" t="s">
        <v>2102</v>
      </c>
      <c r="AO320" s="179" t="s">
        <v>2556</v>
      </c>
      <c r="AP320" s="191">
        <v>81139605069</v>
      </c>
      <c r="AQ320" s="184">
        <v>42704</v>
      </c>
      <c r="AR320" s="179">
        <v>116</v>
      </c>
      <c r="AS320" s="179"/>
      <c r="AT320" s="181" t="s">
        <v>4416</v>
      </c>
      <c r="AU320" s="181" t="s">
        <v>2946</v>
      </c>
      <c r="AV320" s="192">
        <v>16650000</v>
      </c>
      <c r="AW320" s="181">
        <v>30.2</v>
      </c>
      <c r="AX320" s="179">
        <v>82191</v>
      </c>
      <c r="AY320" s="179"/>
    </row>
    <row r="321" spans="1:51" ht="14.4" x14ac:dyDescent="0.3">
      <c r="A321" s="179" t="s">
        <v>1089</v>
      </c>
      <c r="B321" s="179" t="s">
        <v>2947</v>
      </c>
      <c r="C321" s="180" t="s">
        <v>4417</v>
      </c>
      <c r="D321" s="181" t="s">
        <v>2848</v>
      </c>
      <c r="E321" s="181" t="s">
        <v>2827</v>
      </c>
      <c r="F321" s="182" t="s">
        <v>2929</v>
      </c>
      <c r="G321" s="181" t="s">
        <v>12</v>
      </c>
      <c r="H321" s="193" t="s">
        <v>2930</v>
      </c>
      <c r="I321" s="184"/>
      <c r="J321" s="179" t="s">
        <v>3008</v>
      </c>
      <c r="K321" s="179" t="s">
        <v>3008</v>
      </c>
      <c r="L321" s="179" t="s">
        <v>2932</v>
      </c>
      <c r="M321" s="185"/>
      <c r="N321" s="185"/>
      <c r="O321" s="186"/>
      <c r="P321" s="185"/>
      <c r="Q321" s="182" t="s">
        <v>2934</v>
      </c>
      <c r="R321" s="182" t="s">
        <v>2933</v>
      </c>
      <c r="S321" s="182" t="s">
        <v>2935</v>
      </c>
      <c r="T321" s="179" t="s">
        <v>2974</v>
      </c>
      <c r="U321" s="179" t="s">
        <v>2954</v>
      </c>
      <c r="V321" s="179">
        <v>1004</v>
      </c>
      <c r="W321" s="179" t="s">
        <v>2992</v>
      </c>
      <c r="X321" s="188">
        <v>342.20549999999997</v>
      </c>
      <c r="Y321" s="188">
        <v>195.99449999999999</v>
      </c>
      <c r="Z321" s="188">
        <v>121.88800000000001</v>
      </c>
      <c r="AA321" s="188">
        <v>124.52500000000001</v>
      </c>
      <c r="AB321" s="188">
        <v>6.1308000000000007</v>
      </c>
      <c r="AC321" s="188">
        <v>54.314999999999998</v>
      </c>
      <c r="AD321" s="179" t="s">
        <v>2984</v>
      </c>
      <c r="AE321" s="188" t="s">
        <v>2940</v>
      </c>
      <c r="AF321" s="189">
        <v>0.29166666666666669</v>
      </c>
      <c r="AG321" s="189">
        <v>0.91666666666666663</v>
      </c>
      <c r="AH321" s="190" t="s">
        <v>2941</v>
      </c>
      <c r="AI321" s="190" t="s">
        <v>2942</v>
      </c>
      <c r="AJ321" s="179" t="s">
        <v>1087</v>
      </c>
      <c r="AK321" s="179" t="s">
        <v>3617</v>
      </c>
      <c r="AL321" s="179" t="s">
        <v>48</v>
      </c>
      <c r="AM321" s="179" t="s">
        <v>4418</v>
      </c>
      <c r="AN321" s="179" t="s">
        <v>2102</v>
      </c>
      <c r="AO321" s="179" t="s">
        <v>2604</v>
      </c>
      <c r="AP321" s="191">
        <v>81139605172</v>
      </c>
      <c r="AQ321" s="184">
        <v>42725</v>
      </c>
      <c r="AR321" s="179">
        <v>116</v>
      </c>
      <c r="AS321" s="179"/>
      <c r="AT321" s="181" t="s">
        <v>4172</v>
      </c>
      <c r="AU321" s="181" t="s">
        <v>4173</v>
      </c>
      <c r="AV321" s="192">
        <v>10788000</v>
      </c>
      <c r="AW321" s="181">
        <v>89.7</v>
      </c>
      <c r="AX321" s="179">
        <v>81155</v>
      </c>
      <c r="AY321" s="179"/>
    </row>
    <row r="322" spans="1:51" ht="14.4" x14ac:dyDescent="0.3">
      <c r="A322" s="179" t="s">
        <v>1005</v>
      </c>
      <c r="B322" s="179" t="s">
        <v>2947</v>
      </c>
      <c r="C322" s="180" t="s">
        <v>4419</v>
      </c>
      <c r="D322" s="181" t="s">
        <v>2863</v>
      </c>
      <c r="E322" s="181" t="s">
        <v>2813</v>
      </c>
      <c r="F322" s="182" t="s">
        <v>2929</v>
      </c>
      <c r="G322" s="181" t="s">
        <v>12</v>
      </c>
      <c r="H322" s="193">
        <v>44512</v>
      </c>
      <c r="I322" s="184"/>
      <c r="J322" s="179" t="s">
        <v>4420</v>
      </c>
      <c r="K322" s="179">
        <v>30</v>
      </c>
      <c r="L322" s="179" t="s">
        <v>2965</v>
      </c>
      <c r="M322" s="185"/>
      <c r="N322" s="185"/>
      <c r="O322" s="186"/>
      <c r="P322" s="185"/>
      <c r="Q322" s="182" t="s">
        <v>2933</v>
      </c>
      <c r="R322" s="182" t="s">
        <v>2934</v>
      </c>
      <c r="S322" s="182" t="s">
        <v>2952</v>
      </c>
      <c r="T322" s="179" t="s">
        <v>2974</v>
      </c>
      <c r="U322" s="179" t="s">
        <v>2954</v>
      </c>
      <c r="V322" s="187">
        <v>519</v>
      </c>
      <c r="W322" s="179" t="s">
        <v>3140</v>
      </c>
      <c r="X322" s="188">
        <v>252.29130000000004</v>
      </c>
      <c r="Y322" s="188">
        <v>190.82000000000002</v>
      </c>
      <c r="Z322" s="188">
        <v>124.3056</v>
      </c>
      <c r="AA322" s="188">
        <v>54.375300000000003</v>
      </c>
      <c r="AB322" s="188">
        <v>10.584000000000001</v>
      </c>
      <c r="AC322" s="188">
        <v>28.985000000000003</v>
      </c>
      <c r="AD322" s="179" t="s">
        <v>2939</v>
      </c>
      <c r="AE322" s="188" t="s">
        <v>2940</v>
      </c>
      <c r="AF322" s="189">
        <v>0</v>
      </c>
      <c r="AG322" s="189">
        <v>0.99930555555555556</v>
      </c>
      <c r="AH322" s="190" t="s">
        <v>2941</v>
      </c>
      <c r="AI322" s="190" t="s">
        <v>2942</v>
      </c>
      <c r="AJ322" s="179" t="s">
        <v>131</v>
      </c>
      <c r="AK322" s="179" t="s">
        <v>3293</v>
      </c>
      <c r="AL322" s="179" t="s">
        <v>9</v>
      </c>
      <c r="AM322" s="179" t="s">
        <v>4421</v>
      </c>
      <c r="AN322" s="179" t="s">
        <v>2102</v>
      </c>
      <c r="AO322" s="179" t="s">
        <v>2605</v>
      </c>
      <c r="AP322" s="191">
        <v>81139006906</v>
      </c>
      <c r="AQ322" s="184">
        <v>42732</v>
      </c>
      <c r="AR322" s="179">
        <v>116</v>
      </c>
      <c r="AS322" s="179"/>
      <c r="AT322" s="181" t="s">
        <v>4422</v>
      </c>
      <c r="AU322" s="181" t="s">
        <v>2946</v>
      </c>
      <c r="AV322" s="192">
        <v>16857917</v>
      </c>
      <c r="AW322" s="181">
        <v>31.2</v>
      </c>
      <c r="AX322" s="179">
        <v>80361</v>
      </c>
      <c r="AY322" s="179"/>
    </row>
    <row r="323" spans="1:51" ht="14.4" x14ac:dyDescent="0.3">
      <c r="A323" s="179" t="s">
        <v>454</v>
      </c>
      <c r="B323" s="179" t="s">
        <v>2927</v>
      </c>
      <c r="C323" s="180" t="s">
        <v>4423</v>
      </c>
      <c r="D323" s="181" t="s">
        <v>2822</v>
      </c>
      <c r="E323" s="181" t="s">
        <v>2821</v>
      </c>
      <c r="F323" s="182" t="s">
        <v>2929</v>
      </c>
      <c r="G323" s="181" t="s">
        <v>12</v>
      </c>
      <c r="H323" s="193" t="s">
        <v>2930</v>
      </c>
      <c r="I323" s="184" t="s">
        <v>2930</v>
      </c>
      <c r="J323" s="179" t="s">
        <v>4424</v>
      </c>
      <c r="K323" s="179">
        <v>550</v>
      </c>
      <c r="L323" s="179" t="s">
        <v>3026</v>
      </c>
      <c r="M323" s="185"/>
      <c r="N323" s="185"/>
      <c r="O323" s="186"/>
      <c r="P323" s="185"/>
      <c r="Q323" s="182" t="s">
        <v>2934</v>
      </c>
      <c r="R323" s="182" t="s">
        <v>2933</v>
      </c>
      <c r="S323" s="182" t="s">
        <v>2952</v>
      </c>
      <c r="T323" s="179" t="s">
        <v>2974</v>
      </c>
      <c r="U323" s="179" t="s">
        <v>2937</v>
      </c>
      <c r="V323" s="179">
        <v>1381</v>
      </c>
      <c r="W323" s="179" t="s">
        <v>3140</v>
      </c>
      <c r="X323" s="188">
        <v>399.16530000000006</v>
      </c>
      <c r="Y323" s="188">
        <v>233.244</v>
      </c>
      <c r="Z323" s="188">
        <v>119.623</v>
      </c>
      <c r="AA323" s="188">
        <v>155.0367</v>
      </c>
      <c r="AB323" s="188">
        <v>21.84</v>
      </c>
      <c r="AC323" s="188">
        <v>64.996399999999994</v>
      </c>
      <c r="AD323" s="179" t="s">
        <v>2956</v>
      </c>
      <c r="AE323" s="188" t="s">
        <v>2957</v>
      </c>
      <c r="AF323" s="189">
        <v>0.29166666666666669</v>
      </c>
      <c r="AG323" s="189">
        <v>0.91666666666666663</v>
      </c>
      <c r="AH323" s="190" t="s">
        <v>2941</v>
      </c>
      <c r="AI323" s="190" t="s">
        <v>2942</v>
      </c>
      <c r="AJ323" s="179" t="s">
        <v>452</v>
      </c>
      <c r="AK323" s="179" t="s">
        <v>3281</v>
      </c>
      <c r="AL323" s="179" t="s">
        <v>36</v>
      </c>
      <c r="AM323" s="179" t="s">
        <v>4425</v>
      </c>
      <c r="AN323" s="179" t="s">
        <v>2102</v>
      </c>
      <c r="AO323" s="179" t="s">
        <v>2378</v>
      </c>
      <c r="AP323" s="191">
        <v>81139001231</v>
      </c>
      <c r="AQ323" s="184">
        <v>42734</v>
      </c>
      <c r="AR323" s="179">
        <v>115</v>
      </c>
      <c r="AS323" s="194"/>
      <c r="AT323" s="195" t="s">
        <v>4409</v>
      </c>
      <c r="AU323" s="195" t="s">
        <v>2946</v>
      </c>
      <c r="AV323" s="192">
        <v>8555000</v>
      </c>
      <c r="AW323" s="181">
        <v>15.1</v>
      </c>
      <c r="AX323" s="179">
        <v>82161</v>
      </c>
      <c r="AY323" s="179"/>
    </row>
    <row r="324" spans="1:51" ht="14.4" x14ac:dyDescent="0.3">
      <c r="A324" s="179" t="s">
        <v>327</v>
      </c>
      <c r="B324" s="179" t="s">
        <v>2947</v>
      </c>
      <c r="C324" s="180" t="s">
        <v>4426</v>
      </c>
      <c r="D324" s="181" t="s">
        <v>2866</v>
      </c>
      <c r="E324" s="181" t="s">
        <v>2827</v>
      </c>
      <c r="F324" s="182" t="s">
        <v>2929</v>
      </c>
      <c r="G324" s="181" t="s">
        <v>12</v>
      </c>
      <c r="H324" s="193">
        <v>44185</v>
      </c>
      <c r="I324" s="184">
        <v>44185</v>
      </c>
      <c r="J324" s="179" t="s">
        <v>4427</v>
      </c>
      <c r="K324" s="179">
        <v>270</v>
      </c>
      <c r="L324" s="179" t="s">
        <v>2950</v>
      </c>
      <c r="M324" s="185"/>
      <c r="N324" s="185" t="s">
        <v>2951</v>
      </c>
      <c r="O324" s="186"/>
      <c r="P324" s="185"/>
      <c r="Q324" s="182" t="s">
        <v>2933</v>
      </c>
      <c r="R324" s="182" t="s">
        <v>2934</v>
      </c>
      <c r="S324" s="182" t="s">
        <v>2952</v>
      </c>
      <c r="T324" s="179" t="s">
        <v>2953</v>
      </c>
      <c r="U324" s="179" t="s">
        <v>2954</v>
      </c>
      <c r="V324" s="179">
        <v>1013</v>
      </c>
      <c r="W324" s="179" t="s">
        <v>2992</v>
      </c>
      <c r="X324" s="188">
        <v>328.86</v>
      </c>
      <c r="Y324" s="188">
        <v>197.36860000000001</v>
      </c>
      <c r="Z324" s="188">
        <v>119.00530000000001</v>
      </c>
      <c r="AA324" s="188">
        <v>84.882900000000006</v>
      </c>
      <c r="AB324" s="188">
        <v>21.509999999999998</v>
      </c>
      <c r="AC324" s="188">
        <v>235.84440000000001</v>
      </c>
      <c r="AD324" s="179" t="s">
        <v>2956</v>
      </c>
      <c r="AE324" s="188" t="s">
        <v>3017</v>
      </c>
      <c r="AF324" s="189">
        <v>0.29166666666666669</v>
      </c>
      <c r="AG324" s="189">
        <v>0.91666666666666663</v>
      </c>
      <c r="AH324" s="190" t="s">
        <v>2941</v>
      </c>
      <c r="AI324" s="190" t="s">
        <v>2942</v>
      </c>
      <c r="AJ324" s="179" t="s">
        <v>325</v>
      </c>
      <c r="AK324" s="179" t="s">
        <v>3511</v>
      </c>
      <c r="AL324" s="179" t="s">
        <v>48</v>
      </c>
      <c r="AM324" s="179" t="s">
        <v>4428</v>
      </c>
      <c r="AN324" s="179" t="s">
        <v>2102</v>
      </c>
      <c r="AO324" s="179" t="s">
        <v>2689</v>
      </c>
      <c r="AP324" s="191">
        <v>8113806139</v>
      </c>
      <c r="AQ324" s="184">
        <v>42735</v>
      </c>
      <c r="AR324" s="179">
        <v>115</v>
      </c>
      <c r="AS324" s="179"/>
      <c r="AT324" s="181" t="s">
        <v>4429</v>
      </c>
      <c r="AU324" s="181" t="s">
        <v>2946</v>
      </c>
      <c r="AV324" s="192">
        <v>10540000</v>
      </c>
      <c r="AW324" s="181">
        <v>58.9</v>
      </c>
      <c r="AX324" s="179">
        <v>81152</v>
      </c>
      <c r="AY324" s="179"/>
    </row>
    <row r="325" spans="1:51" ht="14.4" x14ac:dyDescent="0.3">
      <c r="A325" s="179" t="s">
        <v>828</v>
      </c>
      <c r="B325" s="179" t="s">
        <v>2927</v>
      </c>
      <c r="C325" s="180" t="s">
        <v>4430</v>
      </c>
      <c r="D325" s="181" t="s">
        <v>2864</v>
      </c>
      <c r="E325" s="181" t="s">
        <v>2827</v>
      </c>
      <c r="F325" s="182" t="s">
        <v>2929</v>
      </c>
      <c r="G325" s="181" t="s">
        <v>12</v>
      </c>
      <c r="H325" s="193" t="s">
        <v>2930</v>
      </c>
      <c r="I325" s="184" t="s">
        <v>2930</v>
      </c>
      <c r="J325" s="179" t="s">
        <v>3008</v>
      </c>
      <c r="K325" s="179" t="s">
        <v>3008</v>
      </c>
      <c r="L325" s="179" t="s">
        <v>2932</v>
      </c>
      <c r="M325" s="185"/>
      <c r="N325" s="185"/>
      <c r="O325" s="186"/>
      <c r="P325" s="185"/>
      <c r="Q325" s="182" t="s">
        <v>2933</v>
      </c>
      <c r="R325" s="182" t="s">
        <v>2934</v>
      </c>
      <c r="S325" s="182" t="s">
        <v>2952</v>
      </c>
      <c r="T325" s="179" t="s">
        <v>2974</v>
      </c>
      <c r="U325" s="179" t="s">
        <v>2937</v>
      </c>
      <c r="V325" s="179">
        <v>1071</v>
      </c>
      <c r="W325" s="179" t="s">
        <v>4431</v>
      </c>
      <c r="X325" s="188">
        <v>1028.1935999999998</v>
      </c>
      <c r="Y325" s="188">
        <v>275.23860000000002</v>
      </c>
      <c r="Z325" s="188">
        <v>158.08000000000001</v>
      </c>
      <c r="AA325" s="188">
        <v>679.01030000000003</v>
      </c>
      <c r="AB325" s="188">
        <v>19.760000000000002</v>
      </c>
      <c r="AC325" s="188">
        <v>85.995900000000006</v>
      </c>
      <c r="AD325" s="179" t="s">
        <v>2956</v>
      </c>
      <c r="AE325" s="188" t="s">
        <v>2940</v>
      </c>
      <c r="AF325" s="189">
        <v>0.29166666666666669</v>
      </c>
      <c r="AG325" s="189">
        <v>0.91666666666666663</v>
      </c>
      <c r="AH325" s="190" t="s">
        <v>2941</v>
      </c>
      <c r="AI325" s="190" t="s">
        <v>2942</v>
      </c>
      <c r="AJ325" s="179" t="s">
        <v>826</v>
      </c>
      <c r="AK325" s="179" t="s">
        <v>4430</v>
      </c>
      <c r="AL325" s="179" t="s">
        <v>48</v>
      </c>
      <c r="AM325" s="179" t="s">
        <v>4432</v>
      </c>
      <c r="AN325" s="179" t="s">
        <v>2102</v>
      </c>
      <c r="AO325" s="179" t="s">
        <v>2373</v>
      </c>
      <c r="AP325" s="191">
        <v>81139605253</v>
      </c>
      <c r="AQ325" s="184">
        <v>42765</v>
      </c>
      <c r="AR325" s="179">
        <v>114</v>
      </c>
      <c r="AS325" s="194">
        <v>43070</v>
      </c>
      <c r="AT325" s="195" t="s">
        <v>4433</v>
      </c>
      <c r="AU325" s="195" t="s">
        <v>4434</v>
      </c>
      <c r="AV325" s="192">
        <v>13694000</v>
      </c>
      <c r="AW325" s="181">
        <v>81</v>
      </c>
      <c r="AX325" s="179">
        <v>81173</v>
      </c>
      <c r="AY325" s="179" t="s">
        <v>4435</v>
      </c>
    </row>
    <row r="326" spans="1:51" ht="14.4" x14ac:dyDescent="0.3">
      <c r="A326" s="179" t="s">
        <v>1394</v>
      </c>
      <c r="B326" s="179" t="s">
        <v>2927</v>
      </c>
      <c r="C326" s="180" t="s">
        <v>4436</v>
      </c>
      <c r="D326" s="181" t="s">
        <v>2828</v>
      </c>
      <c r="E326" s="181" t="s">
        <v>2827</v>
      </c>
      <c r="F326" s="182" t="s">
        <v>2929</v>
      </c>
      <c r="G326" s="181" t="s">
        <v>12</v>
      </c>
      <c r="H326" s="193" t="s">
        <v>2930</v>
      </c>
      <c r="I326" s="184" t="s">
        <v>2930</v>
      </c>
      <c r="J326" s="179" t="s">
        <v>4437</v>
      </c>
      <c r="K326" s="179">
        <v>1000</v>
      </c>
      <c r="L326" s="179" t="s">
        <v>2932</v>
      </c>
      <c r="M326" s="185"/>
      <c r="N326" s="185"/>
      <c r="O326" s="186"/>
      <c r="P326" s="185"/>
      <c r="Q326" s="182" t="s">
        <v>2933</v>
      </c>
      <c r="R326" s="182" t="s">
        <v>2934</v>
      </c>
      <c r="S326" s="182" t="s">
        <v>2952</v>
      </c>
      <c r="T326" s="179" t="s">
        <v>2953</v>
      </c>
      <c r="U326" s="179" t="s">
        <v>2937</v>
      </c>
      <c r="V326" s="187">
        <v>1070</v>
      </c>
      <c r="W326" s="179" t="s">
        <v>4438</v>
      </c>
      <c r="X326" s="188">
        <v>255.33950000000004</v>
      </c>
      <c r="Y326" s="188">
        <v>172.07400000000001</v>
      </c>
      <c r="Z326" s="188">
        <v>108.36060000000001</v>
      </c>
      <c r="AA326" s="188">
        <v>81.457999999999998</v>
      </c>
      <c r="AB326" s="188">
        <v>11.635199999999999</v>
      </c>
      <c r="AC326" s="188">
        <v>34.754499999999993</v>
      </c>
      <c r="AD326" s="179" t="s">
        <v>2984</v>
      </c>
      <c r="AE326" s="188" t="s">
        <v>2940</v>
      </c>
      <c r="AF326" s="189">
        <v>0.29166666666666669</v>
      </c>
      <c r="AG326" s="189">
        <v>0.91666666666666663</v>
      </c>
      <c r="AH326" s="190" t="s">
        <v>2941</v>
      </c>
      <c r="AI326" s="190" t="s">
        <v>2942</v>
      </c>
      <c r="AJ326" s="179" t="s">
        <v>863</v>
      </c>
      <c r="AK326" s="179" t="s">
        <v>3364</v>
      </c>
      <c r="AL326" s="179" t="s">
        <v>48</v>
      </c>
      <c r="AM326" s="179" t="s">
        <v>4439</v>
      </c>
      <c r="AN326" s="179" t="s">
        <v>2102</v>
      </c>
      <c r="AO326" s="179" t="s">
        <v>2770</v>
      </c>
      <c r="AP326" s="191">
        <v>81139604740</v>
      </c>
      <c r="AQ326" s="184">
        <v>42766</v>
      </c>
      <c r="AR326" s="179">
        <v>114</v>
      </c>
      <c r="AS326" s="199">
        <v>43800</v>
      </c>
      <c r="AT326" s="195" t="s">
        <v>4440</v>
      </c>
      <c r="AU326" s="181" t="s">
        <v>2946</v>
      </c>
      <c r="AV326" s="192">
        <v>9570000</v>
      </c>
      <c r="AW326" s="181">
        <v>53</v>
      </c>
      <c r="AX326" s="179">
        <v>81161</v>
      </c>
      <c r="AY326" s="179" t="s">
        <v>4441</v>
      </c>
    </row>
    <row r="327" spans="1:51" ht="14.4" x14ac:dyDescent="0.3">
      <c r="A327" s="179" t="s">
        <v>1828</v>
      </c>
      <c r="B327" s="179" t="s">
        <v>2947</v>
      </c>
      <c r="C327" s="180" t="s">
        <v>4442</v>
      </c>
      <c r="D327" s="181" t="s">
        <v>2822</v>
      </c>
      <c r="E327" s="181" t="s">
        <v>2821</v>
      </c>
      <c r="F327" s="182" t="s">
        <v>2929</v>
      </c>
      <c r="G327" s="181" t="s">
        <v>12</v>
      </c>
      <c r="H327" s="193" t="s">
        <v>2930</v>
      </c>
      <c r="I327" s="184" t="s">
        <v>2930</v>
      </c>
      <c r="J327" s="179" t="s">
        <v>4443</v>
      </c>
      <c r="K327" s="179">
        <v>750</v>
      </c>
      <c r="L327" s="179" t="s">
        <v>3026</v>
      </c>
      <c r="M327" s="185"/>
      <c r="N327" s="185"/>
      <c r="O327" s="186"/>
      <c r="P327" s="185"/>
      <c r="Q327" s="182" t="s">
        <v>2933</v>
      </c>
      <c r="R327" s="182" t="s">
        <v>2934</v>
      </c>
      <c r="S327" s="182" t="s">
        <v>2952</v>
      </c>
      <c r="T327" s="179" t="s">
        <v>2999</v>
      </c>
      <c r="U327" s="179" t="s">
        <v>2954</v>
      </c>
      <c r="V327" s="187">
        <v>1030</v>
      </c>
      <c r="W327" s="179" t="s">
        <v>3151</v>
      </c>
      <c r="X327" s="188">
        <v>396.21919999999994</v>
      </c>
      <c r="Y327" s="188">
        <v>182.11500000000001</v>
      </c>
      <c r="Z327" s="188">
        <v>119.39750000000001</v>
      </c>
      <c r="AA327" s="188">
        <v>142.87900000000002</v>
      </c>
      <c r="AB327" s="188">
        <v>31.020699999999998</v>
      </c>
      <c r="AC327" s="188">
        <v>25.872000000000003</v>
      </c>
      <c r="AD327" s="179" t="s">
        <v>2939</v>
      </c>
      <c r="AE327" s="188" t="s">
        <v>2940</v>
      </c>
      <c r="AF327" s="189">
        <v>0.29166666666666669</v>
      </c>
      <c r="AG327" s="189">
        <v>0.91666666666666663</v>
      </c>
      <c r="AH327" s="190" t="s">
        <v>2941</v>
      </c>
      <c r="AI327" s="190" t="s">
        <v>2942</v>
      </c>
      <c r="AJ327" s="179" t="s">
        <v>1826</v>
      </c>
      <c r="AK327" s="179" t="s">
        <v>4444</v>
      </c>
      <c r="AL327" s="179" t="s">
        <v>36</v>
      </c>
      <c r="AM327" s="179" t="s">
        <v>4445</v>
      </c>
      <c r="AN327" s="179" t="s">
        <v>2102</v>
      </c>
      <c r="AO327" s="179" t="s">
        <v>2632</v>
      </c>
      <c r="AP327" s="191">
        <v>81139000831</v>
      </c>
      <c r="AQ327" s="184">
        <v>42789</v>
      </c>
      <c r="AR327" s="179">
        <v>114</v>
      </c>
      <c r="AS327" s="179"/>
      <c r="AT327" s="181"/>
      <c r="AU327" s="181"/>
      <c r="AV327" s="192">
        <v>11220000</v>
      </c>
      <c r="AW327" s="181">
        <v>22.8</v>
      </c>
      <c r="AX327" s="179">
        <v>82160</v>
      </c>
      <c r="AY327" s="179"/>
    </row>
    <row r="328" spans="1:51" ht="14.4" x14ac:dyDescent="0.3">
      <c r="A328" s="179" t="s">
        <v>465</v>
      </c>
      <c r="B328" s="179" t="s">
        <v>2947</v>
      </c>
      <c r="C328" s="180" t="s">
        <v>4446</v>
      </c>
      <c r="D328" s="181" t="s">
        <v>2857</v>
      </c>
      <c r="E328" s="181" t="s">
        <v>2815</v>
      </c>
      <c r="F328" s="182" t="s">
        <v>2929</v>
      </c>
      <c r="G328" s="181" t="s">
        <v>12</v>
      </c>
      <c r="H328" s="193">
        <v>44008</v>
      </c>
      <c r="I328" s="184">
        <v>44008</v>
      </c>
      <c r="J328" s="179" t="s">
        <v>3008</v>
      </c>
      <c r="K328" s="179" t="s">
        <v>3008</v>
      </c>
      <c r="L328" s="179" t="s">
        <v>2932</v>
      </c>
      <c r="M328" s="185"/>
      <c r="N328" s="185"/>
      <c r="O328" s="186"/>
      <c r="P328" s="185"/>
      <c r="Q328" s="182" t="s">
        <v>2933</v>
      </c>
      <c r="R328" s="182" t="s">
        <v>2934</v>
      </c>
      <c r="S328" s="182" t="s">
        <v>2935</v>
      </c>
      <c r="T328" s="179" t="s">
        <v>2974</v>
      </c>
      <c r="U328" s="179" t="s">
        <v>2954</v>
      </c>
      <c r="V328" s="187">
        <v>571</v>
      </c>
      <c r="W328" s="179" t="s">
        <v>3549</v>
      </c>
      <c r="X328" s="188">
        <v>356.0607</v>
      </c>
      <c r="Y328" s="188">
        <v>234.91890000000001</v>
      </c>
      <c r="Z328" s="188">
        <v>125.36719999999998</v>
      </c>
      <c r="AA328" s="188">
        <v>76.978499999999997</v>
      </c>
      <c r="AB328" s="188">
        <v>41.86</v>
      </c>
      <c r="AC328" s="188">
        <v>38.356000000000002</v>
      </c>
      <c r="AD328" s="179" t="s">
        <v>2984</v>
      </c>
      <c r="AE328" s="188" t="s">
        <v>2940</v>
      </c>
      <c r="AF328" s="189">
        <v>0.29166666666666669</v>
      </c>
      <c r="AG328" s="189">
        <v>0.91666666666666663</v>
      </c>
      <c r="AH328" s="190" t="s">
        <v>2941</v>
      </c>
      <c r="AI328" s="190" t="s">
        <v>2985</v>
      </c>
      <c r="AJ328" s="179" t="s">
        <v>178</v>
      </c>
      <c r="AK328" s="179" t="s">
        <v>3000</v>
      </c>
      <c r="AL328" s="179" t="s">
        <v>28</v>
      </c>
      <c r="AM328" s="179" t="s">
        <v>4447</v>
      </c>
      <c r="AN328" s="179" t="s">
        <v>2102</v>
      </c>
      <c r="AO328" s="179" t="s">
        <v>2702</v>
      </c>
      <c r="AP328" s="191">
        <v>81139604779</v>
      </c>
      <c r="AQ328" s="184">
        <v>42793</v>
      </c>
      <c r="AR328" s="179">
        <v>114</v>
      </c>
      <c r="AS328" s="179"/>
      <c r="AT328" s="181" t="s">
        <v>4448</v>
      </c>
      <c r="AU328" s="181"/>
      <c r="AV328" s="192">
        <v>13018843</v>
      </c>
      <c r="AW328" s="181">
        <v>18.3</v>
      </c>
      <c r="AX328" s="179">
        <v>80511</v>
      </c>
      <c r="AY328" s="179"/>
    </row>
    <row r="329" spans="1:51" ht="14.4" x14ac:dyDescent="0.3">
      <c r="A329" s="179" t="s">
        <v>1468</v>
      </c>
      <c r="B329" s="179" t="s">
        <v>2947</v>
      </c>
      <c r="C329" s="180" t="s">
        <v>4449</v>
      </c>
      <c r="D329" s="181" t="s">
        <v>2822</v>
      </c>
      <c r="E329" s="181" t="s">
        <v>2821</v>
      </c>
      <c r="F329" s="182" t="s">
        <v>2929</v>
      </c>
      <c r="G329" s="181" t="s">
        <v>12</v>
      </c>
      <c r="H329" s="193" t="s">
        <v>2930</v>
      </c>
      <c r="I329" s="184"/>
      <c r="J329" s="179" t="s">
        <v>4450</v>
      </c>
      <c r="K329" s="179">
        <v>450</v>
      </c>
      <c r="L329" s="179" t="s">
        <v>3026</v>
      </c>
      <c r="M329" s="185"/>
      <c r="N329" s="185"/>
      <c r="O329" s="186"/>
      <c r="P329" s="185"/>
      <c r="Q329" s="182" t="s">
        <v>2934</v>
      </c>
      <c r="R329" s="182" t="s">
        <v>2933</v>
      </c>
      <c r="S329" s="182" t="s">
        <v>2952</v>
      </c>
      <c r="T329" s="179" t="s">
        <v>2974</v>
      </c>
      <c r="U329" s="179" t="s">
        <v>2954</v>
      </c>
      <c r="V329" s="179">
        <v>1214</v>
      </c>
      <c r="W329" s="179" t="s">
        <v>4451</v>
      </c>
      <c r="X329" s="188">
        <v>201.05620000000002</v>
      </c>
      <c r="Y329" s="188">
        <v>132.6284</v>
      </c>
      <c r="Z329" s="188">
        <v>95.075999999999993</v>
      </c>
      <c r="AA329" s="188">
        <v>68.163600000000002</v>
      </c>
      <c r="AB329" s="188">
        <v>10.258199999999999</v>
      </c>
      <c r="AC329" s="188">
        <v>136.9092</v>
      </c>
      <c r="AD329" s="179" t="s">
        <v>2956</v>
      </c>
      <c r="AE329" s="188" t="s">
        <v>2957</v>
      </c>
      <c r="AF329" s="189">
        <v>0.29166666666666669</v>
      </c>
      <c r="AG329" s="189">
        <v>0.91666666666666663</v>
      </c>
      <c r="AH329" s="190" t="s">
        <v>2941</v>
      </c>
      <c r="AI329" s="190" t="s">
        <v>2942</v>
      </c>
      <c r="AJ329" s="179" t="s">
        <v>1466</v>
      </c>
      <c r="AK329" s="179" t="s">
        <v>36</v>
      </c>
      <c r="AL329" s="179" t="s">
        <v>36</v>
      </c>
      <c r="AM329" s="179" t="s">
        <v>4452</v>
      </c>
      <c r="AN329" s="179" t="s">
        <v>2102</v>
      </c>
      <c r="AO329" s="179" t="s">
        <v>2557</v>
      </c>
      <c r="AP329" s="191">
        <v>81139605204</v>
      </c>
      <c r="AQ329" s="184">
        <v>42794</v>
      </c>
      <c r="AR329" s="179">
        <v>114</v>
      </c>
      <c r="AS329" s="179"/>
      <c r="AT329" s="181" t="s">
        <v>4276</v>
      </c>
      <c r="AU329" s="181" t="s">
        <v>2946</v>
      </c>
      <c r="AV329" s="192">
        <v>9450000</v>
      </c>
      <c r="AW329" s="181">
        <v>14.7</v>
      </c>
      <c r="AX329" s="179">
        <v>82115</v>
      </c>
      <c r="AY329" s="179"/>
    </row>
    <row r="330" spans="1:51" ht="14.4" x14ac:dyDescent="0.3">
      <c r="A330" s="179" t="s">
        <v>239</v>
      </c>
      <c r="B330" s="179" t="s">
        <v>2927</v>
      </c>
      <c r="C330" s="180" t="s">
        <v>3085</v>
      </c>
      <c r="D330" s="181" t="s">
        <v>2843</v>
      </c>
      <c r="E330" s="181" t="s">
        <v>2840</v>
      </c>
      <c r="F330" s="182" t="s">
        <v>2929</v>
      </c>
      <c r="G330" s="181" t="s">
        <v>12</v>
      </c>
      <c r="H330" s="193" t="s">
        <v>2930</v>
      </c>
      <c r="I330" s="184"/>
      <c r="J330" s="179" t="s">
        <v>4453</v>
      </c>
      <c r="K330" s="179">
        <v>290</v>
      </c>
      <c r="L330" s="179" t="s">
        <v>2950</v>
      </c>
      <c r="M330" s="185"/>
      <c r="N330" s="185"/>
      <c r="O330" s="186"/>
      <c r="P330" s="185"/>
      <c r="Q330" s="182" t="s">
        <v>2934</v>
      </c>
      <c r="R330" s="182" t="s">
        <v>2933</v>
      </c>
      <c r="S330" s="182" t="s">
        <v>2952</v>
      </c>
      <c r="T330" s="179" t="s">
        <v>2953</v>
      </c>
      <c r="U330" s="179" t="s">
        <v>2937</v>
      </c>
      <c r="V330" s="179">
        <v>599</v>
      </c>
      <c r="W330" s="179" t="s">
        <v>3009</v>
      </c>
      <c r="X330" s="188">
        <v>472.86469999999997</v>
      </c>
      <c r="Y330" s="188">
        <v>308.0532</v>
      </c>
      <c r="Z330" s="188">
        <v>116.9889</v>
      </c>
      <c r="AA330" s="188">
        <v>147.7088</v>
      </c>
      <c r="AB330" s="188">
        <v>59.899499999999996</v>
      </c>
      <c r="AC330" s="188">
        <v>44.821300000000001</v>
      </c>
      <c r="AD330" s="179" t="s">
        <v>2984</v>
      </c>
      <c r="AE330" s="188" t="s">
        <v>2940</v>
      </c>
      <c r="AF330" s="189">
        <v>0.29166666666666669</v>
      </c>
      <c r="AG330" s="189">
        <v>0.95833333333333337</v>
      </c>
      <c r="AH330" s="190" t="s">
        <v>2941</v>
      </c>
      <c r="AI330" s="190" t="s">
        <v>2942</v>
      </c>
      <c r="AJ330" s="179" t="s">
        <v>237</v>
      </c>
      <c r="AK330" s="179" t="s">
        <v>2963</v>
      </c>
      <c r="AL330" s="179" t="s">
        <v>90</v>
      </c>
      <c r="AM330" s="179" t="s">
        <v>4454</v>
      </c>
      <c r="AN330" s="179" t="s">
        <v>2102</v>
      </c>
      <c r="AO330" s="179" t="s">
        <v>2282</v>
      </c>
      <c r="AP330" s="191">
        <v>8113806079</v>
      </c>
      <c r="AQ330" s="184">
        <v>42820</v>
      </c>
      <c r="AR330" s="179">
        <v>113</v>
      </c>
      <c r="AS330" s="194"/>
      <c r="AT330" s="195" t="s">
        <v>4455</v>
      </c>
      <c r="AU330" s="195" t="s">
        <v>2946</v>
      </c>
      <c r="AV330" s="192">
        <v>8000000</v>
      </c>
      <c r="AW330" s="181">
        <v>85.2</v>
      </c>
      <c r="AX330" s="179">
        <v>82212</v>
      </c>
      <c r="AY330" s="179"/>
    </row>
    <row r="331" spans="1:51" ht="14.4" x14ac:dyDescent="0.3">
      <c r="A331" s="179" t="s">
        <v>1384</v>
      </c>
      <c r="B331" s="179" t="s">
        <v>2927</v>
      </c>
      <c r="C331" s="180" t="s">
        <v>4456</v>
      </c>
      <c r="D331" s="181" t="s">
        <v>2844</v>
      </c>
      <c r="E331" s="181" t="s">
        <v>2834</v>
      </c>
      <c r="F331" s="182" t="s">
        <v>2929</v>
      </c>
      <c r="G331" s="181" t="s">
        <v>12</v>
      </c>
      <c r="H331" s="193" t="s">
        <v>2930</v>
      </c>
      <c r="I331" s="184" t="s">
        <v>2930</v>
      </c>
      <c r="J331" s="179" t="s">
        <v>3008</v>
      </c>
      <c r="K331" s="179" t="s">
        <v>3008</v>
      </c>
      <c r="L331" s="179" t="s">
        <v>2932</v>
      </c>
      <c r="M331" s="185"/>
      <c r="N331" s="185"/>
      <c r="O331" s="186"/>
      <c r="P331" s="185"/>
      <c r="Q331" s="182" t="s">
        <v>2934</v>
      </c>
      <c r="R331" s="182" t="s">
        <v>2933</v>
      </c>
      <c r="S331" s="182" t="s">
        <v>2952</v>
      </c>
      <c r="T331" s="179" t="s">
        <v>2974</v>
      </c>
      <c r="U331" s="179" t="s">
        <v>2937</v>
      </c>
      <c r="V331" s="179">
        <v>1293</v>
      </c>
      <c r="W331" s="179" t="s">
        <v>4457</v>
      </c>
      <c r="X331" s="188">
        <v>368.64620000000002</v>
      </c>
      <c r="Y331" s="188">
        <v>144.66020000000003</v>
      </c>
      <c r="Z331" s="188">
        <v>91.245599999999996</v>
      </c>
      <c r="AA331" s="188">
        <v>205.11789999999999</v>
      </c>
      <c r="AB331" s="188">
        <v>17.829999999999998</v>
      </c>
      <c r="AC331" s="188">
        <v>28.104099999999999</v>
      </c>
      <c r="AD331" s="179" t="s">
        <v>2939</v>
      </c>
      <c r="AE331" s="188" t="s">
        <v>2940</v>
      </c>
      <c r="AF331" s="189">
        <v>0.29166666666666669</v>
      </c>
      <c r="AG331" s="189">
        <v>0.91666666666666663</v>
      </c>
      <c r="AH331" s="190" t="s">
        <v>2941</v>
      </c>
      <c r="AI331" s="190" t="s">
        <v>2942</v>
      </c>
      <c r="AJ331" s="179" t="s">
        <v>1382</v>
      </c>
      <c r="AK331" s="179" t="s">
        <v>3972</v>
      </c>
      <c r="AL331" s="179" t="s">
        <v>32</v>
      </c>
      <c r="AM331" s="179" t="s">
        <v>4458</v>
      </c>
      <c r="AN331" s="179" t="s">
        <v>2102</v>
      </c>
      <c r="AO331" s="179" t="s">
        <v>2328</v>
      </c>
      <c r="AP331" s="191">
        <v>81139604760</v>
      </c>
      <c r="AQ331" s="184">
        <v>42820</v>
      </c>
      <c r="AR331" s="179">
        <v>113</v>
      </c>
      <c r="AS331" s="194"/>
      <c r="AT331" s="195" t="s">
        <v>4459</v>
      </c>
      <c r="AU331" s="195" t="s">
        <v>2946</v>
      </c>
      <c r="AV331" s="192">
        <v>8460000</v>
      </c>
      <c r="AW331" s="181">
        <v>44.1</v>
      </c>
      <c r="AX331" s="179">
        <v>80661</v>
      </c>
      <c r="AY331" s="179"/>
    </row>
    <row r="332" spans="1:51" ht="14.4" x14ac:dyDescent="0.3">
      <c r="A332" s="179" t="s">
        <v>1387</v>
      </c>
      <c r="B332" s="179" t="s">
        <v>2927</v>
      </c>
      <c r="C332" s="180" t="s">
        <v>4460</v>
      </c>
      <c r="D332" s="181" t="s">
        <v>2860</v>
      </c>
      <c r="E332" s="181" t="s">
        <v>2830</v>
      </c>
      <c r="F332" s="182" t="s">
        <v>2929</v>
      </c>
      <c r="G332" s="181" t="s">
        <v>12</v>
      </c>
      <c r="H332" s="193" t="s">
        <v>2930</v>
      </c>
      <c r="I332" s="184" t="s">
        <v>2930</v>
      </c>
      <c r="J332" s="179" t="s">
        <v>3008</v>
      </c>
      <c r="K332" s="179" t="s">
        <v>3008</v>
      </c>
      <c r="L332" s="179" t="s">
        <v>2932</v>
      </c>
      <c r="M332" s="185"/>
      <c r="N332" s="185"/>
      <c r="O332" s="186"/>
      <c r="P332" s="185"/>
      <c r="Q332" s="182" t="s">
        <v>2933</v>
      </c>
      <c r="R332" s="182" t="s">
        <v>3729</v>
      </c>
      <c r="S332" s="182" t="s">
        <v>2952</v>
      </c>
      <c r="T332" s="179" t="s">
        <v>2953</v>
      </c>
      <c r="U332" s="179" t="s">
        <v>2937</v>
      </c>
      <c r="V332" s="187">
        <v>619</v>
      </c>
      <c r="W332" s="179" t="s">
        <v>3151</v>
      </c>
      <c r="X332" s="188">
        <v>683.67499999999995</v>
      </c>
      <c r="Y332" s="188">
        <v>260.26339999999999</v>
      </c>
      <c r="Z332" s="188">
        <v>120.2796</v>
      </c>
      <c r="AA332" s="188">
        <v>517.06169999999997</v>
      </c>
      <c r="AB332" s="188">
        <v>57.4679</v>
      </c>
      <c r="AC332" s="188">
        <v>92.167999999999992</v>
      </c>
      <c r="AD332" s="179" t="s">
        <v>2956</v>
      </c>
      <c r="AE332" s="188" t="s">
        <v>2940</v>
      </c>
      <c r="AF332" s="189">
        <v>0.29166666666666669</v>
      </c>
      <c r="AG332" s="189">
        <v>0.95833333333333337</v>
      </c>
      <c r="AH332" s="190" t="s">
        <v>2941</v>
      </c>
      <c r="AI332" s="190" t="s">
        <v>2942</v>
      </c>
      <c r="AJ332" s="179" t="s">
        <v>1385</v>
      </c>
      <c r="AK332" s="179" t="s">
        <v>3229</v>
      </c>
      <c r="AL332" s="179" t="s">
        <v>9</v>
      </c>
      <c r="AM332" s="179" t="s">
        <v>4461</v>
      </c>
      <c r="AN332" s="179" t="s">
        <v>2102</v>
      </c>
      <c r="AO332" s="179" t="s">
        <v>2777</v>
      </c>
      <c r="AP332" s="191">
        <v>81139605191</v>
      </c>
      <c r="AQ332" s="184">
        <v>42855</v>
      </c>
      <c r="AR332" s="179">
        <v>111</v>
      </c>
      <c r="AS332" s="194"/>
      <c r="AT332" s="195" t="s">
        <v>4462</v>
      </c>
      <c r="AU332" s="195" t="s">
        <v>2946</v>
      </c>
      <c r="AV332" s="192">
        <v>7997094</v>
      </c>
      <c r="AW332" s="181">
        <v>9.1999999999999993</v>
      </c>
      <c r="AX332" s="179">
        <v>80352</v>
      </c>
      <c r="AY332" s="179"/>
    </row>
    <row r="333" spans="1:51" ht="14.4" x14ac:dyDescent="0.3">
      <c r="A333" s="179" t="s">
        <v>1213</v>
      </c>
      <c r="B333" s="179" t="s">
        <v>2927</v>
      </c>
      <c r="C333" s="180" t="s">
        <v>4463</v>
      </c>
      <c r="D333" s="181" t="s">
        <v>2848</v>
      </c>
      <c r="E333" s="181" t="s">
        <v>2827</v>
      </c>
      <c r="F333" s="182" t="s">
        <v>2929</v>
      </c>
      <c r="G333" s="181" t="s">
        <v>12</v>
      </c>
      <c r="H333" s="193" t="s">
        <v>2930</v>
      </c>
      <c r="I333" s="184" t="s">
        <v>2930</v>
      </c>
      <c r="J333" s="179" t="s">
        <v>3008</v>
      </c>
      <c r="K333" s="179" t="s">
        <v>3008</v>
      </c>
      <c r="L333" s="179" t="s">
        <v>2932</v>
      </c>
      <c r="M333" s="185"/>
      <c r="N333" s="185"/>
      <c r="O333" s="186"/>
      <c r="P333" s="185"/>
      <c r="Q333" s="182" t="s">
        <v>2934</v>
      </c>
      <c r="R333" s="182" t="s">
        <v>2933</v>
      </c>
      <c r="S333" s="182" t="s">
        <v>2952</v>
      </c>
      <c r="T333" s="179" t="s">
        <v>2953</v>
      </c>
      <c r="U333" s="179" t="s">
        <v>2937</v>
      </c>
      <c r="V333" s="179">
        <v>857</v>
      </c>
      <c r="W333" s="179" t="s">
        <v>3009</v>
      </c>
      <c r="X333" s="188">
        <v>447.72970000000004</v>
      </c>
      <c r="Y333" s="188">
        <v>219.41920000000002</v>
      </c>
      <c r="Z333" s="188">
        <v>122.44329999999998</v>
      </c>
      <c r="AA333" s="188">
        <v>199.39499999999998</v>
      </c>
      <c r="AB333" s="188">
        <v>20.894500000000001</v>
      </c>
      <c r="AC333" s="188">
        <v>57.921000000000006</v>
      </c>
      <c r="AD333" s="179" t="s">
        <v>2984</v>
      </c>
      <c r="AE333" s="188" t="s">
        <v>2940</v>
      </c>
      <c r="AF333" s="189">
        <v>0.29166666666666669</v>
      </c>
      <c r="AG333" s="189">
        <v>0.91666666666666663</v>
      </c>
      <c r="AH333" s="190" t="s">
        <v>2941</v>
      </c>
      <c r="AI333" s="190" t="s">
        <v>2942</v>
      </c>
      <c r="AJ333" s="179" t="s">
        <v>1211</v>
      </c>
      <c r="AK333" s="179" t="s">
        <v>3617</v>
      </c>
      <c r="AL333" s="179" t="s">
        <v>48</v>
      </c>
      <c r="AM333" s="179" t="s">
        <v>4464</v>
      </c>
      <c r="AN333" s="179" t="s">
        <v>2102</v>
      </c>
      <c r="AO333" s="179" t="s">
        <v>2343</v>
      </c>
      <c r="AP333" s="191">
        <v>81139605195</v>
      </c>
      <c r="AQ333" s="184">
        <v>42886</v>
      </c>
      <c r="AR333" s="179">
        <v>110</v>
      </c>
      <c r="AS333" s="194"/>
      <c r="AT333" s="181" t="s">
        <v>4465</v>
      </c>
      <c r="AU333" s="181" t="s">
        <v>2946</v>
      </c>
      <c r="AV333" s="192">
        <v>9492000</v>
      </c>
      <c r="AW333" s="181">
        <v>96.5</v>
      </c>
      <c r="AX333" s="179">
        <v>81155</v>
      </c>
      <c r="AY333" s="179"/>
    </row>
    <row r="334" spans="1:51" ht="14.4" x14ac:dyDescent="0.3">
      <c r="A334" s="179" t="s">
        <v>1693</v>
      </c>
      <c r="B334" s="179" t="s">
        <v>2947</v>
      </c>
      <c r="C334" s="180" t="s">
        <v>4466</v>
      </c>
      <c r="D334" s="181" t="s">
        <v>2836</v>
      </c>
      <c r="E334" s="181" t="s">
        <v>2825</v>
      </c>
      <c r="F334" s="182" t="s">
        <v>2972</v>
      </c>
      <c r="G334" s="181" t="s">
        <v>17</v>
      </c>
      <c r="H334" s="193">
        <v>45725</v>
      </c>
      <c r="I334" s="193">
        <v>45725</v>
      </c>
      <c r="J334" s="179" t="s">
        <v>4467</v>
      </c>
      <c r="K334" s="179">
        <v>400</v>
      </c>
      <c r="L334" s="179" t="s">
        <v>2950</v>
      </c>
      <c r="M334" s="185"/>
      <c r="N334" s="185" t="s">
        <v>2951</v>
      </c>
      <c r="O334" s="186"/>
      <c r="P334" s="185"/>
      <c r="Q334" s="182" t="s">
        <v>2933</v>
      </c>
      <c r="R334" s="182" t="s">
        <v>2934</v>
      </c>
      <c r="S334" s="182" t="s">
        <v>2952</v>
      </c>
      <c r="T334" s="179" t="s">
        <v>2999</v>
      </c>
      <c r="U334" s="179" t="s">
        <v>2954</v>
      </c>
      <c r="V334" s="187">
        <v>717</v>
      </c>
      <c r="W334" s="179" t="s">
        <v>3009</v>
      </c>
      <c r="X334" s="188">
        <v>262.10879999999997</v>
      </c>
      <c r="Y334" s="188">
        <v>194.52960000000002</v>
      </c>
      <c r="Z334" s="188">
        <v>137.8707</v>
      </c>
      <c r="AA334" s="188">
        <v>51.618999999999993</v>
      </c>
      <c r="AB334" s="188">
        <v>14.65</v>
      </c>
      <c r="AC334" s="188">
        <v>62.927999999999997</v>
      </c>
      <c r="AD334" s="179" t="s">
        <v>2956</v>
      </c>
      <c r="AE334" s="188" t="s">
        <v>2957</v>
      </c>
      <c r="AF334" s="189">
        <v>0.29166666666666669</v>
      </c>
      <c r="AG334" s="189">
        <v>0.91666666666666663</v>
      </c>
      <c r="AH334" s="190" t="s">
        <v>2941</v>
      </c>
      <c r="AI334" s="190" t="s">
        <v>2942</v>
      </c>
      <c r="AJ334" s="179" t="s">
        <v>626</v>
      </c>
      <c r="AK334" s="179" t="s">
        <v>36</v>
      </c>
      <c r="AL334" s="179" t="s">
        <v>36</v>
      </c>
      <c r="AM334" s="179" t="s">
        <v>4468</v>
      </c>
      <c r="AN334" s="179" t="s">
        <v>2102</v>
      </c>
      <c r="AO334" s="179" t="s">
        <v>2494</v>
      </c>
      <c r="AP334" s="191">
        <v>81139605073</v>
      </c>
      <c r="AQ334" s="184">
        <v>42908</v>
      </c>
      <c r="AR334" s="179">
        <v>110</v>
      </c>
      <c r="AS334" s="179"/>
      <c r="AT334" s="181" t="s">
        <v>3333</v>
      </c>
      <c r="AU334" s="181" t="s">
        <v>2946</v>
      </c>
      <c r="AV334" s="192">
        <v>10030000</v>
      </c>
      <c r="AW334" s="181">
        <v>19.100000000000001</v>
      </c>
      <c r="AX334" s="179">
        <v>82191</v>
      </c>
      <c r="AY334" s="179"/>
    </row>
    <row r="335" spans="1:51" ht="14.4" x14ac:dyDescent="0.3">
      <c r="A335" s="179" t="s">
        <v>739</v>
      </c>
      <c r="B335" s="179" t="s">
        <v>2947</v>
      </c>
      <c r="C335" s="180" t="s">
        <v>4469</v>
      </c>
      <c r="D335" s="181" t="s">
        <v>2862</v>
      </c>
      <c r="E335" s="181" t="s">
        <v>2819</v>
      </c>
      <c r="F335" s="182" t="s">
        <v>2929</v>
      </c>
      <c r="G335" s="181" t="s">
        <v>12</v>
      </c>
      <c r="H335" s="193">
        <v>43889</v>
      </c>
      <c r="I335" s="184">
        <v>43889</v>
      </c>
      <c r="J335" s="179" t="s">
        <v>4470</v>
      </c>
      <c r="K335" s="179">
        <v>260</v>
      </c>
      <c r="L335" s="179" t="s">
        <v>2950</v>
      </c>
      <c r="M335" s="185"/>
      <c r="N335" s="185"/>
      <c r="O335" s="186"/>
      <c r="P335" s="185"/>
      <c r="Q335" s="182" t="s">
        <v>2933</v>
      </c>
      <c r="R335" s="182" t="s">
        <v>2934</v>
      </c>
      <c r="S335" s="182" t="s">
        <v>2952</v>
      </c>
      <c r="T335" s="179" t="s">
        <v>2953</v>
      </c>
      <c r="U335" s="179" t="s">
        <v>2954</v>
      </c>
      <c r="V335" s="187">
        <v>738</v>
      </c>
      <c r="W335" s="179" t="s">
        <v>4457</v>
      </c>
      <c r="X335" s="188">
        <v>264.02589999999998</v>
      </c>
      <c r="Y335" s="188">
        <v>141.39419999999998</v>
      </c>
      <c r="Z335" s="188">
        <v>92.031599999999997</v>
      </c>
      <c r="AA335" s="188">
        <v>87.6584</v>
      </c>
      <c r="AB335" s="188">
        <v>12.4185</v>
      </c>
      <c r="AC335" s="188">
        <v>25.899899999999999</v>
      </c>
      <c r="AD335" s="179" t="s">
        <v>2939</v>
      </c>
      <c r="AE335" s="188" t="s">
        <v>2940</v>
      </c>
      <c r="AF335" s="189">
        <v>0.29166666666666669</v>
      </c>
      <c r="AG335" s="189">
        <v>0.95833333333333337</v>
      </c>
      <c r="AH335" s="190" t="s">
        <v>2941</v>
      </c>
      <c r="AI335" s="190" t="s">
        <v>2942</v>
      </c>
      <c r="AJ335" s="179" t="s">
        <v>140</v>
      </c>
      <c r="AK335" s="179" t="s">
        <v>2977</v>
      </c>
      <c r="AL335" s="179" t="s">
        <v>9</v>
      </c>
      <c r="AM335" s="179" t="s">
        <v>4471</v>
      </c>
      <c r="AN335" s="179" t="s">
        <v>2102</v>
      </c>
      <c r="AO335" s="179" t="s">
        <v>2749</v>
      </c>
      <c r="AP335" s="191">
        <v>81139604985</v>
      </c>
      <c r="AQ335" s="184">
        <v>42915</v>
      </c>
      <c r="AR335" s="179">
        <v>109</v>
      </c>
      <c r="AS335" s="179"/>
      <c r="AT335" s="181"/>
      <c r="AU335" s="181"/>
      <c r="AV335" s="192">
        <v>14171855</v>
      </c>
      <c r="AW335" s="181">
        <v>22.3</v>
      </c>
      <c r="AX335" s="179">
        <v>80363</v>
      </c>
      <c r="AY335" s="179"/>
    </row>
    <row r="336" spans="1:51" ht="14.4" x14ac:dyDescent="0.3">
      <c r="A336" s="179" t="s">
        <v>1227</v>
      </c>
      <c r="B336" s="179" t="s">
        <v>2927</v>
      </c>
      <c r="C336" s="180" t="s">
        <v>4472</v>
      </c>
      <c r="D336" s="181" t="s">
        <v>2822</v>
      </c>
      <c r="E336" s="181" t="s">
        <v>2821</v>
      </c>
      <c r="F336" s="182" t="s">
        <v>2929</v>
      </c>
      <c r="G336" s="181" t="s">
        <v>12</v>
      </c>
      <c r="H336" s="193" t="s">
        <v>2930</v>
      </c>
      <c r="I336" s="184" t="s">
        <v>2930</v>
      </c>
      <c r="J336" s="179" t="s">
        <v>4473</v>
      </c>
      <c r="K336" s="179">
        <v>500</v>
      </c>
      <c r="L336" s="179" t="s">
        <v>3026</v>
      </c>
      <c r="M336" s="185"/>
      <c r="N336" s="185"/>
      <c r="O336" s="186"/>
      <c r="P336" s="185"/>
      <c r="Q336" s="182" t="s">
        <v>2933</v>
      </c>
      <c r="R336" s="182" t="s">
        <v>2934</v>
      </c>
      <c r="S336" s="182" t="s">
        <v>2952</v>
      </c>
      <c r="T336" s="179" t="s">
        <v>2953</v>
      </c>
      <c r="U336" s="179" t="s">
        <v>2937</v>
      </c>
      <c r="V336" s="187">
        <v>1350</v>
      </c>
      <c r="W336" s="179" t="s">
        <v>4431</v>
      </c>
      <c r="X336" s="188">
        <v>444.46859999999998</v>
      </c>
      <c r="Y336" s="188">
        <v>213.5052</v>
      </c>
      <c r="Z336" s="188">
        <v>125.9388</v>
      </c>
      <c r="AA336" s="188">
        <v>205.2054</v>
      </c>
      <c r="AB336" s="188">
        <v>23.6938</v>
      </c>
      <c r="AC336" s="188">
        <v>114.01439999999999</v>
      </c>
      <c r="AD336" s="179" t="s">
        <v>2956</v>
      </c>
      <c r="AE336" s="188" t="s">
        <v>4474</v>
      </c>
      <c r="AF336" s="189">
        <v>0</v>
      </c>
      <c r="AG336" s="189">
        <v>0.99930555555555556</v>
      </c>
      <c r="AH336" s="190" t="s">
        <v>2941</v>
      </c>
      <c r="AI336" s="190" t="s">
        <v>2942</v>
      </c>
      <c r="AJ336" s="179" t="s">
        <v>1225</v>
      </c>
      <c r="AK336" s="179" t="s">
        <v>4444</v>
      </c>
      <c r="AL336" s="179" t="s">
        <v>36</v>
      </c>
      <c r="AM336" s="179" t="s">
        <v>4475</v>
      </c>
      <c r="AN336" s="179" t="s">
        <v>2102</v>
      </c>
      <c r="AO336" s="179" t="s">
        <v>2266</v>
      </c>
      <c r="AP336" s="191">
        <v>81139002148</v>
      </c>
      <c r="AQ336" s="184">
        <v>42916</v>
      </c>
      <c r="AR336" s="179">
        <v>109</v>
      </c>
      <c r="AS336" s="194"/>
      <c r="AT336" s="195"/>
      <c r="AU336" s="195"/>
      <c r="AV336" s="192">
        <v>9156000</v>
      </c>
      <c r="AW336" s="181">
        <v>22</v>
      </c>
      <c r="AX336" s="179">
        <v>82160</v>
      </c>
      <c r="AY336" s="179"/>
    </row>
    <row r="337" spans="1:51" ht="14.4" x14ac:dyDescent="0.3">
      <c r="A337" s="179" t="s">
        <v>1535</v>
      </c>
      <c r="B337" s="179" t="s">
        <v>2947</v>
      </c>
      <c r="C337" s="180" t="s">
        <v>4476</v>
      </c>
      <c r="D337" s="181" t="s">
        <v>2833</v>
      </c>
      <c r="E337" s="181" t="s">
        <v>2821</v>
      </c>
      <c r="F337" s="182" t="s">
        <v>2972</v>
      </c>
      <c r="G337" s="181" t="s">
        <v>17</v>
      </c>
      <c r="H337" s="193">
        <v>45899</v>
      </c>
      <c r="I337" s="184"/>
      <c r="J337" s="179" t="s">
        <v>4477</v>
      </c>
      <c r="K337" s="179">
        <v>73</v>
      </c>
      <c r="L337" s="179" t="s">
        <v>2965</v>
      </c>
      <c r="M337" s="185"/>
      <c r="N337" s="185"/>
      <c r="O337" s="186"/>
      <c r="P337" s="185"/>
      <c r="Q337" s="182" t="s">
        <v>2934</v>
      </c>
      <c r="R337" s="182" t="s">
        <v>2933</v>
      </c>
      <c r="S337" s="182" t="s">
        <v>2952</v>
      </c>
      <c r="T337" s="179" t="s">
        <v>2974</v>
      </c>
      <c r="U337" s="179" t="s">
        <v>2954</v>
      </c>
      <c r="V337" s="187">
        <v>1357</v>
      </c>
      <c r="W337" s="179" t="s">
        <v>4451</v>
      </c>
      <c r="X337" s="188">
        <v>298.9434</v>
      </c>
      <c r="Y337" s="188">
        <v>150.7688</v>
      </c>
      <c r="Z337" s="188">
        <v>87.388500000000008</v>
      </c>
      <c r="AA337" s="188">
        <v>133.87459999999999</v>
      </c>
      <c r="AB337" s="188">
        <v>14.86</v>
      </c>
      <c r="AC337" s="188">
        <v>146.00960000000001</v>
      </c>
      <c r="AD337" s="179" t="s">
        <v>2956</v>
      </c>
      <c r="AE337" s="188" t="s">
        <v>2957</v>
      </c>
      <c r="AF337" s="189">
        <v>0.29166666666666669</v>
      </c>
      <c r="AG337" s="189">
        <v>0.95833333333333337</v>
      </c>
      <c r="AH337" s="190" t="s">
        <v>2941</v>
      </c>
      <c r="AI337" s="190" t="s">
        <v>2942</v>
      </c>
      <c r="AJ337" s="179" t="s">
        <v>1150</v>
      </c>
      <c r="AK337" s="179" t="s">
        <v>3010</v>
      </c>
      <c r="AL337" s="179" t="s">
        <v>36</v>
      </c>
      <c r="AM337" s="179" t="s">
        <v>4478</v>
      </c>
      <c r="AN337" s="179" t="s">
        <v>2102</v>
      </c>
      <c r="AO337" s="179" t="s">
        <v>2675</v>
      </c>
      <c r="AP337" s="191">
        <v>81139001103</v>
      </c>
      <c r="AQ337" s="184">
        <v>42946</v>
      </c>
      <c r="AR337" s="179">
        <v>108</v>
      </c>
      <c r="AS337" s="179"/>
      <c r="AT337" s="181" t="s">
        <v>3324</v>
      </c>
      <c r="AU337" s="181" t="s">
        <v>2946</v>
      </c>
      <c r="AV337" s="192">
        <v>13043745</v>
      </c>
      <c r="AW337" s="181">
        <v>10.5</v>
      </c>
      <c r="AX337" s="179">
        <v>82123</v>
      </c>
      <c r="AY337" s="179"/>
    </row>
    <row r="338" spans="1:51" ht="14.4" x14ac:dyDescent="0.3">
      <c r="A338" s="179" t="s">
        <v>1426</v>
      </c>
      <c r="B338" s="179" t="s">
        <v>2927</v>
      </c>
      <c r="C338" s="180" t="s">
        <v>4479</v>
      </c>
      <c r="D338" s="181" t="s">
        <v>2837</v>
      </c>
      <c r="E338" s="181" t="s">
        <v>2825</v>
      </c>
      <c r="F338" s="182" t="s">
        <v>2929</v>
      </c>
      <c r="G338" s="181" t="s">
        <v>12</v>
      </c>
      <c r="H338" s="193">
        <v>45087</v>
      </c>
      <c r="I338" s="184"/>
      <c r="J338" s="179"/>
      <c r="K338" s="179"/>
      <c r="L338" s="179"/>
      <c r="M338" s="185"/>
      <c r="N338" s="185"/>
      <c r="O338" s="186"/>
      <c r="P338" s="185"/>
      <c r="Q338" s="182" t="s">
        <v>2933</v>
      </c>
      <c r="R338" s="182" t="s">
        <v>2934</v>
      </c>
      <c r="S338" s="182" t="s">
        <v>2952</v>
      </c>
      <c r="T338" s="179" t="s">
        <v>2974</v>
      </c>
      <c r="U338" s="179" t="s">
        <v>2937</v>
      </c>
      <c r="V338" s="187">
        <v>497</v>
      </c>
      <c r="W338" s="179" t="s">
        <v>4451</v>
      </c>
      <c r="X338" s="188">
        <v>308.08699999999999</v>
      </c>
      <c r="Y338" s="188">
        <v>161.29799999999997</v>
      </c>
      <c r="Z338" s="188">
        <v>100.6602</v>
      </c>
      <c r="AA338" s="188">
        <v>144.32</v>
      </c>
      <c r="AB338" s="188">
        <v>14.263999999999999</v>
      </c>
      <c r="AC338" s="188">
        <v>28.071999999999999</v>
      </c>
      <c r="AD338" s="179" t="s">
        <v>2939</v>
      </c>
      <c r="AE338" s="188" t="s">
        <v>2940</v>
      </c>
      <c r="AF338" s="189">
        <v>0.29166666666666669</v>
      </c>
      <c r="AG338" s="189">
        <v>0.91666666666666663</v>
      </c>
      <c r="AH338" s="190" t="s">
        <v>2941</v>
      </c>
      <c r="AI338" s="190" t="s">
        <v>2942</v>
      </c>
      <c r="AJ338" s="179" t="s">
        <v>14</v>
      </c>
      <c r="AK338" s="179" t="s">
        <v>3302</v>
      </c>
      <c r="AL338" s="179" t="s">
        <v>9</v>
      </c>
      <c r="AM338" s="179" t="s">
        <v>4480</v>
      </c>
      <c r="AN338" s="179" t="s">
        <v>2102</v>
      </c>
      <c r="AO338" s="179" t="s">
        <v>2331</v>
      </c>
      <c r="AP338" s="191">
        <v>81139605108</v>
      </c>
      <c r="AQ338" s="184">
        <v>42947</v>
      </c>
      <c r="AR338" s="179">
        <v>108</v>
      </c>
      <c r="AS338" s="199">
        <v>44986</v>
      </c>
      <c r="AT338" s="181"/>
      <c r="AU338" s="181"/>
      <c r="AV338" s="192">
        <v>14049292</v>
      </c>
      <c r="AW338" s="181">
        <v>4.3</v>
      </c>
      <c r="AX338" s="179">
        <v>80351</v>
      </c>
      <c r="AY338" s="179" t="s">
        <v>4481</v>
      </c>
    </row>
    <row r="339" spans="1:51" ht="14.4" x14ac:dyDescent="0.3">
      <c r="A339" s="179" t="s">
        <v>690</v>
      </c>
      <c r="B339" s="179" t="s">
        <v>2947</v>
      </c>
      <c r="C339" s="180" t="s">
        <v>4482</v>
      </c>
      <c r="D339" s="181" t="s">
        <v>2829</v>
      </c>
      <c r="E339" s="181" t="s">
        <v>2815</v>
      </c>
      <c r="F339" s="182" t="s">
        <v>2972</v>
      </c>
      <c r="G339" s="181" t="s">
        <v>17</v>
      </c>
      <c r="H339" s="193">
        <v>44370</v>
      </c>
      <c r="I339" s="184">
        <v>44370</v>
      </c>
      <c r="J339" s="179" t="s">
        <v>4483</v>
      </c>
      <c r="K339" s="179">
        <v>220</v>
      </c>
      <c r="L339" s="179" t="s">
        <v>2950</v>
      </c>
      <c r="M339" s="185"/>
      <c r="N339" s="185"/>
      <c r="O339" s="179" t="s">
        <v>2951</v>
      </c>
      <c r="P339" s="185"/>
      <c r="Q339" s="182" t="s">
        <v>2933</v>
      </c>
      <c r="R339" s="182" t="s">
        <v>2934</v>
      </c>
      <c r="S339" s="182" t="s">
        <v>2952</v>
      </c>
      <c r="T339" s="179" t="s">
        <v>2953</v>
      </c>
      <c r="U339" s="179" t="s">
        <v>2954</v>
      </c>
      <c r="V339" s="187">
        <v>1149</v>
      </c>
      <c r="W339" s="179" t="s">
        <v>2975</v>
      </c>
      <c r="X339" s="188">
        <v>363.11039999999997</v>
      </c>
      <c r="Y339" s="188">
        <v>197.68319999999997</v>
      </c>
      <c r="Z339" s="188">
        <v>119.01599999999999</v>
      </c>
      <c r="AA339" s="188">
        <v>149.1206</v>
      </c>
      <c r="AB339" s="188">
        <v>4.8</v>
      </c>
      <c r="AC339" s="188">
        <v>65.3172</v>
      </c>
      <c r="AD339" s="179" t="s">
        <v>2956</v>
      </c>
      <c r="AE339" s="188" t="s">
        <v>2940</v>
      </c>
      <c r="AF339" s="189">
        <v>0.29166666666666669</v>
      </c>
      <c r="AG339" s="189">
        <v>0.95833333333333337</v>
      </c>
      <c r="AH339" s="190" t="s">
        <v>2941</v>
      </c>
      <c r="AI339" s="190" t="s">
        <v>2985</v>
      </c>
      <c r="AJ339" s="179" t="s">
        <v>688</v>
      </c>
      <c r="AK339" s="179" t="s">
        <v>3110</v>
      </c>
      <c r="AL339" s="179" t="s">
        <v>28</v>
      </c>
      <c r="AM339" s="179" t="s">
        <v>4484</v>
      </c>
      <c r="AN339" s="179" t="s">
        <v>2102</v>
      </c>
      <c r="AO339" s="179" t="s">
        <v>2679</v>
      </c>
      <c r="AP339" s="191">
        <v>81139604780</v>
      </c>
      <c r="AQ339" s="184">
        <v>42947</v>
      </c>
      <c r="AR339" s="179">
        <v>108</v>
      </c>
      <c r="AS339" s="179"/>
      <c r="AT339" s="181" t="s">
        <v>4485</v>
      </c>
      <c r="AU339" s="181" t="s">
        <v>2946</v>
      </c>
      <c r="AV339" s="192">
        <v>13731038</v>
      </c>
      <c r="AW339" s="181">
        <v>23.6</v>
      </c>
      <c r="AX339" s="179">
        <v>80581</v>
      </c>
      <c r="AY339" s="179"/>
    </row>
    <row r="340" spans="1:51" ht="14.4" x14ac:dyDescent="0.3">
      <c r="A340" s="179" t="s">
        <v>604</v>
      </c>
      <c r="B340" s="179" t="s">
        <v>2947</v>
      </c>
      <c r="C340" s="180" t="s">
        <v>4486</v>
      </c>
      <c r="D340" s="181" t="s">
        <v>2865</v>
      </c>
      <c r="E340" s="181" t="s">
        <v>2817</v>
      </c>
      <c r="F340" s="182" t="s">
        <v>2972</v>
      </c>
      <c r="G340" s="181" t="s">
        <v>17</v>
      </c>
      <c r="H340" s="193">
        <v>45475</v>
      </c>
      <c r="I340" s="184"/>
      <c r="J340" s="179" t="s">
        <v>4487</v>
      </c>
      <c r="K340" s="179">
        <v>47</v>
      </c>
      <c r="L340" s="179" t="s">
        <v>2965</v>
      </c>
      <c r="M340" s="185"/>
      <c r="N340" s="185"/>
      <c r="O340" s="186"/>
      <c r="P340" s="185"/>
      <c r="Q340" s="182" t="s">
        <v>2933</v>
      </c>
      <c r="R340" s="182" t="s">
        <v>2934</v>
      </c>
      <c r="S340" s="182" t="s">
        <v>2952</v>
      </c>
      <c r="T340" s="179" t="s">
        <v>2974</v>
      </c>
      <c r="U340" s="179" t="s">
        <v>2954</v>
      </c>
      <c r="V340" s="187">
        <v>400</v>
      </c>
      <c r="W340" s="179" t="s">
        <v>3151</v>
      </c>
      <c r="X340" s="188">
        <v>404.02800000000002</v>
      </c>
      <c r="Y340" s="188">
        <v>290.71440000000001</v>
      </c>
      <c r="Z340" s="188">
        <v>159.66930000000002</v>
      </c>
      <c r="AA340" s="188">
        <v>86.444800000000001</v>
      </c>
      <c r="AB340" s="188">
        <v>13.9139</v>
      </c>
      <c r="AC340" s="188">
        <v>57.890700000000002</v>
      </c>
      <c r="AD340" s="179" t="s">
        <v>2984</v>
      </c>
      <c r="AE340" s="188" t="s">
        <v>2940</v>
      </c>
      <c r="AF340" s="189">
        <v>0</v>
      </c>
      <c r="AG340" s="189">
        <v>0.99930555555555556</v>
      </c>
      <c r="AH340" s="190" t="s">
        <v>2976</v>
      </c>
      <c r="AI340" s="190" t="s">
        <v>2942</v>
      </c>
      <c r="AJ340" s="179" t="s">
        <v>131</v>
      </c>
      <c r="AK340" s="179" t="s">
        <v>3293</v>
      </c>
      <c r="AL340" s="179" t="s">
        <v>9</v>
      </c>
      <c r="AM340" s="179" t="s">
        <v>4488</v>
      </c>
      <c r="AN340" s="179" t="s">
        <v>2102</v>
      </c>
      <c r="AO340" s="179" t="s">
        <v>2540</v>
      </c>
      <c r="AP340" s="191">
        <v>81139006907</v>
      </c>
      <c r="AQ340" s="184">
        <v>42947</v>
      </c>
      <c r="AR340" s="179">
        <v>108</v>
      </c>
      <c r="AS340" s="179"/>
      <c r="AT340" s="181" t="s">
        <v>4489</v>
      </c>
      <c r="AU340" s="181" t="s">
        <v>2946</v>
      </c>
      <c r="AV340" s="192">
        <v>20250000</v>
      </c>
      <c r="AW340" s="181">
        <v>32.4</v>
      </c>
      <c r="AX340" s="179">
        <v>80361</v>
      </c>
      <c r="AY340" s="179"/>
    </row>
    <row r="341" spans="1:51" ht="14.4" x14ac:dyDescent="0.3">
      <c r="A341" s="179" t="s">
        <v>505</v>
      </c>
      <c r="B341" s="179" t="s">
        <v>2927</v>
      </c>
      <c r="C341" s="180" t="s">
        <v>4490</v>
      </c>
      <c r="D341" s="181" t="s">
        <v>2845</v>
      </c>
      <c r="E341" s="181" t="s">
        <v>2821</v>
      </c>
      <c r="F341" s="182" t="s">
        <v>2929</v>
      </c>
      <c r="G341" s="181" t="s">
        <v>12</v>
      </c>
      <c r="H341" s="193" t="s">
        <v>2930</v>
      </c>
      <c r="I341" s="184" t="s">
        <v>2930</v>
      </c>
      <c r="J341" s="179" t="s">
        <v>4491</v>
      </c>
      <c r="K341" s="179">
        <v>290</v>
      </c>
      <c r="L341" s="179" t="s">
        <v>2950</v>
      </c>
      <c r="M341" s="185"/>
      <c r="N341" s="185"/>
      <c r="O341" s="186"/>
      <c r="P341" s="185"/>
      <c r="Q341" s="182" t="s">
        <v>2934</v>
      </c>
      <c r="R341" s="182" t="s">
        <v>2933</v>
      </c>
      <c r="S341" s="182" t="s">
        <v>2952</v>
      </c>
      <c r="T341" s="179" t="s">
        <v>2974</v>
      </c>
      <c r="U341" s="179" t="s">
        <v>2937</v>
      </c>
      <c r="V341" s="179">
        <v>1044</v>
      </c>
      <c r="W341" s="179" t="s">
        <v>3151</v>
      </c>
      <c r="X341" s="188">
        <v>283.89800000000002</v>
      </c>
      <c r="Y341" s="188">
        <v>214.6105</v>
      </c>
      <c r="Z341" s="188">
        <v>108.57000000000001</v>
      </c>
      <c r="AA341" s="188">
        <v>63.308000000000007</v>
      </c>
      <c r="AB341" s="188">
        <v>27.96</v>
      </c>
      <c r="AC341" s="188">
        <v>68.62</v>
      </c>
      <c r="AD341" s="179" t="s">
        <v>2956</v>
      </c>
      <c r="AE341" s="188" t="s">
        <v>2940</v>
      </c>
      <c r="AF341" s="189">
        <v>0.29166666666666669</v>
      </c>
      <c r="AG341" s="189">
        <v>0.95833333333333337</v>
      </c>
      <c r="AH341" s="190" t="s">
        <v>2941</v>
      </c>
      <c r="AI341" s="190" t="s">
        <v>2942</v>
      </c>
      <c r="AJ341" s="179" t="s">
        <v>503</v>
      </c>
      <c r="AK341" s="179" t="s">
        <v>2963</v>
      </c>
      <c r="AL341" s="179" t="s">
        <v>90</v>
      </c>
      <c r="AM341" s="179" t="s">
        <v>4492</v>
      </c>
      <c r="AN341" s="179" t="s">
        <v>2102</v>
      </c>
      <c r="AO341" s="179" t="s">
        <v>2283</v>
      </c>
      <c r="AP341" s="191">
        <v>81139007919</v>
      </c>
      <c r="AQ341" s="184">
        <v>42998</v>
      </c>
      <c r="AR341" s="179">
        <v>107</v>
      </c>
      <c r="AS341" s="194"/>
      <c r="AT341" s="195" t="s">
        <v>4493</v>
      </c>
      <c r="AU341" s="195" t="s">
        <v>2946</v>
      </c>
      <c r="AV341" s="192">
        <v>8512000</v>
      </c>
      <c r="AW341" s="181">
        <v>85.9</v>
      </c>
      <c r="AX341" s="179">
        <v>82214</v>
      </c>
      <c r="AY341" s="179"/>
    </row>
    <row r="342" spans="1:51" ht="14.4" x14ac:dyDescent="0.3">
      <c r="A342" s="179" t="s">
        <v>1591</v>
      </c>
      <c r="B342" s="179" t="s">
        <v>2947</v>
      </c>
      <c r="C342" s="180" t="s">
        <v>4494</v>
      </c>
      <c r="D342" s="181" t="s">
        <v>2828</v>
      </c>
      <c r="E342" s="181" t="s">
        <v>2827</v>
      </c>
      <c r="F342" s="182" t="s">
        <v>2972</v>
      </c>
      <c r="G342" s="181" t="s">
        <v>17</v>
      </c>
      <c r="H342" s="193" t="s">
        <v>2930</v>
      </c>
      <c r="I342" s="184" t="s">
        <v>2930</v>
      </c>
      <c r="J342" s="179" t="s">
        <v>3008</v>
      </c>
      <c r="K342" s="179" t="s">
        <v>3008</v>
      </c>
      <c r="L342" s="179" t="s">
        <v>2932</v>
      </c>
      <c r="M342" s="185"/>
      <c r="N342" s="185"/>
      <c r="O342" s="186"/>
      <c r="P342" s="185"/>
      <c r="Q342" s="182" t="s">
        <v>2934</v>
      </c>
      <c r="R342" s="182" t="s">
        <v>2933</v>
      </c>
      <c r="S342" s="182" t="s">
        <v>2952</v>
      </c>
      <c r="T342" s="179" t="s">
        <v>2974</v>
      </c>
      <c r="U342" s="179" t="s">
        <v>2954</v>
      </c>
      <c r="V342" s="187">
        <v>1494</v>
      </c>
      <c r="W342" s="179" t="s">
        <v>3151</v>
      </c>
      <c r="X342" s="188">
        <v>314.94</v>
      </c>
      <c r="Y342" s="188">
        <v>235.11900000000003</v>
      </c>
      <c r="Z342" s="188">
        <v>121.57400000000001</v>
      </c>
      <c r="AA342" s="188">
        <v>50.176000000000002</v>
      </c>
      <c r="AB342" s="188">
        <v>26.700000000000003</v>
      </c>
      <c r="AC342" s="188">
        <v>69.28</v>
      </c>
      <c r="AD342" s="179" t="s">
        <v>2956</v>
      </c>
      <c r="AE342" s="188" t="s">
        <v>2940</v>
      </c>
      <c r="AF342" s="189">
        <v>0.29166666666666669</v>
      </c>
      <c r="AG342" s="189">
        <v>0.91666666666666663</v>
      </c>
      <c r="AH342" s="190" t="s">
        <v>2941</v>
      </c>
      <c r="AI342" s="190" t="s">
        <v>2942</v>
      </c>
      <c r="AJ342" s="179" t="s">
        <v>1589</v>
      </c>
      <c r="AK342" s="179" t="s">
        <v>48</v>
      </c>
      <c r="AL342" s="179" t="s">
        <v>48</v>
      </c>
      <c r="AM342" s="179" t="s">
        <v>4495</v>
      </c>
      <c r="AN342" s="179" t="s">
        <v>2102</v>
      </c>
      <c r="AO342" s="179" t="s">
        <v>2485</v>
      </c>
      <c r="AP342" s="191">
        <v>81139605217</v>
      </c>
      <c r="AQ342" s="184">
        <v>43001</v>
      </c>
      <c r="AR342" s="179">
        <v>107</v>
      </c>
      <c r="AS342" s="179"/>
      <c r="AT342" s="181" t="s">
        <v>3853</v>
      </c>
      <c r="AU342" s="181" t="s">
        <v>2946</v>
      </c>
      <c r="AV342" s="192">
        <v>9184000</v>
      </c>
      <c r="AW342" s="181">
        <v>60.1</v>
      </c>
      <c r="AX342" s="179">
        <v>81119</v>
      </c>
      <c r="AY342" s="179"/>
    </row>
    <row r="343" spans="1:51" ht="14.4" x14ac:dyDescent="0.3">
      <c r="A343" s="179" t="s">
        <v>1289</v>
      </c>
      <c r="B343" s="179" t="s">
        <v>2927</v>
      </c>
      <c r="C343" s="180" t="s">
        <v>4496</v>
      </c>
      <c r="D343" s="181" t="s">
        <v>2859</v>
      </c>
      <c r="E343" s="181" t="s">
        <v>2815</v>
      </c>
      <c r="F343" s="182" t="s">
        <v>2929</v>
      </c>
      <c r="G343" s="181" t="s">
        <v>12</v>
      </c>
      <c r="H343" s="193" t="s">
        <v>2930</v>
      </c>
      <c r="I343" s="184" t="s">
        <v>2930</v>
      </c>
      <c r="J343" s="179" t="s">
        <v>4497</v>
      </c>
      <c r="K343" s="179">
        <v>750</v>
      </c>
      <c r="L343" s="179" t="s">
        <v>3026</v>
      </c>
      <c r="M343" s="185"/>
      <c r="N343" s="185"/>
      <c r="O343" s="186"/>
      <c r="P343" s="185"/>
      <c r="Q343" s="182" t="s">
        <v>2934</v>
      </c>
      <c r="R343" s="182" t="s">
        <v>2933</v>
      </c>
      <c r="S343" s="182" t="s">
        <v>2935</v>
      </c>
      <c r="T343" s="179" t="s">
        <v>2974</v>
      </c>
      <c r="U343" s="179" t="s">
        <v>2937</v>
      </c>
      <c r="V343" s="179">
        <v>1099</v>
      </c>
      <c r="W343" s="179" t="s">
        <v>2975</v>
      </c>
      <c r="X343" s="188">
        <v>355.82099999999997</v>
      </c>
      <c r="Y343" s="188">
        <v>238.11760000000001</v>
      </c>
      <c r="Z343" s="188">
        <v>112.2444</v>
      </c>
      <c r="AA343" s="188">
        <v>94.803999999999988</v>
      </c>
      <c r="AB343" s="188">
        <v>10.8756</v>
      </c>
      <c r="AC343" s="188">
        <v>91.627600000000001</v>
      </c>
      <c r="AD343" s="179" t="s">
        <v>2956</v>
      </c>
      <c r="AE343" s="188" t="s">
        <v>2940</v>
      </c>
      <c r="AF343" s="189">
        <v>0.29166666666666669</v>
      </c>
      <c r="AG343" s="189">
        <v>0.95833333333333337</v>
      </c>
      <c r="AH343" s="190" t="s">
        <v>2941</v>
      </c>
      <c r="AI343" s="190" t="s">
        <v>2985</v>
      </c>
      <c r="AJ343" s="179" t="s">
        <v>688</v>
      </c>
      <c r="AK343" s="179" t="s">
        <v>3110</v>
      </c>
      <c r="AL343" s="179" t="s">
        <v>28</v>
      </c>
      <c r="AM343" s="179" t="s">
        <v>4498</v>
      </c>
      <c r="AN343" s="179" t="s">
        <v>2102</v>
      </c>
      <c r="AO343" s="179" t="s">
        <v>2385</v>
      </c>
      <c r="AP343" s="191">
        <v>81139604784</v>
      </c>
      <c r="AQ343" s="184">
        <v>43008</v>
      </c>
      <c r="AR343" s="179">
        <v>106</v>
      </c>
      <c r="AS343" s="194"/>
      <c r="AT343" s="195" t="s">
        <v>4499</v>
      </c>
      <c r="AU343" s="195" t="s">
        <v>2946</v>
      </c>
      <c r="AV343" s="192">
        <v>10080000</v>
      </c>
      <c r="AW343" s="181">
        <v>23.4</v>
      </c>
      <c r="AX343" s="179">
        <v>80581</v>
      </c>
      <c r="AY343" s="179"/>
    </row>
    <row r="344" spans="1:51" ht="14.4" x14ac:dyDescent="0.3">
      <c r="A344" s="179" t="s">
        <v>802</v>
      </c>
      <c r="B344" s="179" t="s">
        <v>2947</v>
      </c>
      <c r="C344" s="180" t="s">
        <v>4500</v>
      </c>
      <c r="D344" s="181" t="s">
        <v>2873</v>
      </c>
      <c r="E344" s="181" t="s">
        <v>2840</v>
      </c>
      <c r="F344" s="182" t="s">
        <v>4501</v>
      </c>
      <c r="G344" s="181" t="s">
        <v>342</v>
      </c>
      <c r="H344" s="193">
        <v>45024</v>
      </c>
      <c r="I344" s="184">
        <v>45024</v>
      </c>
      <c r="J344" s="179" t="s">
        <v>4502</v>
      </c>
      <c r="K344" s="179">
        <v>450</v>
      </c>
      <c r="L344" s="179" t="s">
        <v>3026</v>
      </c>
      <c r="M344" s="185"/>
      <c r="N344" s="185"/>
      <c r="O344" s="179" t="s">
        <v>2951</v>
      </c>
      <c r="P344" s="185"/>
      <c r="Q344" s="182" t="s">
        <v>2933</v>
      </c>
      <c r="R344" s="182" t="s">
        <v>3729</v>
      </c>
      <c r="S344" s="182" t="s">
        <v>2952</v>
      </c>
      <c r="T344" s="179" t="s">
        <v>2953</v>
      </c>
      <c r="U344" s="179" t="s">
        <v>2954</v>
      </c>
      <c r="V344" s="187">
        <v>0</v>
      </c>
      <c r="W344" s="179" t="s">
        <v>4503</v>
      </c>
      <c r="X344" s="188">
        <v>259.86869999999999</v>
      </c>
      <c r="Y344" s="188">
        <v>222.67440000000002</v>
      </c>
      <c r="Z344" s="188">
        <v>148.2672</v>
      </c>
      <c r="AA344" s="188">
        <v>0</v>
      </c>
      <c r="AB344" s="188">
        <v>15.544500000000001</v>
      </c>
      <c r="AC344" s="188">
        <v>31.561999999999998</v>
      </c>
      <c r="AD344" s="179" t="s">
        <v>2984</v>
      </c>
      <c r="AE344" s="188" t="s">
        <v>2940</v>
      </c>
      <c r="AF344" s="189">
        <v>0</v>
      </c>
      <c r="AG344" s="189">
        <v>0.99930555555555556</v>
      </c>
      <c r="AH344" s="190" t="s">
        <v>2941</v>
      </c>
      <c r="AI344" s="190" t="s">
        <v>2942</v>
      </c>
      <c r="AJ344" s="179" t="s">
        <v>164</v>
      </c>
      <c r="AK344" s="179" t="s">
        <v>3302</v>
      </c>
      <c r="AL344" s="179" t="s">
        <v>9</v>
      </c>
      <c r="AM344" s="179" t="s">
        <v>4504</v>
      </c>
      <c r="AN344" s="179" t="s">
        <v>2102</v>
      </c>
      <c r="AO344" s="179" t="s">
        <v>2495</v>
      </c>
      <c r="AP344" s="191">
        <v>81139002287</v>
      </c>
      <c r="AQ344" s="184">
        <v>43008</v>
      </c>
      <c r="AR344" s="179">
        <v>106</v>
      </c>
      <c r="AS344" s="179"/>
      <c r="AT344" s="181" t="s">
        <v>4505</v>
      </c>
      <c r="AU344" s="181" t="s">
        <v>4506</v>
      </c>
      <c r="AV344" s="192">
        <v>23236605</v>
      </c>
      <c r="AW344" s="181">
        <v>11.2</v>
      </c>
      <c r="AX344" s="179">
        <v>80351</v>
      </c>
      <c r="AY344" s="179"/>
    </row>
    <row r="345" spans="1:51" ht="14.4" x14ac:dyDescent="0.3">
      <c r="A345" s="179" t="s">
        <v>318</v>
      </c>
      <c r="B345" s="179" t="s">
        <v>2947</v>
      </c>
      <c r="C345" s="180" t="s">
        <v>4507</v>
      </c>
      <c r="D345" s="181" t="s">
        <v>2820</v>
      </c>
      <c r="E345" s="181" t="s">
        <v>2819</v>
      </c>
      <c r="F345" s="182" t="s">
        <v>2929</v>
      </c>
      <c r="G345" s="181" t="s">
        <v>12</v>
      </c>
      <c r="H345" s="193">
        <v>44195</v>
      </c>
      <c r="I345" s="184">
        <v>44195</v>
      </c>
      <c r="J345" s="179" t="s">
        <v>4508</v>
      </c>
      <c r="K345" s="179">
        <v>350</v>
      </c>
      <c r="L345" s="179" t="s">
        <v>2950</v>
      </c>
      <c r="M345" s="185"/>
      <c r="N345" s="185"/>
      <c r="O345" s="186"/>
      <c r="P345" s="185"/>
      <c r="Q345" s="182" t="s">
        <v>2933</v>
      </c>
      <c r="R345" s="182" t="s">
        <v>2934</v>
      </c>
      <c r="S345" s="182" t="s">
        <v>2952</v>
      </c>
      <c r="T345" s="179" t="s">
        <v>2974</v>
      </c>
      <c r="U345" s="179" t="s">
        <v>2954</v>
      </c>
      <c r="V345" s="187">
        <v>0</v>
      </c>
      <c r="W345" s="179" t="s">
        <v>2975</v>
      </c>
      <c r="X345" s="188">
        <v>484.12</v>
      </c>
      <c r="Y345" s="188">
        <v>192.12799999999999</v>
      </c>
      <c r="Z345" s="188">
        <v>120.042</v>
      </c>
      <c r="AA345" s="188">
        <v>276.03199999999998</v>
      </c>
      <c r="AB345" s="188">
        <v>21.884999999999998</v>
      </c>
      <c r="AC345" s="188">
        <v>35.500999999999998</v>
      </c>
      <c r="AD345" s="179" t="s">
        <v>2984</v>
      </c>
      <c r="AE345" s="188" t="s">
        <v>2940</v>
      </c>
      <c r="AF345" s="189">
        <v>0.29166666666666669</v>
      </c>
      <c r="AG345" s="189">
        <v>0.95833333333333337</v>
      </c>
      <c r="AH345" s="190" t="s">
        <v>2941</v>
      </c>
      <c r="AI345" s="190" t="s">
        <v>2942</v>
      </c>
      <c r="AJ345" s="179" t="s">
        <v>316</v>
      </c>
      <c r="AK345" s="179" t="s">
        <v>2977</v>
      </c>
      <c r="AL345" s="179" t="s">
        <v>9</v>
      </c>
      <c r="AM345" s="179" t="s">
        <v>4509</v>
      </c>
      <c r="AN345" s="179" t="s">
        <v>2102</v>
      </c>
      <c r="AO345" s="179" t="s">
        <v>2662</v>
      </c>
      <c r="AP345" s="191">
        <v>81139605023</v>
      </c>
      <c r="AQ345" s="184">
        <v>43018</v>
      </c>
      <c r="AR345" s="179">
        <v>106</v>
      </c>
      <c r="AS345" s="179"/>
      <c r="AT345" s="181"/>
      <c r="AU345" s="181"/>
      <c r="AV345" s="192">
        <v>13750000</v>
      </c>
      <c r="AW345" s="181">
        <v>18.899999999999999</v>
      </c>
      <c r="AX345" s="179">
        <v>80363</v>
      </c>
      <c r="AY345" s="179"/>
    </row>
    <row r="346" spans="1:51" ht="14.4" x14ac:dyDescent="0.3">
      <c r="A346" s="179" t="s">
        <v>1108</v>
      </c>
      <c r="B346" s="179" t="s">
        <v>2947</v>
      </c>
      <c r="C346" s="180" t="s">
        <v>4510</v>
      </c>
      <c r="D346" s="181" t="s">
        <v>2873</v>
      </c>
      <c r="E346" s="181" t="s">
        <v>2840</v>
      </c>
      <c r="F346" s="182" t="s">
        <v>3086</v>
      </c>
      <c r="G346" s="181" t="s">
        <v>535</v>
      </c>
      <c r="H346" s="193">
        <v>45086</v>
      </c>
      <c r="I346" s="184">
        <v>45086</v>
      </c>
      <c r="J346" s="179" t="s">
        <v>4511</v>
      </c>
      <c r="K346" s="179">
        <v>250</v>
      </c>
      <c r="L346" s="179" t="s">
        <v>2950</v>
      </c>
      <c r="M346" s="185"/>
      <c r="N346" s="185"/>
      <c r="O346" s="179" t="s">
        <v>2951</v>
      </c>
      <c r="P346" s="185" t="s">
        <v>2951</v>
      </c>
      <c r="Q346" s="182" t="s">
        <v>2933</v>
      </c>
      <c r="R346" s="182" t="s">
        <v>2934</v>
      </c>
      <c r="S346" s="182" t="s">
        <v>2952</v>
      </c>
      <c r="T346" s="179" t="s">
        <v>2974</v>
      </c>
      <c r="U346" s="179" t="s">
        <v>2954</v>
      </c>
      <c r="V346" s="187">
        <v>0</v>
      </c>
      <c r="W346" s="179" t="s">
        <v>4512</v>
      </c>
      <c r="X346" s="188">
        <v>561.32299999999998</v>
      </c>
      <c r="Y346" s="188">
        <v>350.74519999999995</v>
      </c>
      <c r="Z346" s="188">
        <v>213.1857</v>
      </c>
      <c r="AA346" s="188">
        <v>173.37359999999998</v>
      </c>
      <c r="AB346" s="188">
        <v>10.102400000000001</v>
      </c>
      <c r="AC346" s="188">
        <v>122.85</v>
      </c>
      <c r="AD346" s="179" t="s">
        <v>2956</v>
      </c>
      <c r="AE346" s="188" t="s">
        <v>2940</v>
      </c>
      <c r="AF346" s="189">
        <v>0</v>
      </c>
      <c r="AG346" s="189">
        <v>0.99930555555555556</v>
      </c>
      <c r="AH346" s="190" t="s">
        <v>2976</v>
      </c>
      <c r="AI346" s="190" t="s">
        <v>2942</v>
      </c>
      <c r="AJ346" s="179" t="s">
        <v>192</v>
      </c>
      <c r="AK346" s="179" t="s">
        <v>2977</v>
      </c>
      <c r="AL346" s="179" t="s">
        <v>9</v>
      </c>
      <c r="AM346" s="179" t="s">
        <v>4513</v>
      </c>
      <c r="AN346" s="179" t="s">
        <v>2102</v>
      </c>
      <c r="AO346" s="179" t="s">
        <v>2502</v>
      </c>
      <c r="AP346" s="191">
        <v>81139605114</v>
      </c>
      <c r="AQ346" s="184">
        <v>43032</v>
      </c>
      <c r="AR346" s="179">
        <v>106</v>
      </c>
      <c r="AS346" s="179"/>
      <c r="AT346" s="198" t="s">
        <v>4514</v>
      </c>
      <c r="AU346" s="181" t="s">
        <v>2946</v>
      </c>
      <c r="AV346" s="192">
        <v>28123360</v>
      </c>
      <c r="AW346" s="181">
        <v>14.8</v>
      </c>
      <c r="AX346" s="179">
        <v>80363</v>
      </c>
      <c r="AY346" s="179"/>
    </row>
    <row r="347" spans="1:51" ht="14.4" x14ac:dyDescent="0.3">
      <c r="A347" s="179" t="s">
        <v>599</v>
      </c>
      <c r="B347" s="179" t="s">
        <v>2947</v>
      </c>
      <c r="C347" s="180" t="s">
        <v>4515</v>
      </c>
      <c r="D347" s="181" t="s">
        <v>2836</v>
      </c>
      <c r="E347" s="181" t="s">
        <v>2825</v>
      </c>
      <c r="F347" s="182" t="s">
        <v>2972</v>
      </c>
      <c r="G347" s="181" t="s">
        <v>17</v>
      </c>
      <c r="H347" s="193">
        <v>45087</v>
      </c>
      <c r="I347" s="184"/>
      <c r="J347" s="179" t="s">
        <v>4516</v>
      </c>
      <c r="K347" s="179">
        <v>89</v>
      </c>
      <c r="L347" s="179" t="s">
        <v>2965</v>
      </c>
      <c r="M347" s="185" t="s">
        <v>3164</v>
      </c>
      <c r="N347" s="185"/>
      <c r="O347" s="179" t="s">
        <v>2951</v>
      </c>
      <c r="P347" s="185"/>
      <c r="Q347" s="182" t="s">
        <v>2933</v>
      </c>
      <c r="R347" s="182" t="s">
        <v>2934</v>
      </c>
      <c r="S347" s="182" t="s">
        <v>2952</v>
      </c>
      <c r="T347" s="179" t="s">
        <v>2974</v>
      </c>
      <c r="U347" s="179" t="s">
        <v>2954</v>
      </c>
      <c r="V347" s="179">
        <v>0</v>
      </c>
      <c r="W347" s="179" t="s">
        <v>4517</v>
      </c>
      <c r="X347" s="188">
        <v>875.7084000000001</v>
      </c>
      <c r="Y347" s="188">
        <v>297.19450000000001</v>
      </c>
      <c r="Z347" s="188">
        <v>136.05439999999999</v>
      </c>
      <c r="AA347" s="188">
        <v>420.53219999999999</v>
      </c>
      <c r="AB347" s="188">
        <v>54.747900000000008</v>
      </c>
      <c r="AC347" s="188">
        <v>75.445700000000002</v>
      </c>
      <c r="AD347" s="179" t="s">
        <v>2956</v>
      </c>
      <c r="AE347" s="188" t="s">
        <v>2940</v>
      </c>
      <c r="AF347" s="189">
        <v>0.25</v>
      </c>
      <c r="AG347" s="189">
        <v>0.91666666666666663</v>
      </c>
      <c r="AH347" s="190" t="s">
        <v>2941</v>
      </c>
      <c r="AI347" s="190" t="s">
        <v>2942</v>
      </c>
      <c r="AJ347" s="179" t="s">
        <v>597</v>
      </c>
      <c r="AK347" s="179" t="s">
        <v>3345</v>
      </c>
      <c r="AL347" s="179" t="s">
        <v>36</v>
      </c>
      <c r="AM347" s="179" t="s">
        <v>4518</v>
      </c>
      <c r="AN347" s="179" t="s">
        <v>2102</v>
      </c>
      <c r="AO347" s="179" t="s">
        <v>2715</v>
      </c>
      <c r="AP347" s="191">
        <v>81139605078</v>
      </c>
      <c r="AQ347" s="184">
        <v>43033</v>
      </c>
      <c r="AR347" s="179">
        <v>106</v>
      </c>
      <c r="AS347" s="179"/>
      <c r="AT347" s="181" t="s">
        <v>4519</v>
      </c>
      <c r="AU347" s="181" t="s">
        <v>2946</v>
      </c>
      <c r="AV347" s="192">
        <v>18867728</v>
      </c>
      <c r="AW347" s="181">
        <v>25.2</v>
      </c>
      <c r="AX347" s="179">
        <v>82191</v>
      </c>
      <c r="AY347" s="179"/>
    </row>
    <row r="348" spans="1:51" ht="14.4" x14ac:dyDescent="0.3">
      <c r="A348" s="179" t="s">
        <v>1141</v>
      </c>
      <c r="B348" s="179" t="s">
        <v>2947</v>
      </c>
      <c r="C348" s="180" t="s">
        <v>4520</v>
      </c>
      <c r="D348" s="181" t="s">
        <v>2848</v>
      </c>
      <c r="E348" s="181" t="s">
        <v>2827</v>
      </c>
      <c r="F348" s="182" t="s">
        <v>2972</v>
      </c>
      <c r="G348" s="181" t="s">
        <v>17</v>
      </c>
      <c r="H348" s="193">
        <v>45596</v>
      </c>
      <c r="I348" s="184"/>
      <c r="J348" s="179" t="s">
        <v>4521</v>
      </c>
      <c r="K348" s="179">
        <v>13</v>
      </c>
      <c r="L348" s="179" t="s">
        <v>2965</v>
      </c>
      <c r="M348" s="185"/>
      <c r="N348" s="185" t="s">
        <v>2951</v>
      </c>
      <c r="O348" s="179" t="s">
        <v>2951</v>
      </c>
      <c r="P348" s="185"/>
      <c r="Q348" s="182" t="s">
        <v>2933</v>
      </c>
      <c r="R348" s="182" t="s">
        <v>2934</v>
      </c>
      <c r="S348" s="182" t="s">
        <v>2952</v>
      </c>
      <c r="T348" s="179" t="s">
        <v>2953</v>
      </c>
      <c r="U348" s="179" t="s">
        <v>2954</v>
      </c>
      <c r="V348" s="187">
        <v>0</v>
      </c>
      <c r="W348" s="179" t="s">
        <v>3151</v>
      </c>
      <c r="X348" s="188">
        <v>319.20000000000005</v>
      </c>
      <c r="Y348" s="188">
        <v>193.56</v>
      </c>
      <c r="Z348" s="188">
        <v>119.99500000000002</v>
      </c>
      <c r="AA348" s="188">
        <v>108.45899999999999</v>
      </c>
      <c r="AB348" s="188">
        <v>17.399999999999999</v>
      </c>
      <c r="AC348" s="188">
        <v>39.6</v>
      </c>
      <c r="AD348" s="179" t="s">
        <v>2984</v>
      </c>
      <c r="AE348" s="188" t="s">
        <v>2940</v>
      </c>
      <c r="AF348" s="189">
        <v>0.29166666666666669</v>
      </c>
      <c r="AG348" s="189">
        <v>0.95833333333333337</v>
      </c>
      <c r="AH348" s="190" t="s">
        <v>2941</v>
      </c>
      <c r="AI348" s="190" t="s">
        <v>2942</v>
      </c>
      <c r="AJ348" s="179" t="s">
        <v>1139</v>
      </c>
      <c r="AK348" s="179" t="s">
        <v>3055</v>
      </c>
      <c r="AL348" s="179" t="s">
        <v>48</v>
      </c>
      <c r="AM348" s="179" t="s">
        <v>4522</v>
      </c>
      <c r="AN348" s="179" t="s">
        <v>2102</v>
      </c>
      <c r="AO348" s="179" t="s">
        <v>2597</v>
      </c>
      <c r="AP348" s="191">
        <v>81139605226</v>
      </c>
      <c r="AQ348" s="184">
        <v>43039</v>
      </c>
      <c r="AR348" s="179">
        <v>105</v>
      </c>
      <c r="AS348" s="179"/>
      <c r="AT348" s="181" t="s">
        <v>4523</v>
      </c>
      <c r="AU348" s="195" t="s">
        <v>2946</v>
      </c>
      <c r="AV348" s="192">
        <v>14091762</v>
      </c>
      <c r="AW348" s="181">
        <v>80.400000000000006</v>
      </c>
      <c r="AX348" s="179">
        <v>81153</v>
      </c>
      <c r="AY348" s="179"/>
    </row>
    <row r="349" spans="1:51" ht="14.4" x14ac:dyDescent="0.3">
      <c r="A349" s="179" t="s">
        <v>245</v>
      </c>
      <c r="B349" s="179" t="s">
        <v>2947</v>
      </c>
      <c r="C349" s="180" t="s">
        <v>4524</v>
      </c>
      <c r="D349" s="181" t="s">
        <v>2866</v>
      </c>
      <c r="E349" s="181" t="s">
        <v>2827</v>
      </c>
      <c r="F349" s="182" t="s">
        <v>2972</v>
      </c>
      <c r="G349" s="181" t="s">
        <v>17</v>
      </c>
      <c r="H349" s="193">
        <v>45842</v>
      </c>
      <c r="I349" s="184"/>
      <c r="J349" s="179" t="s">
        <v>3008</v>
      </c>
      <c r="K349" s="179" t="s">
        <v>3008</v>
      </c>
      <c r="L349" s="179" t="s">
        <v>2932</v>
      </c>
      <c r="M349" s="185"/>
      <c r="N349" s="185"/>
      <c r="O349" s="186"/>
      <c r="P349" s="185"/>
      <c r="Q349" s="182" t="s">
        <v>2934</v>
      </c>
      <c r="R349" s="182" t="s">
        <v>2933</v>
      </c>
      <c r="S349" s="182" t="s">
        <v>2952</v>
      </c>
      <c r="T349" s="179" t="s">
        <v>2974</v>
      </c>
      <c r="U349" s="179" t="s">
        <v>2954</v>
      </c>
      <c r="V349" s="179">
        <v>1073</v>
      </c>
      <c r="W349" s="179" t="s">
        <v>3151</v>
      </c>
      <c r="X349" s="188">
        <v>333.7328</v>
      </c>
      <c r="Y349" s="188">
        <v>208.208</v>
      </c>
      <c r="Z349" s="188">
        <v>119.85509999999999</v>
      </c>
      <c r="AA349" s="188">
        <v>90.936399999999992</v>
      </c>
      <c r="AB349" s="188">
        <v>7.4399999999999995</v>
      </c>
      <c r="AC349" s="188">
        <v>58.282700000000006</v>
      </c>
      <c r="AD349" s="179" t="s">
        <v>2984</v>
      </c>
      <c r="AE349" s="188" t="s">
        <v>2940</v>
      </c>
      <c r="AF349" s="189">
        <v>0.29166666666666669</v>
      </c>
      <c r="AG349" s="189">
        <v>0.99930555555555556</v>
      </c>
      <c r="AH349" s="190" t="s">
        <v>2941</v>
      </c>
      <c r="AI349" s="190" t="s">
        <v>2942</v>
      </c>
      <c r="AJ349" s="179" t="s">
        <v>243</v>
      </c>
      <c r="AK349" s="179" t="s">
        <v>48</v>
      </c>
      <c r="AL349" s="179" t="s">
        <v>48</v>
      </c>
      <c r="AM349" s="179" t="s">
        <v>4525</v>
      </c>
      <c r="AN349" s="179" t="s">
        <v>2102</v>
      </c>
      <c r="AO349" s="179" t="s">
        <v>2693</v>
      </c>
      <c r="AP349" s="191">
        <v>81139605208</v>
      </c>
      <c r="AQ349" s="184">
        <v>43039</v>
      </c>
      <c r="AR349" s="179">
        <v>105</v>
      </c>
      <c r="AS349" s="179"/>
      <c r="AT349" s="181" t="s">
        <v>3445</v>
      </c>
      <c r="AU349" s="181" t="s">
        <v>2946</v>
      </c>
      <c r="AV349" s="192">
        <v>12055871</v>
      </c>
      <c r="AW349" s="181">
        <v>58.6</v>
      </c>
      <c r="AX349" s="179">
        <v>81119</v>
      </c>
      <c r="AY349" s="179"/>
    </row>
    <row r="350" spans="1:51" ht="14.4" x14ac:dyDescent="0.3">
      <c r="A350" s="179" t="s">
        <v>1706</v>
      </c>
      <c r="B350" s="179" t="s">
        <v>2927</v>
      </c>
      <c r="C350" s="180" t="s">
        <v>4526</v>
      </c>
      <c r="D350" s="181" t="s">
        <v>2846</v>
      </c>
      <c r="E350" s="181" t="s">
        <v>2821</v>
      </c>
      <c r="F350" s="182" t="s">
        <v>2929</v>
      </c>
      <c r="G350" s="181" t="s">
        <v>12</v>
      </c>
      <c r="H350" s="193" t="s">
        <v>2930</v>
      </c>
      <c r="I350" s="184" t="s">
        <v>2930</v>
      </c>
      <c r="J350" s="179" t="s">
        <v>4527</v>
      </c>
      <c r="K350" s="179">
        <v>350</v>
      </c>
      <c r="L350" s="179" t="s">
        <v>2950</v>
      </c>
      <c r="M350" s="185"/>
      <c r="N350" s="185"/>
      <c r="O350" s="186"/>
      <c r="P350" s="185"/>
      <c r="Q350" s="182" t="s">
        <v>2934</v>
      </c>
      <c r="R350" s="182" t="s">
        <v>2933</v>
      </c>
      <c r="S350" s="182" t="s">
        <v>2952</v>
      </c>
      <c r="T350" s="179" t="s">
        <v>2974</v>
      </c>
      <c r="U350" s="179" t="s">
        <v>2937</v>
      </c>
      <c r="V350" s="179">
        <v>0</v>
      </c>
      <c r="W350" s="179" t="s">
        <v>3470</v>
      </c>
      <c r="X350" s="188">
        <v>205.09649999999999</v>
      </c>
      <c r="Y350" s="188">
        <v>130.01940000000002</v>
      </c>
      <c r="Z350" s="188">
        <v>9804.81</v>
      </c>
      <c r="AA350" s="188">
        <v>64.844100000000012</v>
      </c>
      <c r="AB350" s="188">
        <v>7.6829999999999998</v>
      </c>
      <c r="AC350" s="188">
        <v>38.61</v>
      </c>
      <c r="AD350" s="179" t="s">
        <v>2984</v>
      </c>
      <c r="AE350" s="188" t="s">
        <v>2957</v>
      </c>
      <c r="AF350" s="189">
        <v>0.29166666666666669</v>
      </c>
      <c r="AG350" s="189">
        <v>0.91666666666666663</v>
      </c>
      <c r="AH350" s="190" t="s">
        <v>2941</v>
      </c>
      <c r="AI350" s="190" t="s">
        <v>2942</v>
      </c>
      <c r="AJ350" s="179" t="s">
        <v>204</v>
      </c>
      <c r="AK350" s="179" t="s">
        <v>36</v>
      </c>
      <c r="AL350" s="179" t="s">
        <v>36</v>
      </c>
      <c r="AM350" s="179" t="s">
        <v>4528</v>
      </c>
      <c r="AN350" s="179" t="s">
        <v>2102</v>
      </c>
      <c r="AO350" s="179" t="s">
        <v>2352</v>
      </c>
      <c r="AP350" s="191">
        <v>81139605262</v>
      </c>
      <c r="AQ350" s="184">
        <v>43039</v>
      </c>
      <c r="AR350" s="179">
        <v>105</v>
      </c>
      <c r="AS350" s="194">
        <v>45668</v>
      </c>
      <c r="AT350" s="195" t="s">
        <v>4529</v>
      </c>
      <c r="AU350" s="195" t="s">
        <v>2946</v>
      </c>
      <c r="AV350" s="192">
        <v>14285000</v>
      </c>
      <c r="AW350" s="181">
        <v>14</v>
      </c>
      <c r="AX350" s="179">
        <v>82112</v>
      </c>
      <c r="AY350" s="179" t="s">
        <v>4530</v>
      </c>
    </row>
    <row r="351" spans="1:51" ht="14.4" x14ac:dyDescent="0.3">
      <c r="A351" s="179" t="s">
        <v>70</v>
      </c>
      <c r="B351" s="179" t="s">
        <v>2947</v>
      </c>
      <c r="C351" s="180" t="s">
        <v>4531</v>
      </c>
      <c r="D351" s="181" t="s">
        <v>2859</v>
      </c>
      <c r="E351" s="181" t="s">
        <v>2815</v>
      </c>
      <c r="F351" s="182" t="s">
        <v>2929</v>
      </c>
      <c r="G351" s="181" t="s">
        <v>12</v>
      </c>
      <c r="H351" s="193" t="s">
        <v>2930</v>
      </c>
      <c r="I351" s="184" t="s">
        <v>2930</v>
      </c>
      <c r="J351" s="179" t="s">
        <v>3008</v>
      </c>
      <c r="K351" s="179" t="s">
        <v>3008</v>
      </c>
      <c r="L351" s="179" t="s">
        <v>2932</v>
      </c>
      <c r="M351" s="185"/>
      <c r="N351" s="185"/>
      <c r="O351" s="186"/>
      <c r="P351" s="185"/>
      <c r="Q351" s="182" t="s">
        <v>2934</v>
      </c>
      <c r="R351" s="182" t="s">
        <v>2933</v>
      </c>
      <c r="S351" s="182" t="s">
        <v>2935</v>
      </c>
      <c r="T351" s="179" t="s">
        <v>2974</v>
      </c>
      <c r="U351" s="179" t="s">
        <v>2954</v>
      </c>
      <c r="V351" s="179">
        <v>0</v>
      </c>
      <c r="W351" s="179" t="s">
        <v>4532</v>
      </c>
      <c r="X351" s="188">
        <v>400.6551</v>
      </c>
      <c r="Y351" s="188">
        <v>237.18449999999999</v>
      </c>
      <c r="Z351" s="188">
        <v>143.29810000000001</v>
      </c>
      <c r="AA351" s="188">
        <v>149.2236</v>
      </c>
      <c r="AB351" s="188">
        <v>23.327500000000001</v>
      </c>
      <c r="AC351" s="188">
        <v>51.612000000000009</v>
      </c>
      <c r="AD351" s="179" t="s">
        <v>2984</v>
      </c>
      <c r="AE351" s="188" t="s">
        <v>2940</v>
      </c>
      <c r="AF351" s="189">
        <v>0.29166666666666669</v>
      </c>
      <c r="AG351" s="189">
        <v>0.91666666666666663</v>
      </c>
      <c r="AH351" s="190" t="s">
        <v>2941</v>
      </c>
      <c r="AI351" s="190" t="s">
        <v>2985</v>
      </c>
      <c r="AJ351" s="179" t="s">
        <v>68</v>
      </c>
      <c r="AK351" s="179" t="s">
        <v>3182</v>
      </c>
      <c r="AL351" s="179" t="s">
        <v>28</v>
      </c>
      <c r="AM351" s="179" t="s">
        <v>4533</v>
      </c>
      <c r="AN351" s="179" t="s">
        <v>2102</v>
      </c>
      <c r="AO351" s="179" t="s">
        <v>2481</v>
      </c>
      <c r="AP351" s="191">
        <v>81139009348</v>
      </c>
      <c r="AQ351" s="184">
        <v>43069</v>
      </c>
      <c r="AR351" s="179">
        <v>104</v>
      </c>
      <c r="AS351" s="179"/>
      <c r="AT351" s="181"/>
      <c r="AU351" s="181"/>
      <c r="AV351" s="192">
        <v>10080000</v>
      </c>
      <c r="AW351" s="181">
        <v>27.2</v>
      </c>
      <c r="AX351" s="179">
        <v>80552</v>
      </c>
      <c r="AY351" s="179"/>
    </row>
    <row r="352" spans="1:51" ht="14.4" x14ac:dyDescent="0.3">
      <c r="A352" s="179" t="s">
        <v>412</v>
      </c>
      <c r="B352" s="179" t="s">
        <v>2947</v>
      </c>
      <c r="C352" s="180" t="s">
        <v>4534</v>
      </c>
      <c r="D352" s="181" t="s">
        <v>2833</v>
      </c>
      <c r="E352" s="181" t="s">
        <v>2821</v>
      </c>
      <c r="F352" s="182" t="s">
        <v>2929</v>
      </c>
      <c r="G352" s="181" t="s">
        <v>12</v>
      </c>
      <c r="H352" s="193" t="s">
        <v>2930</v>
      </c>
      <c r="I352" s="184" t="s">
        <v>2930</v>
      </c>
      <c r="J352" s="179" t="s">
        <v>3008</v>
      </c>
      <c r="K352" s="179" t="s">
        <v>3008</v>
      </c>
      <c r="L352" s="179" t="s">
        <v>2932</v>
      </c>
      <c r="M352" s="185"/>
      <c r="N352" s="185" t="s">
        <v>2951</v>
      </c>
      <c r="O352" s="186"/>
      <c r="P352" s="185"/>
      <c r="Q352" s="182" t="s">
        <v>2934</v>
      </c>
      <c r="R352" s="182" t="s">
        <v>2933</v>
      </c>
      <c r="S352" s="182" t="s">
        <v>2952</v>
      </c>
      <c r="T352" s="179" t="s">
        <v>2974</v>
      </c>
      <c r="U352" s="179" t="s">
        <v>2954</v>
      </c>
      <c r="V352" s="179">
        <v>0</v>
      </c>
      <c r="W352" s="179" t="s">
        <v>3314</v>
      </c>
      <c r="X352" s="188">
        <v>183.4504</v>
      </c>
      <c r="Y352" s="188">
        <v>121.85599999999999</v>
      </c>
      <c r="Z352" s="188">
        <v>94.8416</v>
      </c>
      <c r="AA352" s="188">
        <v>54.2136</v>
      </c>
      <c r="AB352" s="188">
        <v>3.2954999999999997</v>
      </c>
      <c r="AC352" s="188">
        <v>85.83959999999999</v>
      </c>
      <c r="AD352" s="179" t="s">
        <v>2956</v>
      </c>
      <c r="AE352" s="188" t="s">
        <v>2957</v>
      </c>
      <c r="AF352" s="189">
        <v>0.29166666666666669</v>
      </c>
      <c r="AG352" s="189">
        <v>0.91666666666666663</v>
      </c>
      <c r="AH352" s="190" t="s">
        <v>2941</v>
      </c>
      <c r="AI352" s="190" t="s">
        <v>2942</v>
      </c>
      <c r="AJ352" s="179" t="s">
        <v>410</v>
      </c>
      <c r="AK352" s="179" t="s">
        <v>4217</v>
      </c>
      <c r="AL352" s="179" t="s">
        <v>36</v>
      </c>
      <c r="AM352" s="179" t="s">
        <v>4535</v>
      </c>
      <c r="AN352" s="179" t="s">
        <v>2102</v>
      </c>
      <c r="AO352" s="179" t="s">
        <v>2698</v>
      </c>
      <c r="AP352" s="191">
        <v>81139604771</v>
      </c>
      <c r="AQ352" s="184">
        <v>43085</v>
      </c>
      <c r="AR352" s="179">
        <v>104</v>
      </c>
      <c r="AS352" s="179"/>
      <c r="AT352" s="181"/>
      <c r="AU352" s="181"/>
      <c r="AV352" s="192">
        <v>10240000</v>
      </c>
      <c r="AW352" s="181">
        <v>5</v>
      </c>
      <c r="AX352" s="179">
        <v>82181</v>
      </c>
      <c r="AY352" s="179"/>
    </row>
    <row r="353" spans="1:51" ht="14.4" x14ac:dyDescent="0.3">
      <c r="A353" s="179" t="s">
        <v>1259</v>
      </c>
      <c r="B353" s="179" t="s">
        <v>2947</v>
      </c>
      <c r="C353" s="180" t="s">
        <v>4536</v>
      </c>
      <c r="D353" s="181" t="s">
        <v>2846</v>
      </c>
      <c r="E353" s="181" t="s">
        <v>2821</v>
      </c>
      <c r="F353" s="182" t="s">
        <v>2929</v>
      </c>
      <c r="G353" s="181" t="s">
        <v>12</v>
      </c>
      <c r="H353" s="193">
        <v>44004</v>
      </c>
      <c r="I353" s="184">
        <v>44004</v>
      </c>
      <c r="J353" s="179" t="s">
        <v>4537</v>
      </c>
      <c r="K353" s="179">
        <v>250</v>
      </c>
      <c r="L353" s="179" t="s">
        <v>2950</v>
      </c>
      <c r="M353" s="185"/>
      <c r="N353" s="185" t="s">
        <v>2951</v>
      </c>
      <c r="O353" s="186"/>
      <c r="P353" s="185"/>
      <c r="Q353" s="182" t="s">
        <v>2933</v>
      </c>
      <c r="R353" s="182" t="s">
        <v>2934</v>
      </c>
      <c r="S353" s="182" t="s">
        <v>2952</v>
      </c>
      <c r="T353" s="179" t="s">
        <v>2974</v>
      </c>
      <c r="U353" s="179" t="s">
        <v>2954</v>
      </c>
      <c r="V353" s="187">
        <v>0</v>
      </c>
      <c r="W353" s="179" t="s">
        <v>4532</v>
      </c>
      <c r="X353" s="188">
        <v>366.62220000000002</v>
      </c>
      <c r="Y353" s="188">
        <v>266.9787</v>
      </c>
      <c r="Z353" s="188">
        <v>121.54480000000001</v>
      </c>
      <c r="AA353" s="188">
        <v>84.892500000000013</v>
      </c>
      <c r="AB353" s="188">
        <v>31.92</v>
      </c>
      <c r="AC353" s="188">
        <v>90.106799999999993</v>
      </c>
      <c r="AD353" s="179" t="s">
        <v>2956</v>
      </c>
      <c r="AE353" s="188" t="s">
        <v>2940</v>
      </c>
      <c r="AF353" s="189">
        <v>0.29166666666666669</v>
      </c>
      <c r="AG353" s="189">
        <v>0.91666666666666663</v>
      </c>
      <c r="AH353" s="190" t="s">
        <v>2941</v>
      </c>
      <c r="AI353" s="190" t="s">
        <v>2942</v>
      </c>
      <c r="AJ353" s="179" t="s">
        <v>1257</v>
      </c>
      <c r="AK353" s="179" t="s">
        <v>36</v>
      </c>
      <c r="AL353" s="179" t="s">
        <v>36</v>
      </c>
      <c r="AM353" s="179" t="s">
        <v>4538</v>
      </c>
      <c r="AN353" s="179" t="s">
        <v>2102</v>
      </c>
      <c r="AO353" s="179" t="s">
        <v>2656</v>
      </c>
      <c r="AP353" s="191">
        <v>81139000849</v>
      </c>
      <c r="AQ353" s="184">
        <v>43097</v>
      </c>
      <c r="AR353" s="179">
        <v>104</v>
      </c>
      <c r="AS353" s="179"/>
      <c r="AT353" s="181" t="s">
        <v>4539</v>
      </c>
      <c r="AU353" s="181" t="s">
        <v>2946</v>
      </c>
      <c r="AV353" s="192">
        <v>13786303.493115027</v>
      </c>
      <c r="AW353" s="181">
        <v>13.1</v>
      </c>
      <c r="AX353" s="179">
        <v>82111</v>
      </c>
      <c r="AY353" s="179"/>
    </row>
    <row r="354" spans="1:51" ht="14.4" x14ac:dyDescent="0.3">
      <c r="A354" s="179" t="s">
        <v>1022</v>
      </c>
      <c r="B354" s="179" t="s">
        <v>2927</v>
      </c>
      <c r="C354" s="180" t="s">
        <v>4540</v>
      </c>
      <c r="D354" s="181" t="s">
        <v>2826</v>
      </c>
      <c r="E354" s="181" t="s">
        <v>2825</v>
      </c>
      <c r="F354" s="182" t="s">
        <v>2929</v>
      </c>
      <c r="G354" s="181" t="s">
        <v>12</v>
      </c>
      <c r="H354" s="193" t="s">
        <v>2930</v>
      </c>
      <c r="I354" s="184" t="s">
        <v>2930</v>
      </c>
      <c r="J354" s="179" t="s">
        <v>3381</v>
      </c>
      <c r="K354" s="179">
        <v>170</v>
      </c>
      <c r="L354" s="179" t="s">
        <v>2950</v>
      </c>
      <c r="M354" s="185"/>
      <c r="N354" s="185"/>
      <c r="O354" s="186"/>
      <c r="P354" s="185"/>
      <c r="Q354" s="182" t="s">
        <v>2934</v>
      </c>
      <c r="R354" s="182" t="s">
        <v>2933</v>
      </c>
      <c r="S354" s="182" t="s">
        <v>2952</v>
      </c>
      <c r="T354" s="179" t="s">
        <v>2974</v>
      </c>
      <c r="U354" s="179" t="s">
        <v>2937</v>
      </c>
      <c r="V354" s="179">
        <v>0</v>
      </c>
      <c r="W354" s="179" t="s">
        <v>3151</v>
      </c>
      <c r="X354" s="188">
        <v>290.57979999999998</v>
      </c>
      <c r="Y354" s="188">
        <v>175.36519999999999</v>
      </c>
      <c r="Z354" s="188">
        <v>116.46839999999999</v>
      </c>
      <c r="AA354" s="188">
        <v>88.322400000000016</v>
      </c>
      <c r="AB354" s="188">
        <v>10.824</v>
      </c>
      <c r="AC354" s="188">
        <v>35.7639</v>
      </c>
      <c r="AD354" s="179" t="s">
        <v>2984</v>
      </c>
      <c r="AE354" s="188" t="s">
        <v>2940</v>
      </c>
      <c r="AF354" s="189">
        <v>0.29166666666666669</v>
      </c>
      <c r="AG354" s="189">
        <v>0.95833333333333337</v>
      </c>
      <c r="AH354" s="190" t="s">
        <v>2941</v>
      </c>
      <c r="AI354" s="190" t="s">
        <v>2942</v>
      </c>
      <c r="AJ354" s="179" t="s">
        <v>192</v>
      </c>
      <c r="AK354" s="179" t="s">
        <v>2977</v>
      </c>
      <c r="AL354" s="179" t="s">
        <v>9</v>
      </c>
      <c r="AM354" s="179" t="s">
        <v>4541</v>
      </c>
      <c r="AN354" s="179" t="s">
        <v>2102</v>
      </c>
      <c r="AO354" s="179" t="s">
        <v>2797</v>
      </c>
      <c r="AP354" s="191">
        <v>81139605123</v>
      </c>
      <c r="AQ354" s="184">
        <v>43100</v>
      </c>
      <c r="AR354" s="179">
        <v>103</v>
      </c>
      <c r="AS354" s="194"/>
      <c r="AT354" s="195" t="s">
        <v>4542</v>
      </c>
      <c r="AU354" s="195" t="s">
        <v>2946</v>
      </c>
      <c r="AV354" s="192">
        <v>10740000</v>
      </c>
      <c r="AW354" s="181">
        <v>14.9</v>
      </c>
      <c r="AX354" s="179">
        <v>80363</v>
      </c>
      <c r="AY354" s="179"/>
    </row>
    <row r="355" spans="1:51" ht="14.4" x14ac:dyDescent="0.3">
      <c r="A355" s="179" t="s">
        <v>696</v>
      </c>
      <c r="B355" s="179" t="s">
        <v>2947</v>
      </c>
      <c r="C355" s="180" t="s">
        <v>4543</v>
      </c>
      <c r="D355" s="181" t="s">
        <v>2858</v>
      </c>
      <c r="E355" s="181" t="s">
        <v>2813</v>
      </c>
      <c r="F355" s="182" t="s">
        <v>2929</v>
      </c>
      <c r="G355" s="181" t="s">
        <v>12</v>
      </c>
      <c r="H355" s="193">
        <v>43586</v>
      </c>
      <c r="I355" s="184"/>
      <c r="J355" s="179" t="s">
        <v>3008</v>
      </c>
      <c r="K355" s="179" t="s">
        <v>3008</v>
      </c>
      <c r="L355" s="179" t="s">
        <v>2932</v>
      </c>
      <c r="M355" s="185"/>
      <c r="N355" s="185"/>
      <c r="O355" s="186"/>
      <c r="P355" s="185"/>
      <c r="Q355" s="182" t="s">
        <v>2933</v>
      </c>
      <c r="R355" s="182" t="s">
        <v>2934</v>
      </c>
      <c r="S355" s="182" t="s">
        <v>2952</v>
      </c>
      <c r="T355" s="179" t="s">
        <v>2953</v>
      </c>
      <c r="U355" s="179" t="s">
        <v>2954</v>
      </c>
      <c r="V355" s="187">
        <v>1349</v>
      </c>
      <c r="W355" s="179" t="s">
        <v>4532</v>
      </c>
      <c r="X355" s="188">
        <v>248.0778</v>
      </c>
      <c r="Y355" s="188">
        <v>162.17099999999999</v>
      </c>
      <c r="Z355" s="188">
        <v>106.87080000000002</v>
      </c>
      <c r="AA355" s="188">
        <v>76.987800000000007</v>
      </c>
      <c r="AB355" s="188">
        <v>9.7005999999999997</v>
      </c>
      <c r="AC355" s="188">
        <v>29.8584</v>
      </c>
      <c r="AD355" s="179" t="s">
        <v>2939</v>
      </c>
      <c r="AE355" s="188" t="s">
        <v>2940</v>
      </c>
      <c r="AF355" s="189">
        <v>0.29166666666666669</v>
      </c>
      <c r="AG355" s="189">
        <v>0.99930555555555556</v>
      </c>
      <c r="AH355" s="190" t="s">
        <v>2941</v>
      </c>
      <c r="AI355" s="190" t="s">
        <v>2942</v>
      </c>
      <c r="AJ355" s="179" t="s">
        <v>694</v>
      </c>
      <c r="AK355" s="179" t="s">
        <v>3010</v>
      </c>
      <c r="AL355" s="179" t="s">
        <v>36</v>
      </c>
      <c r="AM355" s="179" t="s">
        <v>4544</v>
      </c>
      <c r="AN355" s="179" t="s">
        <v>2102</v>
      </c>
      <c r="AO355" s="179" t="s">
        <v>2479</v>
      </c>
      <c r="AP355" s="191">
        <v>81139605024</v>
      </c>
      <c r="AQ355" s="184">
        <v>43105</v>
      </c>
      <c r="AR355" s="179">
        <v>103</v>
      </c>
      <c r="AS355" s="179"/>
      <c r="AT355" s="181"/>
      <c r="AU355" s="181"/>
      <c r="AV355" s="192">
        <v>17260655</v>
      </c>
      <c r="AW355" s="181">
        <v>18.100000000000001</v>
      </c>
      <c r="AX355" s="179">
        <v>82121</v>
      </c>
      <c r="AY355" s="179"/>
    </row>
    <row r="356" spans="1:51" ht="14.4" x14ac:dyDescent="0.3">
      <c r="A356" s="179" t="s">
        <v>1409</v>
      </c>
      <c r="B356" s="179" t="s">
        <v>2947</v>
      </c>
      <c r="C356" s="180" t="s">
        <v>1408</v>
      </c>
      <c r="D356" s="181" t="s">
        <v>2864</v>
      </c>
      <c r="E356" s="181" t="s">
        <v>2827</v>
      </c>
      <c r="F356" s="182" t="s">
        <v>2929</v>
      </c>
      <c r="G356" s="181" t="s">
        <v>12</v>
      </c>
      <c r="H356" s="193">
        <v>43110</v>
      </c>
      <c r="I356" s="184"/>
      <c r="J356" s="179" t="s">
        <v>3008</v>
      </c>
      <c r="K356" s="179" t="s">
        <v>3008</v>
      </c>
      <c r="L356" s="179" t="s">
        <v>2932</v>
      </c>
      <c r="M356" s="185"/>
      <c r="N356" s="185"/>
      <c r="O356" s="186"/>
      <c r="P356" s="185"/>
      <c r="Q356" s="182" t="s">
        <v>2933</v>
      </c>
      <c r="R356" s="182" t="s">
        <v>2934</v>
      </c>
      <c r="S356" s="182" t="s">
        <v>2952</v>
      </c>
      <c r="T356" s="179" t="s">
        <v>2953</v>
      </c>
      <c r="U356" s="179" t="s">
        <v>2954</v>
      </c>
      <c r="V356" s="187">
        <v>1355</v>
      </c>
      <c r="W356" s="179" t="s">
        <v>4545</v>
      </c>
      <c r="X356" s="188">
        <v>242.85479999999998</v>
      </c>
      <c r="Y356" s="188">
        <v>129.77579999999998</v>
      </c>
      <c r="Z356" s="188">
        <v>86.011200000000002</v>
      </c>
      <c r="AA356" s="188">
        <v>98.648999999999987</v>
      </c>
      <c r="AB356" s="188">
        <v>7.7680000000000007</v>
      </c>
      <c r="AC356" s="188">
        <v>21.772800000000004</v>
      </c>
      <c r="AD356" s="179" t="s">
        <v>2939</v>
      </c>
      <c r="AE356" s="188" t="s">
        <v>2940</v>
      </c>
      <c r="AF356" s="189">
        <v>0.29166666666666669</v>
      </c>
      <c r="AG356" s="189">
        <v>0.91666666666666663</v>
      </c>
      <c r="AH356" s="190" t="s">
        <v>2941</v>
      </c>
      <c r="AI356" s="190" t="s">
        <v>2942</v>
      </c>
      <c r="AJ356" s="179" t="s">
        <v>1407</v>
      </c>
      <c r="AK356" s="179" t="s">
        <v>4430</v>
      </c>
      <c r="AL356" s="179" t="s">
        <v>48</v>
      </c>
      <c r="AM356" s="179" t="s">
        <v>4546</v>
      </c>
      <c r="AN356" s="179" t="s">
        <v>2102</v>
      </c>
      <c r="AO356" s="179" t="s">
        <v>2456</v>
      </c>
      <c r="AP356" s="191">
        <v>81139605240</v>
      </c>
      <c r="AQ356" s="184">
        <v>43110</v>
      </c>
      <c r="AR356" s="179">
        <v>103</v>
      </c>
      <c r="AS356" s="179"/>
      <c r="AT356" s="181" t="s">
        <v>4547</v>
      </c>
      <c r="AU356" s="181" t="s">
        <v>4548</v>
      </c>
      <c r="AV356" s="192">
        <v>10630238</v>
      </c>
      <c r="AW356" s="181">
        <v>81.2</v>
      </c>
      <c r="AX356" s="179">
        <v>81173</v>
      </c>
      <c r="AY356" s="179"/>
    </row>
    <row r="357" spans="1:51" ht="14.4" x14ac:dyDescent="0.3">
      <c r="A357" s="179" t="s">
        <v>1024</v>
      </c>
      <c r="B357" s="179" t="s">
        <v>2947</v>
      </c>
      <c r="C357" s="180" t="s">
        <v>3864</v>
      </c>
      <c r="D357" s="181" t="s">
        <v>2833</v>
      </c>
      <c r="E357" s="181" t="s">
        <v>2821</v>
      </c>
      <c r="F357" s="182" t="s">
        <v>2972</v>
      </c>
      <c r="G357" s="181" t="s">
        <v>17</v>
      </c>
      <c r="H357" s="193">
        <v>45899</v>
      </c>
      <c r="I357" s="184"/>
      <c r="J357" s="179" t="s">
        <v>3008</v>
      </c>
      <c r="K357" s="179" t="s">
        <v>3008</v>
      </c>
      <c r="L357" s="179" t="s">
        <v>2932</v>
      </c>
      <c r="M357" s="185"/>
      <c r="N357" s="185"/>
      <c r="O357" s="186"/>
      <c r="P357" s="185"/>
      <c r="Q357" s="182" t="s">
        <v>2934</v>
      </c>
      <c r="R357" s="182" t="s">
        <v>2933</v>
      </c>
      <c r="S357" s="182" t="s">
        <v>2952</v>
      </c>
      <c r="T357" s="179" t="s">
        <v>2974</v>
      </c>
      <c r="U357" s="179" t="s">
        <v>2954</v>
      </c>
      <c r="V357" s="179">
        <v>1032</v>
      </c>
      <c r="W357" s="179" t="s">
        <v>4532</v>
      </c>
      <c r="X357" s="188">
        <v>264.30600000000004</v>
      </c>
      <c r="Y357" s="188">
        <v>175.77770000000001</v>
      </c>
      <c r="Z357" s="188">
        <v>113.9032</v>
      </c>
      <c r="AA357" s="188">
        <v>71.476300000000009</v>
      </c>
      <c r="AB357" s="188">
        <v>10.904000000000002</v>
      </c>
      <c r="AC357" s="188">
        <v>34.434399999999997</v>
      </c>
      <c r="AD357" s="179" t="s">
        <v>2984</v>
      </c>
      <c r="AE357" s="188" t="s">
        <v>2940</v>
      </c>
      <c r="AF357" s="189">
        <v>0.29166666666666669</v>
      </c>
      <c r="AG357" s="189">
        <v>0.95833333333333337</v>
      </c>
      <c r="AH357" s="190" t="s">
        <v>2941</v>
      </c>
      <c r="AI357" s="190" t="s">
        <v>2942</v>
      </c>
      <c r="AJ357" s="179" t="s">
        <v>586</v>
      </c>
      <c r="AK357" s="179" t="s">
        <v>36</v>
      </c>
      <c r="AL357" s="179" t="s">
        <v>36</v>
      </c>
      <c r="AM357" s="179" t="s">
        <v>4549</v>
      </c>
      <c r="AN357" s="179" t="s">
        <v>2102</v>
      </c>
      <c r="AO357" s="179" t="s">
        <v>2718</v>
      </c>
      <c r="AP357" s="191">
        <v>81139001294</v>
      </c>
      <c r="AQ357" s="184">
        <v>43125</v>
      </c>
      <c r="AR357" s="179">
        <v>103</v>
      </c>
      <c r="AS357" s="179"/>
      <c r="AT357" s="181" t="s">
        <v>3324</v>
      </c>
      <c r="AU357" s="181" t="s">
        <v>2946</v>
      </c>
      <c r="AV357" s="192">
        <v>11137500</v>
      </c>
      <c r="AW357" s="181">
        <v>12.5</v>
      </c>
      <c r="AX357" s="179">
        <v>82115</v>
      </c>
      <c r="AY357" s="179"/>
    </row>
    <row r="358" spans="1:51" ht="14.4" x14ac:dyDescent="0.3">
      <c r="A358" s="179" t="s">
        <v>206</v>
      </c>
      <c r="B358" s="179" t="s">
        <v>2947</v>
      </c>
      <c r="C358" s="180" t="s">
        <v>2084</v>
      </c>
      <c r="D358" s="181" t="s">
        <v>2846</v>
      </c>
      <c r="E358" s="181" t="s">
        <v>2821</v>
      </c>
      <c r="F358" s="182" t="s">
        <v>2972</v>
      </c>
      <c r="G358" s="181" t="s">
        <v>17</v>
      </c>
      <c r="H358" s="193">
        <v>45899</v>
      </c>
      <c r="I358" s="184"/>
      <c r="J358" s="179" t="s">
        <v>3008</v>
      </c>
      <c r="K358" s="179" t="s">
        <v>3008</v>
      </c>
      <c r="L358" s="179" t="s">
        <v>2932</v>
      </c>
      <c r="M358" s="185"/>
      <c r="N358" s="185"/>
      <c r="O358" s="186"/>
      <c r="P358" s="185"/>
      <c r="Q358" s="182" t="s">
        <v>2934</v>
      </c>
      <c r="R358" s="182" t="s">
        <v>2933</v>
      </c>
      <c r="S358" s="182" t="s">
        <v>2952</v>
      </c>
      <c r="T358" s="179" t="s">
        <v>2974</v>
      </c>
      <c r="U358" s="179" t="s">
        <v>2954</v>
      </c>
      <c r="V358" s="179">
        <v>1319</v>
      </c>
      <c r="W358" s="179" t="s">
        <v>4550</v>
      </c>
      <c r="X358" s="188">
        <v>206.58539999999999</v>
      </c>
      <c r="Y358" s="188">
        <v>134.41199999999998</v>
      </c>
      <c r="Z358" s="188">
        <v>117.48510000000002</v>
      </c>
      <c r="AA358" s="188">
        <v>18.670500000000001</v>
      </c>
      <c r="AB358" s="188">
        <v>11.248000000000001</v>
      </c>
      <c r="AC358" s="188">
        <v>146.44800000000001</v>
      </c>
      <c r="AD358" s="179" t="s">
        <v>2956</v>
      </c>
      <c r="AE358" s="188" t="s">
        <v>2957</v>
      </c>
      <c r="AF358" s="189">
        <v>0.29166666666666669</v>
      </c>
      <c r="AG358" s="189">
        <v>0.91666666666666663</v>
      </c>
      <c r="AH358" s="190" t="s">
        <v>2941</v>
      </c>
      <c r="AI358" s="190" t="s">
        <v>2942</v>
      </c>
      <c r="AJ358" s="179" t="s">
        <v>204</v>
      </c>
      <c r="AK358" s="179" t="s">
        <v>36</v>
      </c>
      <c r="AL358" s="179" t="s">
        <v>36</v>
      </c>
      <c r="AM358" s="179" t="s">
        <v>4551</v>
      </c>
      <c r="AN358" s="179" t="s">
        <v>2102</v>
      </c>
      <c r="AO358" s="179" t="s">
        <v>2562</v>
      </c>
      <c r="AP358" s="191">
        <v>81139001311</v>
      </c>
      <c r="AQ358" s="184">
        <v>43125</v>
      </c>
      <c r="AR358" s="179">
        <v>103</v>
      </c>
      <c r="AS358" s="179"/>
      <c r="AT358" s="181" t="s">
        <v>4552</v>
      </c>
      <c r="AU358" s="181" t="s">
        <v>2946</v>
      </c>
      <c r="AV358" s="192">
        <v>10080000</v>
      </c>
      <c r="AW358" s="181">
        <v>14.2</v>
      </c>
      <c r="AX358" s="179">
        <v>82112</v>
      </c>
      <c r="AY358" s="179"/>
    </row>
    <row r="359" spans="1:51" ht="14.4" x14ac:dyDescent="0.3">
      <c r="A359" s="179" t="s">
        <v>1636</v>
      </c>
      <c r="B359" s="179" t="s">
        <v>2927</v>
      </c>
      <c r="C359" s="180" t="s">
        <v>4553</v>
      </c>
      <c r="D359" s="181" t="s">
        <v>2860</v>
      </c>
      <c r="E359" s="181" t="s">
        <v>2830</v>
      </c>
      <c r="F359" s="182" t="s">
        <v>2929</v>
      </c>
      <c r="G359" s="181" t="s">
        <v>12</v>
      </c>
      <c r="H359" s="193">
        <v>44512</v>
      </c>
      <c r="I359" s="184"/>
      <c r="J359" s="179" t="s">
        <v>4554</v>
      </c>
      <c r="K359" s="179">
        <v>210</v>
      </c>
      <c r="L359" s="179" t="s">
        <v>2950</v>
      </c>
      <c r="M359" s="185"/>
      <c r="N359" s="185"/>
      <c r="O359" s="186"/>
      <c r="P359" s="185"/>
      <c r="Q359" s="182" t="s">
        <v>2933</v>
      </c>
      <c r="R359" s="182" t="s">
        <v>2934</v>
      </c>
      <c r="S359" s="182" t="s">
        <v>2935</v>
      </c>
      <c r="T359" s="179" t="s">
        <v>2953</v>
      </c>
      <c r="U359" s="179" t="s">
        <v>2937</v>
      </c>
      <c r="V359" s="187">
        <v>1317</v>
      </c>
      <c r="W359" s="179" t="s">
        <v>3009</v>
      </c>
      <c r="X359" s="188">
        <v>353.05899999999997</v>
      </c>
      <c r="Y359" s="188">
        <v>243.56190000000001</v>
      </c>
      <c r="Z359" s="188">
        <v>127.36</v>
      </c>
      <c r="AA359" s="188">
        <v>115.93380000000001</v>
      </c>
      <c r="AB359" s="188">
        <v>31.74</v>
      </c>
      <c r="AC359" s="188">
        <v>66.171999999999997</v>
      </c>
      <c r="AD359" s="179" t="s">
        <v>2956</v>
      </c>
      <c r="AE359" s="188" t="s">
        <v>2940</v>
      </c>
      <c r="AF359" s="189">
        <v>0.29166666666666669</v>
      </c>
      <c r="AG359" s="189">
        <v>0.91666666666666663</v>
      </c>
      <c r="AH359" s="190" t="s">
        <v>2941</v>
      </c>
      <c r="AI359" s="190" t="s">
        <v>2942</v>
      </c>
      <c r="AJ359" s="179" t="s">
        <v>843</v>
      </c>
      <c r="AK359" s="179" t="s">
        <v>3229</v>
      </c>
      <c r="AL359" s="179" t="s">
        <v>9</v>
      </c>
      <c r="AM359" s="179" t="s">
        <v>4555</v>
      </c>
      <c r="AN359" s="179" t="s">
        <v>2102</v>
      </c>
      <c r="AO359" s="179" t="s">
        <v>2393</v>
      </c>
      <c r="AP359" s="191">
        <v>81139605046</v>
      </c>
      <c r="AQ359" s="184">
        <v>43131</v>
      </c>
      <c r="AR359" s="179">
        <v>102</v>
      </c>
      <c r="AS359" s="194"/>
      <c r="AT359" s="195" t="s">
        <v>4556</v>
      </c>
      <c r="AU359" s="195" t="s">
        <v>2946</v>
      </c>
      <c r="AV359" s="192">
        <v>13473000</v>
      </c>
      <c r="AW359" s="181">
        <v>10.199999999999999</v>
      </c>
      <c r="AX359" s="179">
        <v>80352</v>
      </c>
      <c r="AY359" s="179"/>
    </row>
    <row r="360" spans="1:51" ht="14.4" x14ac:dyDescent="0.3">
      <c r="A360" s="179" t="s">
        <v>638</v>
      </c>
      <c r="B360" s="179" t="s">
        <v>2927</v>
      </c>
      <c r="C360" s="180" t="s">
        <v>4557</v>
      </c>
      <c r="D360" s="181" t="s">
        <v>2869</v>
      </c>
      <c r="E360" s="181" t="s">
        <v>2834</v>
      </c>
      <c r="F360" s="182" t="s">
        <v>2929</v>
      </c>
      <c r="G360" s="181" t="s">
        <v>12</v>
      </c>
      <c r="H360" s="193">
        <v>43600</v>
      </c>
      <c r="I360" s="184"/>
      <c r="J360" s="179" t="s">
        <v>3008</v>
      </c>
      <c r="K360" s="179" t="s">
        <v>3008</v>
      </c>
      <c r="L360" s="179" t="s">
        <v>2932</v>
      </c>
      <c r="M360" s="185"/>
      <c r="N360" s="185"/>
      <c r="O360" s="186"/>
      <c r="P360" s="185"/>
      <c r="Q360" s="182" t="s">
        <v>2933</v>
      </c>
      <c r="R360" s="182" t="s">
        <v>2934</v>
      </c>
      <c r="S360" s="182" t="s">
        <v>2952</v>
      </c>
      <c r="T360" s="179" t="s">
        <v>2974</v>
      </c>
      <c r="U360" s="179" t="s">
        <v>2937</v>
      </c>
      <c r="V360" s="187">
        <v>1289</v>
      </c>
      <c r="W360" s="179" t="s">
        <v>2975</v>
      </c>
      <c r="X360" s="188">
        <v>326.82</v>
      </c>
      <c r="Y360" s="188">
        <v>196.82</v>
      </c>
      <c r="Z360" s="188">
        <v>120.175</v>
      </c>
      <c r="AA360" s="188">
        <v>120.64999999999999</v>
      </c>
      <c r="AB360" s="188">
        <v>19.049999999999997</v>
      </c>
      <c r="AC360" s="188">
        <v>41.529000000000003</v>
      </c>
      <c r="AD360" s="179" t="s">
        <v>2984</v>
      </c>
      <c r="AE360" s="188" t="s">
        <v>2940</v>
      </c>
      <c r="AF360" s="189">
        <v>0.29166666666666669</v>
      </c>
      <c r="AG360" s="189">
        <v>0.91666666666666663</v>
      </c>
      <c r="AH360" s="190" t="s">
        <v>2941</v>
      </c>
      <c r="AI360" s="190" t="s">
        <v>2942</v>
      </c>
      <c r="AJ360" s="179" t="s">
        <v>636</v>
      </c>
      <c r="AK360" s="179" t="s">
        <v>4001</v>
      </c>
      <c r="AL360" s="179" t="s">
        <v>40</v>
      </c>
      <c r="AM360" s="179" t="s">
        <v>4558</v>
      </c>
      <c r="AN360" s="179" t="s">
        <v>2102</v>
      </c>
      <c r="AO360" s="179" t="s">
        <v>2776</v>
      </c>
      <c r="AP360" s="191">
        <v>81139000839</v>
      </c>
      <c r="AQ360" s="184">
        <v>43194</v>
      </c>
      <c r="AR360" s="179">
        <v>100</v>
      </c>
      <c r="AS360" s="194"/>
      <c r="AT360" s="195" t="s">
        <v>4559</v>
      </c>
      <c r="AU360" s="195" t="s">
        <v>2946</v>
      </c>
      <c r="AV360" s="192">
        <v>13580000</v>
      </c>
      <c r="AW360" s="181">
        <v>90.5</v>
      </c>
      <c r="AX360" s="179">
        <v>80852</v>
      </c>
      <c r="AY360" s="179"/>
    </row>
    <row r="361" spans="1:51" ht="14.4" x14ac:dyDescent="0.3">
      <c r="A361" s="179" t="s">
        <v>836</v>
      </c>
      <c r="B361" s="179" t="s">
        <v>2927</v>
      </c>
      <c r="C361" s="180" t="s">
        <v>4560</v>
      </c>
      <c r="D361" s="181" t="s">
        <v>2822</v>
      </c>
      <c r="E361" s="181" t="s">
        <v>2821</v>
      </c>
      <c r="F361" s="182" t="s">
        <v>2929</v>
      </c>
      <c r="G361" s="181" t="s">
        <v>12</v>
      </c>
      <c r="H361" s="193">
        <v>44541</v>
      </c>
      <c r="I361" s="184"/>
      <c r="J361" s="179" t="s">
        <v>4561</v>
      </c>
      <c r="K361" s="179">
        <v>120</v>
      </c>
      <c r="L361" s="179" t="s">
        <v>2950</v>
      </c>
      <c r="M361" s="185"/>
      <c r="N361" s="185"/>
      <c r="O361" s="186"/>
      <c r="P361" s="185"/>
      <c r="Q361" s="182" t="s">
        <v>2934</v>
      </c>
      <c r="R361" s="182" t="s">
        <v>2933</v>
      </c>
      <c r="S361" s="182" t="s">
        <v>2952</v>
      </c>
      <c r="T361" s="179" t="s">
        <v>2974</v>
      </c>
      <c r="U361" s="179" t="s">
        <v>2937</v>
      </c>
      <c r="V361" s="187">
        <v>824</v>
      </c>
      <c r="W361" s="179" t="s">
        <v>4562</v>
      </c>
      <c r="X361" s="188">
        <v>139.87199999999999</v>
      </c>
      <c r="Y361" s="188">
        <v>88.416000000000011</v>
      </c>
      <c r="Z361" s="188">
        <v>74.400000000000006</v>
      </c>
      <c r="AA361" s="188">
        <v>42.24</v>
      </c>
      <c r="AB361" s="188">
        <v>3.6960000000000002</v>
      </c>
      <c r="AC361" s="188">
        <v>90.912000000000006</v>
      </c>
      <c r="AD361" s="179" t="s">
        <v>2956</v>
      </c>
      <c r="AE361" s="188" t="s">
        <v>2957</v>
      </c>
      <c r="AF361" s="189">
        <v>0.29166666666666669</v>
      </c>
      <c r="AG361" s="189">
        <v>0.91666666666666663</v>
      </c>
      <c r="AH361" s="190" t="s">
        <v>2941</v>
      </c>
      <c r="AI361" s="190" t="s">
        <v>2942</v>
      </c>
      <c r="AJ361" s="179" t="s">
        <v>186</v>
      </c>
      <c r="AK361" s="179" t="s">
        <v>36</v>
      </c>
      <c r="AL361" s="179" t="s">
        <v>36</v>
      </c>
      <c r="AM361" s="179" t="s">
        <v>4563</v>
      </c>
      <c r="AN361" s="179" t="s">
        <v>2102</v>
      </c>
      <c r="AO361" s="179" t="s">
        <v>2746</v>
      </c>
      <c r="AP361" s="191">
        <v>81139605271</v>
      </c>
      <c r="AQ361" s="184">
        <v>43226</v>
      </c>
      <c r="AR361" s="179">
        <v>99</v>
      </c>
      <c r="AS361" s="194"/>
      <c r="AT361" s="195" t="s">
        <v>4564</v>
      </c>
      <c r="AU361" s="195" t="s">
        <v>2946</v>
      </c>
      <c r="AV361" s="192">
        <v>9100000</v>
      </c>
      <c r="AW361" s="181">
        <v>13.3</v>
      </c>
      <c r="AX361" s="179">
        <v>82111</v>
      </c>
      <c r="AY361" s="179"/>
    </row>
    <row r="362" spans="1:51" ht="14.4" x14ac:dyDescent="0.3">
      <c r="A362" s="179" t="s">
        <v>1433</v>
      </c>
      <c r="B362" s="179" t="s">
        <v>2927</v>
      </c>
      <c r="C362" s="180" t="s">
        <v>4565</v>
      </c>
      <c r="D362" s="181" t="s">
        <v>2836</v>
      </c>
      <c r="E362" s="181" t="s">
        <v>2825</v>
      </c>
      <c r="F362" s="182" t="s">
        <v>2929</v>
      </c>
      <c r="G362" s="181" t="s">
        <v>12</v>
      </c>
      <c r="H362" s="193">
        <v>43596</v>
      </c>
      <c r="I362" s="184"/>
      <c r="J362" s="179" t="s">
        <v>3008</v>
      </c>
      <c r="K362" s="179" t="s">
        <v>3008</v>
      </c>
      <c r="L362" s="179" t="s">
        <v>2932</v>
      </c>
      <c r="M362" s="185"/>
      <c r="N362" s="185"/>
      <c r="O362" s="186"/>
      <c r="P362" s="185"/>
      <c r="Q362" s="182" t="s">
        <v>2933</v>
      </c>
      <c r="R362" s="182" t="s">
        <v>2934</v>
      </c>
      <c r="S362" s="182" t="s">
        <v>2935</v>
      </c>
      <c r="T362" s="179" t="s">
        <v>2974</v>
      </c>
      <c r="U362" s="179" t="s">
        <v>2937</v>
      </c>
      <c r="V362" s="179">
        <v>1230</v>
      </c>
      <c r="W362" s="179" t="s">
        <v>2975</v>
      </c>
      <c r="X362" s="188">
        <v>359.77499999999998</v>
      </c>
      <c r="Y362" s="188">
        <v>191.02500000000001</v>
      </c>
      <c r="Z362" s="188">
        <v>117.298</v>
      </c>
      <c r="AA362" s="188">
        <v>157.80000000000001</v>
      </c>
      <c r="AB362" s="188">
        <v>19.725000000000001</v>
      </c>
      <c r="AC362" s="188">
        <v>38.76</v>
      </c>
      <c r="AD362" s="179" t="s">
        <v>2984</v>
      </c>
      <c r="AE362" s="188" t="s">
        <v>2940</v>
      </c>
      <c r="AF362" s="189">
        <v>0.29166666666666669</v>
      </c>
      <c r="AG362" s="189">
        <v>0.91666666666666663</v>
      </c>
      <c r="AH362" s="190" t="s">
        <v>2941</v>
      </c>
      <c r="AI362" s="190" t="s">
        <v>2942</v>
      </c>
      <c r="AJ362" s="179" t="s">
        <v>1429</v>
      </c>
      <c r="AK362" s="179" t="s">
        <v>3364</v>
      </c>
      <c r="AL362" s="179" t="s">
        <v>48</v>
      </c>
      <c r="AM362" s="179" t="s">
        <v>4566</v>
      </c>
      <c r="AN362" s="179" t="s">
        <v>2102</v>
      </c>
      <c r="AO362" s="179" t="s">
        <v>2354</v>
      </c>
      <c r="AP362" s="191">
        <v>81139605096</v>
      </c>
      <c r="AQ362" s="184">
        <v>43249</v>
      </c>
      <c r="AR362" s="179">
        <v>98</v>
      </c>
      <c r="AS362" s="194"/>
      <c r="AT362" s="195" t="s">
        <v>4567</v>
      </c>
      <c r="AU362" s="195" t="s">
        <v>2946</v>
      </c>
      <c r="AV362" s="192">
        <v>6405000</v>
      </c>
      <c r="AW362" s="181">
        <v>41</v>
      </c>
      <c r="AX362" s="179">
        <v>81161</v>
      </c>
      <c r="AY362" s="179"/>
    </row>
    <row r="363" spans="1:51" ht="14.4" x14ac:dyDescent="0.3">
      <c r="A363" s="179" t="s">
        <v>1101</v>
      </c>
      <c r="B363" s="179" t="s">
        <v>2927</v>
      </c>
      <c r="C363" s="180" t="s">
        <v>4568</v>
      </c>
      <c r="D363" s="181" t="s">
        <v>2845</v>
      </c>
      <c r="E363" s="181" t="s">
        <v>2821</v>
      </c>
      <c r="F363" s="182" t="s">
        <v>2929</v>
      </c>
      <c r="G363" s="181" t="s">
        <v>12</v>
      </c>
      <c r="H363" s="193">
        <v>44512</v>
      </c>
      <c r="I363" s="184"/>
      <c r="J363" s="179" t="s">
        <v>3008</v>
      </c>
      <c r="K363" s="179" t="s">
        <v>3008</v>
      </c>
      <c r="L363" s="179" t="s">
        <v>2932</v>
      </c>
      <c r="M363" s="185"/>
      <c r="N363" s="185"/>
      <c r="O363" s="186"/>
      <c r="P363" s="185"/>
      <c r="Q363" s="182" t="s">
        <v>2933</v>
      </c>
      <c r="R363" s="182" t="s">
        <v>2934</v>
      </c>
      <c r="S363" s="182" t="s">
        <v>2952</v>
      </c>
      <c r="T363" s="179" t="s">
        <v>2953</v>
      </c>
      <c r="U363" s="179" t="s">
        <v>2937</v>
      </c>
      <c r="V363" s="187">
        <v>860</v>
      </c>
      <c r="W363" s="179" t="s">
        <v>3448</v>
      </c>
      <c r="X363" s="188">
        <v>198.43199999999999</v>
      </c>
      <c r="Y363" s="188">
        <v>109.51199999999999</v>
      </c>
      <c r="Z363" s="188">
        <v>94.962000000000003</v>
      </c>
      <c r="AA363" s="188">
        <v>84.314999999999998</v>
      </c>
      <c r="AB363" s="188">
        <v>9.120000000000001</v>
      </c>
      <c r="AC363" s="188">
        <v>96.195000000000007</v>
      </c>
      <c r="AD363" s="179" t="s">
        <v>2956</v>
      </c>
      <c r="AE363" s="188" t="s">
        <v>2957</v>
      </c>
      <c r="AF363" s="189">
        <v>0.29166666666666669</v>
      </c>
      <c r="AG363" s="189">
        <v>0.91666666666666663</v>
      </c>
      <c r="AH363" s="190" t="s">
        <v>2941</v>
      </c>
      <c r="AI363" s="190" t="s">
        <v>2942</v>
      </c>
      <c r="AJ363" s="179" t="s">
        <v>1099</v>
      </c>
      <c r="AK363" s="179" t="s">
        <v>4569</v>
      </c>
      <c r="AL363" s="179" t="s">
        <v>36</v>
      </c>
      <c r="AM363" s="179" t="s">
        <v>4570</v>
      </c>
      <c r="AN363" s="179" t="s">
        <v>2102</v>
      </c>
      <c r="AO363" s="179" t="s">
        <v>2377</v>
      </c>
      <c r="AP363" s="191">
        <v>81139001105</v>
      </c>
      <c r="AQ363" s="184">
        <v>43281</v>
      </c>
      <c r="AR363" s="179">
        <v>97</v>
      </c>
      <c r="AS363" s="194"/>
      <c r="AT363" s="195" t="s">
        <v>4023</v>
      </c>
      <c r="AU363" s="195" t="s">
        <v>2946</v>
      </c>
      <c r="AV363" s="192">
        <v>9464000</v>
      </c>
      <c r="AW363" s="181">
        <v>29.7</v>
      </c>
      <c r="AX363" s="179">
        <v>82162</v>
      </c>
      <c r="AY363" s="179"/>
    </row>
    <row r="364" spans="1:51" ht="14.4" x14ac:dyDescent="0.3">
      <c r="A364" s="179" t="s">
        <v>1363</v>
      </c>
      <c r="B364" s="179" t="s">
        <v>2927</v>
      </c>
      <c r="C364" s="180" t="s">
        <v>4571</v>
      </c>
      <c r="D364" s="181" t="s">
        <v>2837</v>
      </c>
      <c r="E364" s="181" t="s">
        <v>2825</v>
      </c>
      <c r="F364" s="182" t="s">
        <v>2929</v>
      </c>
      <c r="G364" s="181" t="s">
        <v>12</v>
      </c>
      <c r="H364" s="193">
        <v>43599</v>
      </c>
      <c r="I364" s="184"/>
      <c r="J364" s="179" t="s">
        <v>3008</v>
      </c>
      <c r="K364" s="179" t="s">
        <v>3008</v>
      </c>
      <c r="L364" s="179" t="s">
        <v>2932</v>
      </c>
      <c r="M364" s="185"/>
      <c r="N364" s="185"/>
      <c r="O364" s="186"/>
      <c r="P364" s="185"/>
      <c r="Q364" s="182" t="s">
        <v>2934</v>
      </c>
      <c r="R364" s="182" t="s">
        <v>2933</v>
      </c>
      <c r="S364" s="182" t="s">
        <v>2952</v>
      </c>
      <c r="T364" s="179" t="s">
        <v>2953</v>
      </c>
      <c r="U364" s="179" t="s">
        <v>2937</v>
      </c>
      <c r="V364" s="179">
        <v>0</v>
      </c>
      <c r="W364" s="179" t="s">
        <v>2975</v>
      </c>
      <c r="X364" s="188">
        <v>606.85429999999997</v>
      </c>
      <c r="Y364" s="188">
        <v>294.47619999999995</v>
      </c>
      <c r="Z364" s="188">
        <v>128.36850000000001</v>
      </c>
      <c r="AA364" s="188">
        <v>200.4614</v>
      </c>
      <c r="AB364" s="188">
        <v>58.216800000000006</v>
      </c>
      <c r="AC364" s="188">
        <v>84.911999999999992</v>
      </c>
      <c r="AD364" s="179" t="s">
        <v>2956</v>
      </c>
      <c r="AE364" s="188" t="s">
        <v>2940</v>
      </c>
      <c r="AF364" s="189">
        <v>0.29166666666666669</v>
      </c>
      <c r="AG364" s="189">
        <v>0.95833333333333337</v>
      </c>
      <c r="AH364" s="190" t="s">
        <v>2941</v>
      </c>
      <c r="AI364" s="190" t="s">
        <v>2942</v>
      </c>
      <c r="AJ364" s="179" t="s">
        <v>820</v>
      </c>
      <c r="AK364" s="179" t="s">
        <v>3302</v>
      </c>
      <c r="AL364" s="179" t="s">
        <v>9</v>
      </c>
      <c r="AM364" s="179" t="s">
        <v>4572</v>
      </c>
      <c r="AN364" s="179" t="s">
        <v>2102</v>
      </c>
      <c r="AO364" s="179" t="s">
        <v>2344</v>
      </c>
      <c r="AP364" s="191"/>
      <c r="AQ364" s="184">
        <v>43308</v>
      </c>
      <c r="AR364" s="179">
        <v>97</v>
      </c>
      <c r="AS364" s="194"/>
      <c r="AT364" s="195" t="s">
        <v>4573</v>
      </c>
      <c r="AU364" s="195" t="s">
        <v>2946</v>
      </c>
      <c r="AV364" s="192">
        <v>20466000</v>
      </c>
      <c r="AW364" s="181">
        <v>6.7</v>
      </c>
      <c r="AX364" s="179">
        <v>80351</v>
      </c>
      <c r="AY364" s="179"/>
    </row>
    <row r="365" spans="1:51" ht="14.4" x14ac:dyDescent="0.3">
      <c r="A365" s="179" t="s">
        <v>1455</v>
      </c>
      <c r="B365" s="179" t="s">
        <v>2927</v>
      </c>
      <c r="C365" s="180" t="s">
        <v>3123</v>
      </c>
      <c r="D365" s="181" t="s">
        <v>2850</v>
      </c>
      <c r="E365" s="181" t="s">
        <v>2817</v>
      </c>
      <c r="F365" s="182" t="s">
        <v>2929</v>
      </c>
      <c r="G365" s="181" t="s">
        <v>12</v>
      </c>
      <c r="H365" s="193">
        <v>43605</v>
      </c>
      <c r="I365" s="184"/>
      <c r="J365" s="179" t="s">
        <v>4574</v>
      </c>
      <c r="K365" s="179">
        <v>150</v>
      </c>
      <c r="L365" s="179" t="s">
        <v>2950</v>
      </c>
      <c r="M365" s="185"/>
      <c r="N365" s="185"/>
      <c r="O365" s="186"/>
      <c r="P365" s="185"/>
      <c r="Q365" s="182" t="s">
        <v>2933</v>
      </c>
      <c r="R365" s="182" t="s">
        <v>2934</v>
      </c>
      <c r="S365" s="182" t="s">
        <v>2952</v>
      </c>
      <c r="T365" s="179" t="s">
        <v>2953</v>
      </c>
      <c r="U365" s="179" t="s">
        <v>2937</v>
      </c>
      <c r="V365" s="187">
        <v>341</v>
      </c>
      <c r="W365" s="179" t="s">
        <v>3151</v>
      </c>
      <c r="X365" s="188">
        <v>350.18759999999992</v>
      </c>
      <c r="Y365" s="188">
        <v>154.10499999999999</v>
      </c>
      <c r="Z365" s="188">
        <v>106.77349999999998</v>
      </c>
      <c r="AA365" s="188">
        <v>102.63679999999999</v>
      </c>
      <c r="AB365" s="188">
        <v>21.116700000000002</v>
      </c>
      <c r="AC365" s="188">
        <v>31.132700000000003</v>
      </c>
      <c r="AD365" s="179" t="s">
        <v>2984</v>
      </c>
      <c r="AE365" s="188" t="s">
        <v>2940</v>
      </c>
      <c r="AF365" s="189">
        <v>0.29166666666666669</v>
      </c>
      <c r="AG365" s="189">
        <v>0.99930555555555556</v>
      </c>
      <c r="AH365" s="190" t="s">
        <v>2941</v>
      </c>
      <c r="AI365" s="190" t="s">
        <v>2985</v>
      </c>
      <c r="AJ365" s="179" t="s">
        <v>854</v>
      </c>
      <c r="AK365" s="179" t="s">
        <v>3387</v>
      </c>
      <c r="AL365" s="179" t="s">
        <v>4</v>
      </c>
      <c r="AM365" s="179" t="s">
        <v>4575</v>
      </c>
      <c r="AN365" s="179" t="s">
        <v>2102</v>
      </c>
      <c r="AO365" s="179" t="s">
        <v>2321</v>
      </c>
      <c r="AP365" s="191"/>
      <c r="AQ365" s="184">
        <v>43323</v>
      </c>
      <c r="AR365" s="179">
        <v>96</v>
      </c>
      <c r="AS365" s="194"/>
      <c r="AT365" s="195" t="s">
        <v>4576</v>
      </c>
      <c r="AU365" s="195" t="s">
        <v>2946</v>
      </c>
      <c r="AV365" s="192">
        <v>12617930</v>
      </c>
      <c r="AW365" s="181">
        <v>24.6</v>
      </c>
      <c r="AX365" s="179">
        <v>80237</v>
      </c>
      <c r="AY365" s="179"/>
    </row>
    <row r="366" spans="1:51" ht="14.4" x14ac:dyDescent="0.3">
      <c r="A366" s="179" t="s">
        <v>433</v>
      </c>
      <c r="B366" s="179" t="s">
        <v>2947</v>
      </c>
      <c r="C366" s="180" t="s">
        <v>4577</v>
      </c>
      <c r="D366" s="181" t="s">
        <v>2814</v>
      </c>
      <c r="E366" s="181" t="s">
        <v>2813</v>
      </c>
      <c r="F366" s="182" t="s">
        <v>2929</v>
      </c>
      <c r="G366" s="181" t="s">
        <v>12</v>
      </c>
      <c r="H366" s="193">
        <v>44987</v>
      </c>
      <c r="I366" s="184"/>
      <c r="J366" s="179" t="s">
        <v>3008</v>
      </c>
      <c r="K366" s="179" t="s">
        <v>3008</v>
      </c>
      <c r="L366" s="179" t="s">
        <v>2932</v>
      </c>
      <c r="M366" s="185"/>
      <c r="N366" s="185"/>
      <c r="O366" s="186"/>
      <c r="P366" s="185"/>
      <c r="Q366" s="182" t="s">
        <v>2934</v>
      </c>
      <c r="R366" s="182" t="s">
        <v>2933</v>
      </c>
      <c r="S366" s="182" t="s">
        <v>2952</v>
      </c>
      <c r="T366" s="179" t="s">
        <v>2974</v>
      </c>
      <c r="U366" s="179" t="s">
        <v>2954</v>
      </c>
      <c r="V366" s="179">
        <v>990</v>
      </c>
      <c r="W366" s="179" t="s">
        <v>4578</v>
      </c>
      <c r="X366" s="188">
        <v>254.15639999999999</v>
      </c>
      <c r="Y366" s="188">
        <v>167.76</v>
      </c>
      <c r="Z366" s="188">
        <v>106.9776</v>
      </c>
      <c r="AA366" s="188">
        <v>84.542400000000001</v>
      </c>
      <c r="AB366" s="188">
        <v>13.58</v>
      </c>
      <c r="AC366" s="188">
        <v>33.858000000000004</v>
      </c>
      <c r="AD366" s="179" t="s">
        <v>2984</v>
      </c>
      <c r="AE366" s="188" t="s">
        <v>2940</v>
      </c>
      <c r="AF366" s="189">
        <v>0.29166666666666669</v>
      </c>
      <c r="AG366" s="189">
        <v>0.95833333333333337</v>
      </c>
      <c r="AH366" s="190" t="s">
        <v>2941</v>
      </c>
      <c r="AI366" s="190" t="s">
        <v>2985</v>
      </c>
      <c r="AJ366" s="179" t="s">
        <v>426</v>
      </c>
      <c r="AK366" s="179" t="s">
        <v>3241</v>
      </c>
      <c r="AL366" s="179" t="s">
        <v>9</v>
      </c>
      <c r="AM366" s="179" t="s">
        <v>4579</v>
      </c>
      <c r="AN366" s="179" t="s">
        <v>2102</v>
      </c>
      <c r="AO366" s="179" t="s">
        <v>2685</v>
      </c>
      <c r="AP366" s="191">
        <v>81139606329</v>
      </c>
      <c r="AQ366" s="184">
        <v>43342</v>
      </c>
      <c r="AR366" s="179">
        <v>95</v>
      </c>
      <c r="AS366" s="179"/>
      <c r="AT366" s="181" t="s">
        <v>4580</v>
      </c>
      <c r="AU366" s="181" t="s">
        <v>2946</v>
      </c>
      <c r="AV366" s="192">
        <v>13894366</v>
      </c>
      <c r="AW366" s="181">
        <v>41.8</v>
      </c>
      <c r="AX366" s="179">
        <v>80362</v>
      </c>
      <c r="AY366" s="179"/>
    </row>
    <row r="367" spans="1:51" ht="14.4" x14ac:dyDescent="0.3">
      <c r="A367" s="179" t="s">
        <v>1305</v>
      </c>
      <c r="B367" s="179" t="s">
        <v>2927</v>
      </c>
      <c r="C367" s="180" t="s">
        <v>4581</v>
      </c>
      <c r="D367" s="181" t="s">
        <v>2850</v>
      </c>
      <c r="E367" s="181" t="s">
        <v>2817</v>
      </c>
      <c r="F367" s="182" t="s">
        <v>2929</v>
      </c>
      <c r="G367" s="181" t="s">
        <v>12</v>
      </c>
      <c r="H367" s="193">
        <v>44512</v>
      </c>
      <c r="I367" s="184"/>
      <c r="J367" s="179" t="s">
        <v>4582</v>
      </c>
      <c r="K367" s="179">
        <v>240</v>
      </c>
      <c r="L367" s="179" t="s">
        <v>2950</v>
      </c>
      <c r="M367" s="185"/>
      <c r="N367" s="185"/>
      <c r="O367" s="186"/>
      <c r="P367" s="185"/>
      <c r="Q367" s="182" t="s">
        <v>2933</v>
      </c>
      <c r="R367" s="182" t="s">
        <v>2934</v>
      </c>
      <c r="S367" s="182" t="s">
        <v>2952</v>
      </c>
      <c r="T367" s="179" t="s">
        <v>2974</v>
      </c>
      <c r="U367" s="179" t="s">
        <v>2937</v>
      </c>
      <c r="V367" s="187">
        <v>539</v>
      </c>
      <c r="W367" s="179" t="s">
        <v>3549</v>
      </c>
      <c r="X367" s="188">
        <v>249.6354</v>
      </c>
      <c r="Y367" s="188">
        <v>292.07639999999998</v>
      </c>
      <c r="Z367" s="188">
        <v>92.9084</v>
      </c>
      <c r="AA367" s="188">
        <v>82.422899999999984</v>
      </c>
      <c r="AB367" s="188">
        <v>6.8879999999999999</v>
      </c>
      <c r="AC367" s="188">
        <v>54.917099999999998</v>
      </c>
      <c r="AD367" s="179" t="s">
        <v>2984</v>
      </c>
      <c r="AE367" s="188" t="s">
        <v>2957</v>
      </c>
      <c r="AF367" s="189">
        <v>0.29166666666666669</v>
      </c>
      <c r="AG367" s="189">
        <v>0.95833333333333337</v>
      </c>
      <c r="AH367" s="190" t="s">
        <v>2941</v>
      </c>
      <c r="AI367" s="190" t="s">
        <v>2985</v>
      </c>
      <c r="AJ367" s="179" t="s">
        <v>986</v>
      </c>
      <c r="AK367" s="179" t="s">
        <v>2981</v>
      </c>
      <c r="AL367" s="179" t="s">
        <v>28</v>
      </c>
      <c r="AM367" s="179" t="s">
        <v>4583</v>
      </c>
      <c r="AN367" s="179" t="s">
        <v>2102</v>
      </c>
      <c r="AO367" s="179" t="s">
        <v>2370</v>
      </c>
      <c r="AP367" s="191">
        <v>81139006910</v>
      </c>
      <c r="AQ367" s="184">
        <v>43343</v>
      </c>
      <c r="AR367" s="179">
        <v>95</v>
      </c>
      <c r="AS367" s="194"/>
      <c r="AT367" s="195" t="s">
        <v>4584</v>
      </c>
      <c r="AU367" s="181" t="s">
        <v>2946</v>
      </c>
      <c r="AV367" s="192">
        <v>9904092</v>
      </c>
      <c r="AW367" s="181">
        <v>24.2</v>
      </c>
      <c r="AX367" s="179">
        <v>80582</v>
      </c>
      <c r="AY367" s="179"/>
    </row>
    <row r="368" spans="1:51" ht="14.4" x14ac:dyDescent="0.3">
      <c r="A368" s="179" t="s">
        <v>1191</v>
      </c>
      <c r="B368" s="179" t="s">
        <v>2947</v>
      </c>
      <c r="C368" s="180" t="s">
        <v>4585</v>
      </c>
      <c r="D368" s="181" t="s">
        <v>2839</v>
      </c>
      <c r="E368" s="181" t="s">
        <v>2834</v>
      </c>
      <c r="F368" s="182" t="s">
        <v>2972</v>
      </c>
      <c r="G368" s="181" t="s">
        <v>17</v>
      </c>
      <c r="H368" s="193">
        <v>45821</v>
      </c>
      <c r="I368" s="193">
        <v>45821</v>
      </c>
      <c r="J368" s="179" t="s">
        <v>4586</v>
      </c>
      <c r="K368" s="179">
        <v>750</v>
      </c>
      <c r="L368" s="179" t="s">
        <v>3026</v>
      </c>
      <c r="M368" s="185"/>
      <c r="N368" s="185"/>
      <c r="O368" s="186"/>
      <c r="P368" s="185"/>
      <c r="Q368" s="182" t="s">
        <v>2933</v>
      </c>
      <c r="R368" s="182" t="s">
        <v>2998</v>
      </c>
      <c r="S368" s="182" t="s">
        <v>2952</v>
      </c>
      <c r="T368" s="179" t="s">
        <v>2974</v>
      </c>
      <c r="U368" s="179" t="s">
        <v>2954</v>
      </c>
      <c r="V368" s="187">
        <v>817</v>
      </c>
      <c r="W368" s="179" t="s">
        <v>3963</v>
      </c>
      <c r="X368" s="188">
        <v>208.24979999999996</v>
      </c>
      <c r="Y368" s="188">
        <v>120.73549999999999</v>
      </c>
      <c r="Z368" s="188">
        <v>100.26899999999999</v>
      </c>
      <c r="AA368" s="188">
        <v>56.585099999999997</v>
      </c>
      <c r="AB368" s="188">
        <v>4.04</v>
      </c>
      <c r="AC368" s="188">
        <v>98.725200000000001</v>
      </c>
      <c r="AD368" s="179" t="s">
        <v>2956</v>
      </c>
      <c r="AE368" s="188" t="s">
        <v>2957</v>
      </c>
      <c r="AF368" s="189">
        <v>0.29166666666666669</v>
      </c>
      <c r="AG368" s="189">
        <v>0.91666666666666663</v>
      </c>
      <c r="AH368" s="190" t="s">
        <v>2941</v>
      </c>
      <c r="AI368" s="190" t="s">
        <v>2942</v>
      </c>
      <c r="AJ368" s="179" t="s">
        <v>581</v>
      </c>
      <c r="AK368" s="179" t="s">
        <v>3404</v>
      </c>
      <c r="AL368" s="179" t="s">
        <v>32</v>
      </c>
      <c r="AM368" s="179" t="s">
        <v>4587</v>
      </c>
      <c r="AN368" s="179" t="s">
        <v>2102</v>
      </c>
      <c r="AO368" s="179" t="s">
        <v>2609</v>
      </c>
      <c r="AP368" s="191">
        <v>81139605132</v>
      </c>
      <c r="AQ368" s="184">
        <v>43351</v>
      </c>
      <c r="AR368" s="179">
        <v>95</v>
      </c>
      <c r="AS368" s="179"/>
      <c r="AT368" s="181" t="s">
        <v>4588</v>
      </c>
      <c r="AU368" s="181" t="s">
        <v>2946</v>
      </c>
      <c r="AV368" s="192">
        <v>19074323</v>
      </c>
      <c r="AW368" s="181">
        <v>52.5</v>
      </c>
      <c r="AX368" s="179">
        <v>80652</v>
      </c>
      <c r="AY368" s="179"/>
    </row>
    <row r="369" spans="1:51" ht="14.4" x14ac:dyDescent="0.3">
      <c r="A369" s="179" t="s">
        <v>747</v>
      </c>
      <c r="B369" s="179" t="s">
        <v>2947</v>
      </c>
      <c r="C369" s="180" t="s">
        <v>4589</v>
      </c>
      <c r="D369" s="181" t="s">
        <v>2845</v>
      </c>
      <c r="E369" s="181" t="s">
        <v>2821</v>
      </c>
      <c r="F369" s="182" t="s">
        <v>2929</v>
      </c>
      <c r="G369" s="181" t="s">
        <v>12</v>
      </c>
      <c r="H369" s="193">
        <v>44512</v>
      </c>
      <c r="I369" s="184"/>
      <c r="J369" s="179" t="s">
        <v>3008</v>
      </c>
      <c r="K369" s="179" t="s">
        <v>3008</v>
      </c>
      <c r="L369" s="179" t="s">
        <v>2932</v>
      </c>
      <c r="M369" s="185"/>
      <c r="N369" s="185" t="s">
        <v>2951</v>
      </c>
      <c r="O369" s="186"/>
      <c r="P369" s="185"/>
      <c r="Q369" s="182" t="s">
        <v>2934</v>
      </c>
      <c r="R369" s="182" t="s">
        <v>2933</v>
      </c>
      <c r="S369" s="182" t="s">
        <v>2952</v>
      </c>
      <c r="T369" s="179" t="s">
        <v>2974</v>
      </c>
      <c r="U369" s="179" t="s">
        <v>2954</v>
      </c>
      <c r="V369" s="179">
        <v>906</v>
      </c>
      <c r="W369" s="179" t="s">
        <v>2975</v>
      </c>
      <c r="X369" s="188">
        <v>237.95940000000002</v>
      </c>
      <c r="Y369" s="188">
        <v>147.62889999999999</v>
      </c>
      <c r="Z369" s="188">
        <v>98.705000000000013</v>
      </c>
      <c r="AA369" s="188">
        <v>88.874499999999998</v>
      </c>
      <c r="AB369" s="188">
        <v>8.2319999999999993</v>
      </c>
      <c r="AC369" s="188">
        <v>27.316200000000002</v>
      </c>
      <c r="AD369" s="179" t="s">
        <v>2939</v>
      </c>
      <c r="AE369" s="188" t="s">
        <v>2940</v>
      </c>
      <c r="AF369" s="189">
        <v>0.29166666666666669</v>
      </c>
      <c r="AG369" s="189">
        <v>0.91666666666666663</v>
      </c>
      <c r="AH369" s="190" t="s">
        <v>2941</v>
      </c>
      <c r="AI369" s="190" t="s">
        <v>2942</v>
      </c>
      <c r="AJ369" s="179" t="s">
        <v>745</v>
      </c>
      <c r="AK369" s="179" t="s">
        <v>3050</v>
      </c>
      <c r="AL369" s="179" t="s">
        <v>36</v>
      </c>
      <c r="AM369" s="179" t="s">
        <v>4590</v>
      </c>
      <c r="AN369" s="179" t="s">
        <v>2102</v>
      </c>
      <c r="AO369" s="179" t="s">
        <v>2684</v>
      </c>
      <c r="AP369" s="191">
        <v>81139606340</v>
      </c>
      <c r="AQ369" s="184">
        <v>43365</v>
      </c>
      <c r="AR369" s="179">
        <v>95</v>
      </c>
      <c r="AS369" s="179"/>
      <c r="AT369" s="181"/>
      <c r="AU369" s="181"/>
      <c r="AV369" s="192">
        <v>10395000</v>
      </c>
      <c r="AW369" s="181">
        <v>54.6</v>
      </c>
      <c r="AX369" s="179">
        <v>82163</v>
      </c>
      <c r="AY369" s="179"/>
    </row>
    <row r="370" spans="1:51" ht="14.4" x14ac:dyDescent="0.3">
      <c r="A370" s="179" t="s">
        <v>217</v>
      </c>
      <c r="B370" s="179" t="s">
        <v>2947</v>
      </c>
      <c r="C370" s="180" t="s">
        <v>4591</v>
      </c>
      <c r="D370" s="181" t="s">
        <v>2842</v>
      </c>
      <c r="E370" s="181" t="s">
        <v>2834</v>
      </c>
      <c r="F370" s="182" t="s">
        <v>2972</v>
      </c>
      <c r="G370" s="181" t="s">
        <v>17</v>
      </c>
      <c r="H370" s="193">
        <v>45842</v>
      </c>
      <c r="I370" s="184"/>
      <c r="J370" s="179" t="s">
        <v>4592</v>
      </c>
      <c r="K370" s="179">
        <v>150</v>
      </c>
      <c r="L370" s="179" t="s">
        <v>2965</v>
      </c>
      <c r="M370" s="185"/>
      <c r="N370" s="185" t="s">
        <v>2951</v>
      </c>
      <c r="O370" s="179" t="s">
        <v>2951</v>
      </c>
      <c r="P370" s="185"/>
      <c r="Q370" s="182" t="s">
        <v>2933</v>
      </c>
      <c r="R370" s="182" t="s">
        <v>2998</v>
      </c>
      <c r="S370" s="182" t="s">
        <v>2952</v>
      </c>
      <c r="T370" s="179" t="s">
        <v>2974</v>
      </c>
      <c r="U370" s="179" t="s">
        <v>2954</v>
      </c>
      <c r="V370" s="179">
        <v>443</v>
      </c>
      <c r="W370" s="179" t="s">
        <v>2975</v>
      </c>
      <c r="X370" s="188">
        <v>405.89850000000001</v>
      </c>
      <c r="Y370" s="188">
        <v>214.76349999999999</v>
      </c>
      <c r="Z370" s="188">
        <v>126.7683</v>
      </c>
      <c r="AA370" s="188">
        <v>176.08500000000001</v>
      </c>
      <c r="AB370" s="188">
        <v>14.707500000000001</v>
      </c>
      <c r="AC370" s="188">
        <v>44.255600000000001</v>
      </c>
      <c r="AD370" s="179" t="s">
        <v>2984</v>
      </c>
      <c r="AE370" s="188" t="s">
        <v>2940</v>
      </c>
      <c r="AF370" s="189">
        <v>0.29166666666666669</v>
      </c>
      <c r="AG370" s="189">
        <v>0.91666666666666663</v>
      </c>
      <c r="AH370" s="190" t="s">
        <v>2941</v>
      </c>
      <c r="AI370" s="190" t="s">
        <v>2942</v>
      </c>
      <c r="AJ370" s="179" t="s">
        <v>215</v>
      </c>
      <c r="AK370" s="179" t="s">
        <v>3404</v>
      </c>
      <c r="AL370" s="179" t="s">
        <v>32</v>
      </c>
      <c r="AM370" s="179" t="s">
        <v>4593</v>
      </c>
      <c r="AN370" s="179" t="s">
        <v>2102</v>
      </c>
      <c r="AO370" s="179" t="s">
        <v>2514</v>
      </c>
      <c r="AP370" s="191">
        <v>81139605127</v>
      </c>
      <c r="AQ370" s="184">
        <v>43372</v>
      </c>
      <c r="AR370" s="179">
        <v>94</v>
      </c>
      <c r="AS370" s="184">
        <v>45318</v>
      </c>
      <c r="AT370" s="181" t="s">
        <v>4594</v>
      </c>
      <c r="AU370" s="181" t="s">
        <v>2946</v>
      </c>
      <c r="AV370" s="192">
        <v>11340000</v>
      </c>
      <c r="AW370" s="181">
        <v>53</v>
      </c>
      <c r="AX370" s="179">
        <v>80652</v>
      </c>
      <c r="AY370" s="179"/>
    </row>
    <row r="371" spans="1:51" ht="14.4" x14ac:dyDescent="0.3">
      <c r="A371" s="179" t="s">
        <v>242</v>
      </c>
      <c r="B371" s="179" t="s">
        <v>2947</v>
      </c>
      <c r="C371" s="180" t="s">
        <v>4595</v>
      </c>
      <c r="D371" s="181" t="s">
        <v>2828</v>
      </c>
      <c r="E371" s="181" t="s">
        <v>2827</v>
      </c>
      <c r="F371" s="182" t="s">
        <v>2929</v>
      </c>
      <c r="G371" s="181" t="s">
        <v>12</v>
      </c>
      <c r="H371" s="193">
        <v>44512</v>
      </c>
      <c r="I371" s="184"/>
      <c r="J371" s="179" t="s">
        <v>4596</v>
      </c>
      <c r="K371" s="179">
        <v>44</v>
      </c>
      <c r="L371" s="179" t="s">
        <v>2965</v>
      </c>
      <c r="M371" s="185"/>
      <c r="N371" s="185"/>
      <c r="O371" s="186"/>
      <c r="P371" s="185"/>
      <c r="Q371" s="182" t="s">
        <v>2933</v>
      </c>
      <c r="R371" s="182" t="s">
        <v>2934</v>
      </c>
      <c r="S371" s="182" t="s">
        <v>2952</v>
      </c>
      <c r="T371" s="179" t="s">
        <v>2974</v>
      </c>
      <c r="U371" s="179" t="s">
        <v>2954</v>
      </c>
      <c r="V371" s="179">
        <v>645</v>
      </c>
      <c r="W371" s="179" t="s">
        <v>4597</v>
      </c>
      <c r="X371" s="188">
        <v>188.12879999999998</v>
      </c>
      <c r="Y371" s="188">
        <v>94.154499999999985</v>
      </c>
      <c r="Z371" s="188">
        <v>70.028400000000005</v>
      </c>
      <c r="AA371" s="188">
        <v>81.777799999999999</v>
      </c>
      <c r="AB371" s="188">
        <v>6.6879999999999997</v>
      </c>
      <c r="AC371" s="188">
        <v>90.316800000000001</v>
      </c>
      <c r="AD371" s="179" t="s">
        <v>2956</v>
      </c>
      <c r="AE371" s="188" t="s">
        <v>2957</v>
      </c>
      <c r="AF371" s="189">
        <v>0.29166666666666669</v>
      </c>
      <c r="AG371" s="189">
        <v>0.91666666666666663</v>
      </c>
      <c r="AH371" s="190" t="s">
        <v>2941</v>
      </c>
      <c r="AI371" s="190" t="s">
        <v>2942</v>
      </c>
      <c r="AJ371" s="179" t="s">
        <v>240</v>
      </c>
      <c r="AK371" s="179" t="s">
        <v>48</v>
      </c>
      <c r="AL371" s="179" t="s">
        <v>48</v>
      </c>
      <c r="AM371" s="179" t="s">
        <v>4598</v>
      </c>
      <c r="AN371" s="179" t="s">
        <v>2102</v>
      </c>
      <c r="AO371" s="179" t="s">
        <v>2618</v>
      </c>
      <c r="AP371" s="191">
        <v>81139606328</v>
      </c>
      <c r="AQ371" s="184">
        <v>43380</v>
      </c>
      <c r="AR371" s="179">
        <v>94</v>
      </c>
      <c r="AS371" s="179"/>
      <c r="AT371" s="181"/>
      <c r="AU371" s="181"/>
      <c r="AV371" s="192">
        <v>10368000</v>
      </c>
      <c r="AW371" s="181">
        <v>56.2</v>
      </c>
      <c r="AX371" s="179">
        <v>81112</v>
      </c>
      <c r="AY371" s="179"/>
    </row>
    <row r="372" spans="1:51" ht="14.4" x14ac:dyDescent="0.3">
      <c r="A372" s="179" t="s">
        <v>717</v>
      </c>
      <c r="B372" s="179" t="s">
        <v>2947</v>
      </c>
      <c r="C372" s="180" t="s">
        <v>4599</v>
      </c>
      <c r="D372" s="181" t="s">
        <v>2870</v>
      </c>
      <c r="E372" s="181" t="s">
        <v>2867</v>
      </c>
      <c r="F372" s="182" t="s">
        <v>3086</v>
      </c>
      <c r="G372" s="181" t="s">
        <v>535</v>
      </c>
      <c r="H372" s="193">
        <v>45036</v>
      </c>
      <c r="I372" s="184">
        <v>45036</v>
      </c>
      <c r="J372" s="179" t="s">
        <v>4600</v>
      </c>
      <c r="K372" s="179">
        <v>370</v>
      </c>
      <c r="L372" s="179" t="s">
        <v>2950</v>
      </c>
      <c r="M372" s="185" t="s">
        <v>3164</v>
      </c>
      <c r="N372" s="185" t="s">
        <v>2951</v>
      </c>
      <c r="O372" s="179" t="s">
        <v>2951</v>
      </c>
      <c r="P372" s="185" t="s">
        <v>2951</v>
      </c>
      <c r="Q372" s="182" t="s">
        <v>2934</v>
      </c>
      <c r="R372" s="182" t="s">
        <v>2933</v>
      </c>
      <c r="S372" s="182" t="s">
        <v>2952</v>
      </c>
      <c r="T372" s="179" t="s">
        <v>2974</v>
      </c>
      <c r="U372" s="179" t="s">
        <v>2954</v>
      </c>
      <c r="V372" s="179">
        <v>566</v>
      </c>
      <c r="W372" s="179" t="s">
        <v>4601</v>
      </c>
      <c r="X372" s="188">
        <v>586.4174999999999</v>
      </c>
      <c r="Y372" s="188">
        <v>258.84999999999997</v>
      </c>
      <c r="Z372" s="188">
        <v>150.4776</v>
      </c>
      <c r="AA372" s="188">
        <v>297.25</v>
      </c>
      <c r="AB372" s="188">
        <v>23.56</v>
      </c>
      <c r="AC372" s="188">
        <v>77.658000000000001</v>
      </c>
      <c r="AD372" s="179" t="s">
        <v>2956</v>
      </c>
      <c r="AE372" s="188" t="s">
        <v>2940</v>
      </c>
      <c r="AF372" s="189">
        <v>0</v>
      </c>
      <c r="AG372" s="189">
        <v>0.99930555555555556</v>
      </c>
      <c r="AH372" s="190" t="s">
        <v>2976</v>
      </c>
      <c r="AI372" s="190" t="s">
        <v>2985</v>
      </c>
      <c r="AJ372" s="179" t="s">
        <v>167</v>
      </c>
      <c r="AK372" s="179" t="s">
        <v>3241</v>
      </c>
      <c r="AL372" s="179" t="s">
        <v>9</v>
      </c>
      <c r="AM372" s="179" t="s">
        <v>4602</v>
      </c>
      <c r="AN372" s="179" t="s">
        <v>2102</v>
      </c>
      <c r="AO372" s="179" t="s">
        <v>2682</v>
      </c>
      <c r="AP372" s="191">
        <v>81139606327</v>
      </c>
      <c r="AQ372" s="184">
        <v>43385</v>
      </c>
      <c r="AR372" s="179">
        <v>94</v>
      </c>
      <c r="AS372" s="179"/>
      <c r="AT372" s="181" t="s">
        <v>4603</v>
      </c>
      <c r="AU372" s="181" t="s">
        <v>2946</v>
      </c>
      <c r="AV372" s="192">
        <v>35828414</v>
      </c>
      <c r="AW372" s="181">
        <v>40.9</v>
      </c>
      <c r="AX372" s="179">
        <v>80362</v>
      </c>
      <c r="AY372" s="179"/>
    </row>
    <row r="373" spans="1:51" ht="14.4" x14ac:dyDescent="0.3">
      <c r="A373" s="179" t="s">
        <v>807</v>
      </c>
      <c r="B373" s="179" t="s">
        <v>2927</v>
      </c>
      <c r="C373" s="180" t="s">
        <v>4604</v>
      </c>
      <c r="D373" s="181" t="s">
        <v>2823</v>
      </c>
      <c r="E373" s="181" t="s">
        <v>2819</v>
      </c>
      <c r="F373" s="182" t="s">
        <v>2929</v>
      </c>
      <c r="G373" s="181" t="s">
        <v>12</v>
      </c>
      <c r="H373" s="193">
        <v>44512</v>
      </c>
      <c r="I373" s="184"/>
      <c r="J373" s="179" t="s">
        <v>4605</v>
      </c>
      <c r="K373" s="179">
        <v>100</v>
      </c>
      <c r="L373" s="179" t="s">
        <v>2965</v>
      </c>
      <c r="M373" s="185"/>
      <c r="N373" s="185"/>
      <c r="O373" s="186"/>
      <c r="P373" s="185"/>
      <c r="Q373" s="182" t="s">
        <v>2934</v>
      </c>
      <c r="R373" s="182" t="s">
        <v>2933</v>
      </c>
      <c r="S373" s="182" t="s">
        <v>2952</v>
      </c>
      <c r="T373" s="179" t="s">
        <v>2953</v>
      </c>
      <c r="U373" s="179" t="s">
        <v>2937</v>
      </c>
      <c r="V373" s="179">
        <v>1008</v>
      </c>
      <c r="W373" s="179" t="s">
        <v>4606</v>
      </c>
      <c r="X373" s="188">
        <v>198.6412</v>
      </c>
      <c r="Y373" s="188">
        <v>105.02749999999999</v>
      </c>
      <c r="Z373" s="188">
        <v>76.270199999999988</v>
      </c>
      <c r="AA373" s="188">
        <v>73.64970000000001</v>
      </c>
      <c r="AB373" s="188">
        <v>8.5589999999999993</v>
      </c>
      <c r="AC373" s="188">
        <v>100.806</v>
      </c>
      <c r="AD373" s="179" t="s">
        <v>2956</v>
      </c>
      <c r="AE373" s="188" t="s">
        <v>2957</v>
      </c>
      <c r="AF373" s="189">
        <v>0.29166666666666669</v>
      </c>
      <c r="AG373" s="189">
        <v>0.99930555555555556</v>
      </c>
      <c r="AH373" s="190" t="s">
        <v>2941</v>
      </c>
      <c r="AI373" s="190" t="s">
        <v>2942</v>
      </c>
      <c r="AJ373" s="179" t="s">
        <v>805</v>
      </c>
      <c r="AK373" s="179" t="s">
        <v>2958</v>
      </c>
      <c r="AL373" s="179" t="s">
        <v>4</v>
      </c>
      <c r="AM373" s="179" t="s">
        <v>4607</v>
      </c>
      <c r="AN373" s="179" t="s">
        <v>2102</v>
      </c>
      <c r="AO373" s="179" t="s">
        <v>2769</v>
      </c>
      <c r="AP373" s="191">
        <v>81139606344</v>
      </c>
      <c r="AQ373" s="184">
        <v>43390</v>
      </c>
      <c r="AR373" s="179">
        <v>94</v>
      </c>
      <c r="AS373" s="194"/>
      <c r="AT373" s="195" t="s">
        <v>4608</v>
      </c>
      <c r="AU373" s="181" t="s">
        <v>2946</v>
      </c>
      <c r="AV373" s="192">
        <v>12404000</v>
      </c>
      <c r="AW373" s="181">
        <v>21.9</v>
      </c>
      <c r="AX373" s="179">
        <v>80119</v>
      </c>
      <c r="AY373" s="179"/>
    </row>
    <row r="374" spans="1:51" ht="14.4" x14ac:dyDescent="0.3">
      <c r="A374" s="179" t="s">
        <v>699</v>
      </c>
      <c r="B374" s="179" t="s">
        <v>2947</v>
      </c>
      <c r="C374" s="180" t="s">
        <v>4609</v>
      </c>
      <c r="D374" s="181" t="s">
        <v>2870</v>
      </c>
      <c r="E374" s="181" t="s">
        <v>2867</v>
      </c>
      <c r="F374" s="182" t="s">
        <v>4501</v>
      </c>
      <c r="G374" s="181" t="s">
        <v>342</v>
      </c>
      <c r="H374" s="193">
        <v>45614</v>
      </c>
      <c r="I374" s="184"/>
      <c r="J374" s="179" t="s">
        <v>4610</v>
      </c>
      <c r="K374" s="179">
        <v>657</v>
      </c>
      <c r="L374" s="179" t="s">
        <v>3026</v>
      </c>
      <c r="M374" s="185"/>
      <c r="N374" s="185"/>
      <c r="O374" s="186"/>
      <c r="P374" s="185"/>
      <c r="Q374" s="182" t="s">
        <v>3729</v>
      </c>
      <c r="R374" s="182" t="s">
        <v>2933</v>
      </c>
      <c r="S374" s="182" t="s">
        <v>2952</v>
      </c>
      <c r="T374" s="179" t="s">
        <v>2974</v>
      </c>
      <c r="U374" s="179" t="s">
        <v>2954</v>
      </c>
      <c r="V374" s="187" t="s">
        <v>3008</v>
      </c>
      <c r="W374" s="179" t="s">
        <v>4611</v>
      </c>
      <c r="X374" s="188">
        <v>39.912599999999998</v>
      </c>
      <c r="Y374" s="188">
        <v>35.967599999999997</v>
      </c>
      <c r="Z374" s="188">
        <v>24.177599999999998</v>
      </c>
      <c r="AA374" s="188">
        <v>0</v>
      </c>
      <c r="AB374" s="188">
        <v>0</v>
      </c>
      <c r="AC374" s="188">
        <v>5.6206000000000005</v>
      </c>
      <c r="AD374" s="179" t="s">
        <v>2939</v>
      </c>
      <c r="AE374" s="188" t="s">
        <v>2940</v>
      </c>
      <c r="AF374" s="189">
        <v>0.29166666666666669</v>
      </c>
      <c r="AG374" s="189">
        <v>0.95833333333333337</v>
      </c>
      <c r="AH374" s="190" t="s">
        <v>2941</v>
      </c>
      <c r="AI374" s="190" t="s">
        <v>2942</v>
      </c>
      <c r="AJ374" s="179" t="s">
        <v>260</v>
      </c>
      <c r="AK374" s="179" t="s">
        <v>3293</v>
      </c>
      <c r="AL374" s="179" t="s">
        <v>9</v>
      </c>
      <c r="AM374" s="179" t="s">
        <v>4612</v>
      </c>
      <c r="AN374" s="179" t="s">
        <v>2102</v>
      </c>
      <c r="AO374" s="179" t="s">
        <v>2663</v>
      </c>
      <c r="AP374" s="191">
        <v>81139606351</v>
      </c>
      <c r="AQ374" s="184">
        <v>43395</v>
      </c>
      <c r="AR374" s="179">
        <v>94</v>
      </c>
      <c r="AS374" s="179"/>
      <c r="AT374" s="181" t="s">
        <v>4613</v>
      </c>
      <c r="AU374" s="181" t="s">
        <v>2946</v>
      </c>
      <c r="AV374" s="192">
        <v>7999320</v>
      </c>
      <c r="AW374" s="181">
        <v>33.5</v>
      </c>
      <c r="AX374" s="179">
        <v>80361</v>
      </c>
      <c r="AY374" s="179"/>
    </row>
    <row r="375" spans="1:51" ht="14.4" x14ac:dyDescent="0.3">
      <c r="A375" s="179" t="s">
        <v>862</v>
      </c>
      <c r="B375" s="179" t="s">
        <v>2947</v>
      </c>
      <c r="C375" s="180" t="s">
        <v>4614</v>
      </c>
      <c r="D375" s="181" t="s">
        <v>2865</v>
      </c>
      <c r="E375" s="181" t="s">
        <v>2817</v>
      </c>
      <c r="F375" s="182" t="s">
        <v>2972</v>
      </c>
      <c r="G375" s="181" t="s">
        <v>17</v>
      </c>
      <c r="H375" s="193">
        <v>45550</v>
      </c>
      <c r="I375" s="184"/>
      <c r="J375" s="179" t="s">
        <v>4615</v>
      </c>
      <c r="K375" s="179">
        <v>36</v>
      </c>
      <c r="L375" s="179" t="s">
        <v>2965</v>
      </c>
      <c r="M375" s="185"/>
      <c r="N375" s="185"/>
      <c r="O375" s="179" t="s">
        <v>2951</v>
      </c>
      <c r="P375" s="185"/>
      <c r="Q375" s="182" t="s">
        <v>2933</v>
      </c>
      <c r="R375" s="182" t="s">
        <v>2934</v>
      </c>
      <c r="S375" s="182" t="s">
        <v>2952</v>
      </c>
      <c r="T375" s="179" t="s">
        <v>2974</v>
      </c>
      <c r="U375" s="179" t="s">
        <v>2954</v>
      </c>
      <c r="V375" s="187">
        <v>609</v>
      </c>
      <c r="W375" s="179" t="s">
        <v>4616</v>
      </c>
      <c r="X375" s="188">
        <v>300.495</v>
      </c>
      <c r="Y375" s="188">
        <v>185.679</v>
      </c>
      <c r="Z375" s="188">
        <v>131.898</v>
      </c>
      <c r="AA375" s="188">
        <v>96.495999999999995</v>
      </c>
      <c r="AB375" s="188">
        <v>10.68</v>
      </c>
      <c r="AC375" s="188">
        <v>115.78200000000001</v>
      </c>
      <c r="AD375" s="179" t="s">
        <v>2956</v>
      </c>
      <c r="AE375" s="188" t="s">
        <v>2957</v>
      </c>
      <c r="AF375" s="189">
        <v>0</v>
      </c>
      <c r="AG375" s="189">
        <v>0.99930555555555556</v>
      </c>
      <c r="AH375" s="190" t="s">
        <v>2941</v>
      </c>
      <c r="AI375" s="190" t="s">
        <v>2942</v>
      </c>
      <c r="AJ375" s="179" t="s">
        <v>860</v>
      </c>
      <c r="AK375" s="179" t="s">
        <v>3293</v>
      </c>
      <c r="AL375" s="179" t="s">
        <v>9</v>
      </c>
      <c r="AM375" s="179" t="s">
        <v>4617</v>
      </c>
      <c r="AN375" s="179" t="s">
        <v>2102</v>
      </c>
      <c r="AO375" s="179" t="s">
        <v>2486</v>
      </c>
      <c r="AP375" s="191">
        <v>81139001949</v>
      </c>
      <c r="AQ375" s="184">
        <v>43403</v>
      </c>
      <c r="AR375" s="179">
        <v>93</v>
      </c>
      <c r="AS375" s="194">
        <v>43806</v>
      </c>
      <c r="AT375" s="195"/>
      <c r="AU375" s="195"/>
      <c r="AV375" s="192">
        <v>23198083</v>
      </c>
      <c r="AW375" s="181">
        <v>24</v>
      </c>
      <c r="AX375" s="179">
        <v>80361</v>
      </c>
      <c r="AY375" s="179"/>
    </row>
    <row r="376" spans="1:51" ht="14.4" x14ac:dyDescent="0.3">
      <c r="A376" s="179" t="s">
        <v>1615</v>
      </c>
      <c r="B376" s="179" t="s">
        <v>2947</v>
      </c>
      <c r="C376" s="180" t="s">
        <v>4618</v>
      </c>
      <c r="D376" s="181" t="s">
        <v>2826</v>
      </c>
      <c r="E376" s="181" t="s">
        <v>2825</v>
      </c>
      <c r="F376" s="182" t="s">
        <v>2929</v>
      </c>
      <c r="G376" s="181" t="s">
        <v>12</v>
      </c>
      <c r="H376" s="193">
        <v>43609</v>
      </c>
      <c r="I376" s="184"/>
      <c r="J376" s="179" t="s">
        <v>4619</v>
      </c>
      <c r="K376" s="179">
        <v>13</v>
      </c>
      <c r="L376" s="179" t="s">
        <v>2965</v>
      </c>
      <c r="M376" s="185"/>
      <c r="N376" s="185"/>
      <c r="O376" s="186"/>
      <c r="P376" s="185"/>
      <c r="Q376" s="182" t="s">
        <v>2934</v>
      </c>
      <c r="R376" s="182" t="s">
        <v>2933</v>
      </c>
      <c r="S376" s="182" t="s">
        <v>2952</v>
      </c>
      <c r="T376" s="179" t="s">
        <v>2974</v>
      </c>
      <c r="U376" s="179" t="s">
        <v>2954</v>
      </c>
      <c r="V376" s="179">
        <v>1147</v>
      </c>
      <c r="W376" s="179" t="s">
        <v>3009</v>
      </c>
      <c r="X376" s="188">
        <v>255.68189999999998</v>
      </c>
      <c r="Y376" s="188">
        <v>171.4127</v>
      </c>
      <c r="Z376" s="188">
        <v>114.35999999999999</v>
      </c>
      <c r="AA376" s="188">
        <v>75.998999999999995</v>
      </c>
      <c r="AB376" s="188">
        <v>11.639999999999999</v>
      </c>
      <c r="AC376" s="188">
        <v>27.387</v>
      </c>
      <c r="AD376" s="179" t="s">
        <v>2939</v>
      </c>
      <c r="AE376" s="188" t="s">
        <v>2940</v>
      </c>
      <c r="AF376" s="189">
        <v>0.29166666666666669</v>
      </c>
      <c r="AG376" s="189">
        <v>0.99930555555555556</v>
      </c>
      <c r="AH376" s="190" t="s">
        <v>2941</v>
      </c>
      <c r="AI376" s="190" t="s">
        <v>2942</v>
      </c>
      <c r="AJ376" s="179" t="s">
        <v>192</v>
      </c>
      <c r="AK376" s="179" t="s">
        <v>2977</v>
      </c>
      <c r="AL376" s="179" t="s">
        <v>9</v>
      </c>
      <c r="AM376" s="179" t="s">
        <v>4620</v>
      </c>
      <c r="AN376" s="179" t="s">
        <v>2102</v>
      </c>
      <c r="AO376" s="179" t="s">
        <v>2654</v>
      </c>
      <c r="AP376" s="191">
        <v>81139606348</v>
      </c>
      <c r="AQ376" s="184">
        <v>43404</v>
      </c>
      <c r="AR376" s="179">
        <v>93</v>
      </c>
      <c r="AS376" s="179"/>
      <c r="AT376" s="181"/>
      <c r="AU376" s="181"/>
      <c r="AV376" s="192">
        <v>10785600</v>
      </c>
      <c r="AW376" s="181">
        <v>17.399999999999999</v>
      </c>
      <c r="AX376" s="179">
        <v>80363</v>
      </c>
      <c r="AY376" s="179"/>
    </row>
    <row r="377" spans="1:51" ht="14.4" x14ac:dyDescent="0.3">
      <c r="A377" s="179" t="s">
        <v>1603</v>
      </c>
      <c r="B377" s="179" t="s">
        <v>2947</v>
      </c>
      <c r="C377" s="180" t="s">
        <v>4621</v>
      </c>
      <c r="D377" s="181" t="s">
        <v>2863</v>
      </c>
      <c r="E377" s="181" t="s">
        <v>2813</v>
      </c>
      <c r="F377" s="182" t="s">
        <v>2929</v>
      </c>
      <c r="G377" s="181" t="s">
        <v>12</v>
      </c>
      <c r="H377" s="193">
        <v>43609</v>
      </c>
      <c r="I377" s="184"/>
      <c r="J377" s="179" t="s">
        <v>4622</v>
      </c>
      <c r="K377" s="179">
        <v>300</v>
      </c>
      <c r="L377" s="179" t="s">
        <v>2950</v>
      </c>
      <c r="M377" s="185"/>
      <c r="N377" s="185"/>
      <c r="O377" s="186"/>
      <c r="P377" s="185"/>
      <c r="Q377" s="182" t="s">
        <v>2933</v>
      </c>
      <c r="R377" s="182" t="s">
        <v>2998</v>
      </c>
      <c r="S377" s="182" t="s">
        <v>2952</v>
      </c>
      <c r="T377" s="179" t="s">
        <v>4623</v>
      </c>
      <c r="U377" s="179" t="s">
        <v>2954</v>
      </c>
      <c r="V377" s="187">
        <v>210</v>
      </c>
      <c r="W377" s="179" t="s">
        <v>4616</v>
      </c>
      <c r="X377" s="188">
        <v>278.18900000000002</v>
      </c>
      <c r="Y377" s="188">
        <v>208.005</v>
      </c>
      <c r="Z377" s="188">
        <v>122.77090000000001</v>
      </c>
      <c r="AA377" s="188">
        <v>68.398399999999995</v>
      </c>
      <c r="AB377" s="188">
        <v>10.72</v>
      </c>
      <c r="AC377" s="188">
        <v>46.253700000000002</v>
      </c>
      <c r="AD377" s="179" t="s">
        <v>2984</v>
      </c>
      <c r="AE377" s="188" t="s">
        <v>2940</v>
      </c>
      <c r="AF377" s="189">
        <v>0.29166666666666669</v>
      </c>
      <c r="AG377" s="189">
        <v>0.95833333333333337</v>
      </c>
      <c r="AH377" s="190" t="s">
        <v>2941</v>
      </c>
      <c r="AI377" s="190" t="s">
        <v>2942</v>
      </c>
      <c r="AJ377" s="179" t="s">
        <v>131</v>
      </c>
      <c r="AK377" s="179" t="s">
        <v>3293</v>
      </c>
      <c r="AL377" s="179" t="s">
        <v>9</v>
      </c>
      <c r="AM377" s="179" t="s">
        <v>4624</v>
      </c>
      <c r="AN377" s="179" t="s">
        <v>2102</v>
      </c>
      <c r="AO377" s="179" t="s">
        <v>2493</v>
      </c>
      <c r="AP377" s="191">
        <v>81139008261</v>
      </c>
      <c r="AQ377" s="184">
        <v>43426</v>
      </c>
      <c r="AR377" s="179">
        <v>93</v>
      </c>
      <c r="AS377" s="194"/>
      <c r="AT377" s="195"/>
      <c r="AU377" s="195"/>
      <c r="AV377" s="192">
        <v>9380000</v>
      </c>
      <c r="AW377" s="181">
        <v>33</v>
      </c>
      <c r="AX377" s="179">
        <v>80361</v>
      </c>
      <c r="AY377" s="179"/>
    </row>
    <row r="378" spans="1:51" ht="14.4" x14ac:dyDescent="0.3">
      <c r="A378" s="179" t="s">
        <v>1822</v>
      </c>
      <c r="B378" s="179" t="s">
        <v>2947</v>
      </c>
      <c r="C378" s="180" t="s">
        <v>4625</v>
      </c>
      <c r="D378" s="181" t="s">
        <v>2814</v>
      </c>
      <c r="E378" s="181" t="s">
        <v>2813</v>
      </c>
      <c r="F378" s="182" t="s">
        <v>2929</v>
      </c>
      <c r="G378" s="181" t="s">
        <v>12</v>
      </c>
      <c r="H378" s="193">
        <v>44512</v>
      </c>
      <c r="I378" s="184"/>
      <c r="J378" s="179" t="s">
        <v>4626</v>
      </c>
      <c r="K378" s="179">
        <v>10</v>
      </c>
      <c r="L378" s="179" t="s">
        <v>2965</v>
      </c>
      <c r="M378" s="185"/>
      <c r="N378" s="185"/>
      <c r="O378" s="186"/>
      <c r="P378" s="185"/>
      <c r="Q378" s="182" t="s">
        <v>2933</v>
      </c>
      <c r="R378" s="182" t="s">
        <v>2934</v>
      </c>
      <c r="S378" s="182" t="s">
        <v>2952</v>
      </c>
      <c r="T378" s="179" t="s">
        <v>2974</v>
      </c>
      <c r="U378" s="179" t="s">
        <v>2954</v>
      </c>
      <c r="V378" s="187">
        <v>115</v>
      </c>
      <c r="W378" s="179" t="s">
        <v>3151</v>
      </c>
      <c r="X378" s="188">
        <v>300</v>
      </c>
      <c r="Y378" s="188">
        <v>205</v>
      </c>
      <c r="Z378" s="188">
        <v>121.15299999999999</v>
      </c>
      <c r="AA378" s="188">
        <v>87.3</v>
      </c>
      <c r="AB378" s="188">
        <v>19.2</v>
      </c>
      <c r="AC378" s="188">
        <v>44.872</v>
      </c>
      <c r="AD378" s="179" t="s">
        <v>2984</v>
      </c>
      <c r="AE378" s="188" t="s">
        <v>2940</v>
      </c>
      <c r="AF378" s="189">
        <v>0.29166666666666669</v>
      </c>
      <c r="AG378" s="189">
        <v>0.99930555555555556</v>
      </c>
      <c r="AH378" s="190" t="s">
        <v>2941</v>
      </c>
      <c r="AI378" s="190" t="s">
        <v>2985</v>
      </c>
      <c r="AJ378" s="179" t="s">
        <v>210</v>
      </c>
      <c r="AK378" s="179" t="s">
        <v>3241</v>
      </c>
      <c r="AL378" s="179" t="s">
        <v>9</v>
      </c>
      <c r="AM378" s="179" t="s">
        <v>4627</v>
      </c>
      <c r="AN378" s="179" t="s">
        <v>2102</v>
      </c>
      <c r="AO378" s="179" t="s">
        <v>2678</v>
      </c>
      <c r="AP378" s="191">
        <v>81139609912</v>
      </c>
      <c r="AQ378" s="184">
        <v>43434</v>
      </c>
      <c r="AR378" s="179">
        <v>92</v>
      </c>
      <c r="AS378" s="194"/>
      <c r="AT378" s="195" t="s">
        <v>4628</v>
      </c>
      <c r="AU378" s="195" t="s">
        <v>2946</v>
      </c>
      <c r="AV378" s="192">
        <v>11490000</v>
      </c>
      <c r="AW378" s="181">
        <v>45.3</v>
      </c>
      <c r="AX378" s="179">
        <v>80362</v>
      </c>
      <c r="AY378" s="179"/>
    </row>
    <row r="379" spans="1:51" ht="14.4" x14ac:dyDescent="0.3">
      <c r="A379" s="179" t="s">
        <v>1328</v>
      </c>
      <c r="B379" s="179" t="s">
        <v>2947</v>
      </c>
      <c r="C379" s="180" t="s">
        <v>4629</v>
      </c>
      <c r="D379" s="181" t="s">
        <v>2865</v>
      </c>
      <c r="E379" s="181" t="s">
        <v>2817</v>
      </c>
      <c r="F379" s="182" t="s">
        <v>2929</v>
      </c>
      <c r="G379" s="181" t="s">
        <v>12</v>
      </c>
      <c r="H379" s="193">
        <v>43611</v>
      </c>
      <c r="I379" s="184"/>
      <c r="J379" s="179" t="s">
        <v>4630</v>
      </c>
      <c r="K379" s="179">
        <v>84</v>
      </c>
      <c r="L379" s="179" t="s">
        <v>2965</v>
      </c>
      <c r="M379" s="185"/>
      <c r="N379" s="185"/>
      <c r="O379" s="186"/>
      <c r="P379" s="185"/>
      <c r="Q379" s="182" t="s">
        <v>2933</v>
      </c>
      <c r="R379" s="182" t="s">
        <v>2934</v>
      </c>
      <c r="S379" s="182" t="s">
        <v>2952</v>
      </c>
      <c r="T379" s="179" t="s">
        <v>2974</v>
      </c>
      <c r="U379" s="179" t="s">
        <v>2954</v>
      </c>
      <c r="V379" s="187">
        <v>173</v>
      </c>
      <c r="W379" s="179" t="s">
        <v>4631</v>
      </c>
      <c r="X379" s="188">
        <v>192.45359999999999</v>
      </c>
      <c r="Y379" s="188">
        <v>103.4892</v>
      </c>
      <c r="Z379" s="188">
        <v>90.367199999999997</v>
      </c>
      <c r="AA379" s="188">
        <v>69.953999999999994</v>
      </c>
      <c r="AB379" s="188">
        <v>4.5360000000000005</v>
      </c>
      <c r="AC379" s="188">
        <v>94.8</v>
      </c>
      <c r="AD379" s="179" t="s">
        <v>2956</v>
      </c>
      <c r="AE379" s="188" t="s">
        <v>2957</v>
      </c>
      <c r="AF379" s="189">
        <v>0.29166666666666669</v>
      </c>
      <c r="AG379" s="189">
        <v>0.91666666666666663</v>
      </c>
      <c r="AH379" s="190" t="s">
        <v>2941</v>
      </c>
      <c r="AI379" s="190" t="s">
        <v>2942</v>
      </c>
      <c r="AJ379" s="179" t="s">
        <v>131</v>
      </c>
      <c r="AK379" s="179" t="s">
        <v>3293</v>
      </c>
      <c r="AL379" s="179" t="s">
        <v>9</v>
      </c>
      <c r="AM379" s="179" t="s">
        <v>4632</v>
      </c>
      <c r="AN379" s="179" t="s">
        <v>2102</v>
      </c>
      <c r="AO379" s="179" t="s">
        <v>2593</v>
      </c>
      <c r="AP379" s="191">
        <v>81139002722</v>
      </c>
      <c r="AQ379" s="184">
        <v>43434</v>
      </c>
      <c r="AR379" s="179">
        <v>92</v>
      </c>
      <c r="AS379" s="194"/>
      <c r="AT379" s="195"/>
      <c r="AU379" s="195"/>
      <c r="AV379" s="192">
        <v>11163000</v>
      </c>
      <c r="AW379" s="181">
        <v>24.5</v>
      </c>
      <c r="AX379" s="179">
        <v>80361</v>
      </c>
      <c r="AY379" s="179"/>
    </row>
    <row r="380" spans="1:51" ht="14.4" x14ac:dyDescent="0.3">
      <c r="A380" s="181" t="s">
        <v>590</v>
      </c>
      <c r="B380" s="179" t="s">
        <v>2927</v>
      </c>
      <c r="C380" s="180" t="s">
        <v>4633</v>
      </c>
      <c r="D380" s="181" t="s">
        <v>2856</v>
      </c>
      <c r="E380" s="181" t="s">
        <v>2819</v>
      </c>
      <c r="F380" s="182" t="s">
        <v>2972</v>
      </c>
      <c r="G380" s="181" t="s">
        <v>17</v>
      </c>
      <c r="H380" s="193">
        <v>43611</v>
      </c>
      <c r="I380" s="184"/>
      <c r="J380" s="179" t="s">
        <v>4634</v>
      </c>
      <c r="K380" s="179">
        <v>450</v>
      </c>
      <c r="L380" s="179" t="s">
        <v>3026</v>
      </c>
      <c r="M380" s="185"/>
      <c r="N380" s="185"/>
      <c r="O380" s="179" t="s">
        <v>2951</v>
      </c>
      <c r="P380" s="185"/>
      <c r="Q380" s="182" t="s">
        <v>2933</v>
      </c>
      <c r="R380" s="182" t="s">
        <v>2934</v>
      </c>
      <c r="S380" s="182" t="s">
        <v>2952</v>
      </c>
      <c r="T380" s="179" t="s">
        <v>2974</v>
      </c>
      <c r="U380" s="179" t="s">
        <v>2937</v>
      </c>
      <c r="V380" s="187">
        <v>798</v>
      </c>
      <c r="W380" s="179" t="s">
        <v>4532</v>
      </c>
      <c r="X380" s="188">
        <v>309.50079999999997</v>
      </c>
      <c r="Y380" s="188">
        <v>178.30079999999998</v>
      </c>
      <c r="Z380" s="188">
        <v>117.94399999999999</v>
      </c>
      <c r="AA380" s="188">
        <v>121.79</v>
      </c>
      <c r="AB380" s="188">
        <v>15.263999999999999</v>
      </c>
      <c r="AC380" s="188">
        <v>33.214199999999998</v>
      </c>
      <c r="AD380" s="179" t="s">
        <v>2984</v>
      </c>
      <c r="AE380" s="188" t="s">
        <v>2940</v>
      </c>
      <c r="AF380" s="189">
        <v>0.25</v>
      </c>
      <c r="AG380" s="189">
        <v>0.95833333333333337</v>
      </c>
      <c r="AH380" s="190" t="s">
        <v>2941</v>
      </c>
      <c r="AI380" s="190" t="s">
        <v>2942</v>
      </c>
      <c r="AJ380" s="179" t="s">
        <v>24</v>
      </c>
      <c r="AK380" s="179" t="s">
        <v>2977</v>
      </c>
      <c r="AL380" s="179" t="s">
        <v>9</v>
      </c>
      <c r="AM380" s="179" t="s">
        <v>4635</v>
      </c>
      <c r="AN380" s="179" t="s">
        <v>2102</v>
      </c>
      <c r="AO380" s="179" t="s">
        <v>2388</v>
      </c>
      <c r="AP380" s="191">
        <v>81139608390</v>
      </c>
      <c r="AQ380" s="203">
        <v>43456</v>
      </c>
      <c r="AR380" s="179">
        <v>92</v>
      </c>
      <c r="AS380" s="194"/>
      <c r="AT380" s="195" t="s">
        <v>4636</v>
      </c>
      <c r="AU380" s="195" t="s">
        <v>2946</v>
      </c>
      <c r="AV380" s="192">
        <v>9575598</v>
      </c>
      <c r="AW380" s="181">
        <v>18.2</v>
      </c>
      <c r="AX380" s="179">
        <v>80363</v>
      </c>
      <c r="AY380" s="179"/>
    </row>
    <row r="381" spans="1:51" ht="14.4" x14ac:dyDescent="0.3">
      <c r="A381" s="179" t="s">
        <v>1083</v>
      </c>
      <c r="B381" s="179" t="s">
        <v>2947</v>
      </c>
      <c r="C381" s="180" t="s">
        <v>4637</v>
      </c>
      <c r="D381" s="181" t="s">
        <v>2856</v>
      </c>
      <c r="E381" s="181" t="s">
        <v>2819</v>
      </c>
      <c r="F381" s="182" t="s">
        <v>2972</v>
      </c>
      <c r="G381" s="181" t="s">
        <v>17</v>
      </c>
      <c r="H381" s="193">
        <v>45899</v>
      </c>
      <c r="I381" s="184"/>
      <c r="J381" s="179" t="s">
        <v>4638</v>
      </c>
      <c r="K381" s="179">
        <v>72</v>
      </c>
      <c r="L381" s="179" t="s">
        <v>2965</v>
      </c>
      <c r="M381" s="185"/>
      <c r="N381" s="185" t="s">
        <v>2951</v>
      </c>
      <c r="O381" s="179" t="s">
        <v>2951</v>
      </c>
      <c r="P381" s="185"/>
      <c r="Q381" s="182" t="s">
        <v>2933</v>
      </c>
      <c r="R381" s="182" t="s">
        <v>2934</v>
      </c>
      <c r="S381" s="182" t="s">
        <v>2952</v>
      </c>
      <c r="T381" s="179" t="s">
        <v>2974</v>
      </c>
      <c r="U381" s="179" t="s">
        <v>2954</v>
      </c>
      <c r="V381" s="187">
        <v>1094</v>
      </c>
      <c r="W381" s="179" t="s">
        <v>4431</v>
      </c>
      <c r="X381" s="188">
        <v>389.03279999999995</v>
      </c>
      <c r="Y381" s="188">
        <v>204.32879999999997</v>
      </c>
      <c r="Z381" s="188">
        <v>135.10229999999999</v>
      </c>
      <c r="AA381" s="188">
        <v>172.35400000000001</v>
      </c>
      <c r="AB381" s="188">
        <v>24.512</v>
      </c>
      <c r="AC381" s="188">
        <v>29.564399999999999</v>
      </c>
      <c r="AD381" s="179" t="s">
        <v>2939</v>
      </c>
      <c r="AE381" s="188" t="s">
        <v>2940</v>
      </c>
      <c r="AF381" s="189">
        <v>0.25</v>
      </c>
      <c r="AG381" s="189">
        <v>0.95833333333333337</v>
      </c>
      <c r="AH381" s="190" t="s">
        <v>2941</v>
      </c>
      <c r="AI381" s="190" t="s">
        <v>2942</v>
      </c>
      <c r="AJ381" s="179" t="s">
        <v>24</v>
      </c>
      <c r="AK381" s="179" t="s">
        <v>2977</v>
      </c>
      <c r="AL381" s="179" t="s">
        <v>9</v>
      </c>
      <c r="AM381" s="179" t="s">
        <v>4635</v>
      </c>
      <c r="AN381" s="179" t="s">
        <v>2102</v>
      </c>
      <c r="AO381" s="179" t="s">
        <v>2674</v>
      </c>
      <c r="AP381" s="191">
        <v>81139608389</v>
      </c>
      <c r="AQ381" s="184">
        <v>43458</v>
      </c>
      <c r="AR381" s="179">
        <v>92</v>
      </c>
      <c r="AS381" s="194"/>
      <c r="AT381" s="195" t="s">
        <v>4639</v>
      </c>
      <c r="AU381" s="195" t="s">
        <v>2946</v>
      </c>
      <c r="AV381" s="192">
        <v>10993610</v>
      </c>
      <c r="AW381" s="181">
        <v>18.7</v>
      </c>
      <c r="AX381" s="179">
        <v>80363</v>
      </c>
      <c r="AY381" s="179"/>
    </row>
    <row r="382" spans="1:51" ht="14.4" x14ac:dyDescent="0.3">
      <c r="A382" s="179" t="s">
        <v>356</v>
      </c>
      <c r="B382" s="179" t="s">
        <v>2947</v>
      </c>
      <c r="C382" s="180" t="s">
        <v>4640</v>
      </c>
      <c r="D382" s="181" t="s">
        <v>2865</v>
      </c>
      <c r="E382" s="181" t="s">
        <v>2817</v>
      </c>
      <c r="F382" s="182" t="s">
        <v>2972</v>
      </c>
      <c r="G382" s="181" t="s">
        <v>17</v>
      </c>
      <c r="H382" s="193">
        <v>45135</v>
      </c>
      <c r="I382" s="184"/>
      <c r="J382" s="179" t="s">
        <v>4641</v>
      </c>
      <c r="K382" s="179">
        <v>350</v>
      </c>
      <c r="L382" s="179" t="s">
        <v>2950</v>
      </c>
      <c r="M382" s="185"/>
      <c r="N382" s="185"/>
      <c r="O382" s="179" t="s">
        <v>2951</v>
      </c>
      <c r="P382" s="185"/>
      <c r="Q382" s="182" t="s">
        <v>2933</v>
      </c>
      <c r="R382" s="182" t="s">
        <v>2998</v>
      </c>
      <c r="S382" s="182" t="s">
        <v>2952</v>
      </c>
      <c r="T382" s="179" t="s">
        <v>2974</v>
      </c>
      <c r="U382" s="179" t="s">
        <v>2954</v>
      </c>
      <c r="V382" s="187">
        <v>482</v>
      </c>
      <c r="W382" s="179" t="s">
        <v>2975</v>
      </c>
      <c r="X382" s="188">
        <v>286.80079999999998</v>
      </c>
      <c r="Y382" s="188">
        <v>178.01079999999999</v>
      </c>
      <c r="Z382" s="188">
        <v>138.0692</v>
      </c>
      <c r="AA382" s="188">
        <v>101.637</v>
      </c>
      <c r="AB382" s="188">
        <v>18.486999999999998</v>
      </c>
      <c r="AC382" s="188">
        <v>109.77120000000001</v>
      </c>
      <c r="AD382" s="179" t="s">
        <v>2956</v>
      </c>
      <c r="AE382" s="188" t="s">
        <v>2957</v>
      </c>
      <c r="AF382" s="189">
        <v>0</v>
      </c>
      <c r="AG382" s="189">
        <v>0.99930555555555556</v>
      </c>
      <c r="AH382" s="190" t="s">
        <v>2941</v>
      </c>
      <c r="AI382" s="190" t="s">
        <v>2942</v>
      </c>
      <c r="AJ382" s="179" t="s">
        <v>125</v>
      </c>
      <c r="AK382" s="179" t="s">
        <v>3293</v>
      </c>
      <c r="AL382" s="179" t="s">
        <v>9</v>
      </c>
      <c r="AM382" s="179" t="s">
        <v>4642</v>
      </c>
      <c r="AN382" s="179" t="s">
        <v>2102</v>
      </c>
      <c r="AO382" s="179" t="s">
        <v>2491</v>
      </c>
      <c r="AP382" s="191">
        <v>81139608392</v>
      </c>
      <c r="AQ382" s="184">
        <v>43459</v>
      </c>
      <c r="AR382" s="179">
        <v>92</v>
      </c>
      <c r="AS382" s="194"/>
      <c r="AT382" s="195" t="s">
        <v>4643</v>
      </c>
      <c r="AU382" s="195" t="s">
        <v>2946</v>
      </c>
      <c r="AV382" s="192">
        <v>13314366</v>
      </c>
      <c r="AW382" s="181">
        <v>24.1</v>
      </c>
      <c r="AX382" s="179">
        <v>80361</v>
      </c>
      <c r="AY382" s="179"/>
    </row>
    <row r="383" spans="1:51" ht="14.4" x14ac:dyDescent="0.3">
      <c r="A383" s="179" t="s">
        <v>964</v>
      </c>
      <c r="B383" s="179" t="s">
        <v>2947</v>
      </c>
      <c r="C383" s="180" t="s">
        <v>4644</v>
      </c>
      <c r="D383" s="181" t="s">
        <v>2866</v>
      </c>
      <c r="E383" s="181" t="s">
        <v>2827</v>
      </c>
      <c r="F383" s="182" t="s">
        <v>2972</v>
      </c>
      <c r="G383" s="181" t="s">
        <v>17</v>
      </c>
      <c r="H383" s="193">
        <v>43614</v>
      </c>
      <c r="I383" s="184"/>
      <c r="J383" s="179" t="s">
        <v>4645</v>
      </c>
      <c r="K383" s="179">
        <v>350</v>
      </c>
      <c r="L383" s="179" t="s">
        <v>2950</v>
      </c>
      <c r="M383" s="185"/>
      <c r="N383" s="185" t="s">
        <v>2951</v>
      </c>
      <c r="O383" s="186"/>
      <c r="P383" s="185"/>
      <c r="Q383" s="182" t="s">
        <v>2933</v>
      </c>
      <c r="R383" s="182" t="s">
        <v>2934</v>
      </c>
      <c r="S383" s="182" t="s">
        <v>2952</v>
      </c>
      <c r="T383" s="179" t="s">
        <v>2953</v>
      </c>
      <c r="U383" s="179" t="s">
        <v>2954</v>
      </c>
      <c r="V383" s="187">
        <v>344</v>
      </c>
      <c r="W383" s="179" t="s">
        <v>3151</v>
      </c>
      <c r="X383" s="188">
        <v>254.95560000000003</v>
      </c>
      <c r="Y383" s="188">
        <v>187.0128</v>
      </c>
      <c r="Z383" s="188">
        <v>116.56279999999998</v>
      </c>
      <c r="AA383" s="188">
        <v>66.894300000000001</v>
      </c>
      <c r="AB383" s="188">
        <v>16.776</v>
      </c>
      <c r="AC383" s="188">
        <v>35.165100000000002</v>
      </c>
      <c r="AD383" s="179" t="s">
        <v>2984</v>
      </c>
      <c r="AE383" s="188" t="s">
        <v>2940</v>
      </c>
      <c r="AF383" s="189">
        <v>0.29166666666666669</v>
      </c>
      <c r="AG383" s="189">
        <v>0.99930555555555556</v>
      </c>
      <c r="AH383" s="190" t="s">
        <v>2941</v>
      </c>
      <c r="AI383" s="190" t="s">
        <v>2942</v>
      </c>
      <c r="AJ383" s="179" t="s">
        <v>423</v>
      </c>
      <c r="AK383" s="179" t="s">
        <v>48</v>
      </c>
      <c r="AL383" s="179" t="s">
        <v>48</v>
      </c>
      <c r="AM383" s="179" t="s">
        <v>4646</v>
      </c>
      <c r="AN383" s="179" t="s">
        <v>2102</v>
      </c>
      <c r="AO383" s="179" t="s">
        <v>2686</v>
      </c>
      <c r="AP383" s="191">
        <v>81139608397</v>
      </c>
      <c r="AQ383" s="184">
        <v>43461</v>
      </c>
      <c r="AR383" s="179">
        <v>92</v>
      </c>
      <c r="AS383" s="194"/>
      <c r="AT383" s="195" t="s">
        <v>4647</v>
      </c>
      <c r="AU383" s="195" t="s">
        <v>2946</v>
      </c>
      <c r="AV383" s="192">
        <v>12880000</v>
      </c>
      <c r="AW383" s="181">
        <v>57.3</v>
      </c>
      <c r="AX383" s="179">
        <v>81116</v>
      </c>
      <c r="AY383" s="179"/>
    </row>
    <row r="384" spans="1:51" ht="14.4" x14ac:dyDescent="0.3">
      <c r="A384" s="179" t="s">
        <v>236</v>
      </c>
      <c r="B384" s="179" t="s">
        <v>2947</v>
      </c>
      <c r="C384" s="180" t="s">
        <v>4648</v>
      </c>
      <c r="D384" s="181" t="s">
        <v>2828</v>
      </c>
      <c r="E384" s="181" t="s">
        <v>2827</v>
      </c>
      <c r="F384" s="182" t="s">
        <v>2929</v>
      </c>
      <c r="G384" s="181" t="s">
        <v>12</v>
      </c>
      <c r="H384" s="193">
        <v>43614</v>
      </c>
      <c r="I384" s="184"/>
      <c r="J384" s="179" t="s">
        <v>4649</v>
      </c>
      <c r="K384" s="179">
        <v>650</v>
      </c>
      <c r="L384" s="179" t="s">
        <v>3026</v>
      </c>
      <c r="M384" s="185"/>
      <c r="N384" s="185"/>
      <c r="O384" s="186"/>
      <c r="P384" s="185"/>
      <c r="Q384" s="182" t="s">
        <v>2933</v>
      </c>
      <c r="R384" s="182" t="s">
        <v>2934</v>
      </c>
      <c r="S384" s="182" t="s">
        <v>2952</v>
      </c>
      <c r="T384" s="179" t="s">
        <v>2974</v>
      </c>
      <c r="U384" s="179" t="s">
        <v>2954</v>
      </c>
      <c r="V384" s="187">
        <v>950</v>
      </c>
      <c r="W384" s="179" t="s">
        <v>3549</v>
      </c>
      <c r="X384" s="188">
        <v>246.38179999999997</v>
      </c>
      <c r="Y384" s="188">
        <v>235.75880000000004</v>
      </c>
      <c r="Z384" s="188">
        <v>121.03099999999999</v>
      </c>
      <c r="AA384" s="188">
        <v>85.269100000000009</v>
      </c>
      <c r="AB384" s="188">
        <v>20.288</v>
      </c>
      <c r="AC384" s="188">
        <v>61.204799999999999</v>
      </c>
      <c r="AD384" s="179" t="s">
        <v>2956</v>
      </c>
      <c r="AE384" s="188" t="s">
        <v>2940</v>
      </c>
      <c r="AF384" s="189">
        <v>0.29166666666666669</v>
      </c>
      <c r="AG384" s="189">
        <v>0.95833333333333337</v>
      </c>
      <c r="AH384" s="190" t="s">
        <v>2941</v>
      </c>
      <c r="AI384" s="190" t="s">
        <v>2942</v>
      </c>
      <c r="AJ384" s="179" t="s">
        <v>234</v>
      </c>
      <c r="AK384" s="179" t="s">
        <v>48</v>
      </c>
      <c r="AL384" s="179" t="s">
        <v>48</v>
      </c>
      <c r="AM384" s="179" t="s">
        <v>4650</v>
      </c>
      <c r="AN384" s="179" t="s">
        <v>2102</v>
      </c>
      <c r="AO384" s="179" t="s">
        <v>2521</v>
      </c>
      <c r="AP384" s="191">
        <v>81139608396</v>
      </c>
      <c r="AQ384" s="184">
        <v>43464</v>
      </c>
      <c r="AR384" s="179">
        <v>91</v>
      </c>
      <c r="AS384" s="194"/>
      <c r="AT384" s="195"/>
      <c r="AU384" s="195"/>
      <c r="AV384" s="192">
        <v>11700000</v>
      </c>
      <c r="AW384" s="181">
        <v>58.8</v>
      </c>
      <c r="AX384" s="179">
        <v>81117</v>
      </c>
      <c r="AY384" s="179"/>
    </row>
    <row r="385" spans="1:51" ht="14.4" x14ac:dyDescent="0.3">
      <c r="A385" s="179" t="s">
        <v>1783</v>
      </c>
      <c r="B385" s="179" t="s">
        <v>2947</v>
      </c>
      <c r="C385" s="180" t="s">
        <v>4651</v>
      </c>
      <c r="D385" s="181" t="s">
        <v>2832</v>
      </c>
      <c r="E385" s="181" t="s">
        <v>2813</v>
      </c>
      <c r="F385" s="182" t="s">
        <v>2972</v>
      </c>
      <c r="G385" s="181" t="s">
        <v>17</v>
      </c>
      <c r="H385" s="193">
        <v>45725</v>
      </c>
      <c r="I385" s="193">
        <v>45725</v>
      </c>
      <c r="J385" s="179" t="s">
        <v>4652</v>
      </c>
      <c r="K385" s="179">
        <v>46</v>
      </c>
      <c r="L385" s="179" t="s">
        <v>2965</v>
      </c>
      <c r="M385" s="185"/>
      <c r="N385" s="185"/>
      <c r="O385" s="179" t="s">
        <v>2951</v>
      </c>
      <c r="P385" s="185"/>
      <c r="Q385" s="182" t="s">
        <v>2933</v>
      </c>
      <c r="R385" s="182" t="s">
        <v>2934</v>
      </c>
      <c r="S385" s="182" t="s">
        <v>2952</v>
      </c>
      <c r="T385" s="179" t="s">
        <v>2974</v>
      </c>
      <c r="U385" s="179" t="s">
        <v>2954</v>
      </c>
      <c r="V385" s="187">
        <v>584</v>
      </c>
      <c r="W385" s="179" t="s">
        <v>2975</v>
      </c>
      <c r="X385" s="188">
        <v>360.30599999999998</v>
      </c>
      <c r="Y385" s="188">
        <v>209.78999999999996</v>
      </c>
      <c r="Z385" s="188">
        <v>128.08799999999999</v>
      </c>
      <c r="AA385" s="188">
        <v>141.48000000000002</v>
      </c>
      <c r="AB385" s="188">
        <v>17.12</v>
      </c>
      <c r="AC385" s="188">
        <v>49.014400000000002</v>
      </c>
      <c r="AD385" s="179" t="s">
        <v>2984</v>
      </c>
      <c r="AE385" s="188" t="s">
        <v>2940</v>
      </c>
      <c r="AF385" s="189">
        <v>0</v>
      </c>
      <c r="AG385" s="189">
        <v>0.99930555555555556</v>
      </c>
      <c r="AH385" s="190" t="s">
        <v>2976</v>
      </c>
      <c r="AI385" s="190" t="s">
        <v>2985</v>
      </c>
      <c r="AJ385" s="179" t="s">
        <v>426</v>
      </c>
      <c r="AK385" s="179" t="s">
        <v>3241</v>
      </c>
      <c r="AL385" s="179" t="s">
        <v>9</v>
      </c>
      <c r="AM385" s="179" t="s">
        <v>4653</v>
      </c>
      <c r="AN385" s="179" t="s">
        <v>2102</v>
      </c>
      <c r="AO385" s="179" t="s">
        <v>2483</v>
      </c>
      <c r="AP385" s="191">
        <v>81139002235</v>
      </c>
      <c r="AQ385" s="184">
        <v>43465</v>
      </c>
      <c r="AR385" s="179">
        <v>91</v>
      </c>
      <c r="AS385" s="194"/>
      <c r="AT385" s="195" t="s">
        <v>4654</v>
      </c>
      <c r="AU385" s="195" t="s">
        <v>2946</v>
      </c>
      <c r="AV385" s="192">
        <v>12985000</v>
      </c>
      <c r="AW385" s="181">
        <v>41.5</v>
      </c>
      <c r="AX385" s="179">
        <v>80362</v>
      </c>
      <c r="AY385" s="179"/>
    </row>
    <row r="386" spans="1:51" ht="14.4" x14ac:dyDescent="0.3">
      <c r="A386" s="179" t="s">
        <v>1593</v>
      </c>
      <c r="B386" s="179" t="s">
        <v>2947</v>
      </c>
      <c r="C386" s="180" t="s">
        <v>4655</v>
      </c>
      <c r="D386" s="181" t="s">
        <v>2837</v>
      </c>
      <c r="E386" s="181" t="s">
        <v>2825</v>
      </c>
      <c r="F386" s="182" t="s">
        <v>2929</v>
      </c>
      <c r="G386" s="181" t="s">
        <v>12</v>
      </c>
      <c r="H386" s="193">
        <v>43614</v>
      </c>
      <c r="I386" s="184"/>
      <c r="J386" s="179" t="s">
        <v>3008</v>
      </c>
      <c r="K386" s="179" t="s">
        <v>3008</v>
      </c>
      <c r="L386" s="179" t="s">
        <v>2932</v>
      </c>
      <c r="M386" s="185"/>
      <c r="N386" s="185"/>
      <c r="O386" s="186"/>
      <c r="P386" s="185"/>
      <c r="Q386" s="182" t="s">
        <v>2933</v>
      </c>
      <c r="R386" s="182" t="s">
        <v>2934</v>
      </c>
      <c r="S386" s="182" t="s">
        <v>2952</v>
      </c>
      <c r="T386" s="179" t="s">
        <v>2953</v>
      </c>
      <c r="U386" s="179" t="s">
        <v>2954</v>
      </c>
      <c r="V386" s="187">
        <v>516</v>
      </c>
      <c r="W386" s="179" t="s">
        <v>3151</v>
      </c>
      <c r="X386" s="188">
        <v>204.828</v>
      </c>
      <c r="Y386" s="188">
        <v>151.79580000000001</v>
      </c>
      <c r="Z386" s="188">
        <v>119.94959999999999</v>
      </c>
      <c r="AA386" s="188">
        <v>38.836200000000005</v>
      </c>
      <c r="AB386" s="188">
        <v>10.824</v>
      </c>
      <c r="AC386" s="188">
        <v>101.5488</v>
      </c>
      <c r="AD386" s="179" t="s">
        <v>2956</v>
      </c>
      <c r="AE386" s="188" t="s">
        <v>2957</v>
      </c>
      <c r="AF386" s="189">
        <v>0.29166666666666669</v>
      </c>
      <c r="AG386" s="189">
        <v>0.95833333333333337</v>
      </c>
      <c r="AH386" s="190" t="s">
        <v>2941</v>
      </c>
      <c r="AI386" s="190" t="s">
        <v>2942</v>
      </c>
      <c r="AJ386" s="179" t="s">
        <v>336</v>
      </c>
      <c r="AK386" s="179" t="s">
        <v>3302</v>
      </c>
      <c r="AL386" s="179" t="s">
        <v>9</v>
      </c>
      <c r="AM386" s="179" t="s">
        <v>4656</v>
      </c>
      <c r="AN386" s="179" t="s">
        <v>2102</v>
      </c>
      <c r="AO386" s="179" t="s">
        <v>2484</v>
      </c>
      <c r="AP386" s="191">
        <v>81139002230</v>
      </c>
      <c r="AQ386" s="184">
        <v>43465</v>
      </c>
      <c r="AR386" s="179">
        <v>91</v>
      </c>
      <c r="AS386" s="194"/>
      <c r="AT386" s="195"/>
      <c r="AU386" s="195"/>
      <c r="AV386" s="192">
        <v>11025000</v>
      </c>
      <c r="AW386" s="181">
        <v>10.1</v>
      </c>
      <c r="AX386" s="179">
        <v>80351</v>
      </c>
      <c r="AY386" s="179"/>
    </row>
    <row r="387" spans="1:51" ht="14.4" x14ac:dyDescent="0.3">
      <c r="A387" s="179" t="s">
        <v>1322</v>
      </c>
      <c r="B387" s="179" t="s">
        <v>2947</v>
      </c>
      <c r="C387" s="180" t="s">
        <v>4657</v>
      </c>
      <c r="D387" s="181" t="s">
        <v>2864</v>
      </c>
      <c r="E387" s="181" t="s">
        <v>2827</v>
      </c>
      <c r="F387" s="182" t="s">
        <v>2929</v>
      </c>
      <c r="G387" s="181" t="s">
        <v>12</v>
      </c>
      <c r="H387" s="193">
        <v>44512</v>
      </c>
      <c r="I387" s="184"/>
      <c r="J387" s="179" t="s">
        <v>3008</v>
      </c>
      <c r="K387" s="179" t="s">
        <v>3008</v>
      </c>
      <c r="L387" s="179" t="s">
        <v>2932</v>
      </c>
      <c r="M387" s="185"/>
      <c r="N387" s="185" t="s">
        <v>2951</v>
      </c>
      <c r="O387" s="186"/>
      <c r="P387" s="185"/>
      <c r="Q387" s="182" t="s">
        <v>2933</v>
      </c>
      <c r="R387" s="182" t="s">
        <v>2934</v>
      </c>
      <c r="S387" s="182" t="s">
        <v>2952</v>
      </c>
      <c r="T387" s="179" t="s">
        <v>2974</v>
      </c>
      <c r="U387" s="179" t="s">
        <v>2954</v>
      </c>
      <c r="V387" s="187">
        <v>1320</v>
      </c>
      <c r="W387" s="179" t="s">
        <v>3151</v>
      </c>
      <c r="X387" s="188">
        <v>292.68719999999996</v>
      </c>
      <c r="Y387" s="188">
        <v>113.03999999999999</v>
      </c>
      <c r="Z387" s="188">
        <v>110.52799999999999</v>
      </c>
      <c r="AA387" s="188">
        <v>108.675</v>
      </c>
      <c r="AB387" s="188">
        <v>8.3360000000000003</v>
      </c>
      <c r="AC387" s="188">
        <v>32.494500000000002</v>
      </c>
      <c r="AD387" s="179" t="s">
        <v>2984</v>
      </c>
      <c r="AE387" s="188" t="s">
        <v>2940</v>
      </c>
      <c r="AF387" s="189">
        <v>0.29166666666666669</v>
      </c>
      <c r="AG387" s="189">
        <v>0.91666666666666663</v>
      </c>
      <c r="AH387" s="190" t="s">
        <v>2941</v>
      </c>
      <c r="AI387" s="190" t="s">
        <v>2942</v>
      </c>
      <c r="AJ387" s="179" t="s">
        <v>1320</v>
      </c>
      <c r="AK387" s="179" t="s">
        <v>4430</v>
      </c>
      <c r="AL387" s="179" t="s">
        <v>48</v>
      </c>
      <c r="AM387" s="179" t="s">
        <v>4658</v>
      </c>
      <c r="AN387" s="179" t="s">
        <v>2102</v>
      </c>
      <c r="AO387" s="179" t="s">
        <v>2661</v>
      </c>
      <c r="AP387" s="191">
        <v>81139608395</v>
      </c>
      <c r="AQ387" s="184">
        <v>43465</v>
      </c>
      <c r="AR387" s="179">
        <v>91</v>
      </c>
      <c r="AS387" s="194"/>
      <c r="AT387" s="195"/>
      <c r="AU387" s="195"/>
      <c r="AV387" s="192">
        <v>11340000</v>
      </c>
      <c r="AW387" s="181">
        <v>81.099999999999994</v>
      </c>
      <c r="AX387" s="179">
        <v>81173</v>
      </c>
      <c r="AY387" s="179"/>
    </row>
    <row r="388" spans="1:51" ht="14.4" x14ac:dyDescent="0.3">
      <c r="A388" s="179" t="s">
        <v>1493</v>
      </c>
      <c r="B388" s="179" t="s">
        <v>2927</v>
      </c>
      <c r="C388" s="180" t="s">
        <v>4659</v>
      </c>
      <c r="D388" s="181" t="s">
        <v>2820</v>
      </c>
      <c r="E388" s="181" t="s">
        <v>2819</v>
      </c>
      <c r="F388" s="182" t="s">
        <v>2929</v>
      </c>
      <c r="G388" s="181" t="s">
        <v>12</v>
      </c>
      <c r="H388" s="193">
        <v>43603</v>
      </c>
      <c r="I388" s="184"/>
      <c r="J388" s="179" t="s">
        <v>3008</v>
      </c>
      <c r="K388" s="179" t="s">
        <v>3008</v>
      </c>
      <c r="L388" s="179" t="s">
        <v>2932</v>
      </c>
      <c r="M388" s="185"/>
      <c r="N388" s="185"/>
      <c r="O388" s="186"/>
      <c r="P388" s="185"/>
      <c r="Q388" s="182" t="s">
        <v>2934</v>
      </c>
      <c r="R388" s="182" t="s">
        <v>2933</v>
      </c>
      <c r="S388" s="182" t="s">
        <v>2952</v>
      </c>
      <c r="T388" s="179" t="s">
        <v>2974</v>
      </c>
      <c r="U388" s="179" t="s">
        <v>2937</v>
      </c>
      <c r="V388" s="179">
        <v>659</v>
      </c>
      <c r="W388" s="179" t="s">
        <v>3549</v>
      </c>
      <c r="X388" s="188">
        <v>261.45750000000004</v>
      </c>
      <c r="Y388" s="188">
        <v>189.57000000000002</v>
      </c>
      <c r="Z388" s="188">
        <v>115.91999999999999</v>
      </c>
      <c r="AA388" s="188">
        <v>63.134999999999991</v>
      </c>
      <c r="AB388" s="188">
        <v>16.559999999999999</v>
      </c>
      <c r="AC388" s="188">
        <v>39.9285</v>
      </c>
      <c r="AD388" s="179" t="s">
        <v>2984</v>
      </c>
      <c r="AE388" s="188" t="s">
        <v>2940</v>
      </c>
      <c r="AF388" s="189">
        <v>0.29166666666666669</v>
      </c>
      <c r="AG388" s="189">
        <v>0.91666666666666663</v>
      </c>
      <c r="AH388" s="190" t="s">
        <v>2941</v>
      </c>
      <c r="AI388" s="190" t="s">
        <v>2942</v>
      </c>
      <c r="AJ388" s="179" t="s">
        <v>718</v>
      </c>
      <c r="AK388" s="179" t="s">
        <v>2958</v>
      </c>
      <c r="AL388" s="179" t="s">
        <v>4</v>
      </c>
      <c r="AM388" s="179" t="s">
        <v>4660</v>
      </c>
      <c r="AN388" s="179" t="s">
        <v>2102</v>
      </c>
      <c r="AO388" s="179" t="s">
        <v>2397</v>
      </c>
      <c r="AP388" s="191">
        <v>81139608388</v>
      </c>
      <c r="AQ388" s="184">
        <v>43495</v>
      </c>
      <c r="AR388" s="179">
        <v>90</v>
      </c>
      <c r="AS388" s="194"/>
      <c r="AT388" s="195" t="s">
        <v>4661</v>
      </c>
      <c r="AU388" s="195" t="s">
        <v>2946</v>
      </c>
      <c r="AV388" s="192">
        <v>9735768</v>
      </c>
      <c r="AW388" s="181">
        <v>18.899999999999999</v>
      </c>
      <c r="AX388" s="179">
        <v>80117</v>
      </c>
      <c r="AY388" s="179"/>
    </row>
    <row r="389" spans="1:51" ht="14.4" x14ac:dyDescent="0.3">
      <c r="A389" s="179" t="s">
        <v>1440</v>
      </c>
      <c r="B389" s="179" t="s">
        <v>2927</v>
      </c>
      <c r="C389" s="180" t="s">
        <v>4662</v>
      </c>
      <c r="D389" s="181" t="s">
        <v>2835</v>
      </c>
      <c r="E389" s="181" t="s">
        <v>2834</v>
      </c>
      <c r="F389" s="182" t="s">
        <v>2929</v>
      </c>
      <c r="G389" s="181" t="s">
        <v>12</v>
      </c>
      <c r="H389" s="193">
        <v>43590</v>
      </c>
      <c r="I389" s="184"/>
      <c r="J389" s="179" t="s">
        <v>4663</v>
      </c>
      <c r="K389" s="179">
        <v>140</v>
      </c>
      <c r="L389" s="179" t="s">
        <v>2965</v>
      </c>
      <c r="M389" s="185"/>
      <c r="N389" s="185"/>
      <c r="O389" s="186"/>
      <c r="P389" s="185"/>
      <c r="Q389" s="182" t="s">
        <v>2934</v>
      </c>
      <c r="R389" s="182" t="s">
        <v>2933</v>
      </c>
      <c r="S389" s="182" t="s">
        <v>2952</v>
      </c>
      <c r="T389" s="179" t="s">
        <v>2974</v>
      </c>
      <c r="U389" s="179" t="s">
        <v>2937</v>
      </c>
      <c r="V389" s="179">
        <v>1146</v>
      </c>
      <c r="W389" s="179" t="s">
        <v>3549</v>
      </c>
      <c r="X389" s="188">
        <v>261.2</v>
      </c>
      <c r="Y389" s="188">
        <v>183</v>
      </c>
      <c r="Z389" s="188">
        <v>116.39999999999999</v>
      </c>
      <c r="AA389" s="188">
        <v>64.213999999999999</v>
      </c>
      <c r="AB389" s="188">
        <v>15.36</v>
      </c>
      <c r="AC389" s="188">
        <v>34.523000000000003</v>
      </c>
      <c r="AD389" s="179" t="s">
        <v>2984</v>
      </c>
      <c r="AE389" s="188" t="s">
        <v>2940</v>
      </c>
      <c r="AF389" s="189">
        <v>0.29166666666666669</v>
      </c>
      <c r="AG389" s="189">
        <v>0.91666666666666663</v>
      </c>
      <c r="AH389" s="190" t="s">
        <v>2941</v>
      </c>
      <c r="AI389" s="190" t="s">
        <v>2942</v>
      </c>
      <c r="AJ389" s="179" t="s">
        <v>1438</v>
      </c>
      <c r="AK389" s="179" t="s">
        <v>32</v>
      </c>
      <c r="AL389" s="179" t="s">
        <v>32</v>
      </c>
      <c r="AM389" s="179" t="s">
        <v>4664</v>
      </c>
      <c r="AN389" s="179" t="s">
        <v>2102</v>
      </c>
      <c r="AO389" s="179" t="s">
        <v>2361</v>
      </c>
      <c r="AP389" s="191">
        <v>81139608387</v>
      </c>
      <c r="AQ389" s="184">
        <v>43505</v>
      </c>
      <c r="AR389" s="179">
        <v>90</v>
      </c>
      <c r="AS389" s="194"/>
      <c r="AT389" s="195"/>
      <c r="AU389" s="195"/>
      <c r="AV389" s="192">
        <v>8665035</v>
      </c>
      <c r="AW389" s="181">
        <v>41.2</v>
      </c>
      <c r="AX389" s="179">
        <v>80614</v>
      </c>
      <c r="AY389" s="179"/>
    </row>
    <row r="390" spans="1:51" ht="14.4" x14ac:dyDescent="0.3">
      <c r="A390" s="179" t="s">
        <v>1272</v>
      </c>
      <c r="B390" s="179" t="s">
        <v>2927</v>
      </c>
      <c r="C390" s="180" t="s">
        <v>4665</v>
      </c>
      <c r="D390" s="181" t="s">
        <v>2835</v>
      </c>
      <c r="E390" s="181" t="s">
        <v>2834</v>
      </c>
      <c r="F390" s="182" t="s">
        <v>2929</v>
      </c>
      <c r="G390" s="181" t="s">
        <v>12</v>
      </c>
      <c r="H390" s="193">
        <v>43590</v>
      </c>
      <c r="I390" s="184"/>
      <c r="J390" s="179" t="s">
        <v>4666</v>
      </c>
      <c r="K390" s="179">
        <v>13100</v>
      </c>
      <c r="L390" s="179" t="s">
        <v>2932</v>
      </c>
      <c r="M390" s="185"/>
      <c r="N390" s="185"/>
      <c r="O390" s="186"/>
      <c r="P390" s="185"/>
      <c r="Q390" s="182" t="s">
        <v>2934</v>
      </c>
      <c r="R390" s="182" t="s">
        <v>3729</v>
      </c>
      <c r="S390" s="182" t="s">
        <v>2952</v>
      </c>
      <c r="T390" s="179" t="s">
        <v>2974</v>
      </c>
      <c r="U390" s="179" t="s">
        <v>2937</v>
      </c>
      <c r="V390" s="179">
        <v>309</v>
      </c>
      <c r="W390" s="179" t="s">
        <v>3151</v>
      </c>
      <c r="X390" s="188">
        <v>211.72199999999998</v>
      </c>
      <c r="Y390" s="188">
        <v>194.68200000000002</v>
      </c>
      <c r="Z390" s="188">
        <v>123.154</v>
      </c>
      <c r="AA390" s="188">
        <v>0</v>
      </c>
      <c r="AB390" s="188">
        <v>22.240000000000002</v>
      </c>
      <c r="AC390" s="188">
        <v>28.326899999999998</v>
      </c>
      <c r="AD390" s="179" t="s">
        <v>2939</v>
      </c>
      <c r="AE390" s="188" t="s">
        <v>2940</v>
      </c>
      <c r="AF390" s="189">
        <v>0.29166666666666669</v>
      </c>
      <c r="AG390" s="189">
        <v>0.91666666666666663</v>
      </c>
      <c r="AH390" s="190" t="s">
        <v>2941</v>
      </c>
      <c r="AI390" s="190" t="s">
        <v>2942</v>
      </c>
      <c r="AJ390" s="179" t="s">
        <v>1270</v>
      </c>
      <c r="AK390" s="179" t="s">
        <v>32</v>
      </c>
      <c r="AL390" s="179" t="s">
        <v>32</v>
      </c>
      <c r="AM390" s="179" t="s">
        <v>4667</v>
      </c>
      <c r="AN390" s="179" t="s">
        <v>2102</v>
      </c>
      <c r="AO390" s="179" t="s">
        <v>2809</v>
      </c>
      <c r="AP390" s="191">
        <v>81139608384</v>
      </c>
      <c r="AQ390" s="184">
        <v>43535</v>
      </c>
      <c r="AR390" s="179">
        <v>89</v>
      </c>
      <c r="AS390" s="194"/>
      <c r="AT390" s="195" t="s">
        <v>4668</v>
      </c>
      <c r="AU390" s="195" t="s">
        <v>2946</v>
      </c>
      <c r="AV390" s="192">
        <v>6405000</v>
      </c>
      <c r="AW390" s="181">
        <v>41.6</v>
      </c>
      <c r="AX390" s="179">
        <v>80612</v>
      </c>
      <c r="AY390" s="179"/>
    </row>
    <row r="391" spans="1:51" ht="14.4" x14ac:dyDescent="0.3">
      <c r="A391" s="179" t="s">
        <v>1719</v>
      </c>
      <c r="B391" s="179" t="s">
        <v>2947</v>
      </c>
      <c r="C391" s="180" t="s">
        <v>4399</v>
      </c>
      <c r="D391" s="181" t="s">
        <v>2824</v>
      </c>
      <c r="E391" s="181" t="s">
        <v>2813</v>
      </c>
      <c r="F391" s="182" t="s">
        <v>2972</v>
      </c>
      <c r="G391" s="181" t="s">
        <v>17</v>
      </c>
      <c r="H391" s="193">
        <v>44512</v>
      </c>
      <c r="I391" s="184"/>
      <c r="J391" s="179" t="s">
        <v>4669</v>
      </c>
      <c r="K391" s="179">
        <v>455</v>
      </c>
      <c r="L391" s="179" t="s">
        <v>3026</v>
      </c>
      <c r="M391" s="185"/>
      <c r="N391" s="185"/>
      <c r="O391" s="179" t="s">
        <v>2951</v>
      </c>
      <c r="P391" s="185"/>
      <c r="Q391" s="182" t="s">
        <v>2934</v>
      </c>
      <c r="R391" s="182" t="s">
        <v>2933</v>
      </c>
      <c r="S391" s="182" t="s">
        <v>2952</v>
      </c>
      <c r="T391" s="179" t="s">
        <v>2974</v>
      </c>
      <c r="U391" s="179" t="s">
        <v>2954</v>
      </c>
      <c r="V391" s="179">
        <v>915</v>
      </c>
      <c r="W391" s="179" t="s">
        <v>3549</v>
      </c>
      <c r="X391" s="188">
        <v>274.40000000000003</v>
      </c>
      <c r="Y391" s="188">
        <v>203.5</v>
      </c>
      <c r="Z391" s="188">
        <v>119.11599999999999</v>
      </c>
      <c r="AA391" s="188">
        <v>86.509500000000003</v>
      </c>
      <c r="AB391" s="188">
        <v>15.52</v>
      </c>
      <c r="AC391" s="188">
        <v>42.186</v>
      </c>
      <c r="AD391" s="179" t="s">
        <v>2984</v>
      </c>
      <c r="AE391" s="188" t="s">
        <v>2940</v>
      </c>
      <c r="AF391" s="189">
        <v>0.29166666666666669</v>
      </c>
      <c r="AG391" s="189">
        <v>0.95833333333333337</v>
      </c>
      <c r="AH391" s="190" t="s">
        <v>2941</v>
      </c>
      <c r="AI391" s="190" t="s">
        <v>2985</v>
      </c>
      <c r="AJ391" s="179" t="s">
        <v>210</v>
      </c>
      <c r="AK391" s="179" t="s">
        <v>3241</v>
      </c>
      <c r="AL391" s="179" t="s">
        <v>9</v>
      </c>
      <c r="AM391" s="179" t="s">
        <v>4670</v>
      </c>
      <c r="AN391" s="179" t="s">
        <v>2102</v>
      </c>
      <c r="AO391" s="179" t="s">
        <v>2525</v>
      </c>
      <c r="AP391" s="191">
        <v>81139608385</v>
      </c>
      <c r="AQ391" s="184">
        <v>43556</v>
      </c>
      <c r="AR391" s="179">
        <v>88</v>
      </c>
      <c r="AS391" s="194"/>
      <c r="AT391" s="195" t="s">
        <v>4671</v>
      </c>
      <c r="AU391" s="195" t="s">
        <v>2946</v>
      </c>
      <c r="AV391" s="192">
        <v>10115000</v>
      </c>
      <c r="AW391" s="181">
        <v>42.6</v>
      </c>
      <c r="AX391" s="179">
        <v>80362</v>
      </c>
      <c r="AY391" s="179"/>
    </row>
    <row r="392" spans="1:51" ht="14.4" x14ac:dyDescent="0.3">
      <c r="A392" s="179" t="s">
        <v>26</v>
      </c>
      <c r="B392" s="179" t="s">
        <v>2947</v>
      </c>
      <c r="C392" s="180" t="s">
        <v>4672</v>
      </c>
      <c r="D392" s="181" t="s">
        <v>2856</v>
      </c>
      <c r="E392" s="181" t="s">
        <v>2819</v>
      </c>
      <c r="F392" s="182" t="s">
        <v>2929</v>
      </c>
      <c r="G392" s="181" t="s">
        <v>12</v>
      </c>
      <c r="H392" s="193">
        <v>43590</v>
      </c>
      <c r="I392" s="184"/>
      <c r="J392" s="179" t="s">
        <v>4673</v>
      </c>
      <c r="K392" s="179">
        <v>160</v>
      </c>
      <c r="L392" s="179" t="s">
        <v>2950</v>
      </c>
      <c r="M392" s="185"/>
      <c r="N392" s="185"/>
      <c r="O392" s="186"/>
      <c r="P392" s="185"/>
      <c r="Q392" s="182" t="s">
        <v>2933</v>
      </c>
      <c r="R392" s="182" t="s">
        <v>2934</v>
      </c>
      <c r="S392" s="182" t="s">
        <v>2952</v>
      </c>
      <c r="T392" s="179" t="s">
        <v>2974</v>
      </c>
      <c r="U392" s="179" t="s">
        <v>2954</v>
      </c>
      <c r="V392" s="187">
        <v>259</v>
      </c>
      <c r="W392" s="179" t="s">
        <v>3549</v>
      </c>
      <c r="X392" s="188">
        <v>293.5</v>
      </c>
      <c r="Y392" s="188">
        <v>191.5</v>
      </c>
      <c r="Z392" s="188">
        <v>119.89199999999998</v>
      </c>
      <c r="AA392" s="188">
        <v>94.089999999999989</v>
      </c>
      <c r="AB392" s="188">
        <v>11.52</v>
      </c>
      <c r="AC392" s="188">
        <v>41.554000000000002</v>
      </c>
      <c r="AD392" s="179" t="s">
        <v>2984</v>
      </c>
      <c r="AE392" s="188" t="s">
        <v>2940</v>
      </c>
      <c r="AF392" s="189">
        <v>0.29166666666666669</v>
      </c>
      <c r="AG392" s="189">
        <v>0.95833333333333337</v>
      </c>
      <c r="AH392" s="190" t="s">
        <v>2941</v>
      </c>
      <c r="AI392" s="190" t="s">
        <v>2942</v>
      </c>
      <c r="AJ392" s="179" t="s">
        <v>24</v>
      </c>
      <c r="AK392" s="179" t="s">
        <v>2977</v>
      </c>
      <c r="AL392" s="179" t="s">
        <v>9</v>
      </c>
      <c r="AM392" s="179" t="s">
        <v>4674</v>
      </c>
      <c r="AN392" s="179" t="s">
        <v>2102</v>
      </c>
      <c r="AO392" s="179" t="s">
        <v>2529</v>
      </c>
      <c r="AP392" s="191">
        <v>81139608386</v>
      </c>
      <c r="AQ392" s="184">
        <v>43565</v>
      </c>
      <c r="AR392" s="179">
        <v>88</v>
      </c>
      <c r="AS392" s="194"/>
      <c r="AT392" s="195"/>
      <c r="AU392" s="195"/>
      <c r="AV392" s="192">
        <v>11200000</v>
      </c>
      <c r="AW392" s="181">
        <v>22.5</v>
      </c>
      <c r="AX392" s="179">
        <v>80363</v>
      </c>
      <c r="AY392" s="179"/>
    </row>
    <row r="393" spans="1:51" ht="14.4" x14ac:dyDescent="0.3">
      <c r="A393" s="179" t="s">
        <v>1752</v>
      </c>
      <c r="B393" s="179" t="s">
        <v>2927</v>
      </c>
      <c r="C393" s="180" t="s">
        <v>4675</v>
      </c>
      <c r="D393" s="181" t="s">
        <v>2832</v>
      </c>
      <c r="E393" s="181" t="s">
        <v>2813</v>
      </c>
      <c r="F393" s="182" t="s">
        <v>2929</v>
      </c>
      <c r="G393" s="181" t="s">
        <v>12</v>
      </c>
      <c r="H393" s="193">
        <v>43597</v>
      </c>
      <c r="I393" s="184"/>
      <c r="J393" s="179" t="s">
        <v>4676</v>
      </c>
      <c r="K393" s="179">
        <v>180</v>
      </c>
      <c r="L393" s="179" t="s">
        <v>2950</v>
      </c>
      <c r="M393" s="185"/>
      <c r="N393" s="185"/>
      <c r="O393" s="186"/>
      <c r="P393" s="185"/>
      <c r="Q393" s="182" t="s">
        <v>2933</v>
      </c>
      <c r="R393" s="182" t="s">
        <v>3729</v>
      </c>
      <c r="S393" s="182" t="s">
        <v>2952</v>
      </c>
      <c r="T393" s="179" t="s">
        <v>2974</v>
      </c>
      <c r="U393" s="179" t="s">
        <v>2937</v>
      </c>
      <c r="V393" s="179"/>
      <c r="W393" s="179" t="s">
        <v>3342</v>
      </c>
      <c r="X393" s="188">
        <v>149.184</v>
      </c>
      <c r="Y393" s="188">
        <v>138.82400000000001</v>
      </c>
      <c r="Z393" s="188">
        <v>110.56100000000001</v>
      </c>
      <c r="AA393" s="188">
        <v>0</v>
      </c>
      <c r="AB393" s="188">
        <v>13.26</v>
      </c>
      <c r="AC393" s="188">
        <v>49.992800000000003</v>
      </c>
      <c r="AD393" s="179" t="s">
        <v>2984</v>
      </c>
      <c r="AE393" s="188" t="s">
        <v>2957</v>
      </c>
      <c r="AF393" s="189">
        <v>0.29166666666666669</v>
      </c>
      <c r="AG393" s="189">
        <v>0.95833333333333337</v>
      </c>
      <c r="AH393" s="190" t="s">
        <v>2941</v>
      </c>
      <c r="AI393" s="190" t="s">
        <v>2985</v>
      </c>
      <c r="AJ393" s="179" t="s">
        <v>167</v>
      </c>
      <c r="AK393" s="179" t="s">
        <v>3241</v>
      </c>
      <c r="AL393" s="179" t="s">
        <v>9</v>
      </c>
      <c r="AM393" s="179" t="s">
        <v>4677</v>
      </c>
      <c r="AN393" s="179" t="s">
        <v>2102</v>
      </c>
      <c r="AO393" s="179" t="s">
        <v>2323</v>
      </c>
      <c r="AP393" s="191">
        <v>81139000827</v>
      </c>
      <c r="AQ393" s="184">
        <v>43584</v>
      </c>
      <c r="AR393" s="179">
        <v>87</v>
      </c>
      <c r="AS393" s="194"/>
      <c r="AT393" s="195"/>
      <c r="AU393" s="195"/>
      <c r="AV393" s="192">
        <v>9550000</v>
      </c>
      <c r="AW393" s="181">
        <v>40.6</v>
      </c>
      <c r="AX393" s="179">
        <v>80362</v>
      </c>
      <c r="AY393" s="179"/>
    </row>
    <row r="394" spans="1:51" ht="14.4" x14ac:dyDescent="0.3">
      <c r="A394" s="179" t="s">
        <v>145</v>
      </c>
      <c r="B394" s="179" t="s">
        <v>2927</v>
      </c>
      <c r="C394" s="180" t="s">
        <v>4678</v>
      </c>
      <c r="D394" s="181" t="s">
        <v>2864</v>
      </c>
      <c r="E394" s="181" t="s">
        <v>2827</v>
      </c>
      <c r="F394" s="182" t="s">
        <v>2929</v>
      </c>
      <c r="G394" s="181" t="s">
        <v>12</v>
      </c>
      <c r="H394" s="193">
        <v>44512</v>
      </c>
      <c r="I394" s="184"/>
      <c r="J394" s="179" t="s">
        <v>4679</v>
      </c>
      <c r="K394" s="179">
        <v>1000</v>
      </c>
      <c r="L394" s="179" t="s">
        <v>2932</v>
      </c>
      <c r="M394" s="185"/>
      <c r="N394" s="185"/>
      <c r="O394" s="186"/>
      <c r="P394" s="185"/>
      <c r="Q394" s="182" t="s">
        <v>2933</v>
      </c>
      <c r="R394" s="182" t="s">
        <v>2934</v>
      </c>
      <c r="S394" s="182" t="s">
        <v>2952</v>
      </c>
      <c r="T394" s="179" t="s">
        <v>2974</v>
      </c>
      <c r="U394" s="179" t="s">
        <v>2937</v>
      </c>
      <c r="V394" s="187">
        <v>579</v>
      </c>
      <c r="W394" s="179" t="s">
        <v>4532</v>
      </c>
      <c r="X394" s="188">
        <v>312.08850000000001</v>
      </c>
      <c r="Y394" s="188">
        <v>203.7105</v>
      </c>
      <c r="Z394" s="188">
        <v>123.75540000000001</v>
      </c>
      <c r="AA394" s="188">
        <v>107.916</v>
      </c>
      <c r="AB394" s="188">
        <v>11.14</v>
      </c>
      <c r="AC394" s="188">
        <v>32.120000000000005</v>
      </c>
      <c r="AD394" s="179" t="s">
        <v>2984</v>
      </c>
      <c r="AE394" s="188" t="s">
        <v>2940</v>
      </c>
      <c r="AF394" s="189">
        <v>0.29166666666666669</v>
      </c>
      <c r="AG394" s="189">
        <v>0.95833333333333337</v>
      </c>
      <c r="AH394" s="190" t="s">
        <v>2941</v>
      </c>
      <c r="AI394" s="190" t="s">
        <v>2942</v>
      </c>
      <c r="AJ394" s="179" t="s">
        <v>909</v>
      </c>
      <c r="AK394" s="179" t="s">
        <v>143</v>
      </c>
      <c r="AL394" s="179" t="s">
        <v>48</v>
      </c>
      <c r="AM394" s="179" t="s">
        <v>4680</v>
      </c>
      <c r="AN394" s="179" t="s">
        <v>2102</v>
      </c>
      <c r="AO394" s="179" t="s">
        <v>2345</v>
      </c>
      <c r="AP394" s="191">
        <v>81139000835</v>
      </c>
      <c r="AQ394" s="184">
        <v>43584</v>
      </c>
      <c r="AR394" s="179">
        <v>87</v>
      </c>
      <c r="AS394" s="194"/>
      <c r="AT394" s="195" t="s">
        <v>4681</v>
      </c>
      <c r="AU394" s="195" t="s">
        <v>2946</v>
      </c>
      <c r="AV394" s="192">
        <v>12416000</v>
      </c>
      <c r="AW394" s="181">
        <v>61.1</v>
      </c>
      <c r="AX394" s="179">
        <v>81171</v>
      </c>
      <c r="AY394" s="179"/>
    </row>
    <row r="395" spans="1:51" ht="14.4" x14ac:dyDescent="0.3">
      <c r="A395" s="179" t="s">
        <v>428</v>
      </c>
      <c r="B395" s="179" t="s">
        <v>2947</v>
      </c>
      <c r="C395" s="180" t="s">
        <v>4682</v>
      </c>
      <c r="D395" s="181" t="s">
        <v>2814</v>
      </c>
      <c r="E395" s="181" t="s">
        <v>2813</v>
      </c>
      <c r="F395" s="182" t="s">
        <v>2929</v>
      </c>
      <c r="G395" s="181" t="s">
        <v>12</v>
      </c>
      <c r="H395" s="193">
        <v>43597</v>
      </c>
      <c r="I395" s="184"/>
      <c r="J395" s="179" t="s">
        <v>4683</v>
      </c>
      <c r="K395" s="179">
        <v>33</v>
      </c>
      <c r="L395" s="179" t="s">
        <v>2965</v>
      </c>
      <c r="M395" s="185"/>
      <c r="N395" s="185"/>
      <c r="O395" s="186"/>
      <c r="P395" s="185"/>
      <c r="Q395" s="182" t="s">
        <v>2933</v>
      </c>
      <c r="R395" s="182" t="s">
        <v>2934</v>
      </c>
      <c r="S395" s="182" t="s">
        <v>2952</v>
      </c>
      <c r="T395" s="179" t="s">
        <v>2974</v>
      </c>
      <c r="U395" s="179" t="s">
        <v>2954</v>
      </c>
      <c r="V395" s="187">
        <v>479</v>
      </c>
      <c r="W395" s="179" t="s">
        <v>4578</v>
      </c>
      <c r="X395" s="188">
        <v>272.5086</v>
      </c>
      <c r="Y395" s="188">
        <v>155.96100000000001</v>
      </c>
      <c r="Z395" s="188">
        <v>103.6875</v>
      </c>
      <c r="AA395" s="188">
        <v>94.616600000000005</v>
      </c>
      <c r="AB395" s="188">
        <v>3.5245000000000002</v>
      </c>
      <c r="AC395" s="188">
        <v>30.584400000000002</v>
      </c>
      <c r="AD395" s="179" t="s">
        <v>2984</v>
      </c>
      <c r="AE395" s="188" t="s">
        <v>2940</v>
      </c>
      <c r="AF395" s="189">
        <v>0.29166666666666669</v>
      </c>
      <c r="AG395" s="189">
        <v>0.95833333333333337</v>
      </c>
      <c r="AH395" s="190" t="s">
        <v>2941</v>
      </c>
      <c r="AI395" s="190" t="s">
        <v>2985</v>
      </c>
      <c r="AJ395" s="179" t="s">
        <v>426</v>
      </c>
      <c r="AK395" s="179" t="s">
        <v>3241</v>
      </c>
      <c r="AL395" s="179" t="s">
        <v>9</v>
      </c>
      <c r="AM395" s="179" t="s">
        <v>4684</v>
      </c>
      <c r="AN395" s="179" t="s">
        <v>2102</v>
      </c>
      <c r="AO395" s="179" t="s">
        <v>2553</v>
      </c>
      <c r="AP395" s="191">
        <v>81139000832</v>
      </c>
      <c r="AQ395" s="184">
        <v>43585</v>
      </c>
      <c r="AR395" s="179">
        <v>87</v>
      </c>
      <c r="AS395" s="194"/>
      <c r="AT395" s="195"/>
      <c r="AU395" s="195"/>
      <c r="AV395" s="192">
        <v>11620000</v>
      </c>
      <c r="AW395" s="181">
        <v>41.7</v>
      </c>
      <c r="AX395" s="179">
        <v>80362</v>
      </c>
      <c r="AY395" s="179"/>
    </row>
    <row r="396" spans="1:51" ht="14.4" x14ac:dyDescent="0.3">
      <c r="A396" s="179" t="s">
        <v>1601</v>
      </c>
      <c r="B396" s="179" t="s">
        <v>2947</v>
      </c>
      <c r="C396" s="180" t="s">
        <v>4685</v>
      </c>
      <c r="D396" s="181" t="s">
        <v>2814</v>
      </c>
      <c r="E396" s="181" t="s">
        <v>2813</v>
      </c>
      <c r="F396" s="182" t="s">
        <v>2929</v>
      </c>
      <c r="G396" s="181" t="s">
        <v>12</v>
      </c>
      <c r="H396" s="193">
        <v>43597</v>
      </c>
      <c r="I396" s="184"/>
      <c r="J396" s="179" t="s">
        <v>4686</v>
      </c>
      <c r="K396" s="179">
        <v>36</v>
      </c>
      <c r="L396" s="179" t="s">
        <v>2965</v>
      </c>
      <c r="M396" s="185"/>
      <c r="N396" s="185"/>
      <c r="O396" s="186"/>
      <c r="P396" s="185"/>
      <c r="Q396" s="182" t="s">
        <v>2933</v>
      </c>
      <c r="R396" s="182" t="s">
        <v>2934</v>
      </c>
      <c r="S396" s="182" t="s">
        <v>2952</v>
      </c>
      <c r="T396" s="179" t="s">
        <v>2974</v>
      </c>
      <c r="U396" s="179" t="s">
        <v>2954</v>
      </c>
      <c r="V396" s="187">
        <v>701</v>
      </c>
      <c r="W396" s="179" t="s">
        <v>3448</v>
      </c>
      <c r="X396" s="188">
        <v>255.07799999999997</v>
      </c>
      <c r="Y396" s="188">
        <v>138.52799999999999</v>
      </c>
      <c r="Z396" s="188">
        <v>86.386499999999998</v>
      </c>
      <c r="AA396" s="188">
        <v>106.27500000000001</v>
      </c>
      <c r="AB396" s="188">
        <v>9.48</v>
      </c>
      <c r="AC396" s="188">
        <v>27.368000000000002</v>
      </c>
      <c r="AD396" s="179" t="s">
        <v>2939</v>
      </c>
      <c r="AE396" s="188" t="s">
        <v>2940</v>
      </c>
      <c r="AF396" s="189">
        <v>0.29166666666666669</v>
      </c>
      <c r="AG396" s="189">
        <v>0.95833333333333337</v>
      </c>
      <c r="AH396" s="190" t="s">
        <v>2941</v>
      </c>
      <c r="AI396" s="190" t="s">
        <v>2985</v>
      </c>
      <c r="AJ396" s="179" t="s">
        <v>167</v>
      </c>
      <c r="AK396" s="179" t="s">
        <v>3241</v>
      </c>
      <c r="AL396" s="179" t="s">
        <v>9</v>
      </c>
      <c r="AM396" s="179" t="s">
        <v>4687</v>
      </c>
      <c r="AN396" s="179" t="s">
        <v>2102</v>
      </c>
      <c r="AO396" s="179" t="s">
        <v>2659</v>
      </c>
      <c r="AP396" s="191">
        <v>81139009505</v>
      </c>
      <c r="AQ396" s="184">
        <v>43585</v>
      </c>
      <c r="AR396" s="179">
        <v>87</v>
      </c>
      <c r="AS396" s="194"/>
      <c r="AT396" s="195"/>
      <c r="AU396" s="195"/>
      <c r="AV396" s="192">
        <v>11305000</v>
      </c>
      <c r="AW396" s="181">
        <v>40.700000000000003</v>
      </c>
      <c r="AX396" s="179">
        <v>80362</v>
      </c>
      <c r="AY396" s="179"/>
    </row>
    <row r="397" spans="1:51" ht="14.4" x14ac:dyDescent="0.3">
      <c r="A397" s="179" t="s">
        <v>1250</v>
      </c>
      <c r="B397" s="179" t="s">
        <v>2947</v>
      </c>
      <c r="C397" s="180" t="s">
        <v>4688</v>
      </c>
      <c r="D397" s="181" t="s">
        <v>2862</v>
      </c>
      <c r="E397" s="181" t="s">
        <v>2819</v>
      </c>
      <c r="F397" s="182" t="s">
        <v>2972</v>
      </c>
      <c r="G397" s="181" t="s">
        <v>17</v>
      </c>
      <c r="H397" s="193">
        <v>45786</v>
      </c>
      <c r="I397" s="193">
        <v>45786</v>
      </c>
      <c r="J397" s="179" t="s">
        <v>4689</v>
      </c>
      <c r="K397" s="179">
        <v>72</v>
      </c>
      <c r="L397" s="179" t="s">
        <v>2965</v>
      </c>
      <c r="M397" s="185"/>
      <c r="N397" s="185"/>
      <c r="O397" s="179" t="s">
        <v>2951</v>
      </c>
      <c r="P397" s="185"/>
      <c r="Q397" s="182" t="s">
        <v>2934</v>
      </c>
      <c r="R397" s="182" t="s">
        <v>2933</v>
      </c>
      <c r="S397" s="182" t="s">
        <v>2952</v>
      </c>
      <c r="T397" s="179" t="s">
        <v>2974</v>
      </c>
      <c r="U397" s="179" t="s">
        <v>2954</v>
      </c>
      <c r="V397" s="179">
        <v>1157</v>
      </c>
      <c r="W397" s="179" t="s">
        <v>3549</v>
      </c>
      <c r="X397" s="188">
        <v>427.0994</v>
      </c>
      <c r="Y397" s="188">
        <v>198.78820000000002</v>
      </c>
      <c r="Z397" s="188">
        <v>124.5996</v>
      </c>
      <c r="AA397" s="188">
        <v>189.05279999999999</v>
      </c>
      <c r="AB397" s="188">
        <v>23.6</v>
      </c>
      <c r="AC397" s="188">
        <v>42.877800000000001</v>
      </c>
      <c r="AD397" s="179" t="s">
        <v>2984</v>
      </c>
      <c r="AE397" s="188" t="s">
        <v>2940</v>
      </c>
      <c r="AF397" s="189">
        <v>0.29166666666666669</v>
      </c>
      <c r="AG397" s="189">
        <v>0.95833333333333337</v>
      </c>
      <c r="AH397" s="190" t="s">
        <v>2941</v>
      </c>
      <c r="AI397" s="190" t="s">
        <v>2942</v>
      </c>
      <c r="AJ397" s="179" t="s">
        <v>137</v>
      </c>
      <c r="AK397" s="179" t="s">
        <v>2977</v>
      </c>
      <c r="AL397" s="179" t="s">
        <v>9</v>
      </c>
      <c r="AM397" s="179" t="s">
        <v>4690</v>
      </c>
      <c r="AN397" s="179" t="s">
        <v>2102</v>
      </c>
      <c r="AO397" s="179" t="s">
        <v>2608</v>
      </c>
      <c r="AP397" s="191">
        <v>81139002231</v>
      </c>
      <c r="AQ397" s="184">
        <v>43585</v>
      </c>
      <c r="AR397" s="179">
        <v>87</v>
      </c>
      <c r="AS397" s="194"/>
      <c r="AT397" s="195" t="s">
        <v>4691</v>
      </c>
      <c r="AU397" s="195" t="s">
        <v>2946</v>
      </c>
      <c r="AV397" s="192">
        <v>15518010</v>
      </c>
      <c r="AW397" s="181">
        <v>23.4</v>
      </c>
      <c r="AX397" s="179">
        <v>80363</v>
      </c>
      <c r="AY397" s="179"/>
    </row>
    <row r="398" spans="1:51" ht="14.4" x14ac:dyDescent="0.3">
      <c r="A398" s="179" t="s">
        <v>1326</v>
      </c>
      <c r="B398" s="179" t="s">
        <v>2947</v>
      </c>
      <c r="C398" s="180" t="s">
        <v>4692</v>
      </c>
      <c r="D398" s="181" t="s">
        <v>2832</v>
      </c>
      <c r="E398" s="181" t="s">
        <v>2813</v>
      </c>
      <c r="F398" s="182" t="s">
        <v>2972</v>
      </c>
      <c r="G398" s="181" t="s">
        <v>17</v>
      </c>
      <c r="H398" s="193">
        <v>45842</v>
      </c>
      <c r="I398" s="184"/>
      <c r="J398" s="179" t="s">
        <v>4693</v>
      </c>
      <c r="K398" s="179">
        <v>350</v>
      </c>
      <c r="L398" s="179" t="s">
        <v>2950</v>
      </c>
      <c r="M398" s="185"/>
      <c r="N398" s="185"/>
      <c r="O398" s="186"/>
      <c r="P398" s="185"/>
      <c r="Q398" s="182" t="s">
        <v>2934</v>
      </c>
      <c r="R398" s="182" t="s">
        <v>2933</v>
      </c>
      <c r="S398" s="182" t="s">
        <v>2952</v>
      </c>
      <c r="T398" s="179" t="s">
        <v>2974</v>
      </c>
      <c r="U398" s="179" t="s">
        <v>2954</v>
      </c>
      <c r="V398" s="179">
        <v>378</v>
      </c>
      <c r="W398" s="179" t="s">
        <v>4532</v>
      </c>
      <c r="X398" s="188">
        <v>365.5</v>
      </c>
      <c r="Y398" s="188">
        <v>221.49299999999999</v>
      </c>
      <c r="Z398" s="188">
        <v>125.49119999999999</v>
      </c>
      <c r="AA398" s="188">
        <v>139.50199999999998</v>
      </c>
      <c r="AB398" s="188">
        <v>17.579999999999998</v>
      </c>
      <c r="AC398" s="188">
        <v>48.42</v>
      </c>
      <c r="AD398" s="179" t="s">
        <v>2984</v>
      </c>
      <c r="AE398" s="188" t="s">
        <v>2940</v>
      </c>
      <c r="AF398" s="189">
        <v>0.29166666666666669</v>
      </c>
      <c r="AG398" s="189">
        <v>0.99930555555555556</v>
      </c>
      <c r="AH398" s="190" t="s">
        <v>2941</v>
      </c>
      <c r="AI398" s="190" t="s">
        <v>2985</v>
      </c>
      <c r="AJ398" s="179" t="s">
        <v>167</v>
      </c>
      <c r="AK398" s="179" t="s">
        <v>3241</v>
      </c>
      <c r="AL398" s="179" t="s">
        <v>9</v>
      </c>
      <c r="AM398" s="179" t="s">
        <v>4694</v>
      </c>
      <c r="AN398" s="179" t="s">
        <v>2102</v>
      </c>
      <c r="AO398" s="179" t="s">
        <v>2738</v>
      </c>
      <c r="AP398" s="191">
        <v>81139001226</v>
      </c>
      <c r="AQ398" s="184">
        <v>43597</v>
      </c>
      <c r="AR398" s="179">
        <v>87</v>
      </c>
      <c r="AS398" s="199"/>
      <c r="AT398" s="198" t="s">
        <v>4695</v>
      </c>
      <c r="AU398" s="198" t="s">
        <v>2946</v>
      </c>
      <c r="AV398" s="192">
        <v>12212329</v>
      </c>
      <c r="AW398" s="181">
        <v>40.200000000000003</v>
      </c>
      <c r="AX398" s="179">
        <v>80362</v>
      </c>
      <c r="AY398" s="179"/>
    </row>
    <row r="399" spans="1:51" ht="14.4" x14ac:dyDescent="0.3">
      <c r="A399" s="179" t="s">
        <v>1651</v>
      </c>
      <c r="B399" s="179" t="s">
        <v>2927</v>
      </c>
      <c r="C399" s="180" t="s">
        <v>4696</v>
      </c>
      <c r="D399" s="181" t="s">
        <v>2822</v>
      </c>
      <c r="E399" s="181" t="s">
        <v>2821</v>
      </c>
      <c r="F399" s="182" t="s">
        <v>2929</v>
      </c>
      <c r="G399" s="181" t="s">
        <v>12</v>
      </c>
      <c r="H399" s="193">
        <v>44512</v>
      </c>
      <c r="I399" s="184"/>
      <c r="J399" s="179" t="s">
        <v>4697</v>
      </c>
      <c r="K399" s="179">
        <v>14</v>
      </c>
      <c r="L399" s="179" t="s">
        <v>2965</v>
      </c>
      <c r="M399" s="185"/>
      <c r="N399" s="185"/>
      <c r="O399" s="186"/>
      <c r="P399" s="185"/>
      <c r="Q399" s="182" t="s">
        <v>2933</v>
      </c>
      <c r="R399" s="182" t="s">
        <v>2934</v>
      </c>
      <c r="S399" s="182" t="s">
        <v>2952</v>
      </c>
      <c r="T399" s="179" t="s">
        <v>2953</v>
      </c>
      <c r="U399" s="179" t="s">
        <v>2937</v>
      </c>
      <c r="V399" s="187">
        <v>474</v>
      </c>
      <c r="W399" s="179" t="s">
        <v>4532</v>
      </c>
      <c r="X399" s="188">
        <v>296.4171</v>
      </c>
      <c r="Y399" s="188">
        <v>158.23769999999999</v>
      </c>
      <c r="Z399" s="188">
        <v>103.24860000000001</v>
      </c>
      <c r="AA399" s="188">
        <v>103.43789999999998</v>
      </c>
      <c r="AB399" s="188">
        <v>15.372</v>
      </c>
      <c r="AC399" s="188">
        <v>151.6704</v>
      </c>
      <c r="AD399" s="179" t="s">
        <v>2956</v>
      </c>
      <c r="AE399" s="188" t="s">
        <v>2957</v>
      </c>
      <c r="AF399" s="189">
        <v>0.29166666666666669</v>
      </c>
      <c r="AG399" s="189">
        <v>0.91666666666666663</v>
      </c>
      <c r="AH399" s="190" t="s">
        <v>2941</v>
      </c>
      <c r="AI399" s="190" t="s">
        <v>2942</v>
      </c>
      <c r="AJ399" s="179" t="s">
        <v>1649</v>
      </c>
      <c r="AK399" s="179" t="s">
        <v>3018</v>
      </c>
      <c r="AL399" s="179" t="s">
        <v>36</v>
      </c>
      <c r="AM399" s="179" t="s">
        <v>4698</v>
      </c>
      <c r="AN399" s="179" t="s">
        <v>2102</v>
      </c>
      <c r="AO399" s="179" t="s">
        <v>2387</v>
      </c>
      <c r="AP399" s="191">
        <v>81139000829</v>
      </c>
      <c r="AQ399" s="184">
        <v>43609</v>
      </c>
      <c r="AR399" s="179">
        <v>87</v>
      </c>
      <c r="AS399" s="199"/>
      <c r="AT399" s="198" t="s">
        <v>4699</v>
      </c>
      <c r="AU399" s="195" t="s">
        <v>2946</v>
      </c>
      <c r="AV399" s="192">
        <v>8918931</v>
      </c>
      <c r="AW399" s="181">
        <v>26.7</v>
      </c>
      <c r="AX399" s="179">
        <v>82164</v>
      </c>
      <c r="AY399" s="179"/>
    </row>
    <row r="400" spans="1:51" ht="14.4" x14ac:dyDescent="0.3">
      <c r="A400" s="179" t="s">
        <v>1189</v>
      </c>
      <c r="B400" s="179" t="s">
        <v>2927</v>
      </c>
      <c r="C400" s="180" t="s">
        <v>4700</v>
      </c>
      <c r="D400" s="181" t="s">
        <v>2854</v>
      </c>
      <c r="E400" s="181" t="s">
        <v>2821</v>
      </c>
      <c r="F400" s="182" t="s">
        <v>2929</v>
      </c>
      <c r="G400" s="181" t="s">
        <v>12</v>
      </c>
      <c r="H400" s="193">
        <v>43609</v>
      </c>
      <c r="I400" s="184"/>
      <c r="J400" s="179" t="s">
        <v>4701</v>
      </c>
      <c r="K400" s="179">
        <v>637</v>
      </c>
      <c r="L400" s="179" t="s">
        <v>3026</v>
      </c>
      <c r="M400" s="185"/>
      <c r="N400" s="185"/>
      <c r="O400" s="186"/>
      <c r="P400" s="185"/>
      <c r="Q400" s="182" t="s">
        <v>2933</v>
      </c>
      <c r="R400" s="182" t="s">
        <v>2934</v>
      </c>
      <c r="S400" s="182" t="s">
        <v>2952</v>
      </c>
      <c r="T400" s="179" t="s">
        <v>2974</v>
      </c>
      <c r="U400" s="179" t="s">
        <v>2937</v>
      </c>
      <c r="V400" s="187">
        <v>635</v>
      </c>
      <c r="W400" s="179" t="s">
        <v>4451</v>
      </c>
      <c r="X400" s="188">
        <v>214.70629999999997</v>
      </c>
      <c r="Y400" s="188">
        <v>137.93220000000002</v>
      </c>
      <c r="Z400" s="188">
        <v>107.52040000000001</v>
      </c>
      <c r="AA400" s="188">
        <v>76.608000000000004</v>
      </c>
      <c r="AB400" s="188">
        <v>9.3760000000000012</v>
      </c>
      <c r="AC400" s="188">
        <v>149.52000000000001</v>
      </c>
      <c r="AD400" s="179" t="s">
        <v>2956</v>
      </c>
      <c r="AE400" s="188" t="s">
        <v>2957</v>
      </c>
      <c r="AF400" s="189">
        <v>0.29166666666666669</v>
      </c>
      <c r="AG400" s="189">
        <v>0.95833333333333337</v>
      </c>
      <c r="AH400" s="190" t="s">
        <v>2941</v>
      </c>
      <c r="AI400" s="190" t="s">
        <v>2942</v>
      </c>
      <c r="AJ400" s="179" t="s">
        <v>1187</v>
      </c>
      <c r="AK400" s="179" t="s">
        <v>3302</v>
      </c>
      <c r="AL400" s="179" t="s">
        <v>9</v>
      </c>
      <c r="AM400" s="179" t="s">
        <v>4702</v>
      </c>
      <c r="AN400" s="179" t="s">
        <v>2102</v>
      </c>
      <c r="AO400" s="179" t="s">
        <v>2297</v>
      </c>
      <c r="AP400" s="191">
        <v>81138205376</v>
      </c>
      <c r="AQ400" s="184">
        <v>43609</v>
      </c>
      <c r="AR400" s="179">
        <v>87</v>
      </c>
      <c r="AS400" s="199"/>
      <c r="AT400" s="198" t="s">
        <v>4703</v>
      </c>
      <c r="AU400" s="198" t="s">
        <v>2946</v>
      </c>
      <c r="AV400" s="192">
        <v>10549632</v>
      </c>
      <c r="AW400" s="181">
        <v>15.4</v>
      </c>
      <c r="AX400" s="179">
        <v>80351</v>
      </c>
      <c r="AY400" s="179"/>
    </row>
    <row r="401" spans="1:51" ht="14.4" x14ac:dyDescent="0.3">
      <c r="A401" s="179" t="s">
        <v>435</v>
      </c>
      <c r="B401" s="179" t="s">
        <v>2947</v>
      </c>
      <c r="C401" s="180" t="s">
        <v>4704</v>
      </c>
      <c r="D401" s="181" t="s">
        <v>2832</v>
      </c>
      <c r="E401" s="181" t="s">
        <v>2813</v>
      </c>
      <c r="F401" s="182" t="s">
        <v>2929</v>
      </c>
      <c r="G401" s="181" t="s">
        <v>12</v>
      </c>
      <c r="H401" s="193">
        <v>43614</v>
      </c>
      <c r="I401" s="184"/>
      <c r="J401" s="179" t="s">
        <v>4705</v>
      </c>
      <c r="K401" s="179">
        <v>22</v>
      </c>
      <c r="L401" s="179" t="s">
        <v>2965</v>
      </c>
      <c r="M401" s="185"/>
      <c r="N401" s="185"/>
      <c r="O401" s="186"/>
      <c r="P401" s="185"/>
      <c r="Q401" s="182" t="s">
        <v>2933</v>
      </c>
      <c r="R401" s="182" t="s">
        <v>2934</v>
      </c>
      <c r="S401" s="182" t="s">
        <v>2952</v>
      </c>
      <c r="T401" s="179" t="s">
        <v>2974</v>
      </c>
      <c r="U401" s="179" t="s">
        <v>2954</v>
      </c>
      <c r="V401" s="187">
        <v>600</v>
      </c>
      <c r="W401" s="179" t="s">
        <v>3963</v>
      </c>
      <c r="X401" s="188">
        <v>261.39269999999999</v>
      </c>
      <c r="Y401" s="188">
        <v>105.95970000000001</v>
      </c>
      <c r="Z401" s="188">
        <v>85.624000000000009</v>
      </c>
      <c r="AA401" s="188">
        <v>141.03140000000002</v>
      </c>
      <c r="AB401" s="188">
        <v>8.1983999999999995</v>
      </c>
      <c r="AC401" s="188">
        <v>103.2672</v>
      </c>
      <c r="AD401" s="179" t="s">
        <v>2956</v>
      </c>
      <c r="AE401" s="188" t="s">
        <v>2957</v>
      </c>
      <c r="AF401" s="189">
        <v>0.29166666666666669</v>
      </c>
      <c r="AG401" s="189">
        <v>0.99930555555555556</v>
      </c>
      <c r="AH401" s="190" t="s">
        <v>2941</v>
      </c>
      <c r="AI401" s="190" t="s">
        <v>2985</v>
      </c>
      <c r="AJ401" s="179" t="s">
        <v>167</v>
      </c>
      <c r="AK401" s="179" t="s">
        <v>3241</v>
      </c>
      <c r="AL401" s="179" t="s">
        <v>9</v>
      </c>
      <c r="AM401" s="179" t="s">
        <v>4706</v>
      </c>
      <c r="AN401" s="179" t="s">
        <v>2102</v>
      </c>
      <c r="AO401" s="179" t="s">
        <v>2687</v>
      </c>
      <c r="AP401" s="191">
        <v>81139000817</v>
      </c>
      <c r="AQ401" s="184">
        <v>43614</v>
      </c>
      <c r="AR401" s="179">
        <v>86</v>
      </c>
      <c r="AS401" s="199"/>
      <c r="AT401" s="198"/>
      <c r="AU401" s="198"/>
      <c r="AV401" s="192">
        <v>12635000</v>
      </c>
      <c r="AW401" s="181">
        <v>41.2</v>
      </c>
      <c r="AX401" s="179">
        <v>80362</v>
      </c>
      <c r="AY401" s="179"/>
    </row>
    <row r="402" spans="1:51" ht="14.4" x14ac:dyDescent="0.3">
      <c r="A402" s="179" t="s">
        <v>1760</v>
      </c>
      <c r="B402" s="179" t="s">
        <v>2947</v>
      </c>
      <c r="C402" s="180" t="s">
        <v>4707</v>
      </c>
      <c r="D402" s="181" t="s">
        <v>2832</v>
      </c>
      <c r="E402" s="181" t="s">
        <v>2813</v>
      </c>
      <c r="F402" s="182" t="s">
        <v>2929</v>
      </c>
      <c r="G402" s="181" t="s">
        <v>12</v>
      </c>
      <c r="H402" s="193">
        <v>43615</v>
      </c>
      <c r="I402" s="184"/>
      <c r="J402" s="179" t="s">
        <v>4708</v>
      </c>
      <c r="K402" s="179">
        <v>530</v>
      </c>
      <c r="L402" s="179" t="s">
        <v>3026</v>
      </c>
      <c r="M402" s="185"/>
      <c r="N402" s="185"/>
      <c r="O402" s="186"/>
      <c r="P402" s="185"/>
      <c r="Q402" s="182" t="s">
        <v>2934</v>
      </c>
      <c r="R402" s="182" t="s">
        <v>2933</v>
      </c>
      <c r="S402" s="182" t="s">
        <v>2952</v>
      </c>
      <c r="T402" s="179" t="s">
        <v>2974</v>
      </c>
      <c r="U402" s="179" t="s">
        <v>2954</v>
      </c>
      <c r="V402" s="179">
        <v>834</v>
      </c>
      <c r="W402" s="179" t="s">
        <v>3549</v>
      </c>
      <c r="X402" s="188">
        <v>300.8</v>
      </c>
      <c r="Y402" s="188">
        <v>172.8</v>
      </c>
      <c r="Z402" s="188">
        <v>110.1413</v>
      </c>
      <c r="AA402" s="188">
        <v>120.46</v>
      </c>
      <c r="AB402" s="188">
        <v>14.129999999999999</v>
      </c>
      <c r="AC402" s="188">
        <v>32.838000000000001</v>
      </c>
      <c r="AD402" s="179" t="s">
        <v>2984</v>
      </c>
      <c r="AE402" s="188" t="s">
        <v>2940</v>
      </c>
      <c r="AF402" s="189">
        <v>0.29166666666666669</v>
      </c>
      <c r="AG402" s="189">
        <v>0.95833333333333337</v>
      </c>
      <c r="AH402" s="190" t="s">
        <v>2941</v>
      </c>
      <c r="AI402" s="190" t="s">
        <v>2985</v>
      </c>
      <c r="AJ402" s="179" t="s">
        <v>167</v>
      </c>
      <c r="AK402" s="179" t="s">
        <v>3241</v>
      </c>
      <c r="AL402" s="179" t="s">
        <v>9</v>
      </c>
      <c r="AM402" s="179" t="s">
        <v>4709</v>
      </c>
      <c r="AN402" s="179" t="s">
        <v>2102</v>
      </c>
      <c r="AO402" s="179" t="s">
        <v>2676</v>
      </c>
      <c r="AP402" s="191">
        <v>81139000834</v>
      </c>
      <c r="AQ402" s="184">
        <v>43615</v>
      </c>
      <c r="AR402" s="179">
        <v>86</v>
      </c>
      <c r="AS402" s="199"/>
      <c r="AT402" s="198"/>
      <c r="AU402" s="198"/>
      <c r="AV402" s="192">
        <v>11313631</v>
      </c>
      <c r="AW402" s="181">
        <v>41.4</v>
      </c>
      <c r="AX402" s="179">
        <v>80362</v>
      </c>
      <c r="AY402" s="179"/>
    </row>
    <row r="403" spans="1:51" ht="14.4" x14ac:dyDescent="0.3">
      <c r="A403" s="179" t="s">
        <v>1843</v>
      </c>
      <c r="B403" s="179" t="s">
        <v>2947</v>
      </c>
      <c r="C403" s="180" t="s">
        <v>4710</v>
      </c>
      <c r="D403" s="181" t="s">
        <v>2863</v>
      </c>
      <c r="E403" s="181" t="s">
        <v>2813</v>
      </c>
      <c r="F403" s="182" t="s">
        <v>2929</v>
      </c>
      <c r="G403" s="181" t="s">
        <v>12</v>
      </c>
      <c r="H403" s="193">
        <v>43615</v>
      </c>
      <c r="I403" s="184"/>
      <c r="J403" s="179" t="s">
        <v>4711</v>
      </c>
      <c r="K403" s="179">
        <v>130</v>
      </c>
      <c r="L403" s="179" t="s">
        <v>2950</v>
      </c>
      <c r="M403" s="185"/>
      <c r="N403" s="185" t="s">
        <v>2951</v>
      </c>
      <c r="O403" s="186"/>
      <c r="P403" s="185"/>
      <c r="Q403" s="182" t="s">
        <v>2933</v>
      </c>
      <c r="R403" s="182" t="s">
        <v>2934</v>
      </c>
      <c r="S403" s="182" t="s">
        <v>2952</v>
      </c>
      <c r="T403" s="179" t="s">
        <v>4623</v>
      </c>
      <c r="U403" s="179" t="s">
        <v>2954</v>
      </c>
      <c r="V403" s="187">
        <v>292</v>
      </c>
      <c r="W403" s="179" t="s">
        <v>3151</v>
      </c>
      <c r="X403" s="188">
        <v>238.78400000000002</v>
      </c>
      <c r="Y403" s="188">
        <v>173.922</v>
      </c>
      <c r="Z403" s="188">
        <v>114.81859999999999</v>
      </c>
      <c r="AA403" s="188">
        <v>60.27</v>
      </c>
      <c r="AB403" s="188">
        <v>12.510400000000001</v>
      </c>
      <c r="AC403" s="188">
        <v>32.344900000000003</v>
      </c>
      <c r="AD403" s="179" t="s">
        <v>2984</v>
      </c>
      <c r="AE403" s="188" t="s">
        <v>2940</v>
      </c>
      <c r="AF403" s="189">
        <v>0.29166666666666669</v>
      </c>
      <c r="AG403" s="189">
        <v>0.91666666666666663</v>
      </c>
      <c r="AH403" s="190" t="s">
        <v>2941</v>
      </c>
      <c r="AI403" s="190" t="s">
        <v>2942</v>
      </c>
      <c r="AJ403" s="179" t="s">
        <v>131</v>
      </c>
      <c r="AK403" s="179" t="s">
        <v>3293</v>
      </c>
      <c r="AL403" s="179" t="s">
        <v>9</v>
      </c>
      <c r="AM403" s="179" t="s">
        <v>4712</v>
      </c>
      <c r="AN403" s="179" t="s">
        <v>2102</v>
      </c>
      <c r="AO403" s="179" t="s">
        <v>2509</v>
      </c>
      <c r="AP403" s="191">
        <v>81139000840</v>
      </c>
      <c r="AQ403" s="184">
        <v>43615</v>
      </c>
      <c r="AR403" s="179">
        <v>86</v>
      </c>
      <c r="AS403" s="199"/>
      <c r="AT403" s="198"/>
      <c r="AU403" s="198"/>
      <c r="AV403" s="192">
        <v>10790000</v>
      </c>
      <c r="AW403" s="181">
        <v>30.8</v>
      </c>
      <c r="AX403" s="179">
        <v>80361</v>
      </c>
      <c r="AY403" s="179"/>
    </row>
    <row r="404" spans="1:51" ht="14.4" x14ac:dyDescent="0.3">
      <c r="A404" s="179" t="s">
        <v>1853</v>
      </c>
      <c r="B404" s="179" t="s">
        <v>2947</v>
      </c>
      <c r="C404" s="180" t="s">
        <v>3464</v>
      </c>
      <c r="D404" s="181" t="s">
        <v>2835</v>
      </c>
      <c r="E404" s="181" t="s">
        <v>2834</v>
      </c>
      <c r="F404" s="182" t="s">
        <v>2929</v>
      </c>
      <c r="G404" s="181" t="s">
        <v>12</v>
      </c>
      <c r="H404" s="193">
        <v>43616</v>
      </c>
      <c r="I404" s="184"/>
      <c r="J404" s="179" t="s">
        <v>4713</v>
      </c>
      <c r="K404" s="179">
        <v>180</v>
      </c>
      <c r="L404" s="179" t="s">
        <v>2965</v>
      </c>
      <c r="M404" s="185"/>
      <c r="N404" s="185" t="s">
        <v>2951</v>
      </c>
      <c r="O404" s="186"/>
      <c r="P404" s="185"/>
      <c r="Q404" s="182" t="s">
        <v>2934</v>
      </c>
      <c r="R404" s="182" t="s">
        <v>2933</v>
      </c>
      <c r="S404" s="182" t="s">
        <v>2952</v>
      </c>
      <c r="T404" s="179" t="s">
        <v>2974</v>
      </c>
      <c r="U404" s="179" t="s">
        <v>2954</v>
      </c>
      <c r="V404" s="179">
        <v>1044</v>
      </c>
      <c r="W404" s="179" t="s">
        <v>4616</v>
      </c>
      <c r="X404" s="188">
        <v>209.13200000000001</v>
      </c>
      <c r="Y404" s="188">
        <v>124.4516</v>
      </c>
      <c r="Z404" s="188">
        <v>98.783999999999992</v>
      </c>
      <c r="AA404" s="188">
        <v>76.721699999999998</v>
      </c>
      <c r="AB404" s="188">
        <v>8.1920000000000002</v>
      </c>
      <c r="AC404" s="188">
        <v>49.336799999999997</v>
      </c>
      <c r="AD404" s="179" t="s">
        <v>2984</v>
      </c>
      <c r="AE404" s="188" t="s">
        <v>2957</v>
      </c>
      <c r="AF404" s="189">
        <v>0.29166666666666669</v>
      </c>
      <c r="AG404" s="189">
        <v>0.91666666666666663</v>
      </c>
      <c r="AH404" s="190" t="s">
        <v>2941</v>
      </c>
      <c r="AI404" s="190" t="s">
        <v>2942</v>
      </c>
      <c r="AJ404" s="179" t="s">
        <v>1438</v>
      </c>
      <c r="AK404" s="179" t="s">
        <v>32</v>
      </c>
      <c r="AL404" s="179" t="s">
        <v>32</v>
      </c>
      <c r="AM404" s="179" t="s">
        <v>4714</v>
      </c>
      <c r="AN404" s="179" t="s">
        <v>2102</v>
      </c>
      <c r="AO404" s="179" t="s">
        <v>2546</v>
      </c>
      <c r="AP404" s="191">
        <v>81139008367</v>
      </c>
      <c r="AQ404" s="184">
        <v>43616</v>
      </c>
      <c r="AR404" s="179">
        <v>86</v>
      </c>
      <c r="AS404" s="199"/>
      <c r="AT404" s="198" t="s">
        <v>4715</v>
      </c>
      <c r="AU404" s="198" t="s">
        <v>2946</v>
      </c>
      <c r="AV404" s="192">
        <v>11830000</v>
      </c>
      <c r="AW404" s="181">
        <v>41</v>
      </c>
      <c r="AX404" s="179">
        <v>80614</v>
      </c>
      <c r="AY404" s="179"/>
    </row>
    <row r="405" spans="1:51" ht="14.4" x14ac:dyDescent="0.3">
      <c r="A405" s="179" t="s">
        <v>1207</v>
      </c>
      <c r="B405" s="179" t="s">
        <v>2947</v>
      </c>
      <c r="C405" s="180" t="s">
        <v>4716</v>
      </c>
      <c r="D405" s="181" t="s">
        <v>2839</v>
      </c>
      <c r="E405" s="181" t="s">
        <v>2834</v>
      </c>
      <c r="F405" s="182" t="s">
        <v>2929</v>
      </c>
      <c r="G405" s="181" t="s">
        <v>12</v>
      </c>
      <c r="H405" s="193">
        <v>43616</v>
      </c>
      <c r="I405" s="184"/>
      <c r="J405" s="179" t="s">
        <v>4717</v>
      </c>
      <c r="K405" s="179">
        <v>100</v>
      </c>
      <c r="L405" s="179" t="s">
        <v>2965</v>
      </c>
      <c r="M405" s="185"/>
      <c r="N405" s="185"/>
      <c r="O405" s="186"/>
      <c r="P405" s="185"/>
      <c r="Q405" s="182" t="s">
        <v>2934</v>
      </c>
      <c r="R405" s="182" t="s">
        <v>2933</v>
      </c>
      <c r="S405" s="182" t="s">
        <v>2952</v>
      </c>
      <c r="T405" s="179" t="s">
        <v>2974</v>
      </c>
      <c r="U405" s="179" t="s">
        <v>2954</v>
      </c>
      <c r="V405" s="179">
        <v>1493</v>
      </c>
      <c r="W405" s="179" t="s">
        <v>3861</v>
      </c>
      <c r="X405" s="188">
        <v>206.97620000000001</v>
      </c>
      <c r="Y405" s="188">
        <v>97.704599999999999</v>
      </c>
      <c r="Z405" s="188">
        <v>78.586199999999991</v>
      </c>
      <c r="AA405" s="188">
        <v>81.450599999999994</v>
      </c>
      <c r="AB405" s="188">
        <v>17.687999999999999</v>
      </c>
      <c r="AC405" s="188">
        <v>69.607200000000006</v>
      </c>
      <c r="AD405" s="179" t="s">
        <v>2956</v>
      </c>
      <c r="AE405" s="188" t="s">
        <v>2957</v>
      </c>
      <c r="AF405" s="189">
        <v>0.29166666666666669</v>
      </c>
      <c r="AG405" s="189">
        <v>0.91666666666666663</v>
      </c>
      <c r="AH405" s="190" t="s">
        <v>2941</v>
      </c>
      <c r="AI405" s="190" t="s">
        <v>2942</v>
      </c>
      <c r="AJ405" s="179" t="s">
        <v>156</v>
      </c>
      <c r="AK405" s="179" t="s">
        <v>3404</v>
      </c>
      <c r="AL405" s="179" t="s">
        <v>32</v>
      </c>
      <c r="AM405" s="179" t="s">
        <v>4718</v>
      </c>
      <c r="AN405" s="179" t="s">
        <v>2102</v>
      </c>
      <c r="AO405" s="179" t="s">
        <v>2752</v>
      </c>
      <c r="AP405" s="191">
        <v>81139000784</v>
      </c>
      <c r="AQ405" s="184">
        <v>43616</v>
      </c>
      <c r="AR405" s="179">
        <v>86</v>
      </c>
      <c r="AS405" s="199"/>
      <c r="AT405" s="198"/>
      <c r="AU405" s="198"/>
      <c r="AV405" s="192">
        <v>10673300</v>
      </c>
      <c r="AW405" s="181">
        <v>52.7</v>
      </c>
      <c r="AX405" s="179">
        <v>80652</v>
      </c>
      <c r="AY405" s="179"/>
    </row>
    <row r="406" spans="1:51" ht="14.4" x14ac:dyDescent="0.3">
      <c r="A406" s="179" t="s">
        <v>1648</v>
      </c>
      <c r="B406" s="179" t="s">
        <v>2927</v>
      </c>
      <c r="C406" s="180" t="s">
        <v>4719</v>
      </c>
      <c r="D406" s="181" t="s">
        <v>2851</v>
      </c>
      <c r="E406" s="181" t="s">
        <v>2817</v>
      </c>
      <c r="F406" s="182" t="s">
        <v>2929</v>
      </c>
      <c r="G406" s="181" t="s">
        <v>12</v>
      </c>
      <c r="H406" s="193">
        <v>43639</v>
      </c>
      <c r="I406" s="184"/>
      <c r="J406" s="179" t="s">
        <v>3008</v>
      </c>
      <c r="K406" s="179" t="s">
        <v>3008</v>
      </c>
      <c r="L406" s="179" t="s">
        <v>2932</v>
      </c>
      <c r="M406" s="185"/>
      <c r="N406" s="185"/>
      <c r="O406" s="186"/>
      <c r="P406" s="185"/>
      <c r="Q406" s="182" t="s">
        <v>4720</v>
      </c>
      <c r="R406" s="182" t="s">
        <v>4721</v>
      </c>
      <c r="S406" s="182" t="s">
        <v>2952</v>
      </c>
      <c r="T406" s="179" t="s">
        <v>2974</v>
      </c>
      <c r="U406" s="179" t="s">
        <v>2937</v>
      </c>
      <c r="V406" s="179"/>
      <c r="W406" s="179" t="s">
        <v>3292</v>
      </c>
      <c r="X406" s="188">
        <v>206.31</v>
      </c>
      <c r="Y406" s="188">
        <v>126.54600000000001</v>
      </c>
      <c r="Z406" s="188">
        <v>78.844200000000001</v>
      </c>
      <c r="AA406" s="188">
        <v>78.03</v>
      </c>
      <c r="AB406" s="188">
        <v>9.85</v>
      </c>
      <c r="AC406" s="188">
        <v>24.6036</v>
      </c>
      <c r="AD406" s="179" t="s">
        <v>2939</v>
      </c>
      <c r="AE406" s="188" t="s">
        <v>2940</v>
      </c>
      <c r="AF406" s="189">
        <v>0.29166666666666669</v>
      </c>
      <c r="AG406" s="189">
        <v>0.95833333333333337</v>
      </c>
      <c r="AH406" s="190" t="s">
        <v>2941</v>
      </c>
      <c r="AI406" s="190" t="s">
        <v>2985</v>
      </c>
      <c r="AJ406" s="179" t="s">
        <v>756</v>
      </c>
      <c r="AK406" s="179" t="s">
        <v>3256</v>
      </c>
      <c r="AL406" s="179" t="s">
        <v>4</v>
      </c>
      <c r="AM406" s="179" t="s">
        <v>4722</v>
      </c>
      <c r="AN406" s="179" t="s">
        <v>2102</v>
      </c>
      <c r="AO406" s="179" t="s">
        <v>2392</v>
      </c>
      <c r="AP406" s="191">
        <v>81139002210</v>
      </c>
      <c r="AQ406" s="184">
        <v>43639</v>
      </c>
      <c r="AR406" s="179">
        <v>86</v>
      </c>
      <c r="AS406" s="199"/>
      <c r="AT406" s="198"/>
      <c r="AU406" s="198"/>
      <c r="AV406" s="192">
        <v>8615250</v>
      </c>
      <c r="AW406" s="181">
        <v>40.1</v>
      </c>
      <c r="AX406" s="179">
        <v>80222</v>
      </c>
      <c r="AY406" s="179"/>
    </row>
    <row r="407" spans="1:51" ht="14.4" x14ac:dyDescent="0.3">
      <c r="A407" s="179" t="s">
        <v>950</v>
      </c>
      <c r="B407" s="179" t="s">
        <v>2927</v>
      </c>
      <c r="C407" s="180" t="s">
        <v>4723</v>
      </c>
      <c r="D407" s="181" t="s">
        <v>2831</v>
      </c>
      <c r="E407" s="181" t="s">
        <v>2830</v>
      </c>
      <c r="F407" s="182" t="s">
        <v>2929</v>
      </c>
      <c r="G407" s="181" t="s">
        <v>12</v>
      </c>
      <c r="H407" s="193">
        <v>43640</v>
      </c>
      <c r="I407" s="184"/>
      <c r="J407" s="179" t="s">
        <v>4724</v>
      </c>
      <c r="K407" s="179">
        <v>1100</v>
      </c>
      <c r="L407" s="179" t="s">
        <v>2932</v>
      </c>
      <c r="M407" s="185"/>
      <c r="N407" s="185"/>
      <c r="O407" s="186"/>
      <c r="P407" s="185"/>
      <c r="Q407" s="182" t="s">
        <v>2933</v>
      </c>
      <c r="R407" s="182" t="s">
        <v>3729</v>
      </c>
      <c r="S407" s="182" t="s">
        <v>2952</v>
      </c>
      <c r="T407" s="179" t="s">
        <v>2953</v>
      </c>
      <c r="U407" s="179" t="s">
        <v>2937</v>
      </c>
      <c r="V407" s="179"/>
      <c r="W407" s="179" t="s">
        <v>4616</v>
      </c>
      <c r="X407" s="188">
        <v>358.803</v>
      </c>
      <c r="Y407" s="188">
        <v>183.07350000000002</v>
      </c>
      <c r="Z407" s="188">
        <v>114.88500000000001</v>
      </c>
      <c r="AA407" s="188">
        <v>132.756</v>
      </c>
      <c r="AB407" s="188">
        <v>10.98</v>
      </c>
      <c r="AC407" s="188">
        <v>36.1325</v>
      </c>
      <c r="AD407" s="179" t="s">
        <v>2984</v>
      </c>
      <c r="AE407" s="188" t="s">
        <v>2940</v>
      </c>
      <c r="AF407" s="189">
        <v>0.29166666666666669</v>
      </c>
      <c r="AG407" s="189">
        <v>0.91666666666666663</v>
      </c>
      <c r="AH407" s="190" t="s">
        <v>2941</v>
      </c>
      <c r="AI407" s="190" t="s">
        <v>2985</v>
      </c>
      <c r="AJ407" s="179" t="s">
        <v>379</v>
      </c>
      <c r="AK407" s="179" t="s">
        <v>3256</v>
      </c>
      <c r="AL407" s="179" t="s">
        <v>4</v>
      </c>
      <c r="AM407" s="179" t="s">
        <v>4725</v>
      </c>
      <c r="AN407" s="179" t="s">
        <v>2102</v>
      </c>
      <c r="AO407" s="179" t="s">
        <v>2743</v>
      </c>
      <c r="AP407" s="191">
        <v>81139002309</v>
      </c>
      <c r="AQ407" s="184">
        <v>43640</v>
      </c>
      <c r="AR407" s="179">
        <v>86</v>
      </c>
      <c r="AS407" s="199"/>
      <c r="AT407" s="198" t="s">
        <v>4726</v>
      </c>
      <c r="AU407" s="198" t="s">
        <v>2946</v>
      </c>
      <c r="AV407" s="192">
        <v>12620150</v>
      </c>
      <c r="AW407" s="181">
        <v>40.1</v>
      </c>
      <c r="AX407" s="179">
        <v>80228</v>
      </c>
      <c r="AY407" s="179"/>
    </row>
    <row r="408" spans="1:51" ht="14.4" x14ac:dyDescent="0.3">
      <c r="A408" s="179" t="s">
        <v>765</v>
      </c>
      <c r="B408" s="179" t="s">
        <v>2927</v>
      </c>
      <c r="C408" s="180" t="s">
        <v>4727</v>
      </c>
      <c r="D408" s="181" t="s">
        <v>2844</v>
      </c>
      <c r="E408" s="181" t="s">
        <v>2834</v>
      </c>
      <c r="F408" s="182" t="s">
        <v>2929</v>
      </c>
      <c r="G408" s="181" t="s">
        <v>12</v>
      </c>
      <c r="H408" s="193">
        <v>43676</v>
      </c>
      <c r="I408" s="184"/>
      <c r="J408" s="179" t="s">
        <v>3008</v>
      </c>
      <c r="K408" s="179" t="s">
        <v>3008</v>
      </c>
      <c r="L408" s="179" t="s">
        <v>2932</v>
      </c>
      <c r="M408" s="185"/>
      <c r="N408" s="185"/>
      <c r="O408" s="186"/>
      <c r="P408" s="185"/>
      <c r="Q408" s="182" t="s">
        <v>2934</v>
      </c>
      <c r="R408" s="182" t="s">
        <v>2933</v>
      </c>
      <c r="S408" s="182" t="s">
        <v>2935</v>
      </c>
      <c r="T408" s="179" t="s">
        <v>2974</v>
      </c>
      <c r="U408" s="179" t="s">
        <v>2937</v>
      </c>
      <c r="V408" s="179">
        <v>969</v>
      </c>
      <c r="W408" s="179" t="s">
        <v>3549</v>
      </c>
      <c r="X408" s="188">
        <v>241.17750000000004</v>
      </c>
      <c r="Y408" s="188">
        <v>175.5675</v>
      </c>
      <c r="Z408" s="188">
        <v>110.44199999999999</v>
      </c>
      <c r="AA408" s="188">
        <v>59.25</v>
      </c>
      <c r="AB408" s="188">
        <v>17.625</v>
      </c>
      <c r="AC408" s="188">
        <v>30.359999999999996</v>
      </c>
      <c r="AD408" s="179" t="s">
        <v>2984</v>
      </c>
      <c r="AE408" s="188" t="s">
        <v>2940</v>
      </c>
      <c r="AF408" s="189">
        <v>0.29166666666666669</v>
      </c>
      <c r="AG408" s="189">
        <v>0.91666666666666663</v>
      </c>
      <c r="AH408" s="190" t="s">
        <v>2941</v>
      </c>
      <c r="AI408" s="190" t="s">
        <v>2985</v>
      </c>
      <c r="AJ408" s="179" t="s">
        <v>763</v>
      </c>
      <c r="AK408" s="179" t="s">
        <v>28</v>
      </c>
      <c r="AL408" s="179" t="s">
        <v>28</v>
      </c>
      <c r="AM408" s="179" t="s">
        <v>4728</v>
      </c>
      <c r="AN408" s="179" t="s">
        <v>2102</v>
      </c>
      <c r="AO408" s="179" t="s">
        <v>2408</v>
      </c>
      <c r="AP408" s="191">
        <v>81139000838</v>
      </c>
      <c r="AQ408" s="184">
        <v>43676</v>
      </c>
      <c r="AR408" s="179">
        <v>84</v>
      </c>
      <c r="AS408" s="199"/>
      <c r="AT408" s="198" t="s">
        <v>4729</v>
      </c>
      <c r="AU408" s="198" t="s">
        <v>2946</v>
      </c>
      <c r="AV408" s="192">
        <v>10752699</v>
      </c>
      <c r="AW408" s="181">
        <v>22.7</v>
      </c>
      <c r="AX408" s="179">
        <v>80515</v>
      </c>
      <c r="AY408" s="179"/>
    </row>
    <row r="409" spans="1:51" ht="14.4" x14ac:dyDescent="0.3">
      <c r="A409" s="179" t="s">
        <v>1831</v>
      </c>
      <c r="B409" s="179" t="s">
        <v>2927</v>
      </c>
      <c r="C409" s="180" t="s">
        <v>4730</v>
      </c>
      <c r="D409" s="181" t="s">
        <v>2845</v>
      </c>
      <c r="E409" s="181" t="s">
        <v>2821</v>
      </c>
      <c r="F409" s="182" t="s">
        <v>2929</v>
      </c>
      <c r="G409" s="181" t="s">
        <v>12</v>
      </c>
      <c r="H409" s="193">
        <v>43707</v>
      </c>
      <c r="I409" s="184"/>
      <c r="J409" s="179" t="s">
        <v>3008</v>
      </c>
      <c r="K409" s="179" t="s">
        <v>3008</v>
      </c>
      <c r="L409" s="179" t="s">
        <v>2932</v>
      </c>
      <c r="M409" s="185"/>
      <c r="N409" s="185"/>
      <c r="O409" s="186"/>
      <c r="P409" s="185"/>
      <c r="Q409" s="182" t="s">
        <v>2934</v>
      </c>
      <c r="R409" s="182" t="s">
        <v>2933</v>
      </c>
      <c r="S409" s="182" t="s">
        <v>2935</v>
      </c>
      <c r="T409" s="179" t="s">
        <v>2953</v>
      </c>
      <c r="U409" s="179" t="s">
        <v>2937</v>
      </c>
      <c r="V409" s="186"/>
      <c r="W409" s="179" t="s">
        <v>3549</v>
      </c>
      <c r="X409" s="188">
        <v>458.21640000000002</v>
      </c>
      <c r="Y409" s="188">
        <v>226.16119999999998</v>
      </c>
      <c r="Z409" s="188">
        <v>120.396</v>
      </c>
      <c r="AA409" s="188">
        <v>240.88760000000002</v>
      </c>
      <c r="AB409" s="188">
        <v>32.42</v>
      </c>
      <c r="AC409" s="188">
        <v>46.214399999999998</v>
      </c>
      <c r="AD409" s="179" t="s">
        <v>2984</v>
      </c>
      <c r="AE409" s="188" t="s">
        <v>2940</v>
      </c>
      <c r="AF409" s="189">
        <v>0.29166666666666669</v>
      </c>
      <c r="AG409" s="189">
        <v>0.91666666666666663</v>
      </c>
      <c r="AH409" s="190" t="s">
        <v>2941</v>
      </c>
      <c r="AI409" s="190" t="s">
        <v>2942</v>
      </c>
      <c r="AJ409" s="179" t="s">
        <v>1829</v>
      </c>
      <c r="AK409" s="179" t="s">
        <v>4569</v>
      </c>
      <c r="AL409" s="179" t="s">
        <v>36</v>
      </c>
      <c r="AM409" s="179" t="s">
        <v>4731</v>
      </c>
      <c r="AN409" s="179" t="s">
        <v>2102</v>
      </c>
      <c r="AO409" s="179" t="s">
        <v>2302</v>
      </c>
      <c r="AP409" s="191">
        <v>81139001223</v>
      </c>
      <c r="AQ409" s="184">
        <v>43707</v>
      </c>
      <c r="AR409" s="179">
        <v>83</v>
      </c>
      <c r="AS409" s="199"/>
      <c r="AT409" s="198"/>
      <c r="AU409" s="198"/>
      <c r="AV409" s="192">
        <v>13305081</v>
      </c>
      <c r="AW409" s="181">
        <v>37.299999999999997</v>
      </c>
      <c r="AX409" s="179">
        <v>82164</v>
      </c>
      <c r="AY409" s="179"/>
    </row>
    <row r="410" spans="1:51" ht="14.4" x14ac:dyDescent="0.3">
      <c r="A410" s="179" t="s">
        <v>710</v>
      </c>
      <c r="B410" s="179" t="s">
        <v>2927</v>
      </c>
      <c r="C410" s="180" t="s">
        <v>4732</v>
      </c>
      <c r="D410" s="181" t="s">
        <v>2836</v>
      </c>
      <c r="E410" s="181" t="s">
        <v>2825</v>
      </c>
      <c r="F410" s="182" t="s">
        <v>2972</v>
      </c>
      <c r="G410" s="181" t="s">
        <v>17</v>
      </c>
      <c r="H410" s="193">
        <v>43724</v>
      </c>
      <c r="I410" s="184"/>
      <c r="J410" s="179" t="s">
        <v>4733</v>
      </c>
      <c r="K410" s="179">
        <v>680</v>
      </c>
      <c r="L410" s="179" t="s">
        <v>3026</v>
      </c>
      <c r="M410" s="185"/>
      <c r="N410" s="185"/>
      <c r="O410" s="179" t="s">
        <v>2951</v>
      </c>
      <c r="P410" s="185"/>
      <c r="Q410" s="182" t="s">
        <v>2933</v>
      </c>
      <c r="R410" s="182" t="s">
        <v>2934</v>
      </c>
      <c r="S410" s="182" t="s">
        <v>2952</v>
      </c>
      <c r="T410" s="179" t="s">
        <v>2974</v>
      </c>
      <c r="U410" s="179" t="s">
        <v>2937</v>
      </c>
      <c r="V410" s="187">
        <v>531</v>
      </c>
      <c r="W410" s="179" t="s">
        <v>2975</v>
      </c>
      <c r="X410" s="188">
        <v>393.12</v>
      </c>
      <c r="Y410" s="188">
        <v>160.54500000000002</v>
      </c>
      <c r="Z410" s="188">
        <v>121.94580000000001</v>
      </c>
      <c r="AA410" s="188">
        <v>176.71499999999997</v>
      </c>
      <c r="AB410" s="188">
        <v>16.836500000000001</v>
      </c>
      <c r="AC410" s="188">
        <v>62.450700000000005</v>
      </c>
      <c r="AD410" s="179" t="s">
        <v>2956</v>
      </c>
      <c r="AE410" s="188" t="s">
        <v>2957</v>
      </c>
      <c r="AF410" s="189">
        <v>0.29166666666666669</v>
      </c>
      <c r="AG410" s="189">
        <v>0.91666666666666663</v>
      </c>
      <c r="AH410" s="190" t="s">
        <v>2941</v>
      </c>
      <c r="AI410" s="190" t="s">
        <v>2942</v>
      </c>
      <c r="AJ410" s="179" t="s">
        <v>708</v>
      </c>
      <c r="AK410" s="179" t="s">
        <v>3302</v>
      </c>
      <c r="AL410" s="179" t="s">
        <v>9</v>
      </c>
      <c r="AM410" s="179" t="s">
        <v>4734</v>
      </c>
      <c r="AN410" s="179" t="s">
        <v>2102</v>
      </c>
      <c r="AO410" s="179" t="s">
        <v>2391</v>
      </c>
      <c r="AP410" s="191">
        <v>81139000826</v>
      </c>
      <c r="AQ410" s="184">
        <v>43724</v>
      </c>
      <c r="AR410" s="179">
        <v>83</v>
      </c>
      <c r="AS410" s="199"/>
      <c r="AT410" s="198" t="s">
        <v>4735</v>
      </c>
      <c r="AU410" s="198" t="s">
        <v>2946</v>
      </c>
      <c r="AV410" s="192">
        <v>9509311</v>
      </c>
      <c r="AW410" s="181">
        <v>3.9</v>
      </c>
      <c r="AX410" s="179">
        <v>80351</v>
      </c>
      <c r="AY410" s="179"/>
    </row>
    <row r="411" spans="1:51" ht="14.4" x14ac:dyDescent="0.3">
      <c r="A411" s="204" t="s">
        <v>904</v>
      </c>
      <c r="B411" s="179" t="s">
        <v>2947</v>
      </c>
      <c r="C411" s="180" t="s">
        <v>4736</v>
      </c>
      <c r="D411" s="181" t="s">
        <v>2839</v>
      </c>
      <c r="E411" s="181" t="s">
        <v>2834</v>
      </c>
      <c r="F411" s="182" t="s">
        <v>2972</v>
      </c>
      <c r="G411" s="181" t="s">
        <v>17</v>
      </c>
      <c r="H411" s="193">
        <v>43765</v>
      </c>
      <c r="I411" s="184"/>
      <c r="J411" s="179" t="s">
        <v>4737</v>
      </c>
      <c r="K411" s="179">
        <v>210</v>
      </c>
      <c r="L411" s="179" t="s">
        <v>2950</v>
      </c>
      <c r="M411" s="185"/>
      <c r="N411" s="185"/>
      <c r="O411" s="186"/>
      <c r="P411" s="185"/>
      <c r="Q411" s="182" t="s">
        <v>2933</v>
      </c>
      <c r="R411" s="182" t="s">
        <v>2934</v>
      </c>
      <c r="S411" s="182" t="s">
        <v>2952</v>
      </c>
      <c r="T411" s="179" t="s">
        <v>2974</v>
      </c>
      <c r="U411" s="179" t="s">
        <v>2954</v>
      </c>
      <c r="V411" s="187">
        <v>995</v>
      </c>
      <c r="W411" s="179" t="s">
        <v>4451</v>
      </c>
      <c r="X411" s="188">
        <v>207.72499999999999</v>
      </c>
      <c r="Y411" s="188">
        <v>132.4512</v>
      </c>
      <c r="Z411" s="188">
        <v>100.8015</v>
      </c>
      <c r="AA411" s="188">
        <v>77.036299999999997</v>
      </c>
      <c r="AB411" s="188">
        <v>11.39</v>
      </c>
      <c r="AC411" s="188">
        <v>91.151200000000003</v>
      </c>
      <c r="AD411" s="179" t="s">
        <v>2956</v>
      </c>
      <c r="AE411" s="188" t="s">
        <v>2957</v>
      </c>
      <c r="AF411" s="189">
        <v>0.29166666666666669</v>
      </c>
      <c r="AG411" s="189">
        <v>0.91666666666666663</v>
      </c>
      <c r="AH411" s="190" t="s">
        <v>2941</v>
      </c>
      <c r="AI411" s="190" t="s">
        <v>2942</v>
      </c>
      <c r="AJ411" s="179" t="s">
        <v>902</v>
      </c>
      <c r="AK411" s="179" t="s">
        <v>3404</v>
      </c>
      <c r="AL411" s="179" t="s">
        <v>32</v>
      </c>
      <c r="AM411" s="179" t="s">
        <v>4738</v>
      </c>
      <c r="AN411" s="179" t="s">
        <v>2102</v>
      </c>
      <c r="AO411" s="179" t="s">
        <v>2754</v>
      </c>
      <c r="AP411" s="191">
        <v>81139000786</v>
      </c>
      <c r="AQ411" s="184">
        <v>43765</v>
      </c>
      <c r="AR411" s="179">
        <v>82</v>
      </c>
      <c r="AS411" s="194"/>
      <c r="AT411" s="195" t="s">
        <v>4739</v>
      </c>
      <c r="AU411" s="198" t="s">
        <v>2946</v>
      </c>
      <c r="AV411" s="192">
        <v>10885000</v>
      </c>
      <c r="AW411" s="181">
        <v>52.4</v>
      </c>
      <c r="AX411" s="179">
        <v>80652</v>
      </c>
      <c r="AY411" s="179"/>
    </row>
    <row r="412" spans="1:51" ht="14.4" x14ac:dyDescent="0.3">
      <c r="A412" s="179" t="s">
        <v>1557</v>
      </c>
      <c r="B412" s="179" t="s">
        <v>2927</v>
      </c>
      <c r="C412" s="180" t="s">
        <v>4740</v>
      </c>
      <c r="D412" s="181" t="s">
        <v>2865</v>
      </c>
      <c r="E412" s="181" t="s">
        <v>2817</v>
      </c>
      <c r="F412" s="182" t="s">
        <v>2929</v>
      </c>
      <c r="G412" s="181" t="s">
        <v>12</v>
      </c>
      <c r="H412" s="193">
        <v>43769</v>
      </c>
      <c r="I412" s="184"/>
      <c r="J412" s="179" t="s">
        <v>4741</v>
      </c>
      <c r="K412" s="179">
        <v>144</v>
      </c>
      <c r="L412" s="179" t="s">
        <v>2950</v>
      </c>
      <c r="M412" s="185"/>
      <c r="N412" s="185"/>
      <c r="O412" s="186"/>
      <c r="P412" s="185"/>
      <c r="Q412" s="182" t="s">
        <v>3729</v>
      </c>
      <c r="R412" s="182" t="s">
        <v>2933</v>
      </c>
      <c r="S412" s="182" t="s">
        <v>2952</v>
      </c>
      <c r="T412" s="179" t="s">
        <v>2974</v>
      </c>
      <c r="U412" s="179" t="s">
        <v>2937</v>
      </c>
      <c r="V412" s="179">
        <v>690</v>
      </c>
      <c r="W412" s="179" t="s">
        <v>4532</v>
      </c>
      <c r="X412" s="188">
        <v>192.035</v>
      </c>
      <c r="Y412" s="188">
        <v>192.035</v>
      </c>
      <c r="Z412" s="188">
        <v>114.46</v>
      </c>
      <c r="AA412" s="188">
        <v>0</v>
      </c>
      <c r="AB412" s="188">
        <v>18.904999999999998</v>
      </c>
      <c r="AC412" s="188">
        <v>35.673000000000002</v>
      </c>
      <c r="AD412" s="179" t="s">
        <v>2984</v>
      </c>
      <c r="AE412" s="188" t="s">
        <v>2940</v>
      </c>
      <c r="AF412" s="189">
        <v>0.33333333333333331</v>
      </c>
      <c r="AG412" s="189">
        <v>0.95833333333333337</v>
      </c>
      <c r="AH412" s="190" t="s">
        <v>2941</v>
      </c>
      <c r="AI412" s="190" t="s">
        <v>2942</v>
      </c>
      <c r="AJ412" s="179" t="s">
        <v>125</v>
      </c>
      <c r="AK412" s="179" t="s">
        <v>3293</v>
      </c>
      <c r="AL412" s="179" t="s">
        <v>9</v>
      </c>
      <c r="AM412" s="179" t="s">
        <v>4742</v>
      </c>
      <c r="AN412" s="179" t="s">
        <v>2102</v>
      </c>
      <c r="AO412" s="179" t="s">
        <v>2353</v>
      </c>
      <c r="AP412" s="191">
        <v>81139002505</v>
      </c>
      <c r="AQ412" s="184">
        <v>43769</v>
      </c>
      <c r="AR412" s="179">
        <v>81</v>
      </c>
      <c r="AS412" s="194"/>
      <c r="AT412" s="195" t="s">
        <v>4743</v>
      </c>
      <c r="AU412" s="195" t="s">
        <v>2946</v>
      </c>
      <c r="AV412" s="192">
        <v>10417623</v>
      </c>
      <c r="AW412" s="181">
        <v>24.4</v>
      </c>
      <c r="AX412" s="179">
        <v>80361</v>
      </c>
      <c r="AY412" s="179"/>
    </row>
    <row r="413" spans="1:51" ht="14.4" x14ac:dyDescent="0.3">
      <c r="A413" s="205" t="s">
        <v>1344</v>
      </c>
      <c r="B413" s="179" t="s">
        <v>2947</v>
      </c>
      <c r="C413" s="180" t="s">
        <v>4744</v>
      </c>
      <c r="D413" s="181" t="s">
        <v>2865</v>
      </c>
      <c r="E413" s="181" t="s">
        <v>2817</v>
      </c>
      <c r="F413" s="182" t="s">
        <v>2929</v>
      </c>
      <c r="G413" s="181" t="s">
        <v>12</v>
      </c>
      <c r="H413" s="193">
        <v>44512</v>
      </c>
      <c r="I413" s="184"/>
      <c r="J413" s="179" t="s">
        <v>3008</v>
      </c>
      <c r="K413" s="179" t="s">
        <v>3008</v>
      </c>
      <c r="L413" s="179" t="s">
        <v>2932</v>
      </c>
      <c r="M413" s="185"/>
      <c r="N413" s="185" t="s">
        <v>2951</v>
      </c>
      <c r="O413" s="186"/>
      <c r="P413" s="185"/>
      <c r="Q413" s="182" t="s">
        <v>2933</v>
      </c>
      <c r="R413" s="182" t="s">
        <v>2934</v>
      </c>
      <c r="S413" s="182" t="s">
        <v>2952</v>
      </c>
      <c r="T413" s="179" t="s">
        <v>2974</v>
      </c>
      <c r="U413" s="179" t="s">
        <v>2954</v>
      </c>
      <c r="V413" s="187">
        <v>157</v>
      </c>
      <c r="W413" s="179" t="s">
        <v>3151</v>
      </c>
      <c r="X413" s="188">
        <v>236.80799999999999</v>
      </c>
      <c r="Y413" s="188">
        <v>149.864</v>
      </c>
      <c r="Z413" s="188">
        <v>101.55499999999999</v>
      </c>
      <c r="AA413" s="188">
        <v>88.2</v>
      </c>
      <c r="AB413" s="188">
        <v>13.328000000000001</v>
      </c>
      <c r="AC413" s="188">
        <v>33.095100000000002</v>
      </c>
      <c r="AD413" s="179" t="s">
        <v>2984</v>
      </c>
      <c r="AE413" s="188" t="s">
        <v>2940</v>
      </c>
      <c r="AF413" s="189">
        <v>0.29166666666666669</v>
      </c>
      <c r="AG413" s="189">
        <v>0.95833333333333337</v>
      </c>
      <c r="AH413" s="190" t="s">
        <v>2941</v>
      </c>
      <c r="AI413" s="190" t="s">
        <v>2942</v>
      </c>
      <c r="AJ413" s="179" t="s">
        <v>125</v>
      </c>
      <c r="AK413" s="179" t="s">
        <v>3293</v>
      </c>
      <c r="AL413" s="179" t="s">
        <v>9</v>
      </c>
      <c r="AM413" s="179" t="s">
        <v>4745</v>
      </c>
      <c r="AN413" s="179" t="s">
        <v>2102</v>
      </c>
      <c r="AO413" s="179" t="s">
        <v>2780</v>
      </c>
      <c r="AP413" s="191">
        <v>8113971838</v>
      </c>
      <c r="AQ413" s="184">
        <v>43799</v>
      </c>
      <c r="AR413" s="179">
        <v>80</v>
      </c>
      <c r="AS413" s="194"/>
      <c r="AT413" s="195"/>
      <c r="AU413" s="195"/>
      <c r="AV413" s="192">
        <v>12596890</v>
      </c>
      <c r="AW413" s="181">
        <v>24.2</v>
      </c>
      <c r="AX413" s="179">
        <v>80361</v>
      </c>
      <c r="AY413" s="179"/>
    </row>
    <row r="414" spans="1:51" ht="14.4" x14ac:dyDescent="0.3">
      <c r="A414" s="205" t="s">
        <v>773</v>
      </c>
      <c r="B414" s="179" t="s">
        <v>2947</v>
      </c>
      <c r="C414" s="180" t="s">
        <v>4746</v>
      </c>
      <c r="D414" s="181" t="s">
        <v>2868</v>
      </c>
      <c r="E414" s="181" t="s">
        <v>2867</v>
      </c>
      <c r="F414" s="182" t="s">
        <v>3086</v>
      </c>
      <c r="G414" s="181" t="s">
        <v>535</v>
      </c>
      <c r="H414" s="193">
        <v>44984</v>
      </c>
      <c r="I414" s="184">
        <v>44984</v>
      </c>
      <c r="J414" s="179" t="s">
        <v>4747</v>
      </c>
      <c r="K414" s="179">
        <v>272</v>
      </c>
      <c r="L414" s="179" t="s">
        <v>2950</v>
      </c>
      <c r="M414" s="185"/>
      <c r="N414" s="185" t="s">
        <v>2951</v>
      </c>
      <c r="O414" s="179" t="s">
        <v>2951</v>
      </c>
      <c r="P414" s="185" t="s">
        <v>2951</v>
      </c>
      <c r="Q414" s="182" t="s">
        <v>2933</v>
      </c>
      <c r="R414" s="182" t="s">
        <v>2934</v>
      </c>
      <c r="S414" s="182" t="s">
        <v>2952</v>
      </c>
      <c r="T414" s="179" t="s">
        <v>2974</v>
      </c>
      <c r="U414" s="179" t="s">
        <v>2954</v>
      </c>
      <c r="V414" s="187">
        <v>404</v>
      </c>
      <c r="W414" s="179" t="s">
        <v>4748</v>
      </c>
      <c r="X414" s="188">
        <v>431.84129999999993</v>
      </c>
      <c r="Y414" s="188">
        <v>323.5573</v>
      </c>
      <c r="Z414" s="188">
        <v>161.965</v>
      </c>
      <c r="AA414" s="188">
        <v>112.60799999999999</v>
      </c>
      <c r="AB414" s="188">
        <v>33.51</v>
      </c>
      <c r="AC414" s="188">
        <v>88.485600000000005</v>
      </c>
      <c r="AD414" s="179" t="s">
        <v>2956</v>
      </c>
      <c r="AE414" s="188" t="s">
        <v>2940</v>
      </c>
      <c r="AF414" s="189">
        <v>0</v>
      </c>
      <c r="AG414" s="189">
        <v>0.99930555555555556</v>
      </c>
      <c r="AH414" s="190" t="s">
        <v>2976</v>
      </c>
      <c r="AI414" s="190" t="s">
        <v>2942</v>
      </c>
      <c r="AJ414" s="179" t="s">
        <v>24</v>
      </c>
      <c r="AK414" s="179" t="s">
        <v>2977</v>
      </c>
      <c r="AL414" s="179" t="s">
        <v>9</v>
      </c>
      <c r="AM414" s="179" t="s">
        <v>4749</v>
      </c>
      <c r="AN414" s="179" t="s">
        <v>2102</v>
      </c>
      <c r="AO414" s="179" t="s">
        <v>2807</v>
      </c>
      <c r="AP414" s="191">
        <v>8113971833</v>
      </c>
      <c r="AQ414" s="184">
        <v>43799</v>
      </c>
      <c r="AR414" s="179">
        <v>80</v>
      </c>
      <c r="AS414" s="194"/>
      <c r="AT414" s="195" t="s">
        <v>3481</v>
      </c>
      <c r="AU414" s="195" t="s">
        <v>2946</v>
      </c>
      <c r="AV414" s="192">
        <v>28670325</v>
      </c>
      <c r="AW414" s="181">
        <v>20.2</v>
      </c>
      <c r="AX414" s="179">
        <v>80363</v>
      </c>
      <c r="AY414" s="179"/>
    </row>
    <row r="415" spans="1:51" ht="14.4" x14ac:dyDescent="0.3">
      <c r="A415" s="205" t="s">
        <v>1561</v>
      </c>
      <c r="B415" s="179" t="s">
        <v>2947</v>
      </c>
      <c r="C415" s="180" t="s">
        <v>4750</v>
      </c>
      <c r="D415" s="181" t="s">
        <v>2823</v>
      </c>
      <c r="E415" s="181" t="s">
        <v>2819</v>
      </c>
      <c r="F415" s="182" t="s">
        <v>2929</v>
      </c>
      <c r="G415" s="181" t="s">
        <v>12</v>
      </c>
      <c r="H415" s="193">
        <v>43799</v>
      </c>
      <c r="I415" s="184"/>
      <c r="J415" s="179" t="s">
        <v>4751</v>
      </c>
      <c r="K415" s="179">
        <v>100</v>
      </c>
      <c r="L415" s="179" t="s">
        <v>2965</v>
      </c>
      <c r="M415" s="185"/>
      <c r="N415" s="185"/>
      <c r="O415" s="186"/>
      <c r="P415" s="185"/>
      <c r="Q415" s="182" t="s">
        <v>2933</v>
      </c>
      <c r="R415" s="182" t="s">
        <v>2934</v>
      </c>
      <c r="S415" s="182" t="s">
        <v>2952</v>
      </c>
      <c r="T415" s="179" t="s">
        <v>2974</v>
      </c>
      <c r="U415" s="179" t="s">
        <v>2954</v>
      </c>
      <c r="V415" s="187">
        <v>409</v>
      </c>
      <c r="W415" s="179" t="s">
        <v>4631</v>
      </c>
      <c r="X415" s="188">
        <v>235.36109999999999</v>
      </c>
      <c r="Y415" s="188">
        <v>115.2576</v>
      </c>
      <c r="Z415" s="188">
        <v>96.503199999999993</v>
      </c>
      <c r="AA415" s="188">
        <v>83.8643</v>
      </c>
      <c r="AB415" s="188">
        <v>20.822200000000002</v>
      </c>
      <c r="AC415" s="188">
        <v>107.91660000000002</v>
      </c>
      <c r="AD415" s="179" t="s">
        <v>2956</v>
      </c>
      <c r="AE415" s="188" t="s">
        <v>2957</v>
      </c>
      <c r="AF415" s="189">
        <v>0.29166666666666669</v>
      </c>
      <c r="AG415" s="189">
        <v>0.95833333333333337</v>
      </c>
      <c r="AH415" s="190" t="s">
        <v>2941</v>
      </c>
      <c r="AI415" s="190" t="s">
        <v>2942</v>
      </c>
      <c r="AJ415" s="179" t="s">
        <v>137</v>
      </c>
      <c r="AK415" s="179" t="s">
        <v>2977</v>
      </c>
      <c r="AL415" s="179" t="s">
        <v>9</v>
      </c>
      <c r="AM415" s="179" t="s">
        <v>4752</v>
      </c>
      <c r="AN415" s="179" t="s">
        <v>2102</v>
      </c>
      <c r="AO415" s="179" t="s">
        <v>2548</v>
      </c>
      <c r="AP415" s="191">
        <v>81139002207</v>
      </c>
      <c r="AQ415" s="184">
        <v>43799</v>
      </c>
      <c r="AR415" s="179">
        <v>80</v>
      </c>
      <c r="AS415" s="194"/>
      <c r="AT415" s="195"/>
      <c r="AU415" s="195"/>
      <c r="AV415" s="192">
        <v>12046243</v>
      </c>
      <c r="AW415" s="181">
        <v>21.1</v>
      </c>
      <c r="AX415" s="179">
        <v>80363</v>
      </c>
      <c r="AY415" s="179"/>
    </row>
    <row r="416" spans="1:51" ht="14.4" x14ac:dyDescent="0.3">
      <c r="A416" s="179" t="s">
        <v>1528</v>
      </c>
      <c r="B416" s="179" t="s">
        <v>2947</v>
      </c>
      <c r="C416" s="180" t="s">
        <v>4753</v>
      </c>
      <c r="D416" s="181" t="s">
        <v>2876</v>
      </c>
      <c r="E416" s="181" t="s">
        <v>2867</v>
      </c>
      <c r="F416" s="182" t="s">
        <v>3750</v>
      </c>
      <c r="G416" s="181" t="s">
        <v>134</v>
      </c>
      <c r="H416" s="193">
        <v>43823</v>
      </c>
      <c r="I416" s="184"/>
      <c r="J416" s="179" t="s">
        <v>3008</v>
      </c>
      <c r="K416" s="179" t="s">
        <v>3008</v>
      </c>
      <c r="L416" s="179" t="s">
        <v>2932</v>
      </c>
      <c r="M416" s="185" t="s">
        <v>3164</v>
      </c>
      <c r="N416" s="185"/>
      <c r="O416" s="179" t="s">
        <v>2951</v>
      </c>
      <c r="P416" s="185"/>
      <c r="Q416" s="182" t="s">
        <v>2998</v>
      </c>
      <c r="R416" s="182" t="s">
        <v>2933</v>
      </c>
      <c r="S416" s="182" t="s">
        <v>2952</v>
      </c>
      <c r="T416" s="179" t="s">
        <v>4623</v>
      </c>
      <c r="U416" s="179" t="s">
        <v>2954</v>
      </c>
      <c r="V416" s="179"/>
      <c r="W416" s="179" t="s">
        <v>4754</v>
      </c>
      <c r="X416" s="188">
        <v>297.17520000000002</v>
      </c>
      <c r="Y416" s="188">
        <v>74.023499999999999</v>
      </c>
      <c r="Z416" s="188">
        <v>35.8416</v>
      </c>
      <c r="AA416" s="188">
        <v>0</v>
      </c>
      <c r="AB416" s="188">
        <v>1</v>
      </c>
      <c r="AC416" s="188">
        <v>19.600000000000001</v>
      </c>
      <c r="AD416" s="179" t="s">
        <v>2939</v>
      </c>
      <c r="AE416" s="188" t="s">
        <v>2940</v>
      </c>
      <c r="AF416" s="189">
        <v>0.41666666666666669</v>
      </c>
      <c r="AG416" s="189">
        <v>0.83333333333333337</v>
      </c>
      <c r="AH416" s="190" t="s">
        <v>2941</v>
      </c>
      <c r="AI416" s="190" t="s">
        <v>2985</v>
      </c>
      <c r="AJ416" s="179" t="s">
        <v>426</v>
      </c>
      <c r="AK416" s="179" t="s">
        <v>3241</v>
      </c>
      <c r="AL416" s="179" t="s">
        <v>9</v>
      </c>
      <c r="AM416" s="179" t="s">
        <v>4755</v>
      </c>
      <c r="AN416" s="179" t="s">
        <v>2102</v>
      </c>
      <c r="AO416" s="179" t="s">
        <v>2554</v>
      </c>
      <c r="AP416" s="191">
        <v>81139002269</v>
      </c>
      <c r="AQ416" s="184">
        <v>43823</v>
      </c>
      <c r="AR416" s="179">
        <v>80</v>
      </c>
      <c r="AS416" s="199"/>
      <c r="AT416" s="198"/>
      <c r="AU416" s="198"/>
      <c r="AV416" s="192">
        <v>13570316</v>
      </c>
      <c r="AW416" s="181">
        <v>41.1</v>
      </c>
      <c r="AX416" s="179">
        <v>80362</v>
      </c>
      <c r="AY416" s="179"/>
    </row>
    <row r="417" spans="1:51" ht="14.4" x14ac:dyDescent="0.3">
      <c r="A417" s="179" t="s">
        <v>130</v>
      </c>
      <c r="B417" s="179" t="s">
        <v>2927</v>
      </c>
      <c r="C417" s="180" t="s">
        <v>4756</v>
      </c>
      <c r="D417" s="181" t="s">
        <v>2845</v>
      </c>
      <c r="E417" s="181" t="s">
        <v>2821</v>
      </c>
      <c r="F417" s="182" t="s">
        <v>2929</v>
      </c>
      <c r="G417" s="181" t="s">
        <v>12</v>
      </c>
      <c r="H417" s="193">
        <v>43823</v>
      </c>
      <c r="I417" s="184"/>
      <c r="J417" s="179" t="s">
        <v>4757</v>
      </c>
      <c r="K417" s="179">
        <v>26</v>
      </c>
      <c r="L417" s="179" t="s">
        <v>2965</v>
      </c>
      <c r="M417" s="185"/>
      <c r="N417" s="185"/>
      <c r="O417" s="186"/>
      <c r="P417" s="185"/>
      <c r="Q417" s="182" t="s">
        <v>2933</v>
      </c>
      <c r="R417" s="182" t="s">
        <v>2934</v>
      </c>
      <c r="S417" s="182" t="s">
        <v>2952</v>
      </c>
      <c r="T417" s="179" t="s">
        <v>2974</v>
      </c>
      <c r="U417" s="179" t="s">
        <v>2937</v>
      </c>
      <c r="V417" s="187">
        <v>942</v>
      </c>
      <c r="W417" s="179" t="s">
        <v>4239</v>
      </c>
      <c r="X417" s="188">
        <v>314.59199999999993</v>
      </c>
      <c r="Y417" s="188">
        <v>147.352</v>
      </c>
      <c r="Z417" s="188">
        <v>95.809399999999997</v>
      </c>
      <c r="AA417" s="188">
        <v>158.19999999999999</v>
      </c>
      <c r="AB417" s="188">
        <v>9.2539999999999996</v>
      </c>
      <c r="AC417" s="188">
        <v>26.680499999999999</v>
      </c>
      <c r="AD417" s="179" t="s">
        <v>2939</v>
      </c>
      <c r="AE417" s="188" t="s">
        <v>2940</v>
      </c>
      <c r="AF417" s="189">
        <v>0.29166666666666669</v>
      </c>
      <c r="AG417" s="189">
        <v>0.95833333333333337</v>
      </c>
      <c r="AH417" s="190" t="s">
        <v>2941</v>
      </c>
      <c r="AI417" s="190" t="s">
        <v>2942</v>
      </c>
      <c r="AJ417" s="179" t="s">
        <v>128</v>
      </c>
      <c r="AK417" s="179" t="s">
        <v>4569</v>
      </c>
      <c r="AL417" s="179" t="s">
        <v>36</v>
      </c>
      <c r="AM417" s="179" t="s">
        <v>4758</v>
      </c>
      <c r="AN417" s="179" t="s">
        <v>2102</v>
      </c>
      <c r="AO417" s="179" t="s">
        <v>2349</v>
      </c>
      <c r="AP417" s="191">
        <v>8113971839</v>
      </c>
      <c r="AQ417" s="184">
        <v>43823</v>
      </c>
      <c r="AR417" s="179">
        <v>80</v>
      </c>
      <c r="AS417" s="199"/>
      <c r="AT417" s="198" t="s">
        <v>4759</v>
      </c>
      <c r="AU417" s="198" t="s">
        <v>2946</v>
      </c>
      <c r="AV417" s="192">
        <v>7671048</v>
      </c>
      <c r="AW417" s="181">
        <v>40.200000000000003</v>
      </c>
      <c r="AX417" s="179">
        <v>82162</v>
      </c>
      <c r="AY417" s="179"/>
    </row>
    <row r="418" spans="1:51" ht="14.4" x14ac:dyDescent="0.3">
      <c r="A418" s="179" t="s">
        <v>305</v>
      </c>
      <c r="B418" s="179" t="s">
        <v>2947</v>
      </c>
      <c r="C418" s="180" t="s">
        <v>4760</v>
      </c>
      <c r="D418" s="181" t="s">
        <v>2862</v>
      </c>
      <c r="E418" s="181" t="s">
        <v>2819</v>
      </c>
      <c r="F418" s="182" t="s">
        <v>2972</v>
      </c>
      <c r="G418" s="181" t="s">
        <v>17</v>
      </c>
      <c r="H418" s="193">
        <v>45477</v>
      </c>
      <c r="I418" s="184"/>
      <c r="J418" s="179" t="s">
        <v>4761</v>
      </c>
      <c r="K418" s="179">
        <v>350</v>
      </c>
      <c r="L418" s="179" t="s">
        <v>2950</v>
      </c>
      <c r="M418" s="185"/>
      <c r="N418" s="185"/>
      <c r="O418" s="179" t="s">
        <v>2951</v>
      </c>
      <c r="P418" s="185"/>
      <c r="Q418" s="182" t="s">
        <v>2933</v>
      </c>
      <c r="R418" s="182" t="s">
        <v>2934</v>
      </c>
      <c r="S418" s="182" t="s">
        <v>2952</v>
      </c>
      <c r="T418" s="179" t="s">
        <v>2974</v>
      </c>
      <c r="U418" s="179" t="s">
        <v>2954</v>
      </c>
      <c r="V418" s="187">
        <v>420</v>
      </c>
      <c r="W418" s="179" t="s">
        <v>3406</v>
      </c>
      <c r="X418" s="188">
        <v>299.57399999999996</v>
      </c>
      <c r="Y418" s="188">
        <v>201.85199999999998</v>
      </c>
      <c r="Z418" s="188">
        <v>135.66360000000003</v>
      </c>
      <c r="AA418" s="188">
        <v>84.905999999999992</v>
      </c>
      <c r="AB418" s="188">
        <v>18.864000000000001</v>
      </c>
      <c r="AC418" s="188">
        <v>33.388300000000001</v>
      </c>
      <c r="AD418" s="179" t="s">
        <v>2984</v>
      </c>
      <c r="AE418" s="188" t="s">
        <v>2940</v>
      </c>
      <c r="AF418" s="189">
        <v>0</v>
      </c>
      <c r="AG418" s="189">
        <v>0.99930555555555556</v>
      </c>
      <c r="AH418" s="190" t="s">
        <v>2941</v>
      </c>
      <c r="AI418" s="190" t="s">
        <v>2942</v>
      </c>
      <c r="AJ418" s="179" t="s">
        <v>137</v>
      </c>
      <c r="AK418" s="179" t="s">
        <v>2977</v>
      </c>
      <c r="AL418" s="179" t="s">
        <v>9</v>
      </c>
      <c r="AM418" s="179" t="s">
        <v>4762</v>
      </c>
      <c r="AN418" s="179" t="s">
        <v>2102</v>
      </c>
      <c r="AO418" s="179" t="s">
        <v>2583</v>
      </c>
      <c r="AP418" s="191">
        <v>8113971843</v>
      </c>
      <c r="AQ418" s="184">
        <v>43827</v>
      </c>
      <c r="AR418" s="179">
        <v>80</v>
      </c>
      <c r="AS418" s="199"/>
      <c r="AT418" s="198"/>
      <c r="AU418" s="198"/>
      <c r="AV418" s="192">
        <v>15387908</v>
      </c>
      <c r="AW418" s="181">
        <v>23.1</v>
      </c>
      <c r="AX418" s="179">
        <v>80363</v>
      </c>
      <c r="AY418" s="179"/>
    </row>
    <row r="419" spans="1:51" ht="14.4" x14ac:dyDescent="0.3">
      <c r="A419" s="179" t="s">
        <v>1003</v>
      </c>
      <c r="B419" s="179" t="s">
        <v>2947</v>
      </c>
      <c r="C419" s="180" t="s">
        <v>4763</v>
      </c>
      <c r="D419" s="181" t="s">
        <v>2866</v>
      </c>
      <c r="E419" s="181" t="s">
        <v>2827</v>
      </c>
      <c r="F419" s="182" t="s">
        <v>2929</v>
      </c>
      <c r="G419" s="181" t="s">
        <v>12</v>
      </c>
      <c r="H419" s="193">
        <v>43829</v>
      </c>
      <c r="I419" s="184"/>
      <c r="J419" s="179" t="s">
        <v>3008</v>
      </c>
      <c r="K419" s="179" t="s">
        <v>3008</v>
      </c>
      <c r="L419" s="179" t="s">
        <v>2932</v>
      </c>
      <c r="M419" s="185"/>
      <c r="N419" s="185"/>
      <c r="O419" s="186"/>
      <c r="P419" s="185"/>
      <c r="Q419" s="182" t="s">
        <v>2934</v>
      </c>
      <c r="R419" s="182" t="s">
        <v>2933</v>
      </c>
      <c r="S419" s="182" t="s">
        <v>2952</v>
      </c>
      <c r="T419" s="179" t="s">
        <v>2974</v>
      </c>
      <c r="U419" s="179" t="s">
        <v>2954</v>
      </c>
      <c r="V419" s="179">
        <v>1479</v>
      </c>
      <c r="W419" s="179" t="s">
        <v>4764</v>
      </c>
      <c r="X419" s="188">
        <v>205.92454000000001</v>
      </c>
      <c r="Y419" s="188">
        <v>121.4092</v>
      </c>
      <c r="Z419" s="188">
        <v>78.828400000000002</v>
      </c>
      <c r="AA419" s="188">
        <v>74.617199999999997</v>
      </c>
      <c r="AB419" s="188">
        <v>10.528</v>
      </c>
      <c r="AC419" s="188">
        <v>58.497899999999994</v>
      </c>
      <c r="AD419" s="179" t="s">
        <v>2984</v>
      </c>
      <c r="AE419" s="188" t="s">
        <v>2957</v>
      </c>
      <c r="AF419" s="189">
        <v>0.29166666666666669</v>
      </c>
      <c r="AG419" s="189">
        <v>0.91666666666666663</v>
      </c>
      <c r="AH419" s="190" t="s">
        <v>2941</v>
      </c>
      <c r="AI419" s="190" t="s">
        <v>2942</v>
      </c>
      <c r="AJ419" s="179" t="s">
        <v>711</v>
      </c>
      <c r="AK419" s="179" t="s">
        <v>3511</v>
      </c>
      <c r="AL419" s="179" t="s">
        <v>48</v>
      </c>
      <c r="AM419" s="179" t="s">
        <v>4765</v>
      </c>
      <c r="AN419" s="179" t="s">
        <v>2102</v>
      </c>
      <c r="AO419" s="179" t="s">
        <v>2568</v>
      </c>
      <c r="AP419" s="191">
        <v>81138205375</v>
      </c>
      <c r="AQ419" s="184">
        <v>43829</v>
      </c>
      <c r="AR419" s="179">
        <v>79</v>
      </c>
      <c r="AS419" s="199"/>
      <c r="AT419" s="198"/>
      <c r="AU419" s="198"/>
      <c r="AV419" s="192">
        <v>10814882</v>
      </c>
      <c r="AW419" s="181">
        <v>60.1</v>
      </c>
      <c r="AX419" s="179">
        <v>81152</v>
      </c>
      <c r="AY419" s="179"/>
    </row>
    <row r="420" spans="1:51" ht="14.4" x14ac:dyDescent="0.3">
      <c r="A420" s="179" t="s">
        <v>1746</v>
      </c>
      <c r="B420" s="179" t="s">
        <v>2947</v>
      </c>
      <c r="C420" s="180" t="s">
        <v>4766</v>
      </c>
      <c r="D420" s="181" t="s">
        <v>2828</v>
      </c>
      <c r="E420" s="181" t="s">
        <v>2827</v>
      </c>
      <c r="F420" s="182" t="s">
        <v>2972</v>
      </c>
      <c r="G420" s="181" t="s">
        <v>17</v>
      </c>
      <c r="H420" s="193">
        <v>45842</v>
      </c>
      <c r="I420" s="184"/>
      <c r="J420" s="179" t="s">
        <v>3008</v>
      </c>
      <c r="K420" s="179" t="s">
        <v>3008</v>
      </c>
      <c r="L420" s="179" t="s">
        <v>2932</v>
      </c>
      <c r="M420" s="185"/>
      <c r="N420" s="185" t="s">
        <v>2951</v>
      </c>
      <c r="O420" s="186"/>
      <c r="P420" s="185"/>
      <c r="Q420" s="182" t="s">
        <v>2934</v>
      </c>
      <c r="R420" s="182" t="s">
        <v>2933</v>
      </c>
      <c r="S420" s="182" t="s">
        <v>2952</v>
      </c>
      <c r="T420" s="179" t="s">
        <v>2974</v>
      </c>
      <c r="U420" s="179" t="s">
        <v>2954</v>
      </c>
      <c r="V420" s="179">
        <v>1692</v>
      </c>
      <c r="W420" s="179" t="s">
        <v>3151</v>
      </c>
      <c r="X420" s="188">
        <v>365.12665999999996</v>
      </c>
      <c r="Y420" s="188">
        <v>190.81139999999999</v>
      </c>
      <c r="Z420" s="188">
        <v>121.88039999999999</v>
      </c>
      <c r="AA420" s="188">
        <v>163.26739999999998</v>
      </c>
      <c r="AB420" s="188">
        <v>16.416</v>
      </c>
      <c r="AC420" s="188">
        <v>34.773000000000003</v>
      </c>
      <c r="AD420" s="179" t="s">
        <v>2984</v>
      </c>
      <c r="AE420" s="188" t="s">
        <v>2940</v>
      </c>
      <c r="AF420" s="189">
        <v>0.29166666666666669</v>
      </c>
      <c r="AG420" s="189">
        <v>0.91666666666666663</v>
      </c>
      <c r="AH420" s="190" t="s">
        <v>2941</v>
      </c>
      <c r="AI420" s="190" t="s">
        <v>2942</v>
      </c>
      <c r="AJ420" s="179" t="s">
        <v>1744</v>
      </c>
      <c r="AK420" s="179" t="s">
        <v>3364</v>
      </c>
      <c r="AL420" s="179" t="s">
        <v>48</v>
      </c>
      <c r="AM420" s="179" t="s">
        <v>4767</v>
      </c>
      <c r="AN420" s="179" t="s">
        <v>2102</v>
      </c>
      <c r="AO420" s="179" t="s">
        <v>2559</v>
      </c>
      <c r="AP420" s="191">
        <v>8113971852</v>
      </c>
      <c r="AQ420" s="184">
        <v>43830</v>
      </c>
      <c r="AR420" s="179">
        <v>79</v>
      </c>
      <c r="AS420" s="199"/>
      <c r="AT420" s="198" t="s">
        <v>3175</v>
      </c>
      <c r="AU420" s="198" t="s">
        <v>2946</v>
      </c>
      <c r="AV420" s="192">
        <v>11417464</v>
      </c>
      <c r="AW420" s="181">
        <v>49.9</v>
      </c>
      <c r="AX420" s="179">
        <v>81161</v>
      </c>
      <c r="AY420" s="179"/>
    </row>
    <row r="421" spans="1:51" ht="14.4" x14ac:dyDescent="0.3">
      <c r="A421" s="179" t="s">
        <v>1428</v>
      </c>
      <c r="B421" s="179" t="s">
        <v>2947</v>
      </c>
      <c r="C421" s="180" t="s">
        <v>4768</v>
      </c>
      <c r="D421" s="181" t="s">
        <v>2863</v>
      </c>
      <c r="E421" s="181" t="s">
        <v>2813</v>
      </c>
      <c r="F421" s="182" t="s">
        <v>2929</v>
      </c>
      <c r="G421" s="181" t="s">
        <v>12</v>
      </c>
      <c r="H421" s="193">
        <v>44512</v>
      </c>
      <c r="I421" s="184"/>
      <c r="J421" s="179" t="s">
        <v>4769</v>
      </c>
      <c r="K421" s="179">
        <v>299</v>
      </c>
      <c r="L421" s="179" t="s">
        <v>2950</v>
      </c>
      <c r="M421" s="185"/>
      <c r="N421" s="185"/>
      <c r="O421" s="186"/>
      <c r="P421" s="185"/>
      <c r="Q421" s="182" t="s">
        <v>2933</v>
      </c>
      <c r="R421" s="182" t="s">
        <v>2934</v>
      </c>
      <c r="S421" s="182" t="s">
        <v>2952</v>
      </c>
      <c r="T421" s="179" t="s">
        <v>2974</v>
      </c>
      <c r="U421" s="179" t="s">
        <v>2954</v>
      </c>
      <c r="V421" s="187">
        <v>343</v>
      </c>
      <c r="W421" s="179" t="s">
        <v>4616</v>
      </c>
      <c r="X421" s="188">
        <v>216.12300000000002</v>
      </c>
      <c r="Y421" s="188">
        <v>139.72050000000002</v>
      </c>
      <c r="Z421" s="188">
        <v>95.757000000000005</v>
      </c>
      <c r="AA421" s="188">
        <v>61.762500000000003</v>
      </c>
      <c r="AB421" s="188">
        <v>11.505000000000001</v>
      </c>
      <c r="AC421" s="188">
        <v>146.47880000000001</v>
      </c>
      <c r="AD421" s="179" t="s">
        <v>2956</v>
      </c>
      <c r="AE421" s="188" t="s">
        <v>2957</v>
      </c>
      <c r="AF421" s="189">
        <v>0.29166666666666669</v>
      </c>
      <c r="AG421" s="189">
        <v>0.95833333333333337</v>
      </c>
      <c r="AH421" s="190" t="s">
        <v>2941</v>
      </c>
      <c r="AI421" s="190" t="s">
        <v>2942</v>
      </c>
      <c r="AJ421" s="179" t="s">
        <v>125</v>
      </c>
      <c r="AK421" s="179" t="s">
        <v>3293</v>
      </c>
      <c r="AL421" s="179" t="s">
        <v>9</v>
      </c>
      <c r="AM421" s="179" t="s">
        <v>4770</v>
      </c>
      <c r="AN421" s="179" t="s">
        <v>2102</v>
      </c>
      <c r="AO421" s="179" t="s">
        <v>2490</v>
      </c>
      <c r="AP421" s="191">
        <v>8113806045</v>
      </c>
      <c r="AQ421" s="184">
        <v>43830</v>
      </c>
      <c r="AR421" s="179">
        <v>79</v>
      </c>
      <c r="AS421" s="199"/>
      <c r="AT421" s="198" t="s">
        <v>4771</v>
      </c>
      <c r="AU421" s="198" t="s">
        <v>2946</v>
      </c>
      <c r="AV421" s="192">
        <v>12606502</v>
      </c>
      <c r="AW421" s="181">
        <v>33.200000000000003</v>
      </c>
      <c r="AX421" s="179">
        <v>80361</v>
      </c>
      <c r="AY421" s="179"/>
    </row>
    <row r="422" spans="1:51" ht="14.4" x14ac:dyDescent="0.3">
      <c r="A422" s="179" t="s">
        <v>713</v>
      </c>
      <c r="B422" s="179" t="s">
        <v>2947</v>
      </c>
      <c r="C422" s="180" t="s">
        <v>4772</v>
      </c>
      <c r="D422" s="181" t="s">
        <v>2848</v>
      </c>
      <c r="E422" s="181" t="s">
        <v>2827</v>
      </c>
      <c r="F422" s="182" t="s">
        <v>2929</v>
      </c>
      <c r="G422" s="181" t="s">
        <v>12</v>
      </c>
      <c r="H422" s="193">
        <v>43830</v>
      </c>
      <c r="I422" s="184"/>
      <c r="J422" s="179" t="s">
        <v>3008</v>
      </c>
      <c r="K422" s="179" t="s">
        <v>3008</v>
      </c>
      <c r="L422" s="179" t="s">
        <v>2932</v>
      </c>
      <c r="M422" s="185"/>
      <c r="N422" s="185"/>
      <c r="O422" s="186"/>
      <c r="P422" s="185"/>
      <c r="Q422" s="182" t="s">
        <v>2934</v>
      </c>
      <c r="R422" s="182" t="s">
        <v>2933</v>
      </c>
      <c r="S422" s="182" t="s">
        <v>2952</v>
      </c>
      <c r="T422" s="179" t="s">
        <v>2974</v>
      </c>
      <c r="U422" s="179" t="s">
        <v>2954</v>
      </c>
      <c r="V422" s="179">
        <v>1194</v>
      </c>
      <c r="W422" s="179" t="s">
        <v>3151</v>
      </c>
      <c r="X422" s="188">
        <v>360.90880000000004</v>
      </c>
      <c r="Y422" s="188">
        <v>279.50080000000003</v>
      </c>
      <c r="Z422" s="188">
        <v>168.43259999999998</v>
      </c>
      <c r="AA422" s="188">
        <v>74.803400000000011</v>
      </c>
      <c r="AB422" s="188">
        <v>33.32</v>
      </c>
      <c r="AC422" s="188">
        <v>50.0152</v>
      </c>
      <c r="AD422" s="179" t="s">
        <v>2984</v>
      </c>
      <c r="AE422" s="188" t="s">
        <v>2940</v>
      </c>
      <c r="AF422" s="189">
        <v>0.29166666666666669</v>
      </c>
      <c r="AG422" s="189">
        <v>0.95833333333333337</v>
      </c>
      <c r="AH422" s="190" t="s">
        <v>2941</v>
      </c>
      <c r="AI422" s="190" t="s">
        <v>2942</v>
      </c>
      <c r="AJ422" s="179" t="s">
        <v>711</v>
      </c>
      <c r="AK422" s="179" t="s">
        <v>3511</v>
      </c>
      <c r="AL422" s="179" t="s">
        <v>48</v>
      </c>
      <c r="AM422" s="179" t="s">
        <v>4773</v>
      </c>
      <c r="AN422" s="179" t="s">
        <v>2102</v>
      </c>
      <c r="AO422" s="179" t="s">
        <v>2671</v>
      </c>
      <c r="AP422" s="191">
        <v>8113971848</v>
      </c>
      <c r="AQ422" s="184">
        <v>43830</v>
      </c>
      <c r="AR422" s="179">
        <v>79</v>
      </c>
      <c r="AS422" s="199"/>
      <c r="AT422" s="198" t="s">
        <v>4774</v>
      </c>
      <c r="AU422" s="198" t="s">
        <v>2946</v>
      </c>
      <c r="AV422" s="192">
        <v>11218590</v>
      </c>
      <c r="AW422" s="181">
        <v>80.099999999999994</v>
      </c>
      <c r="AX422" s="179">
        <v>81152</v>
      </c>
      <c r="AY422" s="179"/>
    </row>
    <row r="423" spans="1:51" ht="14.4" x14ac:dyDescent="0.3">
      <c r="A423" s="179" t="s">
        <v>1717</v>
      </c>
      <c r="B423" s="179" t="s">
        <v>2927</v>
      </c>
      <c r="C423" s="180" t="s">
        <v>4775</v>
      </c>
      <c r="D423" s="181" t="s">
        <v>2824</v>
      </c>
      <c r="E423" s="181" t="s">
        <v>2813</v>
      </c>
      <c r="F423" s="182" t="s">
        <v>2929</v>
      </c>
      <c r="G423" s="181" t="s">
        <v>12</v>
      </c>
      <c r="H423" s="193">
        <v>43861</v>
      </c>
      <c r="I423" s="184"/>
      <c r="J423" s="179"/>
      <c r="K423" s="179"/>
      <c r="L423" s="179"/>
      <c r="M423" s="185"/>
      <c r="N423" s="185"/>
      <c r="O423" s="186"/>
      <c r="P423" s="185"/>
      <c r="Q423" s="182" t="s">
        <v>2933</v>
      </c>
      <c r="R423" s="182" t="s">
        <v>2934</v>
      </c>
      <c r="S423" s="182" t="s">
        <v>2952</v>
      </c>
      <c r="T423" s="179" t="s">
        <v>2953</v>
      </c>
      <c r="U423" s="179" t="s">
        <v>2937</v>
      </c>
      <c r="V423" s="187">
        <v>238</v>
      </c>
      <c r="W423" s="179" t="s">
        <v>4532</v>
      </c>
      <c r="X423" s="188">
        <v>450</v>
      </c>
      <c r="Y423" s="188">
        <v>271.2</v>
      </c>
      <c r="Z423" s="188">
        <v>144.06</v>
      </c>
      <c r="AA423" s="188">
        <v>166.845</v>
      </c>
      <c r="AB423" s="188">
        <v>45.57</v>
      </c>
      <c r="AC423" s="188">
        <v>63.597000000000001</v>
      </c>
      <c r="AD423" s="179" t="s">
        <v>2956</v>
      </c>
      <c r="AE423" s="188" t="s">
        <v>2940</v>
      </c>
      <c r="AF423" s="189">
        <v>0.29166666666666669</v>
      </c>
      <c r="AG423" s="189">
        <v>0.95833333333333337</v>
      </c>
      <c r="AH423" s="190" t="s">
        <v>2941</v>
      </c>
      <c r="AI423" s="190" t="s">
        <v>2985</v>
      </c>
      <c r="AJ423" s="179" t="s">
        <v>210</v>
      </c>
      <c r="AK423" s="179" t="s">
        <v>3241</v>
      </c>
      <c r="AL423" s="179" t="s">
        <v>9</v>
      </c>
      <c r="AM423" s="179" t="s">
        <v>4776</v>
      </c>
      <c r="AN423" s="179" t="s">
        <v>2102</v>
      </c>
      <c r="AO423" s="179" t="s">
        <v>2362</v>
      </c>
      <c r="AP423" s="191">
        <v>81138205381</v>
      </c>
      <c r="AQ423" s="184">
        <v>43861</v>
      </c>
      <c r="AR423" s="179">
        <v>78</v>
      </c>
      <c r="AS423" s="194">
        <v>44986</v>
      </c>
      <c r="AT423" s="195"/>
      <c r="AU423" s="195"/>
      <c r="AV423" s="192">
        <v>11723520</v>
      </c>
      <c r="AW423" s="181">
        <v>42.1</v>
      </c>
      <c r="AX423" s="179">
        <v>80362</v>
      </c>
      <c r="AY423" s="179" t="s">
        <v>4777</v>
      </c>
    </row>
    <row r="424" spans="1:51" ht="14.4" x14ac:dyDescent="0.3">
      <c r="A424" s="179" t="s">
        <v>1577</v>
      </c>
      <c r="B424" s="179" t="s">
        <v>2947</v>
      </c>
      <c r="C424" s="180" t="s">
        <v>4778</v>
      </c>
      <c r="D424" s="181" t="s">
        <v>2828</v>
      </c>
      <c r="E424" s="181" t="s">
        <v>2827</v>
      </c>
      <c r="F424" s="182" t="s">
        <v>2972</v>
      </c>
      <c r="G424" s="181" t="s">
        <v>17</v>
      </c>
      <c r="H424" s="193">
        <v>45931</v>
      </c>
      <c r="I424" s="184"/>
      <c r="J424" s="179" t="s">
        <v>4779</v>
      </c>
      <c r="K424" s="179">
        <v>180</v>
      </c>
      <c r="L424" s="179" t="s">
        <v>2965</v>
      </c>
      <c r="M424" s="185"/>
      <c r="N424" s="185" t="s">
        <v>2951</v>
      </c>
      <c r="O424" s="186"/>
      <c r="P424" s="185"/>
      <c r="Q424" s="182" t="s">
        <v>2933</v>
      </c>
      <c r="R424" s="182" t="s">
        <v>2934</v>
      </c>
      <c r="S424" s="182" t="s">
        <v>2952</v>
      </c>
      <c r="T424" s="179" t="s">
        <v>2974</v>
      </c>
      <c r="U424" s="179" t="s">
        <v>2954</v>
      </c>
      <c r="V424" s="187">
        <v>556</v>
      </c>
      <c r="W424" s="179" t="s">
        <v>3151</v>
      </c>
      <c r="X424" s="188">
        <v>378</v>
      </c>
      <c r="Y424" s="188">
        <v>281.40000000000003</v>
      </c>
      <c r="Z424" s="188">
        <v>128.78</v>
      </c>
      <c r="AA424" s="188">
        <v>87.68</v>
      </c>
      <c r="AB424" s="188">
        <v>27.4</v>
      </c>
      <c r="AC424" s="188">
        <v>99.722000000000008</v>
      </c>
      <c r="AD424" s="179" t="s">
        <v>2956</v>
      </c>
      <c r="AE424" s="188" t="s">
        <v>2940</v>
      </c>
      <c r="AF424" s="189">
        <v>0.29166666666666669</v>
      </c>
      <c r="AG424" s="189">
        <v>0.99930555555555556</v>
      </c>
      <c r="AH424" s="190" t="s">
        <v>2941</v>
      </c>
      <c r="AI424" s="190" t="s">
        <v>2942</v>
      </c>
      <c r="AJ424" s="179" t="s">
        <v>287</v>
      </c>
      <c r="AK424" s="179" t="s">
        <v>48</v>
      </c>
      <c r="AL424" s="179" t="s">
        <v>48</v>
      </c>
      <c r="AM424" s="179" t="s">
        <v>4780</v>
      </c>
      <c r="AN424" s="179" t="s">
        <v>2102</v>
      </c>
      <c r="AO424" s="179" t="s">
        <v>2591</v>
      </c>
      <c r="AP424" s="191">
        <v>81138205380</v>
      </c>
      <c r="AQ424" s="184">
        <v>43870</v>
      </c>
      <c r="AR424" s="179">
        <v>78</v>
      </c>
      <c r="AS424" s="179"/>
      <c r="AT424" s="181" t="s">
        <v>4781</v>
      </c>
      <c r="AU424" s="181" t="s">
        <v>2946</v>
      </c>
      <c r="AV424" s="192">
        <v>12597126</v>
      </c>
      <c r="AW424" s="181">
        <v>57.3</v>
      </c>
      <c r="AX424" s="179">
        <v>81119</v>
      </c>
      <c r="AY424" s="179"/>
    </row>
    <row r="425" spans="1:51" ht="14.4" x14ac:dyDescent="0.3">
      <c r="A425" s="179" t="s">
        <v>1680</v>
      </c>
      <c r="B425" s="179" t="s">
        <v>2947</v>
      </c>
      <c r="C425" s="180" t="s">
        <v>4782</v>
      </c>
      <c r="D425" s="181" t="s">
        <v>2814</v>
      </c>
      <c r="E425" s="181" t="s">
        <v>2813</v>
      </c>
      <c r="F425" s="182" t="s">
        <v>2972</v>
      </c>
      <c r="G425" s="181" t="s">
        <v>17</v>
      </c>
      <c r="H425" s="193">
        <v>45931</v>
      </c>
      <c r="I425" s="184"/>
      <c r="J425" s="179" t="s">
        <v>4783</v>
      </c>
      <c r="K425" s="179">
        <v>508</v>
      </c>
      <c r="L425" s="179" t="s">
        <v>3026</v>
      </c>
      <c r="M425" s="185"/>
      <c r="N425" s="185"/>
      <c r="O425" s="186"/>
      <c r="P425" s="185"/>
      <c r="Q425" s="182" t="s">
        <v>2933</v>
      </c>
      <c r="R425" s="182" t="s">
        <v>2934</v>
      </c>
      <c r="S425" s="182" t="s">
        <v>2952</v>
      </c>
      <c r="T425" s="179" t="s">
        <v>2974</v>
      </c>
      <c r="U425" s="179" t="s">
        <v>2954</v>
      </c>
      <c r="V425" s="187">
        <v>593</v>
      </c>
      <c r="W425" s="179" t="s">
        <v>3009</v>
      </c>
      <c r="X425" s="188">
        <v>319.90949999999998</v>
      </c>
      <c r="Y425" s="188">
        <v>222.70949999999999</v>
      </c>
      <c r="Z425" s="188">
        <v>130.35</v>
      </c>
      <c r="AA425" s="188">
        <v>88.875</v>
      </c>
      <c r="AB425" s="188">
        <v>23.7</v>
      </c>
      <c r="AC425" s="188">
        <v>50.25</v>
      </c>
      <c r="AD425" s="179" t="s">
        <v>2984</v>
      </c>
      <c r="AE425" s="188" t="s">
        <v>2940</v>
      </c>
      <c r="AF425" s="189">
        <v>0.29166666666666669</v>
      </c>
      <c r="AG425" s="189">
        <v>0.95833333333333337</v>
      </c>
      <c r="AH425" s="190" t="s">
        <v>2941</v>
      </c>
      <c r="AI425" s="190" t="s">
        <v>2985</v>
      </c>
      <c r="AJ425" s="179" t="s">
        <v>210</v>
      </c>
      <c r="AK425" s="179" t="s">
        <v>3241</v>
      </c>
      <c r="AL425" s="179" t="s">
        <v>9</v>
      </c>
      <c r="AM425" s="179" t="s">
        <v>4784</v>
      </c>
      <c r="AN425" s="179" t="s">
        <v>2102</v>
      </c>
      <c r="AO425" s="179" t="s">
        <v>2487</v>
      </c>
      <c r="AP425" s="191">
        <v>81138205372</v>
      </c>
      <c r="AQ425" s="184">
        <v>43871</v>
      </c>
      <c r="AR425" s="179">
        <v>78</v>
      </c>
      <c r="AS425" s="194"/>
      <c r="AT425" s="195"/>
      <c r="AU425" s="195"/>
      <c r="AV425" s="192">
        <v>12334420</v>
      </c>
      <c r="AW425" s="181">
        <v>42.9</v>
      </c>
      <c r="AX425" s="179">
        <v>80362</v>
      </c>
      <c r="AY425" s="179"/>
    </row>
    <row r="426" spans="1:51" ht="14.4" x14ac:dyDescent="0.3">
      <c r="A426" s="179" t="s">
        <v>707</v>
      </c>
      <c r="B426" s="179" t="s">
        <v>2947</v>
      </c>
      <c r="C426" s="180" t="s">
        <v>4785</v>
      </c>
      <c r="D426" s="181" t="s">
        <v>2876</v>
      </c>
      <c r="E426" s="181" t="s">
        <v>2867</v>
      </c>
      <c r="F426" s="182" t="s">
        <v>3086</v>
      </c>
      <c r="G426" s="181" t="s">
        <v>535</v>
      </c>
      <c r="H426" s="193">
        <v>45475</v>
      </c>
      <c r="I426" s="184"/>
      <c r="J426" s="179" t="s">
        <v>4786</v>
      </c>
      <c r="K426" s="179">
        <v>789</v>
      </c>
      <c r="L426" s="179" t="s">
        <v>3026</v>
      </c>
      <c r="M426" s="185"/>
      <c r="N426" s="185"/>
      <c r="O426" s="179" t="s">
        <v>2951</v>
      </c>
      <c r="P426" s="185" t="s">
        <v>2951</v>
      </c>
      <c r="Q426" s="182" t="s">
        <v>2933</v>
      </c>
      <c r="R426" s="182" t="s">
        <v>2934</v>
      </c>
      <c r="S426" s="182" t="s">
        <v>2952</v>
      </c>
      <c r="T426" s="179" t="s">
        <v>2974</v>
      </c>
      <c r="U426" s="179" t="s">
        <v>2954</v>
      </c>
      <c r="V426" s="179">
        <v>912</v>
      </c>
      <c r="W426" s="179" t="s">
        <v>2975</v>
      </c>
      <c r="X426" s="188">
        <v>502.8698</v>
      </c>
      <c r="Y426" s="188">
        <v>154.26750000000001</v>
      </c>
      <c r="Z426" s="188">
        <v>156.54999999999998</v>
      </c>
      <c r="AA426" s="188">
        <v>230.24200000000002</v>
      </c>
      <c r="AB426" s="188">
        <v>31.68</v>
      </c>
      <c r="AC426" s="188">
        <v>72.332999999999998</v>
      </c>
      <c r="AD426" s="179" t="s">
        <v>2956</v>
      </c>
      <c r="AE426" s="188" t="s">
        <v>2940</v>
      </c>
      <c r="AF426" s="189">
        <v>0</v>
      </c>
      <c r="AG426" s="189">
        <v>0.99930555555555556</v>
      </c>
      <c r="AH426" s="190" t="s">
        <v>2941</v>
      </c>
      <c r="AI426" s="190" t="s">
        <v>2985</v>
      </c>
      <c r="AJ426" s="179" t="s">
        <v>705</v>
      </c>
      <c r="AK426" s="179" t="s">
        <v>3241</v>
      </c>
      <c r="AL426" s="179" t="s">
        <v>9</v>
      </c>
      <c r="AM426" s="179" t="s">
        <v>4787</v>
      </c>
      <c r="AN426" s="179" t="s">
        <v>2102</v>
      </c>
      <c r="AO426" s="179" t="s">
        <v>2804</v>
      </c>
      <c r="AP426" s="191">
        <v>81139009559</v>
      </c>
      <c r="AQ426" s="184">
        <v>43879</v>
      </c>
      <c r="AR426" s="179">
        <v>78</v>
      </c>
      <c r="AS426" s="201">
        <v>44185</v>
      </c>
      <c r="AT426" s="202" t="s">
        <v>4788</v>
      </c>
      <c r="AU426" s="202" t="s">
        <v>4789</v>
      </c>
      <c r="AV426" s="192">
        <v>12167364</v>
      </c>
      <c r="AW426" s="181">
        <v>46.2</v>
      </c>
      <c r="AX426" s="179">
        <v>80362</v>
      </c>
      <c r="AY426" s="179"/>
    </row>
    <row r="427" spans="1:51" ht="14.4" x14ac:dyDescent="0.3">
      <c r="A427" s="179" t="s">
        <v>1291</v>
      </c>
      <c r="B427" s="179" t="s">
        <v>2927</v>
      </c>
      <c r="C427" s="180" t="s">
        <v>4790</v>
      </c>
      <c r="D427" s="181" t="s">
        <v>2852</v>
      </c>
      <c r="E427" s="181" t="s">
        <v>2817</v>
      </c>
      <c r="F427" s="182" t="s">
        <v>2972</v>
      </c>
      <c r="G427" s="181" t="s">
        <v>17</v>
      </c>
      <c r="H427" s="193">
        <v>43890</v>
      </c>
      <c r="I427" s="184"/>
      <c r="J427" s="179" t="s">
        <v>4791</v>
      </c>
      <c r="K427" s="179">
        <v>210</v>
      </c>
      <c r="L427" s="179" t="s">
        <v>2950</v>
      </c>
      <c r="M427" s="185"/>
      <c r="N427" s="185"/>
      <c r="O427" s="186"/>
      <c r="P427" s="185"/>
      <c r="Q427" s="182" t="s">
        <v>2933</v>
      </c>
      <c r="R427" s="182" t="s">
        <v>2934</v>
      </c>
      <c r="S427" s="182" t="s">
        <v>2952</v>
      </c>
      <c r="T427" s="179" t="s">
        <v>2974</v>
      </c>
      <c r="U427" s="179" t="s">
        <v>2937</v>
      </c>
      <c r="V427" s="187">
        <v>434</v>
      </c>
      <c r="W427" s="179" t="s">
        <v>2975</v>
      </c>
      <c r="X427" s="188">
        <v>647.10950000000003</v>
      </c>
      <c r="Y427" s="188">
        <v>282.43450000000001</v>
      </c>
      <c r="Z427" s="188">
        <v>169.65</v>
      </c>
      <c r="AA427" s="188">
        <v>384.79500000000002</v>
      </c>
      <c r="AB427" s="188">
        <v>37.700000000000003</v>
      </c>
      <c r="AC427" s="188">
        <v>53.410499999999999</v>
      </c>
      <c r="AD427" s="179" t="s">
        <v>2984</v>
      </c>
      <c r="AE427" s="188" t="s">
        <v>2940</v>
      </c>
      <c r="AF427" s="189">
        <v>0</v>
      </c>
      <c r="AG427" s="189">
        <v>0.99930555555555556</v>
      </c>
      <c r="AH427" s="190" t="s">
        <v>2941</v>
      </c>
      <c r="AI427" s="190" t="s">
        <v>2985</v>
      </c>
      <c r="AJ427" s="179" t="s">
        <v>256</v>
      </c>
      <c r="AK427" s="179" t="s">
        <v>3256</v>
      </c>
      <c r="AL427" s="179" t="s">
        <v>4</v>
      </c>
      <c r="AM427" s="179" t="s">
        <v>4792</v>
      </c>
      <c r="AN427" s="179" t="s">
        <v>2102</v>
      </c>
      <c r="AO427" s="179" t="s">
        <v>2358</v>
      </c>
      <c r="AP427" s="191">
        <v>81138205374</v>
      </c>
      <c r="AQ427" s="184">
        <v>43890</v>
      </c>
      <c r="AR427" s="179">
        <v>77</v>
      </c>
      <c r="AS427" s="179"/>
      <c r="AT427" s="181" t="s">
        <v>4793</v>
      </c>
      <c r="AU427" s="181" t="s">
        <v>2946</v>
      </c>
      <c r="AV427" s="192">
        <v>12284401</v>
      </c>
      <c r="AW427" s="181">
        <v>28</v>
      </c>
      <c r="AX427" s="179">
        <v>80221</v>
      </c>
      <c r="AY427" s="179"/>
    </row>
    <row r="428" spans="1:51" ht="14.4" x14ac:dyDescent="0.3">
      <c r="A428" s="179" t="s">
        <v>375</v>
      </c>
      <c r="B428" s="179" t="s">
        <v>2947</v>
      </c>
      <c r="C428" s="180" t="s">
        <v>4794</v>
      </c>
      <c r="D428" s="181" t="s">
        <v>2847</v>
      </c>
      <c r="E428" s="181" t="s">
        <v>2830</v>
      </c>
      <c r="F428" s="182" t="s">
        <v>2972</v>
      </c>
      <c r="G428" s="181" t="s">
        <v>17</v>
      </c>
      <c r="H428" s="193">
        <v>45725</v>
      </c>
      <c r="I428" s="193">
        <v>45725</v>
      </c>
      <c r="J428" s="179" t="s">
        <v>4795</v>
      </c>
      <c r="K428" s="179">
        <v>120</v>
      </c>
      <c r="L428" s="179" t="s">
        <v>2950</v>
      </c>
      <c r="M428" s="185"/>
      <c r="N428" s="185"/>
      <c r="O428" s="186"/>
      <c r="P428" s="185"/>
      <c r="Q428" s="182" t="s">
        <v>2933</v>
      </c>
      <c r="R428" s="182" t="s">
        <v>2934</v>
      </c>
      <c r="S428" s="182" t="s">
        <v>2952</v>
      </c>
      <c r="T428" s="179" t="s">
        <v>2974</v>
      </c>
      <c r="U428" s="179" t="s">
        <v>2954</v>
      </c>
      <c r="V428" s="187">
        <v>219</v>
      </c>
      <c r="W428" s="179" t="s">
        <v>3151</v>
      </c>
      <c r="X428" s="188">
        <v>314.57099999999997</v>
      </c>
      <c r="Y428" s="188">
        <v>180.774</v>
      </c>
      <c r="Z428" s="188">
        <v>116.06399999999999</v>
      </c>
      <c r="AA428" s="188">
        <v>139.3158</v>
      </c>
      <c r="AB428" s="188">
        <v>12.129000000000001</v>
      </c>
      <c r="AC428" s="188">
        <v>33.8688</v>
      </c>
      <c r="AD428" s="179" t="s">
        <v>2984</v>
      </c>
      <c r="AE428" s="188" t="s">
        <v>2940</v>
      </c>
      <c r="AF428" s="189">
        <v>0</v>
      </c>
      <c r="AG428" s="189">
        <v>0.99930555555555556</v>
      </c>
      <c r="AH428" s="190" t="s">
        <v>2976</v>
      </c>
      <c r="AI428" s="190" t="s">
        <v>2985</v>
      </c>
      <c r="AJ428" s="179" t="s">
        <v>373</v>
      </c>
      <c r="AK428" s="179" t="s">
        <v>3256</v>
      </c>
      <c r="AL428" s="179" t="s">
        <v>4</v>
      </c>
      <c r="AM428" s="179" t="s">
        <v>4796</v>
      </c>
      <c r="AN428" s="179" t="s">
        <v>2102</v>
      </c>
      <c r="AO428" s="179" t="s">
        <v>2611</v>
      </c>
      <c r="AP428" s="191">
        <v>81138205379</v>
      </c>
      <c r="AQ428" s="184">
        <v>43931</v>
      </c>
      <c r="AR428" s="179">
        <v>76</v>
      </c>
      <c r="AS428" s="194"/>
      <c r="AT428" s="195" t="s">
        <v>3898</v>
      </c>
      <c r="AU428" s="195"/>
      <c r="AV428" s="192">
        <v>12377318</v>
      </c>
      <c r="AW428" s="181">
        <v>31.1</v>
      </c>
      <c r="AX428" s="179">
        <v>80223</v>
      </c>
      <c r="AY428" s="179"/>
    </row>
    <row r="429" spans="1:51" ht="14.4" x14ac:dyDescent="0.3">
      <c r="A429" s="179" t="s">
        <v>1820</v>
      </c>
      <c r="B429" s="179" t="s">
        <v>2947</v>
      </c>
      <c r="C429" s="180" t="s">
        <v>4797</v>
      </c>
      <c r="D429" s="181" t="s">
        <v>2850</v>
      </c>
      <c r="E429" s="181" t="s">
        <v>2817</v>
      </c>
      <c r="F429" s="182" t="s">
        <v>2929</v>
      </c>
      <c r="G429" s="181" t="s">
        <v>12</v>
      </c>
      <c r="H429" s="193">
        <v>43953</v>
      </c>
      <c r="I429" s="184"/>
      <c r="J429" s="179" t="s">
        <v>4798</v>
      </c>
      <c r="K429" s="179">
        <v>300</v>
      </c>
      <c r="L429" s="179" t="s">
        <v>2950</v>
      </c>
      <c r="M429" s="185"/>
      <c r="N429" s="185"/>
      <c r="O429" s="186"/>
      <c r="P429" s="185"/>
      <c r="Q429" s="182" t="s">
        <v>2933</v>
      </c>
      <c r="R429" s="182" t="s">
        <v>2934</v>
      </c>
      <c r="S429" s="182" t="s">
        <v>2952</v>
      </c>
      <c r="T429" s="179" t="s">
        <v>2974</v>
      </c>
      <c r="U429" s="179" t="s">
        <v>2954</v>
      </c>
      <c r="V429" s="187">
        <v>491</v>
      </c>
      <c r="W429" s="179" t="s">
        <v>3151</v>
      </c>
      <c r="X429" s="188">
        <v>372.99359999999996</v>
      </c>
      <c r="Y429" s="188">
        <v>215.3424</v>
      </c>
      <c r="Z429" s="188">
        <v>133.61619999999999</v>
      </c>
      <c r="AA429" s="188">
        <v>119.1904</v>
      </c>
      <c r="AB429" s="188">
        <v>14.991999999999999</v>
      </c>
      <c r="AC429" s="188">
        <v>60.448000000000008</v>
      </c>
      <c r="AD429" s="179" t="s">
        <v>2956</v>
      </c>
      <c r="AE429" s="188" t="s">
        <v>2940</v>
      </c>
      <c r="AF429" s="189">
        <v>0.29166666666666669</v>
      </c>
      <c r="AG429" s="189">
        <v>0.95833333333333337</v>
      </c>
      <c r="AH429" s="190" t="s">
        <v>2941</v>
      </c>
      <c r="AI429" s="190" t="s">
        <v>2985</v>
      </c>
      <c r="AJ429" s="179" t="s">
        <v>647</v>
      </c>
      <c r="AK429" s="179" t="s">
        <v>3387</v>
      </c>
      <c r="AL429" s="179" t="s">
        <v>4</v>
      </c>
      <c r="AM429" s="179" t="s">
        <v>4799</v>
      </c>
      <c r="AN429" s="179" t="s">
        <v>2102</v>
      </c>
      <c r="AO429" s="179" t="s">
        <v>2598</v>
      </c>
      <c r="AP429" s="191">
        <v>81139001102</v>
      </c>
      <c r="AQ429" s="184">
        <v>43953</v>
      </c>
      <c r="AR429" s="179">
        <v>75</v>
      </c>
      <c r="AS429" s="194"/>
      <c r="AT429" s="195"/>
      <c r="AU429" s="195"/>
      <c r="AV429" s="192">
        <v>11949913</v>
      </c>
      <c r="AW429" s="181">
        <v>20.3</v>
      </c>
      <c r="AX429" s="179">
        <v>80238</v>
      </c>
      <c r="AY429" s="179"/>
    </row>
    <row r="430" spans="1:51" ht="14.4" x14ac:dyDescent="0.3">
      <c r="A430" s="179" t="s">
        <v>127</v>
      </c>
      <c r="B430" s="179" t="s">
        <v>2947</v>
      </c>
      <c r="C430" s="180" t="s">
        <v>4800</v>
      </c>
      <c r="D430" s="181" t="s">
        <v>2865</v>
      </c>
      <c r="E430" s="181" t="s">
        <v>2817</v>
      </c>
      <c r="F430" s="182" t="s">
        <v>2929</v>
      </c>
      <c r="G430" s="181" t="s">
        <v>12</v>
      </c>
      <c r="H430" s="193">
        <v>43953</v>
      </c>
      <c r="I430" s="184"/>
      <c r="J430" s="179" t="s">
        <v>4801</v>
      </c>
      <c r="K430" s="179">
        <v>48</v>
      </c>
      <c r="L430" s="179" t="s">
        <v>2965</v>
      </c>
      <c r="M430" s="185"/>
      <c r="N430" s="185"/>
      <c r="O430" s="186"/>
      <c r="P430" s="185"/>
      <c r="Q430" s="182" t="s">
        <v>2933</v>
      </c>
      <c r="R430" s="182" t="s">
        <v>2934</v>
      </c>
      <c r="S430" s="182" t="s">
        <v>2952</v>
      </c>
      <c r="T430" s="179" t="s">
        <v>2974</v>
      </c>
      <c r="U430" s="179" t="s">
        <v>2954</v>
      </c>
      <c r="V430" s="187">
        <v>331</v>
      </c>
      <c r="W430" s="179" t="s">
        <v>3151</v>
      </c>
      <c r="X430" s="188">
        <v>230.29909999999998</v>
      </c>
      <c r="Y430" s="188">
        <v>151.79859999999999</v>
      </c>
      <c r="Z430" s="188">
        <v>116.87</v>
      </c>
      <c r="AA430" s="188">
        <v>55.739999999999995</v>
      </c>
      <c r="AB430" s="188">
        <v>13.23</v>
      </c>
      <c r="AC430" s="188">
        <v>155.16740000000001</v>
      </c>
      <c r="AD430" s="179" t="s">
        <v>2956</v>
      </c>
      <c r="AE430" s="188" t="s">
        <v>2957</v>
      </c>
      <c r="AF430" s="189">
        <v>0.29166666666666669</v>
      </c>
      <c r="AG430" s="189">
        <v>0.91666666666666663</v>
      </c>
      <c r="AH430" s="190" t="s">
        <v>2941</v>
      </c>
      <c r="AI430" s="190" t="s">
        <v>2942</v>
      </c>
      <c r="AJ430" s="179" t="s">
        <v>125</v>
      </c>
      <c r="AK430" s="179" t="s">
        <v>3293</v>
      </c>
      <c r="AL430" s="179" t="s">
        <v>9</v>
      </c>
      <c r="AM430" s="179" t="s">
        <v>4802</v>
      </c>
      <c r="AN430" s="179" t="s">
        <v>2102</v>
      </c>
      <c r="AO430" s="188" t="s">
        <v>2709</v>
      </c>
      <c r="AP430" s="191">
        <v>81139002879</v>
      </c>
      <c r="AQ430" s="184">
        <v>43953</v>
      </c>
      <c r="AR430" s="179">
        <v>75</v>
      </c>
      <c r="AS430" s="194"/>
      <c r="AT430" s="195" t="s">
        <v>4774</v>
      </c>
      <c r="AU430" s="195" t="s">
        <v>2946</v>
      </c>
      <c r="AV430" s="192">
        <v>12212908</v>
      </c>
      <c r="AW430" s="181">
        <v>24.3</v>
      </c>
      <c r="AX430" s="179">
        <v>80361</v>
      </c>
      <c r="AY430" s="179"/>
    </row>
    <row r="431" spans="1:51" ht="14.4" x14ac:dyDescent="0.3">
      <c r="A431" s="179" t="s">
        <v>1519</v>
      </c>
      <c r="B431" s="179" t="s">
        <v>2927</v>
      </c>
      <c r="C431" s="180" t="s">
        <v>4803</v>
      </c>
      <c r="D431" s="181" t="s">
        <v>2841</v>
      </c>
      <c r="E431" s="181" t="s">
        <v>2840</v>
      </c>
      <c r="F431" s="182" t="s">
        <v>2929</v>
      </c>
      <c r="G431" s="181" t="s">
        <v>12</v>
      </c>
      <c r="H431" s="193">
        <v>44512</v>
      </c>
      <c r="I431" s="184"/>
      <c r="J431" s="179" t="s">
        <v>4804</v>
      </c>
      <c r="K431" s="179">
        <v>450</v>
      </c>
      <c r="L431" s="179" t="s">
        <v>3026</v>
      </c>
      <c r="M431" s="185"/>
      <c r="N431" s="185"/>
      <c r="O431" s="186"/>
      <c r="P431" s="185"/>
      <c r="Q431" s="182" t="s">
        <v>2933</v>
      </c>
      <c r="R431" s="182" t="s">
        <v>2934</v>
      </c>
      <c r="S431" s="182" t="s">
        <v>2952</v>
      </c>
      <c r="T431" s="179" t="s">
        <v>2953</v>
      </c>
      <c r="U431" s="179" t="s">
        <v>2937</v>
      </c>
      <c r="V431" s="187">
        <v>662</v>
      </c>
      <c r="W431" s="179" t="s">
        <v>4805</v>
      </c>
      <c r="X431" s="188">
        <v>172.85820000000001</v>
      </c>
      <c r="Y431" s="188">
        <v>105.9354</v>
      </c>
      <c r="Z431" s="188">
        <v>78.620099999999994</v>
      </c>
      <c r="AA431" s="188">
        <v>61.840799999999994</v>
      </c>
      <c r="AB431" s="188">
        <v>5.8240000000000007</v>
      </c>
      <c r="AC431" s="188">
        <v>48.587800000000001</v>
      </c>
      <c r="AD431" s="179" t="s">
        <v>2984</v>
      </c>
      <c r="AE431" s="188" t="s">
        <v>2957</v>
      </c>
      <c r="AF431" s="189">
        <v>0.29166666666666669</v>
      </c>
      <c r="AG431" s="189">
        <v>0.91666666666666663</v>
      </c>
      <c r="AH431" s="190" t="s">
        <v>2941</v>
      </c>
      <c r="AI431" s="190" t="s">
        <v>2985</v>
      </c>
      <c r="AJ431" s="179" t="s">
        <v>647</v>
      </c>
      <c r="AK431" s="179" t="s">
        <v>3387</v>
      </c>
      <c r="AL431" s="179" t="s">
        <v>4</v>
      </c>
      <c r="AM431" s="179" t="s">
        <v>4806</v>
      </c>
      <c r="AN431" s="179" t="s">
        <v>2102</v>
      </c>
      <c r="AO431" s="188" t="s">
        <v>2314</v>
      </c>
      <c r="AP431" s="191">
        <v>81139003658</v>
      </c>
      <c r="AQ431" s="184">
        <v>44004</v>
      </c>
      <c r="AR431" s="179">
        <v>74</v>
      </c>
      <c r="AS431" s="194"/>
      <c r="AT431" s="195"/>
      <c r="AU431" s="195"/>
      <c r="AV431" s="192">
        <v>7771334</v>
      </c>
      <c r="AW431" s="181">
        <v>19.3</v>
      </c>
      <c r="AX431" s="179">
        <v>80238</v>
      </c>
      <c r="AY431" s="179"/>
    </row>
    <row r="432" spans="1:51" ht="14.4" x14ac:dyDescent="0.3">
      <c r="A432" s="179" t="s">
        <v>381</v>
      </c>
      <c r="B432" s="179" t="s">
        <v>2947</v>
      </c>
      <c r="C432" s="180" t="s">
        <v>4807</v>
      </c>
      <c r="D432" s="181" t="s">
        <v>2831</v>
      </c>
      <c r="E432" s="181" t="s">
        <v>2830</v>
      </c>
      <c r="F432" s="182" t="s">
        <v>2929</v>
      </c>
      <c r="G432" s="181" t="s">
        <v>12</v>
      </c>
      <c r="H432" s="193">
        <v>44008</v>
      </c>
      <c r="I432" s="184">
        <v>44255</v>
      </c>
      <c r="J432" s="179" t="s">
        <v>4808</v>
      </c>
      <c r="K432" s="179">
        <v>140</v>
      </c>
      <c r="L432" s="179" t="s">
        <v>2950</v>
      </c>
      <c r="M432" s="185"/>
      <c r="N432" s="185"/>
      <c r="O432" s="186"/>
      <c r="P432" s="185"/>
      <c r="Q432" s="182" t="s">
        <v>2933</v>
      </c>
      <c r="R432" s="182" t="s">
        <v>2934</v>
      </c>
      <c r="S432" s="182" t="s">
        <v>2952</v>
      </c>
      <c r="T432" s="179" t="s">
        <v>2974</v>
      </c>
      <c r="U432" s="179" t="s">
        <v>2954</v>
      </c>
      <c r="V432" s="187">
        <v>993</v>
      </c>
      <c r="W432" s="179" t="s">
        <v>4550</v>
      </c>
      <c r="X432" s="188">
        <v>223.00399999999999</v>
      </c>
      <c r="Y432" s="188">
        <v>139.279</v>
      </c>
      <c r="Z432" s="188">
        <v>107.8308</v>
      </c>
      <c r="AA432" s="188">
        <v>83.724999999999994</v>
      </c>
      <c r="AB432" s="188">
        <v>20.697600000000001</v>
      </c>
      <c r="AC432" s="188">
        <v>110.1408</v>
      </c>
      <c r="AD432" s="179" t="s">
        <v>2956</v>
      </c>
      <c r="AE432" s="188" t="s">
        <v>2957</v>
      </c>
      <c r="AF432" s="189">
        <v>0.29166666666666669</v>
      </c>
      <c r="AG432" s="189">
        <v>0.95833333333333337</v>
      </c>
      <c r="AH432" s="190" t="s">
        <v>2941</v>
      </c>
      <c r="AI432" s="190" t="s">
        <v>2985</v>
      </c>
      <c r="AJ432" s="179" t="s">
        <v>379</v>
      </c>
      <c r="AK432" s="179" t="s">
        <v>3256</v>
      </c>
      <c r="AL432" s="179" t="s">
        <v>4</v>
      </c>
      <c r="AM432" s="179" t="s">
        <v>4809</v>
      </c>
      <c r="AN432" s="179" t="s">
        <v>2102</v>
      </c>
      <c r="AO432" s="188" t="s">
        <v>2488</v>
      </c>
      <c r="AP432" s="191">
        <v>81139002209</v>
      </c>
      <c r="AQ432" s="184">
        <v>44008</v>
      </c>
      <c r="AR432" s="179">
        <v>74</v>
      </c>
      <c r="AS432" s="194"/>
      <c r="AT432" s="195"/>
      <c r="AU432" s="195"/>
      <c r="AV432" s="192">
        <v>12861818</v>
      </c>
      <c r="AW432" s="181">
        <v>31.3</v>
      </c>
      <c r="AX432" s="179">
        <v>80228</v>
      </c>
      <c r="AY432" s="179"/>
    </row>
    <row r="433" spans="1:51" ht="14.4" x14ac:dyDescent="0.3">
      <c r="A433" s="179" t="s">
        <v>1689</v>
      </c>
      <c r="B433" s="179" t="s">
        <v>2947</v>
      </c>
      <c r="C433" s="180" t="s">
        <v>4810</v>
      </c>
      <c r="D433" s="181" t="s">
        <v>2824</v>
      </c>
      <c r="E433" s="181" t="s">
        <v>2813</v>
      </c>
      <c r="F433" s="182" t="s">
        <v>2929</v>
      </c>
      <c r="G433" s="181" t="s">
        <v>12</v>
      </c>
      <c r="H433" s="193">
        <v>44019</v>
      </c>
      <c r="I433" s="184"/>
      <c r="J433" s="179" t="s">
        <v>4811</v>
      </c>
      <c r="K433" s="179">
        <v>300</v>
      </c>
      <c r="L433" s="179" t="s">
        <v>2950</v>
      </c>
      <c r="M433" s="185"/>
      <c r="N433" s="185"/>
      <c r="O433" s="186"/>
      <c r="P433" s="185"/>
      <c r="Q433" s="182" t="s">
        <v>2933</v>
      </c>
      <c r="R433" s="182" t="s">
        <v>2934</v>
      </c>
      <c r="S433" s="182" t="s">
        <v>2952</v>
      </c>
      <c r="T433" s="179" t="s">
        <v>4623</v>
      </c>
      <c r="U433" s="179" t="s">
        <v>2954</v>
      </c>
      <c r="V433" s="187">
        <v>690</v>
      </c>
      <c r="W433" s="179" t="s">
        <v>3151</v>
      </c>
      <c r="X433" s="188">
        <v>399.33839999999998</v>
      </c>
      <c r="Y433" s="188">
        <v>232.31</v>
      </c>
      <c r="Z433" s="188">
        <v>157.92919999999998</v>
      </c>
      <c r="AA433" s="188">
        <v>156.93369999999999</v>
      </c>
      <c r="AB433" s="188">
        <v>31.463999999999999</v>
      </c>
      <c r="AC433" s="188">
        <v>49.335000000000001</v>
      </c>
      <c r="AD433" s="179" t="s">
        <v>2984</v>
      </c>
      <c r="AE433" s="188" t="s">
        <v>2940</v>
      </c>
      <c r="AF433" s="189">
        <v>0.29166666666666669</v>
      </c>
      <c r="AG433" s="189">
        <v>0.99930555555555556</v>
      </c>
      <c r="AH433" s="190" t="s">
        <v>2941</v>
      </c>
      <c r="AI433" s="190" t="s">
        <v>2985</v>
      </c>
      <c r="AJ433" s="179" t="s">
        <v>210</v>
      </c>
      <c r="AK433" s="179" t="s">
        <v>3241</v>
      </c>
      <c r="AL433" s="179" t="s">
        <v>9</v>
      </c>
      <c r="AM433" s="179" t="s">
        <v>4812</v>
      </c>
      <c r="AN433" s="179" t="s">
        <v>2102</v>
      </c>
      <c r="AO433" s="188" t="s">
        <v>2571</v>
      </c>
      <c r="AP433" s="191">
        <v>81139000854</v>
      </c>
      <c r="AQ433" s="184">
        <v>44019</v>
      </c>
      <c r="AR433" s="179">
        <v>73</v>
      </c>
      <c r="AS433" s="194"/>
      <c r="AT433" s="195" t="s">
        <v>4813</v>
      </c>
      <c r="AU433" s="195" t="s">
        <v>2946</v>
      </c>
      <c r="AV433" s="192">
        <v>11187908</v>
      </c>
      <c r="AW433" s="181">
        <v>40.6</v>
      </c>
      <c r="AX433" s="179">
        <v>80362</v>
      </c>
      <c r="AY433" s="179"/>
    </row>
    <row r="434" spans="1:51" ht="14.4" x14ac:dyDescent="0.3">
      <c r="A434" s="179" t="s">
        <v>1365</v>
      </c>
      <c r="B434" s="179" t="s">
        <v>2927</v>
      </c>
      <c r="C434" s="180" t="s">
        <v>4814</v>
      </c>
      <c r="D434" s="181" t="s">
        <v>2838</v>
      </c>
      <c r="E434" s="181" t="s">
        <v>2830</v>
      </c>
      <c r="F434" s="182" t="s">
        <v>2929</v>
      </c>
      <c r="G434" s="181" t="s">
        <v>12</v>
      </c>
      <c r="H434" s="193">
        <v>44022</v>
      </c>
      <c r="I434" s="184"/>
      <c r="J434" s="179" t="s">
        <v>4815</v>
      </c>
      <c r="K434" s="179">
        <v>120</v>
      </c>
      <c r="L434" s="179" t="s">
        <v>2950</v>
      </c>
      <c r="M434" s="185"/>
      <c r="N434" s="185"/>
      <c r="O434" s="186"/>
      <c r="P434" s="185"/>
      <c r="Q434" s="182" t="s">
        <v>2933</v>
      </c>
      <c r="R434" s="182" t="s">
        <v>2934</v>
      </c>
      <c r="S434" s="182" t="s">
        <v>2952</v>
      </c>
      <c r="T434" s="179" t="s">
        <v>4623</v>
      </c>
      <c r="U434" s="179" t="s">
        <v>2937</v>
      </c>
      <c r="V434" s="187">
        <v>1001</v>
      </c>
      <c r="W434" s="179" t="s">
        <v>4532</v>
      </c>
      <c r="X434" s="188">
        <v>178.85999999999999</v>
      </c>
      <c r="Y434" s="188">
        <v>127.71000000000001</v>
      </c>
      <c r="Z434" s="188">
        <v>105.786</v>
      </c>
      <c r="AA434" s="188">
        <v>50.22</v>
      </c>
      <c r="AB434" s="188">
        <v>5.6000000000000005</v>
      </c>
      <c r="AC434" s="188">
        <v>41.727599999999995</v>
      </c>
      <c r="AD434" s="179" t="s">
        <v>2984</v>
      </c>
      <c r="AE434" s="188" t="s">
        <v>2957</v>
      </c>
      <c r="AF434" s="189">
        <v>0.29166666666666669</v>
      </c>
      <c r="AG434" s="189">
        <v>0.95833333333333337</v>
      </c>
      <c r="AH434" s="190" t="s">
        <v>2941</v>
      </c>
      <c r="AI434" s="190" t="s">
        <v>2942</v>
      </c>
      <c r="AJ434" s="179" t="s">
        <v>968</v>
      </c>
      <c r="AK434" s="179" t="s">
        <v>3034</v>
      </c>
      <c r="AL434" s="179" t="s">
        <v>4</v>
      </c>
      <c r="AM434" s="179" t="s">
        <v>4816</v>
      </c>
      <c r="AN434" s="179" t="s">
        <v>2102</v>
      </c>
      <c r="AO434" s="188" t="s">
        <v>2300</v>
      </c>
      <c r="AP434" s="191">
        <v>81139000809</v>
      </c>
      <c r="AQ434" s="184">
        <v>44022</v>
      </c>
      <c r="AR434" s="179">
        <v>73</v>
      </c>
      <c r="AS434" s="194"/>
      <c r="AT434" s="195"/>
      <c r="AU434" s="195"/>
      <c r="AV434" s="192">
        <v>8289138</v>
      </c>
      <c r="AW434" s="181">
        <v>15.4</v>
      </c>
      <c r="AX434" s="179">
        <v>80239</v>
      </c>
      <c r="AY434" s="179"/>
    </row>
    <row r="435" spans="1:51" ht="14.4" x14ac:dyDescent="0.3">
      <c r="A435" s="179" t="s">
        <v>612</v>
      </c>
      <c r="B435" s="179" t="s">
        <v>2947</v>
      </c>
      <c r="C435" s="180" t="s">
        <v>4817</v>
      </c>
      <c r="D435" s="181" t="s">
        <v>2839</v>
      </c>
      <c r="E435" s="181" t="s">
        <v>2834</v>
      </c>
      <c r="F435" s="182" t="s">
        <v>2972</v>
      </c>
      <c r="G435" s="181" t="s">
        <v>17</v>
      </c>
      <c r="H435" s="193">
        <v>45788</v>
      </c>
      <c r="I435" s="184"/>
      <c r="J435" s="179" t="s">
        <v>4818</v>
      </c>
      <c r="K435" s="179">
        <v>2500</v>
      </c>
      <c r="L435" s="179" t="s">
        <v>2932</v>
      </c>
      <c r="M435" s="185"/>
      <c r="N435" s="185" t="s">
        <v>2951</v>
      </c>
      <c r="O435" s="186"/>
      <c r="P435" s="185"/>
      <c r="Q435" s="182" t="s">
        <v>2934</v>
      </c>
      <c r="R435" s="182" t="s">
        <v>2933</v>
      </c>
      <c r="S435" s="182" t="s">
        <v>2952</v>
      </c>
      <c r="T435" s="179" t="s">
        <v>2974</v>
      </c>
      <c r="U435" s="179" t="s">
        <v>2954</v>
      </c>
      <c r="V435" s="179">
        <v>854</v>
      </c>
      <c r="W435" s="179" t="s">
        <v>3151</v>
      </c>
      <c r="X435" s="188">
        <v>302.25</v>
      </c>
      <c r="Y435" s="188">
        <v>197.25</v>
      </c>
      <c r="Z435" s="188">
        <v>119.07</v>
      </c>
      <c r="AA435" s="188">
        <v>95.55</v>
      </c>
      <c r="AB435" s="188">
        <v>23.52</v>
      </c>
      <c r="AC435" s="188">
        <v>40.248000000000005</v>
      </c>
      <c r="AD435" s="179" t="s">
        <v>2984</v>
      </c>
      <c r="AE435" s="188" t="s">
        <v>2940</v>
      </c>
      <c r="AF435" s="189">
        <v>0.29166666666666669</v>
      </c>
      <c r="AG435" s="189">
        <v>0.91666666666666663</v>
      </c>
      <c r="AH435" s="190" t="s">
        <v>2941</v>
      </c>
      <c r="AI435" s="190" t="s">
        <v>2942</v>
      </c>
      <c r="AJ435" s="179" t="s">
        <v>610</v>
      </c>
      <c r="AK435" s="179" t="s">
        <v>4819</v>
      </c>
      <c r="AL435" s="179" t="s">
        <v>32</v>
      </c>
      <c r="AM435" s="179" t="s">
        <v>4820</v>
      </c>
      <c r="AN435" s="179" t="s">
        <v>2102</v>
      </c>
      <c r="AO435" s="188" t="s">
        <v>2810</v>
      </c>
      <c r="AP435" s="191">
        <v>81139000841</v>
      </c>
      <c r="AQ435" s="184">
        <v>44025</v>
      </c>
      <c r="AR435" s="179">
        <v>73</v>
      </c>
      <c r="AS435" s="194"/>
      <c r="AT435" s="195" t="s">
        <v>4821</v>
      </c>
      <c r="AU435" s="195" t="s">
        <v>2946</v>
      </c>
      <c r="AV435" s="192">
        <v>10535000</v>
      </c>
      <c r="AW435" s="181">
        <v>48.5</v>
      </c>
      <c r="AX435" s="179">
        <v>80671</v>
      </c>
      <c r="AY435" s="179"/>
    </row>
    <row r="436" spans="1:51" ht="14.4" x14ac:dyDescent="0.3">
      <c r="A436" s="179" t="s">
        <v>769</v>
      </c>
      <c r="B436" s="179" t="s">
        <v>2947</v>
      </c>
      <c r="C436" s="180" t="s">
        <v>3145</v>
      </c>
      <c r="D436" s="181" t="s">
        <v>2829</v>
      </c>
      <c r="E436" s="181" t="s">
        <v>2815</v>
      </c>
      <c r="F436" s="182" t="s">
        <v>2972</v>
      </c>
      <c r="G436" s="181" t="s">
        <v>17</v>
      </c>
      <c r="H436" s="193">
        <v>45867</v>
      </c>
      <c r="I436" s="184"/>
      <c r="J436" s="179" t="s">
        <v>4822</v>
      </c>
      <c r="K436" s="179">
        <v>95</v>
      </c>
      <c r="L436" s="179" t="s">
        <v>2965</v>
      </c>
      <c r="M436" s="185"/>
      <c r="N436" s="185"/>
      <c r="O436" s="186"/>
      <c r="P436" s="185"/>
      <c r="Q436" s="182" t="s">
        <v>2934</v>
      </c>
      <c r="R436" s="182" t="s">
        <v>2933</v>
      </c>
      <c r="S436" s="182" t="s">
        <v>2952</v>
      </c>
      <c r="T436" s="179" t="s">
        <v>2974</v>
      </c>
      <c r="U436" s="179" t="s">
        <v>2954</v>
      </c>
      <c r="V436" s="179">
        <v>443</v>
      </c>
      <c r="W436" s="179" t="s">
        <v>4532</v>
      </c>
      <c r="X436" s="188">
        <v>290.42140000000006</v>
      </c>
      <c r="Y436" s="188">
        <v>155.02099999999999</v>
      </c>
      <c r="Z436" s="188">
        <v>111.6968</v>
      </c>
      <c r="AA436" s="188">
        <v>114.52590000000001</v>
      </c>
      <c r="AB436" s="188">
        <v>3.1219999999999999</v>
      </c>
      <c r="AC436" s="188">
        <v>77.505600000000001</v>
      </c>
      <c r="AD436" s="179" t="s">
        <v>2956</v>
      </c>
      <c r="AE436" s="188" t="s">
        <v>2957</v>
      </c>
      <c r="AF436" s="189">
        <v>0.29166666666666669</v>
      </c>
      <c r="AG436" s="189">
        <v>0.91666666666666663</v>
      </c>
      <c r="AH436" s="190" t="s">
        <v>2941</v>
      </c>
      <c r="AI436" s="190" t="s">
        <v>2985</v>
      </c>
      <c r="AJ436" s="179" t="s">
        <v>178</v>
      </c>
      <c r="AK436" s="179" t="s">
        <v>28</v>
      </c>
      <c r="AL436" s="179" t="s">
        <v>28</v>
      </c>
      <c r="AM436" s="179" t="s">
        <v>4823</v>
      </c>
      <c r="AN436" s="179" t="s">
        <v>2102</v>
      </c>
      <c r="AO436" s="179" t="s">
        <v>2606</v>
      </c>
      <c r="AP436" s="191">
        <v>81139000843</v>
      </c>
      <c r="AQ436" s="184">
        <v>44027</v>
      </c>
      <c r="AR436" s="179">
        <v>73</v>
      </c>
      <c r="AS436" s="194"/>
      <c r="AT436" s="195" t="s">
        <v>4824</v>
      </c>
      <c r="AU436" s="195" t="s">
        <v>2946</v>
      </c>
      <c r="AV436" s="192">
        <v>11611891</v>
      </c>
      <c r="AW436" s="181">
        <v>22.8</v>
      </c>
      <c r="AX436" s="179">
        <v>80511</v>
      </c>
      <c r="AY436" s="179"/>
    </row>
    <row r="437" spans="1:51" ht="14.4" x14ac:dyDescent="0.3">
      <c r="A437" s="179" t="s">
        <v>850</v>
      </c>
      <c r="B437" s="179" t="s">
        <v>2927</v>
      </c>
      <c r="C437" s="180" t="s">
        <v>4825</v>
      </c>
      <c r="D437" s="181" t="s">
        <v>2857</v>
      </c>
      <c r="E437" s="181" t="s">
        <v>2815</v>
      </c>
      <c r="F437" s="182" t="s">
        <v>2929</v>
      </c>
      <c r="G437" s="181" t="s">
        <v>12</v>
      </c>
      <c r="H437" s="193">
        <v>44512</v>
      </c>
      <c r="I437" s="184"/>
      <c r="J437" s="179" t="s">
        <v>4826</v>
      </c>
      <c r="K437" s="179">
        <v>130</v>
      </c>
      <c r="L437" s="179" t="s">
        <v>2950</v>
      </c>
      <c r="M437" s="185"/>
      <c r="N437" s="185"/>
      <c r="O437" s="179" t="s">
        <v>2951</v>
      </c>
      <c r="P437" s="185"/>
      <c r="Q437" s="182" t="s">
        <v>2934</v>
      </c>
      <c r="R437" s="182" t="s">
        <v>2933</v>
      </c>
      <c r="S437" s="182" t="s">
        <v>2935</v>
      </c>
      <c r="T437" s="179" t="s">
        <v>2974</v>
      </c>
      <c r="U437" s="179" t="s">
        <v>2937</v>
      </c>
      <c r="V437" s="179">
        <v>1019</v>
      </c>
      <c r="W437" s="179" t="s">
        <v>4545</v>
      </c>
      <c r="X437" s="188">
        <v>184.08</v>
      </c>
      <c r="Y437" s="188">
        <v>123.9</v>
      </c>
      <c r="Z437" s="188">
        <v>94.07</v>
      </c>
      <c r="AA437" s="188">
        <v>50.6</v>
      </c>
      <c r="AB437" s="188">
        <v>9.120000000000001</v>
      </c>
      <c r="AC437" s="188">
        <v>58.42</v>
      </c>
      <c r="AD437" s="179" t="s">
        <v>2984</v>
      </c>
      <c r="AE437" s="188" t="s">
        <v>2957</v>
      </c>
      <c r="AF437" s="189">
        <v>0.29166666666666669</v>
      </c>
      <c r="AG437" s="189">
        <v>0.95833333333333337</v>
      </c>
      <c r="AH437" s="190" t="s">
        <v>2941</v>
      </c>
      <c r="AI437" s="190" t="s">
        <v>2985</v>
      </c>
      <c r="AJ437" s="179" t="s">
        <v>413</v>
      </c>
      <c r="AK437" s="179" t="s">
        <v>455</v>
      </c>
      <c r="AL437" s="179" t="s">
        <v>28</v>
      </c>
      <c r="AM437" s="179" t="s">
        <v>4827</v>
      </c>
      <c r="AN437" s="179" t="s">
        <v>2102</v>
      </c>
      <c r="AO437" s="179" t="s">
        <v>2298</v>
      </c>
      <c r="AP437" s="191"/>
      <c r="AQ437" s="184">
        <v>44034</v>
      </c>
      <c r="AR437" s="179">
        <v>73</v>
      </c>
      <c r="AS437" s="194"/>
      <c r="AT437" s="195"/>
      <c r="AU437" s="195"/>
      <c r="AV437" s="192">
        <v>12543231</v>
      </c>
      <c r="AW437" s="181">
        <v>20.100000000000001</v>
      </c>
      <c r="AX437" s="179">
        <v>80561</v>
      </c>
      <c r="AY437" s="179"/>
    </row>
    <row r="438" spans="1:51" ht="14.4" x14ac:dyDescent="0.3">
      <c r="A438" s="179" t="s">
        <v>1509</v>
      </c>
      <c r="B438" s="179" t="s">
        <v>2927</v>
      </c>
      <c r="C438" s="180" t="s">
        <v>4828</v>
      </c>
      <c r="D438" s="181" t="s">
        <v>2862</v>
      </c>
      <c r="E438" s="181" t="s">
        <v>2819</v>
      </c>
      <c r="F438" s="182" t="s">
        <v>2929</v>
      </c>
      <c r="G438" s="181" t="s">
        <v>12</v>
      </c>
      <c r="H438" s="193">
        <v>44051</v>
      </c>
      <c r="I438" s="184"/>
      <c r="J438" s="179" t="s">
        <v>4829</v>
      </c>
      <c r="K438" s="179">
        <v>180</v>
      </c>
      <c r="L438" s="179" t="s">
        <v>2950</v>
      </c>
      <c r="M438" s="185"/>
      <c r="N438" s="185"/>
      <c r="O438" s="186"/>
      <c r="P438" s="185"/>
      <c r="Q438" s="182" t="s">
        <v>2933</v>
      </c>
      <c r="R438" s="182" t="s">
        <v>2934</v>
      </c>
      <c r="S438" s="182" t="s">
        <v>2952</v>
      </c>
      <c r="T438" s="179" t="s">
        <v>2953</v>
      </c>
      <c r="U438" s="179" t="s">
        <v>2937</v>
      </c>
      <c r="V438" s="187">
        <v>156</v>
      </c>
      <c r="W438" s="179" t="s">
        <v>3549</v>
      </c>
      <c r="X438" s="188">
        <v>300.12</v>
      </c>
      <c r="Y438" s="188">
        <v>173.04</v>
      </c>
      <c r="Z438" s="188">
        <v>105.18299999999999</v>
      </c>
      <c r="AA438" s="188">
        <v>118.053</v>
      </c>
      <c r="AB438" s="188">
        <v>9.36</v>
      </c>
      <c r="AC438" s="188">
        <v>42.784999999999997</v>
      </c>
      <c r="AD438" s="179" t="s">
        <v>2984</v>
      </c>
      <c r="AE438" s="188" t="s">
        <v>2940</v>
      </c>
      <c r="AF438" s="189">
        <v>0.29166666666666669</v>
      </c>
      <c r="AG438" s="189">
        <v>0.95833333333333337</v>
      </c>
      <c r="AH438" s="190" t="s">
        <v>2941</v>
      </c>
      <c r="AI438" s="190" t="s">
        <v>2942</v>
      </c>
      <c r="AJ438" s="179" t="s">
        <v>268</v>
      </c>
      <c r="AK438" s="179" t="s">
        <v>2958</v>
      </c>
      <c r="AL438" s="179" t="s">
        <v>4</v>
      </c>
      <c r="AM438" s="179" t="s">
        <v>4830</v>
      </c>
      <c r="AN438" s="179" t="s">
        <v>2102</v>
      </c>
      <c r="AO438" s="179" t="s">
        <v>2335</v>
      </c>
      <c r="AP438" s="191">
        <v>81139000842</v>
      </c>
      <c r="AQ438" s="184">
        <v>44051</v>
      </c>
      <c r="AR438" s="179">
        <v>72</v>
      </c>
      <c r="AS438" s="194"/>
      <c r="AT438" s="195"/>
      <c r="AU438" s="195"/>
      <c r="AV438" s="192">
        <v>12748414</v>
      </c>
      <c r="AW438" s="181">
        <v>22.7</v>
      </c>
      <c r="AX438" s="179">
        <v>80117</v>
      </c>
      <c r="AY438" s="179"/>
    </row>
    <row r="439" spans="1:51" ht="14.4" x14ac:dyDescent="0.3">
      <c r="A439" s="179" t="s">
        <v>449</v>
      </c>
      <c r="B439" s="179" t="s">
        <v>2947</v>
      </c>
      <c r="C439" s="180" t="s">
        <v>4831</v>
      </c>
      <c r="D439" s="181" t="s">
        <v>2866</v>
      </c>
      <c r="E439" s="181" t="s">
        <v>2827</v>
      </c>
      <c r="F439" s="182" t="s">
        <v>2929</v>
      </c>
      <c r="G439" s="181" t="s">
        <v>12</v>
      </c>
      <c r="H439" s="193">
        <v>44053</v>
      </c>
      <c r="I439" s="184"/>
      <c r="J439" s="179" t="s">
        <v>4649</v>
      </c>
      <c r="K439" s="179">
        <v>165</v>
      </c>
      <c r="L439" s="179" t="s">
        <v>2950</v>
      </c>
      <c r="M439" s="185"/>
      <c r="N439" s="185"/>
      <c r="O439" s="186"/>
      <c r="P439" s="185"/>
      <c r="Q439" s="182" t="s">
        <v>2934</v>
      </c>
      <c r="R439" s="182" t="s">
        <v>2933</v>
      </c>
      <c r="S439" s="182" t="s">
        <v>2952</v>
      </c>
      <c r="T439" s="179" t="s">
        <v>2974</v>
      </c>
      <c r="U439" s="179" t="s">
        <v>2954</v>
      </c>
      <c r="V439" s="179">
        <v>721</v>
      </c>
      <c r="W439" s="179" t="s">
        <v>4616</v>
      </c>
      <c r="X439" s="188">
        <v>204.52169999999998</v>
      </c>
      <c r="Y439" s="188">
        <v>144.20240000000001</v>
      </c>
      <c r="Z439" s="188">
        <v>98.774699999999996</v>
      </c>
      <c r="AA439" s="188">
        <v>60.319300000000005</v>
      </c>
      <c r="AB439" s="188">
        <v>19.84</v>
      </c>
      <c r="AC439" s="188">
        <v>123.7041</v>
      </c>
      <c r="AD439" s="179" t="s">
        <v>2956</v>
      </c>
      <c r="AE439" s="188" t="s">
        <v>2957</v>
      </c>
      <c r="AF439" s="189">
        <v>0.29166666666666669</v>
      </c>
      <c r="AG439" s="189">
        <v>0.99930555555555556</v>
      </c>
      <c r="AH439" s="190" t="s">
        <v>2941</v>
      </c>
      <c r="AI439" s="190" t="s">
        <v>2942</v>
      </c>
      <c r="AJ439" s="179" t="s">
        <v>395</v>
      </c>
      <c r="AK439" s="179" t="s">
        <v>48</v>
      </c>
      <c r="AL439" s="179" t="s">
        <v>48</v>
      </c>
      <c r="AM439" s="179" t="s">
        <v>4832</v>
      </c>
      <c r="AN439" s="179" t="s">
        <v>2102</v>
      </c>
      <c r="AO439" s="179" t="s">
        <v>2668</v>
      </c>
      <c r="AP439" s="191">
        <v>81139000852</v>
      </c>
      <c r="AQ439" s="184">
        <v>44053</v>
      </c>
      <c r="AR439" s="179">
        <v>72</v>
      </c>
      <c r="AS439" s="194"/>
      <c r="AT439" s="195"/>
      <c r="AU439" s="195"/>
      <c r="AV439" s="192">
        <v>11753763</v>
      </c>
      <c r="AW439" s="181">
        <v>56.5</v>
      </c>
      <c r="AX439" s="179">
        <v>81119</v>
      </c>
      <c r="AY439" s="179"/>
    </row>
    <row r="440" spans="1:51" ht="14.4" x14ac:dyDescent="0.3">
      <c r="A440" s="179" t="s">
        <v>741</v>
      </c>
      <c r="B440" s="179" t="s">
        <v>2947</v>
      </c>
      <c r="C440" s="180" t="s">
        <v>4833</v>
      </c>
      <c r="D440" s="181" t="s">
        <v>2820</v>
      </c>
      <c r="E440" s="181" t="s">
        <v>2819</v>
      </c>
      <c r="F440" s="182" t="s">
        <v>2929</v>
      </c>
      <c r="G440" s="181" t="s">
        <v>12</v>
      </c>
      <c r="H440" s="193">
        <v>44079</v>
      </c>
      <c r="I440" s="184"/>
      <c r="J440" s="179" t="s">
        <v>4834</v>
      </c>
      <c r="K440" s="179">
        <v>416</v>
      </c>
      <c r="L440" s="179" t="s">
        <v>3026</v>
      </c>
      <c r="M440" s="185"/>
      <c r="N440" s="185"/>
      <c r="O440" s="186"/>
      <c r="P440" s="185"/>
      <c r="Q440" s="182" t="s">
        <v>2934</v>
      </c>
      <c r="R440" s="182" t="s">
        <v>2933</v>
      </c>
      <c r="S440" s="182" t="s">
        <v>2952</v>
      </c>
      <c r="T440" s="179" t="s">
        <v>2974</v>
      </c>
      <c r="U440" s="179" t="s">
        <v>2954</v>
      </c>
      <c r="V440" s="179">
        <v>1120</v>
      </c>
      <c r="W440" s="179" t="s">
        <v>3151</v>
      </c>
      <c r="X440" s="188">
        <v>296.70479999999998</v>
      </c>
      <c r="Y440" s="188">
        <v>195.97499999999999</v>
      </c>
      <c r="Z440" s="188">
        <v>132.3475</v>
      </c>
      <c r="AA440" s="188">
        <v>96.068700000000007</v>
      </c>
      <c r="AB440" s="188">
        <v>17.664000000000001</v>
      </c>
      <c r="AC440" s="188">
        <v>212.29040000000001</v>
      </c>
      <c r="AD440" s="179" t="s">
        <v>2956</v>
      </c>
      <c r="AE440" s="188" t="s">
        <v>2957</v>
      </c>
      <c r="AF440" s="189">
        <v>0.29166666666666669</v>
      </c>
      <c r="AG440" s="189">
        <v>0.95833333333333337</v>
      </c>
      <c r="AH440" s="190" t="s">
        <v>2941</v>
      </c>
      <c r="AI440" s="190" t="s">
        <v>2942</v>
      </c>
      <c r="AJ440" s="179" t="s">
        <v>691</v>
      </c>
      <c r="AK440" s="179" t="s">
        <v>3034</v>
      </c>
      <c r="AL440" s="179" t="s">
        <v>4</v>
      </c>
      <c r="AM440" s="179" t="s">
        <v>4835</v>
      </c>
      <c r="AN440" s="179" t="s">
        <v>2102</v>
      </c>
      <c r="AO440" s="179" t="s">
        <v>2694</v>
      </c>
      <c r="AP440" s="191">
        <v>81139001109</v>
      </c>
      <c r="AQ440" s="184">
        <v>44079</v>
      </c>
      <c r="AR440" s="179">
        <v>71</v>
      </c>
      <c r="AS440" s="194"/>
      <c r="AT440" s="195"/>
      <c r="AU440" s="195"/>
      <c r="AV440" s="192">
        <v>13710755</v>
      </c>
      <c r="AW440" s="181">
        <v>19.100000000000001</v>
      </c>
      <c r="AX440" s="179">
        <v>80118</v>
      </c>
      <c r="AY440" s="179"/>
    </row>
    <row r="441" spans="1:51" ht="14.4" x14ac:dyDescent="0.3">
      <c r="A441" s="179" t="s">
        <v>80</v>
      </c>
      <c r="B441" s="179" t="s">
        <v>2947</v>
      </c>
      <c r="C441" s="180" t="s">
        <v>4836</v>
      </c>
      <c r="D441" s="181" t="s">
        <v>2847</v>
      </c>
      <c r="E441" s="181" t="s">
        <v>2830</v>
      </c>
      <c r="F441" s="182" t="s">
        <v>2929</v>
      </c>
      <c r="G441" s="181" t="s">
        <v>12</v>
      </c>
      <c r="H441" s="193">
        <v>44083</v>
      </c>
      <c r="I441" s="184"/>
      <c r="J441" s="179" t="s">
        <v>4837</v>
      </c>
      <c r="K441" s="179">
        <v>471</v>
      </c>
      <c r="L441" s="179" t="s">
        <v>3026</v>
      </c>
      <c r="M441" s="185"/>
      <c r="N441" s="185"/>
      <c r="O441" s="186"/>
      <c r="P441" s="185"/>
      <c r="Q441" s="182" t="s">
        <v>2934</v>
      </c>
      <c r="R441" s="182" t="s">
        <v>2933</v>
      </c>
      <c r="S441" s="182" t="s">
        <v>2952</v>
      </c>
      <c r="T441" s="179" t="s">
        <v>2974</v>
      </c>
      <c r="U441" s="179" t="s">
        <v>2954</v>
      </c>
      <c r="V441" s="179">
        <v>978</v>
      </c>
      <c r="W441" s="179" t="s">
        <v>3009</v>
      </c>
      <c r="X441" s="188">
        <v>395.86500000000001</v>
      </c>
      <c r="Y441" s="188">
        <v>281.29500000000002</v>
      </c>
      <c r="Z441" s="188">
        <v>152.20800000000003</v>
      </c>
      <c r="AA441" s="188">
        <v>73.884</v>
      </c>
      <c r="AB441" s="188">
        <v>21.12</v>
      </c>
      <c r="AC441" s="188">
        <v>82.555199999999999</v>
      </c>
      <c r="AD441" s="179" t="s">
        <v>2956</v>
      </c>
      <c r="AE441" s="188" t="s">
        <v>2940</v>
      </c>
      <c r="AF441" s="189">
        <v>0.29166666666666669</v>
      </c>
      <c r="AG441" s="189">
        <v>0.95833333333333337</v>
      </c>
      <c r="AH441" s="190" t="s">
        <v>2941</v>
      </c>
      <c r="AI441" s="190" t="s">
        <v>2985</v>
      </c>
      <c r="AJ441" s="179" t="s">
        <v>78</v>
      </c>
      <c r="AK441" s="179" t="s">
        <v>3256</v>
      </c>
      <c r="AL441" s="179" t="s">
        <v>4</v>
      </c>
      <c r="AM441" s="179" t="s">
        <v>4838</v>
      </c>
      <c r="AN441" s="179" t="s">
        <v>2102</v>
      </c>
      <c r="AO441" s="179" t="s">
        <v>2710</v>
      </c>
      <c r="AP441" s="191">
        <v>81139001187</v>
      </c>
      <c r="AQ441" s="184">
        <v>44083</v>
      </c>
      <c r="AR441" s="179">
        <v>71</v>
      </c>
      <c r="AS441" s="194"/>
      <c r="AT441" s="195"/>
      <c r="AU441" s="195"/>
      <c r="AV441" s="192">
        <v>12647057</v>
      </c>
      <c r="AW441" s="181">
        <v>31.2</v>
      </c>
      <c r="AX441" s="179">
        <v>80226</v>
      </c>
      <c r="AY441" s="179"/>
    </row>
    <row r="442" spans="1:51" ht="14.4" x14ac:dyDescent="0.3">
      <c r="A442" s="179" t="s">
        <v>625</v>
      </c>
      <c r="B442" s="179" t="s">
        <v>2947</v>
      </c>
      <c r="C442" s="180" t="s">
        <v>4839</v>
      </c>
      <c r="D442" s="181" t="s">
        <v>2858</v>
      </c>
      <c r="E442" s="181" t="s">
        <v>2813</v>
      </c>
      <c r="F442" s="182" t="s">
        <v>2972</v>
      </c>
      <c r="G442" s="181" t="s">
        <v>17</v>
      </c>
      <c r="H442" s="193">
        <v>45475</v>
      </c>
      <c r="I442" s="184"/>
      <c r="J442" s="179" t="s">
        <v>3008</v>
      </c>
      <c r="K442" s="179" t="s">
        <v>3008</v>
      </c>
      <c r="L442" s="179" t="s">
        <v>2932</v>
      </c>
      <c r="M442" s="185"/>
      <c r="N442" s="185" t="s">
        <v>2951</v>
      </c>
      <c r="O442" s="186"/>
      <c r="P442" s="185"/>
      <c r="Q442" s="182" t="s">
        <v>2934</v>
      </c>
      <c r="R442" s="182" t="s">
        <v>2933</v>
      </c>
      <c r="S442" s="182" t="s">
        <v>2952</v>
      </c>
      <c r="T442" s="179" t="s">
        <v>2974</v>
      </c>
      <c r="U442" s="179" t="s">
        <v>2954</v>
      </c>
      <c r="V442" s="179">
        <v>1001</v>
      </c>
      <c r="W442" s="179" t="s">
        <v>3151</v>
      </c>
      <c r="X442" s="188">
        <v>385.4975</v>
      </c>
      <c r="Y442" s="188">
        <v>245.9325</v>
      </c>
      <c r="Z442" s="188">
        <v>137.09300000000002</v>
      </c>
      <c r="AA442" s="188">
        <v>128.70000000000002</v>
      </c>
      <c r="AB442" s="188">
        <v>21.216000000000001</v>
      </c>
      <c r="AC442" s="188">
        <v>70.329799999999992</v>
      </c>
      <c r="AD442" s="179" t="s">
        <v>2956</v>
      </c>
      <c r="AE442" s="188" t="s">
        <v>2940</v>
      </c>
      <c r="AF442" s="189">
        <v>0.29166666666666669</v>
      </c>
      <c r="AG442" s="189">
        <v>0.91666666666666663</v>
      </c>
      <c r="AH442" s="190" t="s">
        <v>2941</v>
      </c>
      <c r="AI442" s="190" t="s">
        <v>2942</v>
      </c>
      <c r="AJ442" s="179" t="s">
        <v>623</v>
      </c>
      <c r="AK442" s="179" t="s">
        <v>3010</v>
      </c>
      <c r="AL442" s="179" t="s">
        <v>36</v>
      </c>
      <c r="AM442" s="179" t="s">
        <v>4840</v>
      </c>
      <c r="AN442" s="179" t="s">
        <v>2102</v>
      </c>
      <c r="AO442" s="179" t="s">
        <v>2811</v>
      </c>
      <c r="AP442" s="191">
        <v>81139001120</v>
      </c>
      <c r="AQ442" s="184">
        <v>44084</v>
      </c>
      <c r="AR442" s="179">
        <v>71</v>
      </c>
      <c r="AS442" s="194"/>
      <c r="AT442" s="195" t="s">
        <v>4841</v>
      </c>
      <c r="AU442" s="195" t="s">
        <v>2946</v>
      </c>
      <c r="AV442" s="192">
        <v>24622793</v>
      </c>
      <c r="AW442" s="181">
        <v>17.2</v>
      </c>
      <c r="AX442" s="179">
        <v>82121</v>
      </c>
      <c r="AY442" s="179"/>
    </row>
    <row r="443" spans="1:51" ht="14.4" x14ac:dyDescent="0.3">
      <c r="A443" s="179" t="s">
        <v>1316</v>
      </c>
      <c r="B443" s="179" t="s">
        <v>2927</v>
      </c>
      <c r="C443" s="180" t="s">
        <v>4842</v>
      </c>
      <c r="D443" s="181" t="s">
        <v>2855</v>
      </c>
      <c r="E443" s="181" t="s">
        <v>2815</v>
      </c>
      <c r="F443" s="182" t="s">
        <v>2929</v>
      </c>
      <c r="G443" s="181" t="s">
        <v>12</v>
      </c>
      <c r="H443" s="193">
        <v>44091</v>
      </c>
      <c r="I443" s="184"/>
      <c r="J443" s="179" t="s">
        <v>3008</v>
      </c>
      <c r="K443" s="179" t="s">
        <v>3008</v>
      </c>
      <c r="L443" s="179" t="s">
        <v>2932</v>
      </c>
      <c r="M443" s="185"/>
      <c r="N443" s="185"/>
      <c r="O443" s="186"/>
      <c r="P443" s="185"/>
      <c r="Q443" s="182" t="s">
        <v>2933</v>
      </c>
      <c r="R443" s="182" t="s">
        <v>3729</v>
      </c>
      <c r="S443" s="182" t="s">
        <v>2952</v>
      </c>
      <c r="T443" s="179" t="s">
        <v>2953</v>
      </c>
      <c r="U443" s="179" t="s">
        <v>2937</v>
      </c>
      <c r="V443" s="179">
        <v>0</v>
      </c>
      <c r="W443" s="179" t="s">
        <v>4843</v>
      </c>
      <c r="X443" s="188">
        <v>129.9905</v>
      </c>
      <c r="Y443" s="188">
        <v>129.9905</v>
      </c>
      <c r="Z443" s="188">
        <v>76.201499999999996</v>
      </c>
      <c r="AA443" s="188">
        <v>0</v>
      </c>
      <c r="AB443" s="188">
        <v>10.920000000000002</v>
      </c>
      <c r="AC443" s="188">
        <v>29.490300000000001</v>
      </c>
      <c r="AD443" s="179" t="s">
        <v>2939</v>
      </c>
      <c r="AE443" s="188" t="s">
        <v>2940</v>
      </c>
      <c r="AF443" s="189">
        <v>0.29166666666666669</v>
      </c>
      <c r="AG443" s="189">
        <v>0.91666666666666663</v>
      </c>
      <c r="AH443" s="190" t="s">
        <v>2941</v>
      </c>
      <c r="AI443" s="190" t="s">
        <v>2985</v>
      </c>
      <c r="AJ443" s="179" t="s">
        <v>1312</v>
      </c>
      <c r="AK443" s="179" t="s">
        <v>2981</v>
      </c>
      <c r="AL443" s="179" t="s">
        <v>28</v>
      </c>
      <c r="AM443" s="179" t="s">
        <v>4844</v>
      </c>
      <c r="AN443" s="179" t="s">
        <v>2102</v>
      </c>
      <c r="AO443" s="179" t="s">
        <v>2798</v>
      </c>
      <c r="AP443" s="191">
        <v>81139001108</v>
      </c>
      <c r="AQ443" s="184">
        <v>44091</v>
      </c>
      <c r="AR443" s="179">
        <v>71</v>
      </c>
      <c r="AS443" s="194"/>
      <c r="AT443" s="195"/>
      <c r="AU443" s="195"/>
      <c r="AV443" s="192">
        <v>7155232</v>
      </c>
      <c r="AW443" s="181">
        <v>28.3</v>
      </c>
      <c r="AX443" s="179">
        <v>80852</v>
      </c>
      <c r="AY443" s="179"/>
    </row>
    <row r="444" spans="1:51" ht="14.4" x14ac:dyDescent="0.3">
      <c r="A444" s="179" t="s">
        <v>548</v>
      </c>
      <c r="B444" s="179" t="s">
        <v>2927</v>
      </c>
      <c r="C444" s="180" t="s">
        <v>4845</v>
      </c>
      <c r="D444" s="181" t="s">
        <v>2852</v>
      </c>
      <c r="E444" s="181" t="s">
        <v>2817</v>
      </c>
      <c r="F444" s="182" t="s">
        <v>2929</v>
      </c>
      <c r="G444" s="181" t="s">
        <v>12</v>
      </c>
      <c r="H444" s="193">
        <v>44092</v>
      </c>
      <c r="I444" s="184"/>
      <c r="J444" s="179" t="s">
        <v>4846</v>
      </c>
      <c r="K444" s="179">
        <v>200</v>
      </c>
      <c r="L444" s="179" t="s">
        <v>2950</v>
      </c>
      <c r="M444" s="185"/>
      <c r="N444" s="185"/>
      <c r="O444" s="186"/>
      <c r="P444" s="185"/>
      <c r="Q444" s="182" t="s">
        <v>2934</v>
      </c>
      <c r="R444" s="182" t="s">
        <v>2933</v>
      </c>
      <c r="S444" s="182" t="s">
        <v>2952</v>
      </c>
      <c r="T444" s="179" t="s">
        <v>2974</v>
      </c>
      <c r="U444" s="179" t="s">
        <v>2937</v>
      </c>
      <c r="V444" s="179">
        <v>505</v>
      </c>
      <c r="W444" s="179" t="s">
        <v>3549</v>
      </c>
      <c r="X444" s="188">
        <v>234.14400000000003</v>
      </c>
      <c r="Y444" s="188">
        <v>137.0718</v>
      </c>
      <c r="Z444" s="188">
        <v>118.26360000000001</v>
      </c>
      <c r="AA444" s="188">
        <v>85.705200000000005</v>
      </c>
      <c r="AB444" s="188">
        <v>12.608400000000001</v>
      </c>
      <c r="AC444" s="188">
        <v>66.322799999999987</v>
      </c>
      <c r="AD444" s="179" t="s">
        <v>2956</v>
      </c>
      <c r="AE444" s="188" t="s">
        <v>2957</v>
      </c>
      <c r="AF444" s="189">
        <v>0</v>
      </c>
      <c r="AG444" s="189">
        <v>0.99930555555555556</v>
      </c>
      <c r="AH444" s="190" t="s">
        <v>2941</v>
      </c>
      <c r="AI444" s="190" t="s">
        <v>2985</v>
      </c>
      <c r="AJ444" s="179" t="s">
        <v>256</v>
      </c>
      <c r="AK444" s="179" t="s">
        <v>3256</v>
      </c>
      <c r="AL444" s="179" t="s">
        <v>4</v>
      </c>
      <c r="AM444" s="179" t="s">
        <v>4847</v>
      </c>
      <c r="AN444" s="179" t="s">
        <v>2102</v>
      </c>
      <c r="AO444" s="179" t="s">
        <v>2293</v>
      </c>
      <c r="AP444" s="191">
        <v>81139001238</v>
      </c>
      <c r="AQ444" s="184">
        <v>44092</v>
      </c>
      <c r="AR444" s="179">
        <v>71</v>
      </c>
      <c r="AS444" s="194"/>
      <c r="AT444" s="195"/>
      <c r="AU444" s="195"/>
      <c r="AV444" s="192">
        <v>9440805</v>
      </c>
      <c r="AW444" s="181">
        <v>27</v>
      </c>
      <c r="AX444" s="179">
        <v>80221</v>
      </c>
      <c r="AY444" s="179"/>
    </row>
    <row r="445" spans="1:51" ht="14.4" x14ac:dyDescent="0.3">
      <c r="A445" s="179" t="s">
        <v>1613</v>
      </c>
      <c r="B445" s="179" t="s">
        <v>2947</v>
      </c>
      <c r="C445" s="180" t="s">
        <v>4848</v>
      </c>
      <c r="D445" s="181" t="s">
        <v>2850</v>
      </c>
      <c r="E445" s="181" t="s">
        <v>2817</v>
      </c>
      <c r="F445" s="182" t="s">
        <v>2929</v>
      </c>
      <c r="G445" s="181" t="s">
        <v>12</v>
      </c>
      <c r="H445" s="193">
        <v>44105</v>
      </c>
      <c r="I445" s="184"/>
      <c r="J445" s="179" t="s">
        <v>4849</v>
      </c>
      <c r="K445" s="179">
        <v>300</v>
      </c>
      <c r="L445" s="179" t="s">
        <v>2950</v>
      </c>
      <c r="M445" s="185"/>
      <c r="N445" s="185"/>
      <c r="O445" s="186"/>
      <c r="P445" s="185"/>
      <c r="Q445" s="182" t="s">
        <v>4850</v>
      </c>
      <c r="R445" s="182" t="s">
        <v>2934</v>
      </c>
      <c r="S445" s="182" t="s">
        <v>2952</v>
      </c>
      <c r="T445" s="179" t="s">
        <v>2974</v>
      </c>
      <c r="U445" s="179" t="s">
        <v>2954</v>
      </c>
      <c r="V445" s="179">
        <v>1079</v>
      </c>
      <c r="W445" s="179" t="s">
        <v>4550</v>
      </c>
      <c r="X445" s="188">
        <v>145.3296</v>
      </c>
      <c r="Y445" s="188">
        <v>101.4288</v>
      </c>
      <c r="Z445" s="188">
        <v>82.451400000000007</v>
      </c>
      <c r="AA445" s="188">
        <v>28.968</v>
      </c>
      <c r="AB445" s="188">
        <v>2.9184000000000001</v>
      </c>
      <c r="AC445" s="188">
        <v>108.10799999999999</v>
      </c>
      <c r="AD445" s="179" t="s">
        <v>2956</v>
      </c>
      <c r="AE445" s="188" t="s">
        <v>2957</v>
      </c>
      <c r="AF445" s="189">
        <v>0.33333333333333331</v>
      </c>
      <c r="AG445" s="189">
        <v>0.95833333333333337</v>
      </c>
      <c r="AH445" s="190" t="s">
        <v>2941</v>
      </c>
      <c r="AI445" s="190" t="s">
        <v>2942</v>
      </c>
      <c r="AJ445" s="179" t="s">
        <v>1611</v>
      </c>
      <c r="AK445" s="179" t="s">
        <v>2958</v>
      </c>
      <c r="AL445" s="179" t="s">
        <v>4</v>
      </c>
      <c r="AM445" s="179" t="s">
        <v>4851</v>
      </c>
      <c r="AN445" s="179" t="s">
        <v>2102</v>
      </c>
      <c r="AO445" s="179" t="s">
        <v>2442</v>
      </c>
      <c r="AP445" s="191">
        <v>81139002208</v>
      </c>
      <c r="AQ445" s="184">
        <v>44105</v>
      </c>
      <c r="AR445" s="179">
        <v>70</v>
      </c>
      <c r="AS445" s="194"/>
      <c r="AT445" s="195"/>
      <c r="AU445" s="195"/>
      <c r="AV445" s="192">
        <v>13787386</v>
      </c>
      <c r="AW445" s="181">
        <v>28.3</v>
      </c>
      <c r="AX445" s="179">
        <v>80113</v>
      </c>
      <c r="AY445" s="179"/>
    </row>
    <row r="446" spans="1:51" ht="14.4" x14ac:dyDescent="0.3">
      <c r="A446" s="179" t="s">
        <v>1460</v>
      </c>
      <c r="B446" s="179" t="s">
        <v>2947</v>
      </c>
      <c r="C446" s="180" t="s">
        <v>4852</v>
      </c>
      <c r="D446" s="181" t="s">
        <v>2873</v>
      </c>
      <c r="E446" s="181" t="s">
        <v>2840</v>
      </c>
      <c r="F446" s="182" t="s">
        <v>3086</v>
      </c>
      <c r="G446" s="181" t="s">
        <v>535</v>
      </c>
      <c r="H446" s="193">
        <v>44111</v>
      </c>
      <c r="I446" s="184">
        <v>44255</v>
      </c>
      <c r="J446" s="179" t="s">
        <v>4853</v>
      </c>
      <c r="K446" s="179">
        <v>280</v>
      </c>
      <c r="L446" s="179" t="s">
        <v>2950</v>
      </c>
      <c r="M446" s="185"/>
      <c r="N446" s="185"/>
      <c r="O446" s="179" t="s">
        <v>2951</v>
      </c>
      <c r="P446" s="185" t="s">
        <v>2951</v>
      </c>
      <c r="Q446" s="182" t="s">
        <v>2933</v>
      </c>
      <c r="R446" s="182" t="s">
        <v>2934</v>
      </c>
      <c r="S446" s="182" t="s">
        <v>2952</v>
      </c>
      <c r="T446" s="179" t="s">
        <v>2953</v>
      </c>
      <c r="U446" s="179" t="s">
        <v>2954</v>
      </c>
      <c r="V446" s="187">
        <v>1671</v>
      </c>
      <c r="W446" s="179" t="s">
        <v>3151</v>
      </c>
      <c r="X446" s="188">
        <v>432.87359999999995</v>
      </c>
      <c r="Y446" s="188">
        <v>268.916</v>
      </c>
      <c r="Z446" s="188">
        <v>131.285</v>
      </c>
      <c r="AA446" s="188">
        <v>148.52000000000001</v>
      </c>
      <c r="AB446" s="188">
        <v>24.8</v>
      </c>
      <c r="AC446" s="188">
        <v>90.694000000000003</v>
      </c>
      <c r="AD446" s="179" t="s">
        <v>2956</v>
      </c>
      <c r="AE446" s="188" t="s">
        <v>2940</v>
      </c>
      <c r="AF446" s="189">
        <v>0</v>
      </c>
      <c r="AG446" s="189">
        <v>0.99930555555555556</v>
      </c>
      <c r="AH446" s="190" t="s">
        <v>2941</v>
      </c>
      <c r="AI446" s="190" t="s">
        <v>2942</v>
      </c>
      <c r="AJ446" s="179" t="s">
        <v>508</v>
      </c>
      <c r="AK446" s="179" t="s">
        <v>3034</v>
      </c>
      <c r="AL446" s="179" t="s">
        <v>4</v>
      </c>
      <c r="AM446" s="179" t="s">
        <v>4854</v>
      </c>
      <c r="AN446" s="179" t="s">
        <v>2102</v>
      </c>
      <c r="AO446" s="179" t="s">
        <v>2454</v>
      </c>
      <c r="AP446" s="191">
        <v>81139001963</v>
      </c>
      <c r="AQ446" s="184">
        <v>44111</v>
      </c>
      <c r="AR446" s="179">
        <v>70</v>
      </c>
      <c r="AS446" s="194"/>
      <c r="AT446" s="195" t="s">
        <v>4855</v>
      </c>
      <c r="AU446" s="195" t="s">
        <v>4856</v>
      </c>
      <c r="AV446" s="192">
        <v>32506920</v>
      </c>
      <c r="AW446" s="181">
        <v>19.899999999999999</v>
      </c>
      <c r="AX446" s="179">
        <v>80116</v>
      </c>
      <c r="AY446" s="179"/>
    </row>
    <row r="447" spans="1:51" ht="14.4" x14ac:dyDescent="0.3">
      <c r="A447" s="179" t="s">
        <v>839</v>
      </c>
      <c r="B447" s="179" t="s">
        <v>2927</v>
      </c>
      <c r="C447" s="180" t="s">
        <v>4857</v>
      </c>
      <c r="D447" s="181" t="s">
        <v>2868</v>
      </c>
      <c r="E447" s="181" t="s">
        <v>2867</v>
      </c>
      <c r="F447" s="182" t="s">
        <v>2929</v>
      </c>
      <c r="G447" s="181" t="s">
        <v>12</v>
      </c>
      <c r="H447" s="193">
        <v>44123</v>
      </c>
      <c r="I447" s="184"/>
      <c r="J447" s="179" t="s">
        <v>4858</v>
      </c>
      <c r="K447" s="179">
        <v>240</v>
      </c>
      <c r="L447" s="179" t="s">
        <v>2950</v>
      </c>
      <c r="M447" s="185"/>
      <c r="N447" s="185"/>
      <c r="O447" s="186"/>
      <c r="P447" s="185"/>
      <c r="Q447" s="182" t="s">
        <v>2933</v>
      </c>
      <c r="R447" s="182" t="s">
        <v>3729</v>
      </c>
      <c r="S447" s="182" t="s">
        <v>2952</v>
      </c>
      <c r="T447" s="179" t="s">
        <v>2953</v>
      </c>
      <c r="U447" s="179" t="s">
        <v>2937</v>
      </c>
      <c r="V447" s="179">
        <v>0</v>
      </c>
      <c r="W447" s="179" t="s">
        <v>4578</v>
      </c>
      <c r="X447" s="188">
        <v>254.82599999999996</v>
      </c>
      <c r="Y447" s="188">
        <v>136.125</v>
      </c>
      <c r="Z447" s="188">
        <v>89.930400000000006</v>
      </c>
      <c r="AA447" s="188">
        <v>118.70099999999999</v>
      </c>
      <c r="AB447" s="188">
        <v>0</v>
      </c>
      <c r="AC447" s="188">
        <v>35.28</v>
      </c>
      <c r="AD447" s="179" t="s">
        <v>2984</v>
      </c>
      <c r="AE447" s="188" t="s">
        <v>2940</v>
      </c>
      <c r="AF447" s="189">
        <v>0.29166666666666669</v>
      </c>
      <c r="AG447" s="189">
        <v>0.95833333333333337</v>
      </c>
      <c r="AH447" s="190" t="s">
        <v>2941</v>
      </c>
      <c r="AI447" s="190" t="s">
        <v>2942</v>
      </c>
      <c r="AJ447" s="179" t="s">
        <v>837</v>
      </c>
      <c r="AK447" s="179" t="s">
        <v>2958</v>
      </c>
      <c r="AL447" s="179" t="s">
        <v>4</v>
      </c>
      <c r="AM447" s="179" t="s">
        <v>4859</v>
      </c>
      <c r="AN447" s="179" t="s">
        <v>2102</v>
      </c>
      <c r="AO447" s="179" t="s">
        <v>2366</v>
      </c>
      <c r="AP447" s="191">
        <v>81139002296</v>
      </c>
      <c r="AQ447" s="184">
        <v>44123</v>
      </c>
      <c r="AR447" s="179">
        <v>70</v>
      </c>
      <c r="AS447" s="194"/>
      <c r="AT447" s="195"/>
      <c r="AU447" s="195"/>
      <c r="AV447" s="192">
        <v>9823507</v>
      </c>
      <c r="AW447" s="181">
        <v>25</v>
      </c>
      <c r="AX447" s="179">
        <v>80119</v>
      </c>
      <c r="AY447" s="179"/>
    </row>
    <row r="448" spans="1:51" ht="14.4" x14ac:dyDescent="0.3">
      <c r="A448" s="179" t="s">
        <v>1766</v>
      </c>
      <c r="B448" s="179" t="s">
        <v>2927</v>
      </c>
      <c r="C448" s="180" t="s">
        <v>4860</v>
      </c>
      <c r="D448" s="181" t="s">
        <v>2822</v>
      </c>
      <c r="E448" s="181" t="s">
        <v>2821</v>
      </c>
      <c r="F448" s="182" t="s">
        <v>2929</v>
      </c>
      <c r="G448" s="181" t="s">
        <v>12</v>
      </c>
      <c r="H448" s="193">
        <v>44124</v>
      </c>
      <c r="I448" s="184"/>
      <c r="J448" s="179" t="s">
        <v>4861</v>
      </c>
      <c r="K448" s="179">
        <v>1400</v>
      </c>
      <c r="L448" s="179" t="s">
        <v>2932</v>
      </c>
      <c r="M448" s="185"/>
      <c r="N448" s="185"/>
      <c r="O448" s="186"/>
      <c r="P448" s="185"/>
      <c r="Q448" s="182" t="s">
        <v>2934</v>
      </c>
      <c r="R448" s="182" t="s">
        <v>2933</v>
      </c>
      <c r="S448" s="182" t="s">
        <v>2952</v>
      </c>
      <c r="T448" s="179" t="s">
        <v>2974</v>
      </c>
      <c r="U448" s="179" t="s">
        <v>2937</v>
      </c>
      <c r="V448" s="179">
        <v>1306</v>
      </c>
      <c r="W448" s="179" t="s">
        <v>4862</v>
      </c>
      <c r="X448" s="188">
        <v>360.48340000000002</v>
      </c>
      <c r="Y448" s="188">
        <v>154.57940000000002</v>
      </c>
      <c r="Z448" s="188">
        <v>96.805799999999991</v>
      </c>
      <c r="AA448" s="188">
        <v>184.01599999999999</v>
      </c>
      <c r="AB448" s="188">
        <v>26.563600000000001</v>
      </c>
      <c r="AC448" s="188">
        <v>19.0092</v>
      </c>
      <c r="AD448" s="179" t="s">
        <v>2939</v>
      </c>
      <c r="AE448" s="188" t="s">
        <v>2940</v>
      </c>
      <c r="AF448" s="189">
        <v>0.29166666666666669</v>
      </c>
      <c r="AG448" s="189">
        <v>0.95833333333333337</v>
      </c>
      <c r="AH448" s="190" t="s">
        <v>2941</v>
      </c>
      <c r="AI448" s="190" t="s">
        <v>2942</v>
      </c>
      <c r="AJ448" s="179" t="s">
        <v>37</v>
      </c>
      <c r="AK448" s="179" t="s">
        <v>36</v>
      </c>
      <c r="AL448" s="179" t="s">
        <v>36</v>
      </c>
      <c r="AM448" s="179" t="s">
        <v>4863</v>
      </c>
      <c r="AN448" s="179" t="s">
        <v>2102</v>
      </c>
      <c r="AO448" s="179" t="s">
        <v>2294</v>
      </c>
      <c r="AP448" s="191">
        <v>81139000851</v>
      </c>
      <c r="AQ448" s="184">
        <v>44124</v>
      </c>
      <c r="AR448" s="179">
        <v>70</v>
      </c>
      <c r="AS448" s="194"/>
      <c r="AT448" s="195" t="s">
        <v>4864</v>
      </c>
      <c r="AU448" s="195" t="s">
        <v>2946</v>
      </c>
      <c r="AV448" s="192">
        <v>11643333</v>
      </c>
      <c r="AW448" s="181">
        <v>14.8</v>
      </c>
      <c r="AX448" s="179">
        <v>82115</v>
      </c>
      <c r="AY448" s="179"/>
    </row>
    <row r="449" spans="1:51" ht="14.4" x14ac:dyDescent="0.3">
      <c r="A449" s="179" t="s">
        <v>1588</v>
      </c>
      <c r="B449" s="179" t="s">
        <v>2927</v>
      </c>
      <c r="C449" s="180" t="s">
        <v>4865</v>
      </c>
      <c r="D449" s="181" t="s">
        <v>2850</v>
      </c>
      <c r="E449" s="181" t="s">
        <v>2817</v>
      </c>
      <c r="F449" s="182" t="s">
        <v>2929</v>
      </c>
      <c r="G449" s="181" t="s">
        <v>12</v>
      </c>
      <c r="H449" s="193">
        <v>44150</v>
      </c>
      <c r="I449" s="184"/>
      <c r="J449" s="179" t="s">
        <v>4866</v>
      </c>
      <c r="K449" s="179">
        <v>500</v>
      </c>
      <c r="L449" s="179" t="s">
        <v>3026</v>
      </c>
      <c r="M449" s="185"/>
      <c r="N449" s="185"/>
      <c r="O449" s="186"/>
      <c r="P449" s="185"/>
      <c r="Q449" s="182" t="s">
        <v>2933</v>
      </c>
      <c r="R449" s="182" t="s">
        <v>2934</v>
      </c>
      <c r="S449" s="182" t="s">
        <v>2952</v>
      </c>
      <c r="T449" s="179" t="s">
        <v>2974</v>
      </c>
      <c r="U449" s="179" t="s">
        <v>2937</v>
      </c>
      <c r="V449" s="187">
        <v>232</v>
      </c>
      <c r="W449" s="179" t="s">
        <v>4532</v>
      </c>
      <c r="X449" s="188">
        <v>256.01519999999999</v>
      </c>
      <c r="Y449" s="188">
        <v>169.57919999999999</v>
      </c>
      <c r="Z449" s="188">
        <v>107.6922</v>
      </c>
      <c r="AA449" s="188">
        <v>81.290999999999997</v>
      </c>
      <c r="AB449" s="188">
        <v>10.01</v>
      </c>
      <c r="AC449" s="188">
        <v>33.736400000000003</v>
      </c>
      <c r="AD449" s="179" t="s">
        <v>2984</v>
      </c>
      <c r="AE449" s="188" t="s">
        <v>2940</v>
      </c>
      <c r="AF449" s="189">
        <v>0.29166666666666669</v>
      </c>
      <c r="AG449" s="189">
        <v>0.91666666666666663</v>
      </c>
      <c r="AH449" s="190" t="s">
        <v>2941</v>
      </c>
      <c r="AI449" s="190" t="s">
        <v>2985</v>
      </c>
      <c r="AJ449" s="179" t="s">
        <v>536</v>
      </c>
      <c r="AK449" s="179" t="s">
        <v>3256</v>
      </c>
      <c r="AL449" s="179" t="s">
        <v>4</v>
      </c>
      <c r="AM449" s="179" t="s">
        <v>4867</v>
      </c>
      <c r="AN449" s="179" t="s">
        <v>2102</v>
      </c>
      <c r="AO449" s="179" t="s">
        <v>2305</v>
      </c>
      <c r="AP449" s="191">
        <v>81139002282</v>
      </c>
      <c r="AQ449" s="184">
        <v>44150</v>
      </c>
      <c r="AR449" s="179">
        <v>69</v>
      </c>
      <c r="AS449" s="194"/>
      <c r="AT449" s="195" t="s">
        <v>3412</v>
      </c>
      <c r="AU449" s="195" t="s">
        <v>2946</v>
      </c>
      <c r="AV449" s="192">
        <v>8996143</v>
      </c>
      <c r="AW449" s="181">
        <v>25.3</v>
      </c>
      <c r="AX449" s="179">
        <v>80225</v>
      </c>
      <c r="AY449" s="179"/>
    </row>
    <row r="450" spans="1:51" ht="14.4" x14ac:dyDescent="0.3">
      <c r="A450" s="179" t="s">
        <v>1193</v>
      </c>
      <c r="B450" s="179" t="s">
        <v>2927</v>
      </c>
      <c r="C450" s="180" t="s">
        <v>4868</v>
      </c>
      <c r="D450" s="181" t="s">
        <v>2871</v>
      </c>
      <c r="E450" s="181" t="s">
        <v>2813</v>
      </c>
      <c r="F450" s="182" t="s">
        <v>2929</v>
      </c>
      <c r="G450" s="181" t="s">
        <v>12</v>
      </c>
      <c r="H450" s="193">
        <v>44153</v>
      </c>
      <c r="I450" s="184"/>
      <c r="J450" s="179" t="s">
        <v>4869</v>
      </c>
      <c r="K450" s="179">
        <v>195</v>
      </c>
      <c r="L450" s="179" t="s">
        <v>2950</v>
      </c>
      <c r="M450" s="185"/>
      <c r="N450" s="185"/>
      <c r="O450" s="186"/>
      <c r="P450" s="185"/>
      <c r="Q450" s="182" t="s">
        <v>2933</v>
      </c>
      <c r="R450" s="182" t="s">
        <v>3729</v>
      </c>
      <c r="S450" s="182" t="s">
        <v>2952</v>
      </c>
      <c r="T450" s="179" t="s">
        <v>2953</v>
      </c>
      <c r="U450" s="179" t="s">
        <v>2937</v>
      </c>
      <c r="V450" s="179">
        <v>0</v>
      </c>
      <c r="W450" s="179" t="s">
        <v>4616</v>
      </c>
      <c r="X450" s="188">
        <v>200.68880000000001</v>
      </c>
      <c r="Y450" s="188">
        <v>200.68880000000001</v>
      </c>
      <c r="Z450" s="188">
        <v>113.5684</v>
      </c>
      <c r="AA450" s="188">
        <v>0</v>
      </c>
      <c r="AB450" s="188">
        <v>13.991999999999999</v>
      </c>
      <c r="AC450" s="188">
        <v>42.908799999999999</v>
      </c>
      <c r="AD450" s="179" t="s">
        <v>2984</v>
      </c>
      <c r="AE450" s="188" t="s">
        <v>2940</v>
      </c>
      <c r="AF450" s="189">
        <v>0.29166666666666669</v>
      </c>
      <c r="AG450" s="189">
        <v>0.91666666666666663</v>
      </c>
      <c r="AH450" s="190" t="s">
        <v>2941</v>
      </c>
      <c r="AI450" s="190" t="s">
        <v>2942</v>
      </c>
      <c r="AJ450" s="179" t="s">
        <v>260</v>
      </c>
      <c r="AK450" s="179" t="s">
        <v>3293</v>
      </c>
      <c r="AL450" s="179" t="s">
        <v>9</v>
      </c>
      <c r="AM450" s="179" t="s">
        <v>4870</v>
      </c>
      <c r="AN450" s="179" t="s">
        <v>2102</v>
      </c>
      <c r="AO450" s="179" t="s">
        <v>2381</v>
      </c>
      <c r="AP450" s="191">
        <v>81139002283</v>
      </c>
      <c r="AQ450" s="184">
        <v>44153</v>
      </c>
      <c r="AR450" s="179">
        <v>69</v>
      </c>
      <c r="AS450" s="194"/>
      <c r="AT450" s="195" t="s">
        <v>3412</v>
      </c>
      <c r="AU450" s="195" t="s">
        <v>2946</v>
      </c>
      <c r="AV450" s="192">
        <v>7513234</v>
      </c>
      <c r="AW450" s="181">
        <v>33.6</v>
      </c>
      <c r="AX450" s="179">
        <v>80361</v>
      </c>
      <c r="AY450" s="179"/>
    </row>
    <row r="451" spans="1:51" ht="14.4" x14ac:dyDescent="0.3">
      <c r="A451" s="179" t="s">
        <v>1517</v>
      </c>
      <c r="B451" s="179" t="s">
        <v>2947</v>
      </c>
      <c r="C451" s="180" t="s">
        <v>4389</v>
      </c>
      <c r="D451" s="181" t="s">
        <v>2872</v>
      </c>
      <c r="E451" s="181" t="s">
        <v>2840</v>
      </c>
      <c r="F451" s="182" t="s">
        <v>2972</v>
      </c>
      <c r="G451" s="181" t="s">
        <v>17</v>
      </c>
      <c r="H451" s="193">
        <v>45821</v>
      </c>
      <c r="I451" s="193">
        <v>45821</v>
      </c>
      <c r="J451" s="179" t="s">
        <v>3008</v>
      </c>
      <c r="K451" s="179" t="s">
        <v>3008</v>
      </c>
      <c r="L451" s="179" t="s">
        <v>2932</v>
      </c>
      <c r="M451" s="185"/>
      <c r="N451" s="185" t="s">
        <v>2951</v>
      </c>
      <c r="O451" s="186"/>
      <c r="P451" s="185"/>
      <c r="Q451" s="182" t="s">
        <v>2934</v>
      </c>
      <c r="R451" s="182" t="s">
        <v>2933</v>
      </c>
      <c r="S451" s="182" t="s">
        <v>2952</v>
      </c>
      <c r="T451" s="179" t="s">
        <v>2974</v>
      </c>
      <c r="U451" s="179" t="s">
        <v>2954</v>
      </c>
      <c r="V451" s="179">
        <v>1184</v>
      </c>
      <c r="W451" s="179" t="s">
        <v>3151</v>
      </c>
      <c r="X451" s="188">
        <v>279.62639999999999</v>
      </c>
      <c r="Y451" s="188">
        <v>184.22060000000002</v>
      </c>
      <c r="Z451" s="188">
        <v>118.17959999999999</v>
      </c>
      <c r="AA451" s="188">
        <v>80.777900000000002</v>
      </c>
      <c r="AB451" s="188">
        <v>9.68</v>
      </c>
      <c r="AC451" s="188">
        <v>42.228000000000002</v>
      </c>
      <c r="AD451" s="179" t="s">
        <v>2984</v>
      </c>
      <c r="AE451" s="188" t="s">
        <v>2940</v>
      </c>
      <c r="AF451" s="189">
        <v>0.29166666666666669</v>
      </c>
      <c r="AG451" s="189">
        <v>0.91666666666666663</v>
      </c>
      <c r="AH451" s="190" t="s">
        <v>2941</v>
      </c>
      <c r="AI451" s="190" t="s">
        <v>2942</v>
      </c>
      <c r="AJ451" s="179" t="s">
        <v>287</v>
      </c>
      <c r="AK451" s="179" t="s">
        <v>48</v>
      </c>
      <c r="AL451" s="179" t="s">
        <v>48</v>
      </c>
      <c r="AM451" s="179" t="s">
        <v>4871</v>
      </c>
      <c r="AN451" s="179" t="s">
        <v>2102</v>
      </c>
      <c r="AO451" s="179" t="s">
        <v>2646</v>
      </c>
      <c r="AP451" s="191">
        <v>81139002272</v>
      </c>
      <c r="AQ451" s="184">
        <v>44174</v>
      </c>
      <c r="AR451" s="179">
        <v>68</v>
      </c>
      <c r="AS451" s="194"/>
      <c r="AT451" s="195" t="s">
        <v>3175</v>
      </c>
      <c r="AU451" s="195" t="s">
        <v>2946</v>
      </c>
      <c r="AV451" s="192">
        <v>12270897</v>
      </c>
      <c r="AW451" s="181">
        <v>58</v>
      </c>
      <c r="AX451" s="179">
        <v>81119</v>
      </c>
      <c r="AY451" s="179"/>
    </row>
    <row r="452" spans="1:51" ht="14.4" x14ac:dyDescent="0.3">
      <c r="A452" s="179" t="s">
        <v>1748</v>
      </c>
      <c r="B452" s="179" t="s">
        <v>2927</v>
      </c>
      <c r="C452" s="180" t="s">
        <v>4872</v>
      </c>
      <c r="D452" s="181" t="s">
        <v>2837</v>
      </c>
      <c r="E452" s="181" t="s">
        <v>2825</v>
      </c>
      <c r="F452" s="182" t="s">
        <v>2929</v>
      </c>
      <c r="G452" s="181" t="s">
        <v>12</v>
      </c>
      <c r="H452" s="193">
        <v>44179</v>
      </c>
      <c r="I452" s="184"/>
      <c r="J452" s="179" t="s">
        <v>3008</v>
      </c>
      <c r="K452" s="179" t="s">
        <v>3008</v>
      </c>
      <c r="L452" s="179" t="s">
        <v>2932</v>
      </c>
      <c r="M452" s="185"/>
      <c r="N452" s="185"/>
      <c r="O452" s="186"/>
      <c r="P452" s="185"/>
      <c r="Q452" s="182" t="s">
        <v>2933</v>
      </c>
      <c r="R452" s="182" t="s">
        <v>2934</v>
      </c>
      <c r="S452" s="182" t="s">
        <v>2952</v>
      </c>
      <c r="T452" s="179" t="s">
        <v>2974</v>
      </c>
      <c r="U452" s="179" t="s">
        <v>2937</v>
      </c>
      <c r="V452" s="179">
        <v>1187</v>
      </c>
      <c r="W452" s="179" t="s">
        <v>2975</v>
      </c>
      <c r="X452" s="188">
        <v>346.36400000000003</v>
      </c>
      <c r="Y452" s="188">
        <v>232.39399999999998</v>
      </c>
      <c r="Z452" s="188">
        <v>112.8678</v>
      </c>
      <c r="AA452" s="188">
        <v>100.87</v>
      </c>
      <c r="AB452" s="188">
        <v>11.28</v>
      </c>
      <c r="AC452" s="188">
        <v>45.042500000000004</v>
      </c>
      <c r="AD452" s="179" t="s">
        <v>2984</v>
      </c>
      <c r="AE452" s="188" t="s">
        <v>2940</v>
      </c>
      <c r="AF452" s="189">
        <v>0.29166666666666669</v>
      </c>
      <c r="AG452" s="189">
        <v>0.91666666666666663</v>
      </c>
      <c r="AH452" s="190" t="s">
        <v>2941</v>
      </c>
      <c r="AI452" s="190" t="s">
        <v>2942</v>
      </c>
      <c r="AJ452" s="179" t="s">
        <v>14</v>
      </c>
      <c r="AK452" s="179" t="s">
        <v>3302</v>
      </c>
      <c r="AL452" s="179" t="s">
        <v>9</v>
      </c>
      <c r="AM452" s="179" t="s">
        <v>4873</v>
      </c>
      <c r="AN452" s="179" t="s">
        <v>2102</v>
      </c>
      <c r="AO452" s="179" t="s">
        <v>2277</v>
      </c>
      <c r="AP452" s="191">
        <v>81139002270</v>
      </c>
      <c r="AQ452" s="184">
        <v>44179</v>
      </c>
      <c r="AR452" s="179">
        <v>68</v>
      </c>
      <c r="AS452" s="194"/>
      <c r="AT452" s="195" t="s">
        <v>3504</v>
      </c>
      <c r="AU452" s="195" t="s">
        <v>2946</v>
      </c>
      <c r="AV452" s="192">
        <v>8961750</v>
      </c>
      <c r="AW452" s="181">
        <v>1.5</v>
      </c>
      <c r="AX452" s="179">
        <v>80351</v>
      </c>
      <c r="AY452" s="179"/>
    </row>
    <row r="453" spans="1:51" ht="14.4" x14ac:dyDescent="0.3">
      <c r="A453" s="179" t="s">
        <v>1412</v>
      </c>
      <c r="B453" s="179" t="s">
        <v>2947</v>
      </c>
      <c r="C453" s="180" t="s">
        <v>4874</v>
      </c>
      <c r="D453" s="181" t="s">
        <v>2850</v>
      </c>
      <c r="E453" s="181" t="s">
        <v>2817</v>
      </c>
      <c r="F453" s="182" t="s">
        <v>2929</v>
      </c>
      <c r="G453" s="181" t="s">
        <v>12</v>
      </c>
      <c r="H453" s="193">
        <v>44201</v>
      </c>
      <c r="I453" s="184"/>
      <c r="J453" s="179" t="s">
        <v>4875</v>
      </c>
      <c r="K453" s="179">
        <v>225</v>
      </c>
      <c r="L453" s="179" t="s">
        <v>2950</v>
      </c>
      <c r="M453" s="185"/>
      <c r="N453" s="185"/>
      <c r="O453" s="186"/>
      <c r="P453" s="185"/>
      <c r="Q453" s="182" t="s">
        <v>2933</v>
      </c>
      <c r="R453" s="182" t="s">
        <v>2934</v>
      </c>
      <c r="S453" s="182" t="s">
        <v>2952</v>
      </c>
      <c r="T453" s="179" t="s">
        <v>2953</v>
      </c>
      <c r="U453" s="179" t="s">
        <v>2954</v>
      </c>
      <c r="V453" s="187">
        <v>828</v>
      </c>
      <c r="W453" s="179" t="s">
        <v>3151</v>
      </c>
      <c r="X453" s="188">
        <v>344.149</v>
      </c>
      <c r="Y453" s="188">
        <v>170.13750000000002</v>
      </c>
      <c r="Z453" s="188">
        <v>138.95860000000002</v>
      </c>
      <c r="AA453" s="188">
        <v>139.84649999999999</v>
      </c>
      <c r="AB453" s="188">
        <v>7.2720000000000002</v>
      </c>
      <c r="AC453" s="188">
        <v>61.354299999999995</v>
      </c>
      <c r="AD453" s="179" t="s">
        <v>2956</v>
      </c>
      <c r="AE453" s="188" t="s">
        <v>3017</v>
      </c>
      <c r="AF453" s="189">
        <v>0.29166666666666669</v>
      </c>
      <c r="AG453" s="189">
        <v>0.91666666666666663</v>
      </c>
      <c r="AH453" s="190" t="s">
        <v>2941</v>
      </c>
      <c r="AI453" s="190" t="s">
        <v>2985</v>
      </c>
      <c r="AJ453" s="179" t="s">
        <v>854</v>
      </c>
      <c r="AK453" s="179" t="s">
        <v>3387</v>
      </c>
      <c r="AL453" s="179" t="s">
        <v>4</v>
      </c>
      <c r="AM453" s="179" t="s">
        <v>4876</v>
      </c>
      <c r="AN453" s="179" t="s">
        <v>2102</v>
      </c>
      <c r="AO453" s="179" t="s">
        <v>2539</v>
      </c>
      <c r="AP453" s="191">
        <v>81139002268</v>
      </c>
      <c r="AQ453" s="184">
        <v>44201</v>
      </c>
      <c r="AR453" s="179">
        <v>67</v>
      </c>
      <c r="AS453" s="194"/>
      <c r="AT453" s="195"/>
      <c r="AU453" s="195"/>
      <c r="AV453" s="192">
        <v>15721266</v>
      </c>
      <c r="AW453" s="181">
        <v>19.399999999999999</v>
      </c>
      <c r="AX453" s="179">
        <v>80237</v>
      </c>
      <c r="AY453" s="179"/>
    </row>
    <row r="454" spans="1:51" ht="14.4" x14ac:dyDescent="0.3">
      <c r="A454" s="179" t="s">
        <v>1553</v>
      </c>
      <c r="B454" s="179" t="s">
        <v>2947</v>
      </c>
      <c r="C454" s="180" t="s">
        <v>1552</v>
      </c>
      <c r="D454" s="181" t="s">
        <v>2851</v>
      </c>
      <c r="E454" s="181" t="s">
        <v>2817</v>
      </c>
      <c r="F454" s="182" t="s">
        <v>2929</v>
      </c>
      <c r="G454" s="181" t="s">
        <v>12</v>
      </c>
      <c r="H454" s="193">
        <v>44202</v>
      </c>
      <c r="I454" s="184"/>
      <c r="J454" s="179" t="s">
        <v>4877</v>
      </c>
      <c r="K454" s="179">
        <v>288</v>
      </c>
      <c r="L454" s="179" t="s">
        <v>2950</v>
      </c>
      <c r="M454" s="185"/>
      <c r="N454" s="185"/>
      <c r="O454" s="179" t="s">
        <v>2951</v>
      </c>
      <c r="P454" s="185"/>
      <c r="Q454" s="182" t="s">
        <v>2933</v>
      </c>
      <c r="R454" s="182" t="s">
        <v>2934</v>
      </c>
      <c r="S454" s="182" t="s">
        <v>2952</v>
      </c>
      <c r="T454" s="179" t="s">
        <v>2953</v>
      </c>
      <c r="U454" s="179" t="s">
        <v>2954</v>
      </c>
      <c r="V454" s="187">
        <v>238</v>
      </c>
      <c r="W454" s="179" t="s">
        <v>3151</v>
      </c>
      <c r="X454" s="188">
        <v>474.91640000000001</v>
      </c>
      <c r="Y454" s="188">
        <v>275.42619999999999</v>
      </c>
      <c r="Z454" s="188">
        <v>136.952</v>
      </c>
      <c r="AA454" s="188">
        <v>180.11999999999998</v>
      </c>
      <c r="AB454" s="188">
        <v>14.646600000000001</v>
      </c>
      <c r="AC454" s="188">
        <v>273.09960000000001</v>
      </c>
      <c r="AD454" s="179" t="s">
        <v>2956</v>
      </c>
      <c r="AE454" s="188" t="s">
        <v>4474</v>
      </c>
      <c r="AF454" s="189">
        <v>0.29166666666666669</v>
      </c>
      <c r="AG454" s="189">
        <v>0.95833333333333337</v>
      </c>
      <c r="AH454" s="190" t="s">
        <v>2941</v>
      </c>
      <c r="AI454" s="190" t="s">
        <v>2942</v>
      </c>
      <c r="AJ454" s="179" t="s">
        <v>131</v>
      </c>
      <c r="AK454" s="179" t="s">
        <v>3293</v>
      </c>
      <c r="AL454" s="179" t="s">
        <v>9</v>
      </c>
      <c r="AM454" s="179" t="s">
        <v>4878</v>
      </c>
      <c r="AN454" s="179" t="s">
        <v>2102</v>
      </c>
      <c r="AO454" s="179" t="s">
        <v>2603</v>
      </c>
      <c r="AP454" s="191">
        <v>81139001932</v>
      </c>
      <c r="AQ454" s="184">
        <v>44202</v>
      </c>
      <c r="AR454" s="179">
        <v>67</v>
      </c>
      <c r="AS454" s="194"/>
      <c r="AT454" s="195"/>
      <c r="AU454" s="195"/>
      <c r="AV454" s="192">
        <v>15405749</v>
      </c>
      <c r="AW454" s="181">
        <v>25.2</v>
      </c>
      <c r="AX454" s="179">
        <v>80361</v>
      </c>
      <c r="AY454" s="179"/>
    </row>
    <row r="455" spans="1:51" ht="14.4" x14ac:dyDescent="0.3">
      <c r="A455" s="179" t="s">
        <v>583</v>
      </c>
      <c r="B455" s="179" t="s">
        <v>2927</v>
      </c>
      <c r="C455" s="180" t="s">
        <v>4879</v>
      </c>
      <c r="D455" s="181" t="s">
        <v>2839</v>
      </c>
      <c r="E455" s="181" t="s">
        <v>2834</v>
      </c>
      <c r="F455" s="182" t="s">
        <v>2972</v>
      </c>
      <c r="G455" s="181" t="s">
        <v>17</v>
      </c>
      <c r="H455" s="193">
        <v>45632</v>
      </c>
      <c r="I455" s="184"/>
      <c r="J455" s="179" t="s">
        <v>3008</v>
      </c>
      <c r="K455" s="179" t="s">
        <v>3008</v>
      </c>
      <c r="L455" s="179" t="s">
        <v>2932</v>
      </c>
      <c r="M455" s="185"/>
      <c r="N455" s="185"/>
      <c r="O455" s="179" t="s">
        <v>2951</v>
      </c>
      <c r="P455" s="185"/>
      <c r="Q455" s="182" t="s">
        <v>2934</v>
      </c>
      <c r="R455" s="182" t="s">
        <v>2933</v>
      </c>
      <c r="S455" s="182" t="s">
        <v>2952</v>
      </c>
      <c r="T455" s="179" t="s">
        <v>2974</v>
      </c>
      <c r="U455" s="179" t="s">
        <v>2937</v>
      </c>
      <c r="V455" s="179">
        <v>252</v>
      </c>
      <c r="W455" s="179" t="s">
        <v>2975</v>
      </c>
      <c r="X455" s="188">
        <v>443.69699999999995</v>
      </c>
      <c r="Y455" s="188">
        <v>274.34699999999998</v>
      </c>
      <c r="Z455" s="188">
        <v>138.7944</v>
      </c>
      <c r="AA455" s="188">
        <v>157.01</v>
      </c>
      <c r="AB455" s="188">
        <v>26.67</v>
      </c>
      <c r="AC455" s="188">
        <v>80.875799999999998</v>
      </c>
      <c r="AD455" s="179" t="s">
        <v>2956</v>
      </c>
      <c r="AE455" s="188" t="s">
        <v>2940</v>
      </c>
      <c r="AF455" s="189">
        <v>0.29166666666666669</v>
      </c>
      <c r="AG455" s="189">
        <v>0.91666666666666663</v>
      </c>
      <c r="AH455" s="190" t="s">
        <v>2941</v>
      </c>
      <c r="AI455" s="190" t="s">
        <v>2942</v>
      </c>
      <c r="AJ455" s="179" t="s">
        <v>581</v>
      </c>
      <c r="AK455" s="179" t="s">
        <v>3404</v>
      </c>
      <c r="AL455" s="179" t="s">
        <v>32</v>
      </c>
      <c r="AM455" s="179" t="s">
        <v>4880</v>
      </c>
      <c r="AN455" s="179" t="s">
        <v>2102</v>
      </c>
      <c r="AO455" s="179" t="s">
        <v>2279</v>
      </c>
      <c r="AP455" s="191">
        <v>81139003410</v>
      </c>
      <c r="AQ455" s="184">
        <v>44216</v>
      </c>
      <c r="AR455" s="179">
        <v>67</v>
      </c>
      <c r="AS455" s="194"/>
      <c r="AT455" s="195" t="s">
        <v>4881</v>
      </c>
      <c r="AU455" s="195" t="s">
        <v>2946</v>
      </c>
      <c r="AV455" s="192">
        <v>27684684</v>
      </c>
      <c r="AW455" s="181">
        <v>52.8</v>
      </c>
      <c r="AX455" s="179">
        <v>80361</v>
      </c>
      <c r="AY455" s="179"/>
    </row>
    <row r="456" spans="1:51" ht="14.4" x14ac:dyDescent="0.3">
      <c r="A456" s="179" t="s">
        <v>845</v>
      </c>
      <c r="B456" s="179" t="s">
        <v>2947</v>
      </c>
      <c r="C456" s="180" t="s">
        <v>4882</v>
      </c>
      <c r="D456" s="181" t="s">
        <v>2860</v>
      </c>
      <c r="E456" s="181" t="s">
        <v>2830</v>
      </c>
      <c r="F456" s="182" t="s">
        <v>2972</v>
      </c>
      <c r="G456" s="181" t="s">
        <v>17</v>
      </c>
      <c r="H456" s="193">
        <v>44229</v>
      </c>
      <c r="I456" s="184"/>
      <c r="J456" s="179" t="s">
        <v>3008</v>
      </c>
      <c r="K456" s="179" t="s">
        <v>3008</v>
      </c>
      <c r="L456" s="179" t="s">
        <v>2932</v>
      </c>
      <c r="M456" s="185"/>
      <c r="N456" s="185"/>
      <c r="O456" s="179" t="s">
        <v>2951</v>
      </c>
      <c r="P456" s="185"/>
      <c r="Q456" s="182" t="s">
        <v>2934</v>
      </c>
      <c r="R456" s="182" t="s">
        <v>2933</v>
      </c>
      <c r="S456" s="182" t="s">
        <v>2935</v>
      </c>
      <c r="T456" s="179" t="s">
        <v>2974</v>
      </c>
      <c r="U456" s="179" t="s">
        <v>2954</v>
      </c>
      <c r="V456" s="179">
        <v>1003</v>
      </c>
      <c r="W456" s="179" t="s">
        <v>3151</v>
      </c>
      <c r="X456" s="188">
        <v>437.60849999999999</v>
      </c>
      <c r="Y456" s="188">
        <v>249.49369999999999</v>
      </c>
      <c r="Z456" s="188">
        <v>131.25450000000001</v>
      </c>
      <c r="AA456" s="188">
        <v>204.13800000000001</v>
      </c>
      <c r="AB456" s="188">
        <v>18.5</v>
      </c>
      <c r="AC456" s="188">
        <v>69.911699999999996</v>
      </c>
      <c r="AD456" s="179" t="s">
        <v>2956</v>
      </c>
      <c r="AE456" s="188" t="s">
        <v>2940</v>
      </c>
      <c r="AF456" s="189">
        <v>0.29166666666666669</v>
      </c>
      <c r="AG456" s="189">
        <v>0.99930555555555556</v>
      </c>
      <c r="AH456" s="190" t="s">
        <v>2941</v>
      </c>
      <c r="AI456" s="190" t="s">
        <v>2942</v>
      </c>
      <c r="AJ456" s="179" t="s">
        <v>843</v>
      </c>
      <c r="AK456" s="179" t="s">
        <v>3229</v>
      </c>
      <c r="AL456" s="179" t="s">
        <v>9</v>
      </c>
      <c r="AM456" s="179" t="s">
        <v>4883</v>
      </c>
      <c r="AN456" s="179" t="s">
        <v>2102</v>
      </c>
      <c r="AO456" s="179" t="s">
        <v>2673</v>
      </c>
      <c r="AP456" s="191">
        <v>81139002307</v>
      </c>
      <c r="AQ456" s="184">
        <v>44229</v>
      </c>
      <c r="AR456" s="179">
        <v>66</v>
      </c>
      <c r="AS456" s="194"/>
      <c r="AT456" s="195" t="s">
        <v>4884</v>
      </c>
      <c r="AU456" s="195" t="s">
        <v>2946</v>
      </c>
      <c r="AV456" s="192">
        <v>12061995</v>
      </c>
      <c r="AW456" s="181">
        <v>7.2</v>
      </c>
      <c r="AX456" s="179">
        <v>80352</v>
      </c>
      <c r="AY456" s="179"/>
    </row>
    <row r="457" spans="1:51" ht="14.4" x14ac:dyDescent="0.3">
      <c r="A457" s="179" t="s">
        <v>1147</v>
      </c>
      <c r="B457" s="179" t="s">
        <v>2947</v>
      </c>
      <c r="C457" s="180" t="s">
        <v>4885</v>
      </c>
      <c r="D457" s="181" t="s">
        <v>2873</v>
      </c>
      <c r="E457" s="181" t="s">
        <v>2840</v>
      </c>
      <c r="F457" s="182" t="s">
        <v>3086</v>
      </c>
      <c r="G457" s="181" t="s">
        <v>535</v>
      </c>
      <c r="H457" s="193">
        <v>45569</v>
      </c>
      <c r="I457" s="184"/>
      <c r="J457" s="179" t="s">
        <v>3008</v>
      </c>
      <c r="K457" s="179" t="s">
        <v>3008</v>
      </c>
      <c r="L457" s="179" t="s">
        <v>2932</v>
      </c>
      <c r="M457" s="185"/>
      <c r="N457" s="185"/>
      <c r="O457" s="179" t="s">
        <v>2951</v>
      </c>
      <c r="P457" s="185"/>
      <c r="Q457" s="182" t="s">
        <v>2933</v>
      </c>
      <c r="R457" s="182" t="s">
        <v>2934</v>
      </c>
      <c r="S457" s="182" t="s">
        <v>2952</v>
      </c>
      <c r="T457" s="179" t="s">
        <v>2953</v>
      </c>
      <c r="U457" s="179" t="s">
        <v>2954</v>
      </c>
      <c r="V457" s="179">
        <v>1222</v>
      </c>
      <c r="W457" s="179" t="s">
        <v>3151</v>
      </c>
      <c r="X457" s="188">
        <v>809.78039999999999</v>
      </c>
      <c r="Y457" s="188">
        <v>382.32480000000004</v>
      </c>
      <c r="Z457" s="188">
        <v>144.58500000000001</v>
      </c>
      <c r="AA457" s="188">
        <v>178.71599999999998</v>
      </c>
      <c r="AB457" s="188">
        <v>33.72</v>
      </c>
      <c r="AC457" s="188">
        <v>193.89</v>
      </c>
      <c r="AD457" s="179" t="s">
        <v>2956</v>
      </c>
      <c r="AE457" s="188" t="s">
        <v>2940</v>
      </c>
      <c r="AF457" s="189">
        <v>0.29166666666666669</v>
      </c>
      <c r="AG457" s="189">
        <v>0.91666666666666663</v>
      </c>
      <c r="AH457" s="190" t="s">
        <v>2941</v>
      </c>
      <c r="AI457" s="190" t="s">
        <v>2942</v>
      </c>
      <c r="AJ457" s="179" t="s">
        <v>1145</v>
      </c>
      <c r="AK457" s="179" t="s">
        <v>3345</v>
      </c>
      <c r="AL457" s="179" t="s">
        <v>36</v>
      </c>
      <c r="AM457" s="179" t="s">
        <v>4886</v>
      </c>
      <c r="AN457" s="179" t="s">
        <v>2102</v>
      </c>
      <c r="AO457" s="179" t="s">
        <v>2467</v>
      </c>
      <c r="AP457" s="191">
        <v>81139003423</v>
      </c>
      <c r="AQ457" s="184">
        <v>44231</v>
      </c>
      <c r="AR457" s="179">
        <v>66</v>
      </c>
      <c r="AS457" s="179"/>
      <c r="AT457" s="181" t="s">
        <v>4887</v>
      </c>
      <c r="AU457" s="181" t="s">
        <v>4888</v>
      </c>
      <c r="AV457" s="192">
        <v>34965514</v>
      </c>
      <c r="AW457" s="181">
        <v>19</v>
      </c>
      <c r="AX457" s="179">
        <v>82191</v>
      </c>
      <c r="AY457" s="179"/>
    </row>
    <row r="458" spans="1:51" ht="14.4" x14ac:dyDescent="0.3">
      <c r="A458" s="179" t="s">
        <v>901</v>
      </c>
      <c r="B458" s="179" t="s">
        <v>2947</v>
      </c>
      <c r="C458" s="180" t="s">
        <v>4889</v>
      </c>
      <c r="D458" s="181" t="s">
        <v>2865</v>
      </c>
      <c r="E458" s="181" t="s">
        <v>2817</v>
      </c>
      <c r="F458" s="182" t="s">
        <v>2972</v>
      </c>
      <c r="G458" s="181" t="s">
        <v>17</v>
      </c>
      <c r="H458" s="193">
        <v>45899</v>
      </c>
      <c r="I458" s="184"/>
      <c r="J458" s="179" t="s">
        <v>4890</v>
      </c>
      <c r="K458" s="179">
        <v>74</v>
      </c>
      <c r="L458" s="179" t="s">
        <v>2965</v>
      </c>
      <c r="M458" s="185"/>
      <c r="N458" s="185"/>
      <c r="O458" s="179" t="s">
        <v>2951</v>
      </c>
      <c r="P458" s="185"/>
      <c r="Q458" s="182" t="s">
        <v>2933</v>
      </c>
      <c r="R458" s="182" t="s">
        <v>2934</v>
      </c>
      <c r="S458" s="182" t="s">
        <v>2952</v>
      </c>
      <c r="T458" s="179" t="s">
        <v>2953</v>
      </c>
      <c r="U458" s="179" t="s">
        <v>2954</v>
      </c>
      <c r="V458" s="187">
        <v>235</v>
      </c>
      <c r="W458" s="179" t="s">
        <v>3549</v>
      </c>
      <c r="X458" s="188">
        <v>479.21999999999997</v>
      </c>
      <c r="Y458" s="188">
        <v>273.42</v>
      </c>
      <c r="Z458" s="188">
        <v>167.08500000000001</v>
      </c>
      <c r="AA458" s="188">
        <v>201.39</v>
      </c>
      <c r="AB458" s="188">
        <v>6.1199999999999992</v>
      </c>
      <c r="AC458" s="188">
        <v>72.990400000000008</v>
      </c>
      <c r="AD458" s="179" t="s">
        <v>2956</v>
      </c>
      <c r="AE458" s="188" t="s">
        <v>2940</v>
      </c>
      <c r="AF458" s="189">
        <v>0</v>
      </c>
      <c r="AG458" s="189">
        <v>0.99930555555555556</v>
      </c>
      <c r="AH458" s="190" t="s">
        <v>2941</v>
      </c>
      <c r="AI458" s="190" t="s">
        <v>2942</v>
      </c>
      <c r="AJ458" s="179" t="s">
        <v>860</v>
      </c>
      <c r="AK458" s="179" t="s">
        <v>3293</v>
      </c>
      <c r="AL458" s="179" t="s">
        <v>9</v>
      </c>
      <c r="AM458" s="179" t="s">
        <v>4891</v>
      </c>
      <c r="AN458" s="179" t="s">
        <v>2102</v>
      </c>
      <c r="AO458" s="179" t="s">
        <v>2763</v>
      </c>
      <c r="AP458" s="191">
        <v>81139003422</v>
      </c>
      <c r="AQ458" s="184">
        <v>44237</v>
      </c>
      <c r="AR458" s="179">
        <v>66</v>
      </c>
      <c r="AS458" s="179"/>
      <c r="AT458" s="181" t="s">
        <v>4892</v>
      </c>
      <c r="AU458" s="181" t="s">
        <v>2946</v>
      </c>
      <c r="AV458" s="192">
        <v>16338568</v>
      </c>
      <c r="AW458" s="181">
        <v>25.7</v>
      </c>
      <c r="AX458" s="179">
        <v>80361</v>
      </c>
      <c r="AY458" s="179"/>
    </row>
    <row r="459" spans="1:51" ht="14.4" x14ac:dyDescent="0.3">
      <c r="A459" s="179" t="s">
        <v>174</v>
      </c>
      <c r="B459" s="179" t="s">
        <v>2947</v>
      </c>
      <c r="C459" s="180" t="s">
        <v>4893</v>
      </c>
      <c r="D459" s="181" t="s">
        <v>2864</v>
      </c>
      <c r="E459" s="181" t="s">
        <v>2827</v>
      </c>
      <c r="F459" s="182" t="s">
        <v>2972</v>
      </c>
      <c r="G459" s="181" t="s">
        <v>17</v>
      </c>
      <c r="H459" s="193">
        <v>45842</v>
      </c>
      <c r="I459" s="184"/>
      <c r="J459" s="179" t="s">
        <v>3008</v>
      </c>
      <c r="K459" s="179" t="s">
        <v>3008</v>
      </c>
      <c r="L459" s="179" t="s">
        <v>2932</v>
      </c>
      <c r="M459" s="185"/>
      <c r="N459" s="185"/>
      <c r="O459" s="186"/>
      <c r="P459" s="185"/>
      <c r="Q459" s="182" t="s">
        <v>2934</v>
      </c>
      <c r="R459" s="182" t="s">
        <v>2933</v>
      </c>
      <c r="S459" s="182" t="s">
        <v>2952</v>
      </c>
      <c r="T459" s="179" t="s">
        <v>2974</v>
      </c>
      <c r="U459" s="179" t="s">
        <v>2954</v>
      </c>
      <c r="V459" s="179">
        <v>1161</v>
      </c>
      <c r="W459" s="179" t="s">
        <v>3151</v>
      </c>
      <c r="X459" s="188">
        <v>382.93360000000001</v>
      </c>
      <c r="Y459" s="188">
        <v>241.34720000000002</v>
      </c>
      <c r="Z459" s="188">
        <v>130.36920000000001</v>
      </c>
      <c r="AA459" s="188">
        <v>141.52000000000001</v>
      </c>
      <c r="AB459" s="188">
        <v>28.321999999999999</v>
      </c>
      <c r="AC459" s="188">
        <v>63.843499999999992</v>
      </c>
      <c r="AD459" s="179" t="s">
        <v>2956</v>
      </c>
      <c r="AE459" s="188" t="s">
        <v>2940</v>
      </c>
      <c r="AF459" s="189">
        <v>0.29166666666666669</v>
      </c>
      <c r="AG459" s="189">
        <v>0.95833333333333337</v>
      </c>
      <c r="AH459" s="190" t="s">
        <v>2941</v>
      </c>
      <c r="AI459" s="190" t="s">
        <v>2942</v>
      </c>
      <c r="AJ459" s="179" t="s">
        <v>172</v>
      </c>
      <c r="AK459" s="179" t="s">
        <v>143</v>
      </c>
      <c r="AL459" s="179" t="s">
        <v>48</v>
      </c>
      <c r="AM459" s="179" t="s">
        <v>4894</v>
      </c>
      <c r="AN459" s="179" t="s">
        <v>2102</v>
      </c>
      <c r="AO459" s="179" t="s">
        <v>2695</v>
      </c>
      <c r="AP459" s="191">
        <v>81139003412</v>
      </c>
      <c r="AQ459" s="184">
        <v>44285</v>
      </c>
      <c r="AR459" s="179">
        <v>64</v>
      </c>
      <c r="AS459" s="179"/>
      <c r="AT459" s="181" t="s">
        <v>3445</v>
      </c>
      <c r="AU459" s="181" t="s">
        <v>2946</v>
      </c>
      <c r="AV459" s="192">
        <v>11140601</v>
      </c>
      <c r="AW459" s="181">
        <v>62.6</v>
      </c>
      <c r="AX459" s="179">
        <v>81171</v>
      </c>
      <c r="AY459" s="179"/>
    </row>
    <row r="460" spans="1:51" ht="14.4" x14ac:dyDescent="0.3">
      <c r="A460" s="179" t="s">
        <v>294</v>
      </c>
      <c r="B460" s="179" t="s">
        <v>2947</v>
      </c>
      <c r="C460" s="180" t="s">
        <v>4895</v>
      </c>
      <c r="D460" s="181" t="s">
        <v>2865</v>
      </c>
      <c r="E460" s="181" t="s">
        <v>2817</v>
      </c>
      <c r="F460" s="182" t="s">
        <v>2972</v>
      </c>
      <c r="G460" s="181" t="s">
        <v>17</v>
      </c>
      <c r="H460" s="193">
        <v>45087</v>
      </c>
      <c r="I460" s="184"/>
      <c r="J460" s="179" t="s">
        <v>4896</v>
      </c>
      <c r="K460" s="179">
        <v>25</v>
      </c>
      <c r="L460" s="179" t="s">
        <v>2965</v>
      </c>
      <c r="M460" s="185"/>
      <c r="N460" s="185"/>
      <c r="O460" s="179" t="s">
        <v>2951</v>
      </c>
      <c r="P460" s="185"/>
      <c r="Q460" s="182" t="s">
        <v>2933</v>
      </c>
      <c r="R460" s="182" t="s">
        <v>2934</v>
      </c>
      <c r="S460" s="182" t="s">
        <v>2952</v>
      </c>
      <c r="T460" s="179" t="s">
        <v>2974</v>
      </c>
      <c r="U460" s="179" t="s">
        <v>2954</v>
      </c>
      <c r="V460" s="187">
        <v>372</v>
      </c>
      <c r="W460" s="179" t="s">
        <v>4431</v>
      </c>
      <c r="X460" s="188">
        <v>731.92809999999997</v>
      </c>
      <c r="Y460" s="188">
        <v>471.37180000000001</v>
      </c>
      <c r="Z460" s="188">
        <v>160.30940000000001</v>
      </c>
      <c r="AA460" s="188">
        <v>213.73</v>
      </c>
      <c r="AB460" s="188">
        <v>38.26</v>
      </c>
      <c r="AC460" s="188">
        <v>259.2115</v>
      </c>
      <c r="AD460" s="179" t="s">
        <v>2956</v>
      </c>
      <c r="AE460" s="188" t="s">
        <v>2940</v>
      </c>
      <c r="AF460" s="189">
        <v>0</v>
      </c>
      <c r="AG460" s="189">
        <v>0.99930555555555556</v>
      </c>
      <c r="AH460" s="190" t="s">
        <v>2941</v>
      </c>
      <c r="AI460" s="190" t="s">
        <v>2942</v>
      </c>
      <c r="AJ460" s="179" t="s">
        <v>131</v>
      </c>
      <c r="AK460" s="179" t="s">
        <v>3293</v>
      </c>
      <c r="AL460" s="179" t="s">
        <v>9</v>
      </c>
      <c r="AM460" s="179" t="s">
        <v>4897</v>
      </c>
      <c r="AN460" s="179" t="s">
        <v>2102</v>
      </c>
      <c r="AO460" s="179" t="s">
        <v>2706</v>
      </c>
      <c r="AP460" s="191">
        <v>81139003413</v>
      </c>
      <c r="AQ460" s="184">
        <v>44285</v>
      </c>
      <c r="AR460" s="179">
        <v>64</v>
      </c>
      <c r="AS460" s="179"/>
      <c r="AT460" s="181" t="s">
        <v>4898</v>
      </c>
      <c r="AU460" s="181" t="s">
        <v>2946</v>
      </c>
      <c r="AV460" s="192">
        <v>16076928</v>
      </c>
      <c r="AW460" s="181">
        <v>32.6</v>
      </c>
      <c r="AX460" s="179">
        <v>80361</v>
      </c>
      <c r="AY460" s="179"/>
    </row>
    <row r="461" spans="1:51" ht="14.4" x14ac:dyDescent="0.3">
      <c r="A461" s="179" t="s">
        <v>1058</v>
      </c>
      <c r="B461" s="179" t="s">
        <v>2947</v>
      </c>
      <c r="C461" s="180" t="s">
        <v>4899</v>
      </c>
      <c r="D461" s="181" t="s">
        <v>2865</v>
      </c>
      <c r="E461" s="181" t="s">
        <v>2817</v>
      </c>
      <c r="F461" s="182" t="s">
        <v>2972</v>
      </c>
      <c r="G461" s="181" t="s">
        <v>17</v>
      </c>
      <c r="H461" s="193">
        <v>44286</v>
      </c>
      <c r="I461" s="184"/>
      <c r="J461" s="179" t="s">
        <v>4900</v>
      </c>
      <c r="K461" s="179">
        <v>40</v>
      </c>
      <c r="L461" s="179" t="s">
        <v>2965</v>
      </c>
      <c r="M461" s="185"/>
      <c r="N461" s="185"/>
      <c r="O461" s="179" t="s">
        <v>2951</v>
      </c>
      <c r="P461" s="185"/>
      <c r="Q461" s="182" t="s">
        <v>2933</v>
      </c>
      <c r="R461" s="182" t="s">
        <v>2934</v>
      </c>
      <c r="S461" s="182" t="s">
        <v>2952</v>
      </c>
      <c r="T461" s="179" t="s">
        <v>2974</v>
      </c>
      <c r="U461" s="179" t="s">
        <v>2954</v>
      </c>
      <c r="V461" s="187">
        <v>600</v>
      </c>
      <c r="W461" s="179" t="s">
        <v>3151</v>
      </c>
      <c r="X461" s="188">
        <v>206.39359999999999</v>
      </c>
      <c r="Y461" s="188">
        <v>150.92000000000002</v>
      </c>
      <c r="Z461" s="188">
        <v>113.741</v>
      </c>
      <c r="AA461" s="188">
        <v>37.078100000000006</v>
      </c>
      <c r="AB461" s="188">
        <v>0</v>
      </c>
      <c r="AC461" s="188">
        <v>119.9308</v>
      </c>
      <c r="AD461" s="179" t="s">
        <v>2956</v>
      </c>
      <c r="AE461" s="188" t="s">
        <v>2957</v>
      </c>
      <c r="AF461" s="189">
        <v>0.29166666666666669</v>
      </c>
      <c r="AG461" s="189">
        <v>0.95833333333333337</v>
      </c>
      <c r="AH461" s="190" t="s">
        <v>2941</v>
      </c>
      <c r="AI461" s="190" t="s">
        <v>2942</v>
      </c>
      <c r="AJ461" s="179" t="s">
        <v>860</v>
      </c>
      <c r="AK461" s="179" t="s">
        <v>3293</v>
      </c>
      <c r="AL461" s="179" t="s">
        <v>9</v>
      </c>
      <c r="AM461" s="179" t="s">
        <v>4901</v>
      </c>
      <c r="AN461" s="179" t="s">
        <v>2102</v>
      </c>
      <c r="AO461" s="179" t="s">
        <v>2441</v>
      </c>
      <c r="AP461" s="191">
        <v>81139003778</v>
      </c>
      <c r="AQ461" s="184">
        <v>44286</v>
      </c>
      <c r="AR461" s="179">
        <v>64</v>
      </c>
      <c r="AS461" s="179"/>
      <c r="AT461" s="181" t="s">
        <v>4243</v>
      </c>
      <c r="AU461" s="181" t="s">
        <v>2946</v>
      </c>
      <c r="AV461" s="192">
        <v>15503807</v>
      </c>
      <c r="AW461" s="181">
        <v>24.1</v>
      </c>
      <c r="AX461" s="179">
        <v>80361</v>
      </c>
      <c r="AY461" s="179"/>
    </row>
    <row r="462" spans="1:51" ht="14.4" x14ac:dyDescent="0.3">
      <c r="A462" s="179" t="s">
        <v>976</v>
      </c>
      <c r="B462" s="179" t="s">
        <v>2927</v>
      </c>
      <c r="C462" s="180" t="s">
        <v>975</v>
      </c>
      <c r="D462" s="181" t="s">
        <v>2829</v>
      </c>
      <c r="E462" s="181" t="s">
        <v>2815</v>
      </c>
      <c r="F462" s="182" t="s">
        <v>2929</v>
      </c>
      <c r="G462" s="181" t="s">
        <v>12</v>
      </c>
      <c r="H462" s="193">
        <v>44303</v>
      </c>
      <c r="I462" s="184"/>
      <c r="J462" s="179" t="s">
        <v>3008</v>
      </c>
      <c r="K462" s="179" t="s">
        <v>3008</v>
      </c>
      <c r="L462" s="179" t="s">
        <v>2932</v>
      </c>
      <c r="M462" s="185"/>
      <c r="N462" s="185"/>
      <c r="O462" s="186"/>
      <c r="P462" s="185"/>
      <c r="Q462" s="182" t="s">
        <v>2934</v>
      </c>
      <c r="R462" s="182" t="s">
        <v>2933</v>
      </c>
      <c r="S462" s="182" t="s">
        <v>2935</v>
      </c>
      <c r="T462" s="179" t="s">
        <v>2974</v>
      </c>
      <c r="U462" s="179" t="s">
        <v>2937</v>
      </c>
      <c r="V462" s="179">
        <v>947</v>
      </c>
      <c r="W462" s="179" t="s">
        <v>2975</v>
      </c>
      <c r="X462" s="188">
        <v>254.48579999999998</v>
      </c>
      <c r="Y462" s="188">
        <v>156.8168</v>
      </c>
      <c r="Z462" s="188">
        <v>108.78449999999999</v>
      </c>
      <c r="AA462" s="188">
        <v>80.7898</v>
      </c>
      <c r="AB462" s="188">
        <v>8.2560000000000002</v>
      </c>
      <c r="AC462" s="188">
        <v>58.484200000000001</v>
      </c>
      <c r="AD462" s="179" t="s">
        <v>2984</v>
      </c>
      <c r="AE462" s="188" t="s">
        <v>3017</v>
      </c>
      <c r="AF462" s="189">
        <v>0.29166666666666669</v>
      </c>
      <c r="AG462" s="189">
        <v>0.91666666666666663</v>
      </c>
      <c r="AH462" s="190" t="s">
        <v>2941</v>
      </c>
      <c r="AI462" s="190" t="s">
        <v>2985</v>
      </c>
      <c r="AJ462" s="179" t="s">
        <v>974</v>
      </c>
      <c r="AK462" s="179" t="s">
        <v>3110</v>
      </c>
      <c r="AL462" s="179" t="s">
        <v>28</v>
      </c>
      <c r="AM462" s="179" t="s">
        <v>4902</v>
      </c>
      <c r="AN462" s="179" t="s">
        <v>2102</v>
      </c>
      <c r="AO462" s="179" t="s">
        <v>4903</v>
      </c>
      <c r="AP462" s="191">
        <v>81139003418</v>
      </c>
      <c r="AQ462" s="184">
        <v>44303</v>
      </c>
      <c r="AR462" s="179">
        <v>64</v>
      </c>
      <c r="AS462" s="179"/>
      <c r="AT462" s="181"/>
      <c r="AU462" s="181"/>
      <c r="AV462" s="192">
        <v>8443588</v>
      </c>
      <c r="AW462" s="181">
        <v>21.8</v>
      </c>
      <c r="AX462" s="179">
        <v>80581</v>
      </c>
      <c r="AY462" s="179"/>
    </row>
    <row r="463" spans="1:51" ht="14.4" x14ac:dyDescent="0.3">
      <c r="A463" s="179" t="s">
        <v>1112</v>
      </c>
      <c r="B463" s="179" t="s">
        <v>2947</v>
      </c>
      <c r="C463" s="180" t="s">
        <v>1111</v>
      </c>
      <c r="D463" s="181" t="s">
        <v>2862</v>
      </c>
      <c r="E463" s="181" t="s">
        <v>2819</v>
      </c>
      <c r="F463" s="182" t="s">
        <v>2929</v>
      </c>
      <c r="G463" s="181" t="s">
        <v>12</v>
      </c>
      <c r="H463" s="193">
        <v>44987</v>
      </c>
      <c r="I463" s="184"/>
      <c r="J463" s="179" t="s">
        <v>4904</v>
      </c>
      <c r="K463" s="179">
        <v>1100</v>
      </c>
      <c r="L463" s="179" t="s">
        <v>2932</v>
      </c>
      <c r="M463" s="185"/>
      <c r="N463" s="185"/>
      <c r="O463" s="186"/>
      <c r="P463" s="185"/>
      <c r="Q463" s="182" t="s">
        <v>2933</v>
      </c>
      <c r="R463" s="182" t="s">
        <v>2934</v>
      </c>
      <c r="S463" s="182" t="s">
        <v>2952</v>
      </c>
      <c r="T463" s="179" t="s">
        <v>2974</v>
      </c>
      <c r="U463" s="179" t="s">
        <v>2954</v>
      </c>
      <c r="V463" s="187">
        <v>542</v>
      </c>
      <c r="W463" s="179" t="s">
        <v>3549</v>
      </c>
      <c r="X463" s="188">
        <v>258.92999999999995</v>
      </c>
      <c r="Y463" s="188">
        <v>182.21</v>
      </c>
      <c r="Z463" s="188">
        <v>118.188</v>
      </c>
      <c r="AA463" s="188">
        <v>50.92</v>
      </c>
      <c r="AB463" s="188">
        <v>13.4</v>
      </c>
      <c r="AC463" s="188">
        <v>43.3125</v>
      </c>
      <c r="AD463" s="179" t="s">
        <v>2984</v>
      </c>
      <c r="AE463" s="188" t="s">
        <v>2940</v>
      </c>
      <c r="AF463" s="189">
        <v>0</v>
      </c>
      <c r="AG463" s="189">
        <v>0.99930555555555556</v>
      </c>
      <c r="AH463" s="190" t="s">
        <v>2941</v>
      </c>
      <c r="AI463" s="190" t="s">
        <v>2942</v>
      </c>
      <c r="AJ463" s="179" t="s">
        <v>137</v>
      </c>
      <c r="AK463" s="179" t="s">
        <v>2977</v>
      </c>
      <c r="AL463" s="179" t="s">
        <v>9</v>
      </c>
      <c r="AM463" s="179" t="s">
        <v>4905</v>
      </c>
      <c r="AN463" s="179" t="s">
        <v>2102</v>
      </c>
      <c r="AO463" s="179" t="s">
        <v>2666</v>
      </c>
      <c r="AP463" s="191">
        <v>81139003415</v>
      </c>
      <c r="AQ463" s="184">
        <v>44316</v>
      </c>
      <c r="AR463" s="179">
        <v>63</v>
      </c>
      <c r="AS463" s="179"/>
      <c r="AT463" s="181" t="s">
        <v>4906</v>
      </c>
      <c r="AU463" s="181" t="s">
        <v>2946</v>
      </c>
      <c r="AV463" s="192">
        <v>15322055</v>
      </c>
      <c r="AW463" s="181">
        <v>23.2</v>
      </c>
      <c r="AX463" s="179">
        <v>80363</v>
      </c>
      <c r="AY463" s="179"/>
    </row>
    <row r="464" spans="1:51" ht="14.4" x14ac:dyDescent="0.3">
      <c r="A464" s="179" t="s">
        <v>354</v>
      </c>
      <c r="B464" s="179" t="s">
        <v>2947</v>
      </c>
      <c r="C464" s="180" t="s">
        <v>2182</v>
      </c>
      <c r="D464" s="181" t="s">
        <v>2860</v>
      </c>
      <c r="E464" s="181" t="s">
        <v>2830</v>
      </c>
      <c r="F464" s="182" t="s">
        <v>2972</v>
      </c>
      <c r="G464" s="181" t="s">
        <v>17</v>
      </c>
      <c r="H464" s="193">
        <v>44336</v>
      </c>
      <c r="I464" s="184"/>
      <c r="J464" s="179" t="s">
        <v>4907</v>
      </c>
      <c r="K464" s="179">
        <v>110</v>
      </c>
      <c r="L464" s="179" t="s">
        <v>2950</v>
      </c>
      <c r="M464" s="185"/>
      <c r="N464" s="185"/>
      <c r="O464" s="179" t="s">
        <v>2951</v>
      </c>
      <c r="P464" s="185"/>
      <c r="Q464" s="182" t="s">
        <v>2934</v>
      </c>
      <c r="R464" s="182" t="s">
        <v>2933</v>
      </c>
      <c r="S464" s="182" t="s">
        <v>2935</v>
      </c>
      <c r="T464" s="179" t="s">
        <v>2974</v>
      </c>
      <c r="U464" s="179" t="s">
        <v>2954</v>
      </c>
      <c r="V464" s="179">
        <v>1177</v>
      </c>
      <c r="W464" s="179" t="s">
        <v>3549</v>
      </c>
      <c r="X464" s="188">
        <v>358.82</v>
      </c>
      <c r="Y464" s="188">
        <v>244.49599999999998</v>
      </c>
      <c r="Z464" s="188">
        <v>118.33799999999998</v>
      </c>
      <c r="AA464" s="188">
        <v>102.196</v>
      </c>
      <c r="AB464" s="188">
        <v>21.504000000000001</v>
      </c>
      <c r="AC464" s="188">
        <v>0</v>
      </c>
      <c r="AD464" s="179" t="s">
        <v>2939</v>
      </c>
      <c r="AE464" s="188" t="s">
        <v>2940</v>
      </c>
      <c r="AF464" s="189">
        <v>0.29166666666666669</v>
      </c>
      <c r="AG464" s="189">
        <v>0.95833333333333337</v>
      </c>
      <c r="AH464" s="190" t="s">
        <v>2941</v>
      </c>
      <c r="AI464" s="190" t="s">
        <v>2942</v>
      </c>
      <c r="AJ464" s="179" t="s">
        <v>352</v>
      </c>
      <c r="AK464" s="179" t="s">
        <v>3229</v>
      </c>
      <c r="AL464" s="179" t="s">
        <v>9</v>
      </c>
      <c r="AM464" s="179" t="s">
        <v>4908</v>
      </c>
      <c r="AN464" s="179" t="s">
        <v>2102</v>
      </c>
      <c r="AO464" s="179" t="s">
        <v>2424</v>
      </c>
      <c r="AP464" s="191">
        <v>81139003605</v>
      </c>
      <c r="AQ464" s="184">
        <v>44336</v>
      </c>
      <c r="AR464" s="179">
        <v>63</v>
      </c>
      <c r="AS464" s="179"/>
      <c r="AT464" s="181" t="s">
        <v>3591</v>
      </c>
      <c r="AU464" s="181" t="s">
        <v>2946</v>
      </c>
      <c r="AV464" s="192">
        <v>13077568</v>
      </c>
      <c r="AW464" s="181">
        <v>11.9</v>
      </c>
      <c r="AX464" s="179">
        <v>80352</v>
      </c>
      <c r="AY464" s="179"/>
    </row>
    <row r="465" spans="1:51" ht="14.4" x14ac:dyDescent="0.3">
      <c r="A465" s="179" t="s">
        <v>265</v>
      </c>
      <c r="B465" s="179" t="s">
        <v>2947</v>
      </c>
      <c r="C465" s="180" t="s">
        <v>4909</v>
      </c>
      <c r="D465" s="181" t="s">
        <v>2833</v>
      </c>
      <c r="E465" s="181" t="s">
        <v>2821</v>
      </c>
      <c r="F465" s="182" t="s">
        <v>2929</v>
      </c>
      <c r="G465" s="181" t="s">
        <v>12</v>
      </c>
      <c r="H465" s="193">
        <v>44358</v>
      </c>
      <c r="I465" s="184"/>
      <c r="J465" s="179" t="s">
        <v>3008</v>
      </c>
      <c r="K465" s="179" t="s">
        <v>3008</v>
      </c>
      <c r="L465" s="179" t="s">
        <v>2932</v>
      </c>
      <c r="M465" s="185"/>
      <c r="N465" s="185"/>
      <c r="O465" s="186"/>
      <c r="P465" s="185"/>
      <c r="Q465" s="182" t="s">
        <v>2934</v>
      </c>
      <c r="R465" s="182" t="s">
        <v>2933</v>
      </c>
      <c r="S465" s="182" t="s">
        <v>2952</v>
      </c>
      <c r="T465" s="179" t="s">
        <v>2974</v>
      </c>
      <c r="U465" s="179" t="s">
        <v>2954</v>
      </c>
      <c r="V465" s="179">
        <v>1501</v>
      </c>
      <c r="W465" s="179" t="s">
        <v>3549</v>
      </c>
      <c r="X465" s="188">
        <v>320.38679999999999</v>
      </c>
      <c r="Y465" s="188">
        <v>192.43679999999998</v>
      </c>
      <c r="Z465" s="188">
        <v>113.34840000000001</v>
      </c>
      <c r="AA465" s="188">
        <v>120.12</v>
      </c>
      <c r="AB465" s="188">
        <v>6.7160000000000002</v>
      </c>
      <c r="AC465" s="188">
        <v>63.654600000000002</v>
      </c>
      <c r="AD465" s="179" t="s">
        <v>2956</v>
      </c>
      <c r="AE465" s="188" t="s">
        <v>2940</v>
      </c>
      <c r="AF465" s="189">
        <v>0.29166666666666669</v>
      </c>
      <c r="AG465" s="189">
        <v>0.91666666666666663</v>
      </c>
      <c r="AH465" s="190" t="s">
        <v>2941</v>
      </c>
      <c r="AI465" s="190" t="s">
        <v>2942</v>
      </c>
      <c r="AJ465" s="179" t="s">
        <v>263</v>
      </c>
      <c r="AK465" s="179" t="s">
        <v>4910</v>
      </c>
      <c r="AL465" s="179" t="s">
        <v>36</v>
      </c>
      <c r="AM465" s="179" t="s">
        <v>4911</v>
      </c>
      <c r="AN465" s="179" t="s">
        <v>2102</v>
      </c>
      <c r="AO465" s="179" t="s">
        <v>2586</v>
      </c>
      <c r="AP465" s="191">
        <v>81139003657</v>
      </c>
      <c r="AQ465" s="184">
        <v>44358</v>
      </c>
      <c r="AR465" s="179">
        <v>62</v>
      </c>
      <c r="AS465" s="179"/>
      <c r="AT465" s="181" t="s">
        <v>3220</v>
      </c>
      <c r="AU465" s="181" t="s">
        <v>2946</v>
      </c>
      <c r="AV465" s="192">
        <v>10994274</v>
      </c>
      <c r="AW465" s="181">
        <v>19.100000000000001</v>
      </c>
      <c r="AX465" s="179">
        <v>82152</v>
      </c>
      <c r="AY465" s="179"/>
    </row>
    <row r="466" spans="1:51" ht="14.4" x14ac:dyDescent="0.3">
      <c r="A466" s="179" t="s">
        <v>1199</v>
      </c>
      <c r="B466" s="179" t="s">
        <v>2927</v>
      </c>
      <c r="C466" s="180" t="s">
        <v>1198</v>
      </c>
      <c r="D466" s="181" t="s">
        <v>2836</v>
      </c>
      <c r="E466" s="181" t="s">
        <v>2825</v>
      </c>
      <c r="F466" s="182" t="s">
        <v>2929</v>
      </c>
      <c r="G466" s="181" t="s">
        <v>12</v>
      </c>
      <c r="H466" s="193">
        <v>44371</v>
      </c>
      <c r="I466" s="184"/>
      <c r="J466" s="179" t="s">
        <v>4912</v>
      </c>
      <c r="K466" s="179">
        <v>500</v>
      </c>
      <c r="L466" s="179" t="s">
        <v>3026</v>
      </c>
      <c r="M466" s="185"/>
      <c r="N466" s="185"/>
      <c r="O466" s="186"/>
      <c r="P466" s="185"/>
      <c r="Q466" s="182" t="s">
        <v>2934</v>
      </c>
      <c r="R466" s="182" t="s">
        <v>2933</v>
      </c>
      <c r="S466" s="182" t="s">
        <v>2952</v>
      </c>
      <c r="T466" s="179">
        <v>0</v>
      </c>
      <c r="U466" s="179" t="s">
        <v>2937</v>
      </c>
      <c r="V466" s="179">
        <v>1001</v>
      </c>
      <c r="W466" s="179" t="s">
        <v>3151</v>
      </c>
      <c r="X466" s="188">
        <v>503.25</v>
      </c>
      <c r="Y466" s="188">
        <v>274.5</v>
      </c>
      <c r="Z466" s="188">
        <v>132.90549999999999</v>
      </c>
      <c r="AA466" s="188">
        <v>213.5</v>
      </c>
      <c r="AB466" s="188">
        <v>21.674999999999997</v>
      </c>
      <c r="AC466" s="188">
        <v>96.460000000000008</v>
      </c>
      <c r="AD466" s="179" t="s">
        <v>2956</v>
      </c>
      <c r="AE466" s="188" t="s">
        <v>2940</v>
      </c>
      <c r="AF466" s="189">
        <v>0.29166666666666669</v>
      </c>
      <c r="AG466" s="189">
        <v>0.91666666666666663</v>
      </c>
      <c r="AH466" s="190" t="s">
        <v>2941</v>
      </c>
      <c r="AI466" s="190" t="s">
        <v>2942</v>
      </c>
      <c r="AJ466" s="179" t="s">
        <v>597</v>
      </c>
      <c r="AK466" s="179" t="s">
        <v>3345</v>
      </c>
      <c r="AL466" s="179" t="s">
        <v>36</v>
      </c>
      <c r="AM466" s="179" t="s">
        <v>4913</v>
      </c>
      <c r="AN466" s="179" t="s">
        <v>2102</v>
      </c>
      <c r="AO466" s="179" t="s">
        <v>2274</v>
      </c>
      <c r="AP466" s="191">
        <v>81139003661</v>
      </c>
      <c r="AQ466" s="184">
        <v>44371</v>
      </c>
      <c r="AR466" s="179">
        <v>62</v>
      </c>
      <c r="AS466" s="179"/>
      <c r="AT466" s="181"/>
      <c r="AU466" s="181"/>
      <c r="AV466" s="192">
        <v>7743420</v>
      </c>
      <c r="AW466" s="181">
        <v>24.6</v>
      </c>
      <c r="AX466" s="179">
        <v>82191</v>
      </c>
      <c r="AY466" s="179"/>
    </row>
    <row r="467" spans="1:51" ht="14.4" x14ac:dyDescent="0.3">
      <c r="A467" s="179" t="s">
        <v>161</v>
      </c>
      <c r="B467" s="179" t="s">
        <v>2947</v>
      </c>
      <c r="C467" s="180" t="s">
        <v>160</v>
      </c>
      <c r="D467" s="181" t="s">
        <v>2835</v>
      </c>
      <c r="E467" s="181" t="s">
        <v>2834</v>
      </c>
      <c r="F467" s="182" t="s">
        <v>2929</v>
      </c>
      <c r="G467" s="181" t="s">
        <v>12</v>
      </c>
      <c r="H467" s="193">
        <v>44375</v>
      </c>
      <c r="I467" s="184"/>
      <c r="J467" s="179" t="s">
        <v>4914</v>
      </c>
      <c r="K467" s="179">
        <v>750</v>
      </c>
      <c r="L467" s="179" t="s">
        <v>3026</v>
      </c>
      <c r="M467" s="185"/>
      <c r="N467" s="185"/>
      <c r="O467" s="186"/>
      <c r="P467" s="185"/>
      <c r="Q467" s="182" t="s">
        <v>2934</v>
      </c>
      <c r="R467" s="182" t="s">
        <v>2933</v>
      </c>
      <c r="S467" s="182" t="s">
        <v>2952</v>
      </c>
      <c r="T467" s="179" t="s">
        <v>2974</v>
      </c>
      <c r="U467" s="179" t="s">
        <v>2954</v>
      </c>
      <c r="V467" s="179">
        <v>0</v>
      </c>
      <c r="W467" s="179" t="s">
        <v>2975</v>
      </c>
      <c r="X467" s="188">
        <v>334.61909999999995</v>
      </c>
      <c r="Y467" s="188">
        <v>245.8194</v>
      </c>
      <c r="Z467" s="188">
        <v>120.66300000000001</v>
      </c>
      <c r="AA467" s="188">
        <v>89.76</v>
      </c>
      <c r="AB467" s="188">
        <v>16.455000000000002</v>
      </c>
      <c r="AC467" s="188">
        <v>98.412300000000002</v>
      </c>
      <c r="AD467" s="179" t="s">
        <v>2956</v>
      </c>
      <c r="AE467" s="188" t="s">
        <v>2940</v>
      </c>
      <c r="AF467" s="189">
        <v>0.29166666666666669</v>
      </c>
      <c r="AG467" s="189">
        <v>0.91666666666666663</v>
      </c>
      <c r="AH467" s="190" t="s">
        <v>2941</v>
      </c>
      <c r="AI467" s="190" t="s">
        <v>2942</v>
      </c>
      <c r="AJ467" s="179" t="s">
        <v>159</v>
      </c>
      <c r="AK467" s="179" t="s">
        <v>32</v>
      </c>
      <c r="AL467" s="179" t="s">
        <v>32</v>
      </c>
      <c r="AM467" s="179" t="s">
        <v>4915</v>
      </c>
      <c r="AN467" s="179" t="s">
        <v>2102</v>
      </c>
      <c r="AO467" s="179" t="s">
        <v>2601</v>
      </c>
      <c r="AP467" s="191">
        <v>81139003668</v>
      </c>
      <c r="AQ467" s="184">
        <v>44375</v>
      </c>
      <c r="AR467" s="179">
        <v>62</v>
      </c>
      <c r="AS467" s="179"/>
      <c r="AT467" s="181"/>
      <c r="AU467" s="181"/>
      <c r="AV467" s="192">
        <v>11901357</v>
      </c>
      <c r="AW467" s="181">
        <v>41.7</v>
      </c>
      <c r="AX467" s="179">
        <v>80613</v>
      </c>
      <c r="AY467" s="179"/>
    </row>
    <row r="468" spans="1:51" ht="14.4" x14ac:dyDescent="0.3">
      <c r="A468" s="179" t="s">
        <v>1424</v>
      </c>
      <c r="B468" s="179" t="s">
        <v>2947</v>
      </c>
      <c r="C468" s="180" t="s">
        <v>1423</v>
      </c>
      <c r="D468" s="181" t="s">
        <v>2820</v>
      </c>
      <c r="E468" s="181" t="s">
        <v>2819</v>
      </c>
      <c r="F468" s="182" t="s">
        <v>2929</v>
      </c>
      <c r="G468" s="181" t="s">
        <v>12</v>
      </c>
      <c r="H468" s="193">
        <v>44376</v>
      </c>
      <c r="I468" s="184"/>
      <c r="J468" s="179" t="s">
        <v>4916</v>
      </c>
      <c r="K468" s="179">
        <v>450</v>
      </c>
      <c r="L468" s="179" t="s">
        <v>3026</v>
      </c>
      <c r="M468" s="185"/>
      <c r="N468" s="185"/>
      <c r="O468" s="186"/>
      <c r="P468" s="185"/>
      <c r="Q468" s="182" t="s">
        <v>2934</v>
      </c>
      <c r="R468" s="182" t="s">
        <v>2933</v>
      </c>
      <c r="S468" s="182" t="s">
        <v>2952</v>
      </c>
      <c r="T468" s="179" t="s">
        <v>4623</v>
      </c>
      <c r="U468" s="179" t="s">
        <v>2954</v>
      </c>
      <c r="V468" s="179">
        <v>1015</v>
      </c>
      <c r="W468" s="179" t="s">
        <v>3151</v>
      </c>
      <c r="X468" s="188">
        <v>293.02</v>
      </c>
      <c r="Y468" s="188">
        <v>202.8715</v>
      </c>
      <c r="Z468" s="188">
        <v>109.72850000000001</v>
      </c>
      <c r="AA468" s="188">
        <v>72.076000000000008</v>
      </c>
      <c r="AB468" s="188">
        <v>17.447999999999997</v>
      </c>
      <c r="AC468" s="188">
        <v>56.25</v>
      </c>
      <c r="AD468" s="179" t="s">
        <v>2984</v>
      </c>
      <c r="AE468" s="188" t="s">
        <v>2940</v>
      </c>
      <c r="AF468" s="189">
        <v>0.29166666666666669</v>
      </c>
      <c r="AG468" s="189">
        <v>0.95833333333333337</v>
      </c>
      <c r="AH468" s="190" t="s">
        <v>2941</v>
      </c>
      <c r="AI468" s="190" t="s">
        <v>2942</v>
      </c>
      <c r="AJ468" s="179" t="s">
        <v>268</v>
      </c>
      <c r="AK468" s="179" t="s">
        <v>2958</v>
      </c>
      <c r="AL468" s="179" t="s">
        <v>4</v>
      </c>
      <c r="AM468" s="179" t="s">
        <v>4917</v>
      </c>
      <c r="AN468" s="179" t="s">
        <v>2102</v>
      </c>
      <c r="AO468" s="179" t="s">
        <v>2447</v>
      </c>
      <c r="AP468" s="191">
        <v>81139003669</v>
      </c>
      <c r="AQ468" s="184">
        <v>44376</v>
      </c>
      <c r="AR468" s="179">
        <v>61</v>
      </c>
      <c r="AS468" s="179"/>
      <c r="AT468" s="181"/>
      <c r="AU468" s="181"/>
      <c r="AV468" s="192">
        <v>12410820</v>
      </c>
      <c r="AW468" s="181">
        <v>19.100000000000001</v>
      </c>
      <c r="AX468" s="179">
        <v>80118</v>
      </c>
      <c r="AY468" s="179"/>
    </row>
    <row r="469" spans="1:51" ht="14.4" x14ac:dyDescent="0.3">
      <c r="A469" s="179" t="s">
        <v>872</v>
      </c>
      <c r="B469" s="179" t="s">
        <v>2947</v>
      </c>
      <c r="C469" s="180" t="s">
        <v>4918</v>
      </c>
      <c r="D469" s="181" t="s">
        <v>2837</v>
      </c>
      <c r="E469" s="181" t="s">
        <v>2825</v>
      </c>
      <c r="F469" s="182" t="s">
        <v>2972</v>
      </c>
      <c r="G469" s="181" t="s">
        <v>17</v>
      </c>
      <c r="H469" s="193">
        <v>45550</v>
      </c>
      <c r="I469" s="184"/>
      <c r="J469" s="179" t="s">
        <v>3008</v>
      </c>
      <c r="K469" s="179" t="s">
        <v>3008</v>
      </c>
      <c r="L469" s="179" t="s">
        <v>2932</v>
      </c>
      <c r="M469" s="185"/>
      <c r="N469" s="185" t="s">
        <v>2951</v>
      </c>
      <c r="O469" s="179" t="s">
        <v>2951</v>
      </c>
      <c r="P469" s="185"/>
      <c r="Q469" s="182" t="s">
        <v>2933</v>
      </c>
      <c r="R469" s="182" t="s">
        <v>2934</v>
      </c>
      <c r="S469" s="182" t="s">
        <v>2952</v>
      </c>
      <c r="T469" s="179" t="s">
        <v>2953</v>
      </c>
      <c r="U469" s="179" t="s">
        <v>2954</v>
      </c>
      <c r="V469" s="187">
        <v>468</v>
      </c>
      <c r="W469" s="179" t="s">
        <v>2975</v>
      </c>
      <c r="X469" s="188">
        <v>503.68240000000003</v>
      </c>
      <c r="Y469" s="188">
        <v>253.91600000000003</v>
      </c>
      <c r="Z469" s="188">
        <v>130.38200000000001</v>
      </c>
      <c r="AA469" s="188">
        <v>215.38400000000001</v>
      </c>
      <c r="AB469" s="188">
        <v>20.233499999999999</v>
      </c>
      <c r="AC469" s="188">
        <v>65.325000000000003</v>
      </c>
      <c r="AD469" s="179" t="s">
        <v>2956</v>
      </c>
      <c r="AE469" s="188" t="s">
        <v>2940</v>
      </c>
      <c r="AF469" s="189">
        <v>0.29166666666666669</v>
      </c>
      <c r="AG469" s="189">
        <v>0.95833333333333337</v>
      </c>
      <c r="AH469" s="190" t="s">
        <v>2941</v>
      </c>
      <c r="AI469" s="190" t="s">
        <v>2942</v>
      </c>
      <c r="AJ469" s="179" t="s">
        <v>870</v>
      </c>
      <c r="AK469" s="179" t="s">
        <v>3302</v>
      </c>
      <c r="AL469" s="179" t="s">
        <v>9</v>
      </c>
      <c r="AM469" s="179" t="s">
        <v>4919</v>
      </c>
      <c r="AN469" s="179" t="s">
        <v>2102</v>
      </c>
      <c r="AO469" s="179" t="s">
        <v>2644</v>
      </c>
      <c r="AP469" s="191">
        <v>81139003662</v>
      </c>
      <c r="AQ469" s="184">
        <v>44391</v>
      </c>
      <c r="AR469" s="179">
        <v>61</v>
      </c>
      <c r="AS469" s="179"/>
      <c r="AT469" s="181" t="s">
        <v>3112</v>
      </c>
      <c r="AU469" s="181" t="s">
        <v>2946</v>
      </c>
      <c r="AV469" s="192">
        <v>11843744</v>
      </c>
      <c r="AW469" s="181">
        <v>1.3</v>
      </c>
      <c r="AX469" s="179">
        <v>80361</v>
      </c>
      <c r="AY469" s="179"/>
    </row>
    <row r="470" spans="1:51" ht="14.4" x14ac:dyDescent="0.3">
      <c r="A470" s="179" t="s">
        <v>83</v>
      </c>
      <c r="B470" s="179" t="s">
        <v>2927</v>
      </c>
      <c r="C470" s="180" t="s">
        <v>4920</v>
      </c>
      <c r="D470" s="181" t="s">
        <v>2846</v>
      </c>
      <c r="E470" s="181" t="s">
        <v>2821</v>
      </c>
      <c r="F470" s="182" t="s">
        <v>2929</v>
      </c>
      <c r="G470" s="181" t="s">
        <v>12</v>
      </c>
      <c r="H470" s="193">
        <v>44408</v>
      </c>
      <c r="I470" s="184"/>
      <c r="J470" s="179" t="s">
        <v>4921</v>
      </c>
      <c r="K470" s="179">
        <v>472</v>
      </c>
      <c r="L470" s="179" t="s">
        <v>3026</v>
      </c>
      <c r="M470" s="185"/>
      <c r="N470" s="185"/>
      <c r="O470" s="186"/>
      <c r="P470" s="185"/>
      <c r="Q470" s="182" t="s">
        <v>2934</v>
      </c>
      <c r="R470" s="182" t="s">
        <v>2933</v>
      </c>
      <c r="S470" s="182" t="s">
        <v>2952</v>
      </c>
      <c r="T470" s="179" t="s">
        <v>2974</v>
      </c>
      <c r="U470" s="179" t="s">
        <v>2937</v>
      </c>
      <c r="V470" s="179">
        <v>1126</v>
      </c>
      <c r="W470" s="179" t="s">
        <v>3151</v>
      </c>
      <c r="X470" s="188">
        <v>400</v>
      </c>
      <c r="Y470" s="188">
        <v>230</v>
      </c>
      <c r="Z470" s="188">
        <v>120.875</v>
      </c>
      <c r="AA470" s="188">
        <v>157.6</v>
      </c>
      <c r="AB470" s="188">
        <v>31.360000000000003</v>
      </c>
      <c r="AC470" s="188">
        <v>68.173500000000004</v>
      </c>
      <c r="AD470" s="179" t="s">
        <v>2956</v>
      </c>
      <c r="AE470" s="188" t="s">
        <v>2940</v>
      </c>
      <c r="AF470" s="189">
        <v>0.29166666666666669</v>
      </c>
      <c r="AG470" s="189">
        <v>0.91666666666666663</v>
      </c>
      <c r="AH470" s="190" t="s">
        <v>2941</v>
      </c>
      <c r="AI470" s="190" t="s">
        <v>2942</v>
      </c>
      <c r="AJ470" s="179" t="s">
        <v>81</v>
      </c>
      <c r="AK470" s="179" t="s">
        <v>4910</v>
      </c>
      <c r="AL470" s="179" t="s">
        <v>36</v>
      </c>
      <c r="AM470" s="179" t="s">
        <v>4922</v>
      </c>
      <c r="AN470" s="179" t="s">
        <v>2102</v>
      </c>
      <c r="AO470" s="179" t="s">
        <v>2307</v>
      </c>
      <c r="AP470" s="191">
        <v>81139003665</v>
      </c>
      <c r="AQ470" s="184">
        <v>44408</v>
      </c>
      <c r="AR470" s="179">
        <v>60</v>
      </c>
      <c r="AS470" s="179"/>
      <c r="AT470" s="181"/>
      <c r="AU470" s="181"/>
      <c r="AV470" s="192">
        <v>7468664</v>
      </c>
      <c r="AW470" s="181">
        <v>19</v>
      </c>
      <c r="AX470" s="179">
        <v>82152</v>
      </c>
      <c r="AY470" s="179"/>
    </row>
    <row r="471" spans="1:51" ht="14.4" x14ac:dyDescent="0.3">
      <c r="A471" s="179" t="s">
        <v>659</v>
      </c>
      <c r="B471" s="179" t="s">
        <v>2927</v>
      </c>
      <c r="C471" s="180" t="s">
        <v>658</v>
      </c>
      <c r="D471" s="181" t="s">
        <v>2852</v>
      </c>
      <c r="E471" s="181" t="s">
        <v>2817</v>
      </c>
      <c r="F471" s="182" t="s">
        <v>2929</v>
      </c>
      <c r="G471" s="181" t="s">
        <v>12</v>
      </c>
      <c r="H471" s="193">
        <v>44430</v>
      </c>
      <c r="I471" s="184"/>
      <c r="J471" s="179" t="s">
        <v>4923</v>
      </c>
      <c r="K471" s="179">
        <v>177</v>
      </c>
      <c r="L471" s="179" t="s">
        <v>2950</v>
      </c>
      <c r="M471" s="185"/>
      <c r="N471" s="185"/>
      <c r="O471" s="186"/>
      <c r="P471" s="185"/>
      <c r="Q471" s="182" t="s">
        <v>2934</v>
      </c>
      <c r="R471" s="182" t="s">
        <v>2933</v>
      </c>
      <c r="S471" s="182" t="s">
        <v>2952</v>
      </c>
      <c r="T471" s="179" t="s">
        <v>2974</v>
      </c>
      <c r="U471" s="179" t="s">
        <v>2937</v>
      </c>
      <c r="V471" s="179">
        <v>454</v>
      </c>
      <c r="W471" s="179" t="s">
        <v>3151</v>
      </c>
      <c r="X471" s="188">
        <v>277.27460000000002</v>
      </c>
      <c r="Y471" s="188">
        <v>193.72460000000001</v>
      </c>
      <c r="Z471" s="188">
        <v>104.1724</v>
      </c>
      <c r="AA471" s="188">
        <v>75.88</v>
      </c>
      <c r="AB471" s="188">
        <v>8.5920000000000005</v>
      </c>
      <c r="AC471" s="188">
        <v>60.116</v>
      </c>
      <c r="AD471" s="179" t="s">
        <v>2956</v>
      </c>
      <c r="AE471" s="188" t="s">
        <v>2940</v>
      </c>
      <c r="AF471" s="189">
        <v>0.29166666666666669</v>
      </c>
      <c r="AG471" s="189">
        <v>0.91666666666666663</v>
      </c>
      <c r="AH471" s="190" t="s">
        <v>2941</v>
      </c>
      <c r="AI471" s="190" t="s">
        <v>2942</v>
      </c>
      <c r="AJ471" s="179" t="s">
        <v>536</v>
      </c>
      <c r="AK471" s="179" t="s">
        <v>2958</v>
      </c>
      <c r="AL471" s="179" t="s">
        <v>4</v>
      </c>
      <c r="AM471" s="179" t="s">
        <v>4924</v>
      </c>
      <c r="AN471" s="179" t="s">
        <v>2102</v>
      </c>
      <c r="AO471" s="179" t="s">
        <v>2759</v>
      </c>
      <c r="AP471" s="191">
        <v>81139003849</v>
      </c>
      <c r="AQ471" s="184">
        <v>44430</v>
      </c>
      <c r="AR471" s="179">
        <v>60</v>
      </c>
      <c r="AS471" s="179"/>
      <c r="AT471" s="181"/>
      <c r="AU471" s="181"/>
      <c r="AV471" s="192">
        <v>10653786</v>
      </c>
      <c r="AW471" s="181">
        <v>26.2</v>
      </c>
      <c r="AX471" s="179">
        <v>80225</v>
      </c>
      <c r="AY471" s="179"/>
    </row>
    <row r="472" spans="1:51" ht="14.4" x14ac:dyDescent="0.3">
      <c r="A472" s="179" t="s">
        <v>1581</v>
      </c>
      <c r="B472" s="179" t="s">
        <v>2927</v>
      </c>
      <c r="C472" s="180" t="s">
        <v>4925</v>
      </c>
      <c r="D472" s="181" t="s">
        <v>2828</v>
      </c>
      <c r="E472" s="181" t="s">
        <v>2827</v>
      </c>
      <c r="F472" s="182" t="s">
        <v>2929</v>
      </c>
      <c r="G472" s="181" t="s">
        <v>12</v>
      </c>
      <c r="H472" s="193">
        <v>44460</v>
      </c>
      <c r="I472" s="184"/>
      <c r="J472" s="179" t="s">
        <v>4926</v>
      </c>
      <c r="K472" s="179">
        <v>326</v>
      </c>
      <c r="L472" s="179" t="s">
        <v>2950</v>
      </c>
      <c r="M472" s="185"/>
      <c r="N472" s="185"/>
      <c r="O472" s="186"/>
      <c r="P472" s="185"/>
      <c r="Q472" s="182" t="s">
        <v>2934</v>
      </c>
      <c r="R472" s="182" t="s">
        <v>2933</v>
      </c>
      <c r="S472" s="182" t="s">
        <v>2952</v>
      </c>
      <c r="T472" s="179" t="s">
        <v>2974</v>
      </c>
      <c r="U472" s="179" t="s">
        <v>2937</v>
      </c>
      <c r="V472" s="179">
        <v>249</v>
      </c>
      <c r="W472" s="179" t="s">
        <v>3009</v>
      </c>
      <c r="X472" s="188">
        <v>420.82499999999999</v>
      </c>
      <c r="Y472" s="188">
        <v>235.04760000000002</v>
      </c>
      <c r="Z472" s="188">
        <v>121.2882</v>
      </c>
      <c r="AA472" s="188">
        <v>108.37599999999999</v>
      </c>
      <c r="AB472" s="188">
        <v>18.907999999999998</v>
      </c>
      <c r="AC472" s="188">
        <v>84.707999999999998</v>
      </c>
      <c r="AD472" s="179" t="s">
        <v>2956</v>
      </c>
      <c r="AE472" s="188" t="s">
        <v>2940</v>
      </c>
      <c r="AF472" s="189">
        <v>0.29166666666666669</v>
      </c>
      <c r="AG472" s="189">
        <v>0.91666666666666663</v>
      </c>
      <c r="AH472" s="190" t="s">
        <v>2941</v>
      </c>
      <c r="AI472" s="190" t="s">
        <v>2942</v>
      </c>
      <c r="AJ472" s="179" t="s">
        <v>938</v>
      </c>
      <c r="AK472" s="179" t="s">
        <v>48</v>
      </c>
      <c r="AL472" s="179" t="s">
        <v>48</v>
      </c>
      <c r="AM472" s="179" t="s">
        <v>4927</v>
      </c>
      <c r="AN472" s="179" t="s">
        <v>2102</v>
      </c>
      <c r="AO472" s="179" t="s">
        <v>2268</v>
      </c>
      <c r="AP472" s="191">
        <v>81139003775</v>
      </c>
      <c r="AQ472" s="184">
        <v>44460</v>
      </c>
      <c r="AR472" s="179">
        <v>59</v>
      </c>
      <c r="AS472" s="179"/>
      <c r="AT472" s="181"/>
      <c r="AU472" s="181"/>
      <c r="AV472" s="192">
        <v>7475115</v>
      </c>
      <c r="AW472" s="181">
        <v>60.1</v>
      </c>
      <c r="AX472" s="179">
        <v>81113</v>
      </c>
      <c r="AY472" s="179"/>
    </row>
    <row r="473" spans="1:51" ht="14.4" x14ac:dyDescent="0.3">
      <c r="A473" s="179" t="s">
        <v>649</v>
      </c>
      <c r="B473" s="179" t="s">
        <v>2927</v>
      </c>
      <c r="C473" s="180" t="s">
        <v>648</v>
      </c>
      <c r="D473" s="181" t="s">
        <v>2850</v>
      </c>
      <c r="E473" s="181" t="s">
        <v>2817</v>
      </c>
      <c r="F473" s="182" t="s">
        <v>2929</v>
      </c>
      <c r="G473" s="181" t="s">
        <v>12</v>
      </c>
      <c r="H473" s="193">
        <v>44460</v>
      </c>
      <c r="I473" s="184"/>
      <c r="J473" s="179" t="s">
        <v>3008</v>
      </c>
      <c r="K473" s="179" t="s">
        <v>3008</v>
      </c>
      <c r="L473" s="179" t="s">
        <v>2932</v>
      </c>
      <c r="M473" s="185"/>
      <c r="N473" s="185"/>
      <c r="O473" s="186"/>
      <c r="P473" s="185"/>
      <c r="Q473" s="182" t="s">
        <v>2934</v>
      </c>
      <c r="R473" s="182" t="s">
        <v>2933</v>
      </c>
      <c r="S473" s="182" t="s">
        <v>2952</v>
      </c>
      <c r="T473" s="179" t="s">
        <v>2974</v>
      </c>
      <c r="U473" s="179" t="s">
        <v>2937</v>
      </c>
      <c r="V473" s="179">
        <v>614</v>
      </c>
      <c r="W473" s="179" t="s">
        <v>3823</v>
      </c>
      <c r="X473" s="188">
        <v>277.88400000000001</v>
      </c>
      <c r="Y473" s="188">
        <v>177.77879999999996</v>
      </c>
      <c r="Z473" s="188">
        <v>99.720400000000012</v>
      </c>
      <c r="AA473" s="188">
        <v>89.433600000000013</v>
      </c>
      <c r="AB473" s="188">
        <v>13.072000000000001</v>
      </c>
      <c r="AC473" s="188">
        <v>50.162999999999997</v>
      </c>
      <c r="AD473" s="179" t="s">
        <v>2984</v>
      </c>
      <c r="AE473" s="188" t="s">
        <v>2940</v>
      </c>
      <c r="AF473" s="189">
        <v>0.29166666666666669</v>
      </c>
      <c r="AG473" s="189">
        <v>0.95833333333333337</v>
      </c>
      <c r="AH473" s="190" t="s">
        <v>2941</v>
      </c>
      <c r="AI473" s="190" t="s">
        <v>2985</v>
      </c>
      <c r="AJ473" s="179" t="s">
        <v>647</v>
      </c>
      <c r="AK473" s="179" t="s">
        <v>3387</v>
      </c>
      <c r="AL473" s="179" t="s">
        <v>4</v>
      </c>
      <c r="AM473" s="179" t="s">
        <v>4928</v>
      </c>
      <c r="AN473" s="179" t="s">
        <v>2102</v>
      </c>
      <c r="AO473" s="179" t="s">
        <v>2758</v>
      </c>
      <c r="AP473" s="191">
        <v>81139003776</v>
      </c>
      <c r="AQ473" s="184">
        <v>44460</v>
      </c>
      <c r="AR473" s="179">
        <v>59</v>
      </c>
      <c r="AS473" s="179"/>
      <c r="AT473" s="181"/>
      <c r="AU473" s="181"/>
      <c r="AV473" s="192">
        <v>11217960</v>
      </c>
      <c r="AW473" s="181">
        <v>20.6</v>
      </c>
      <c r="AX473" s="179">
        <v>80238</v>
      </c>
      <c r="AY473" s="179"/>
    </row>
    <row r="474" spans="1:51" ht="14.4" x14ac:dyDescent="0.3">
      <c r="A474" s="179" t="s">
        <v>1296</v>
      </c>
      <c r="B474" s="179" t="s">
        <v>2947</v>
      </c>
      <c r="C474" s="180" t="s">
        <v>4929</v>
      </c>
      <c r="D474" s="181" t="s">
        <v>2875</v>
      </c>
      <c r="E474" s="181" t="s">
        <v>2867</v>
      </c>
      <c r="F474" s="182" t="s">
        <v>4501</v>
      </c>
      <c r="G474" s="181" t="s">
        <v>342</v>
      </c>
      <c r="H474" s="193">
        <v>44469</v>
      </c>
      <c r="I474" s="184"/>
      <c r="J474" s="179" t="s">
        <v>4930</v>
      </c>
      <c r="K474" s="179">
        <v>13</v>
      </c>
      <c r="L474" s="179" t="s">
        <v>2965</v>
      </c>
      <c r="M474" s="185"/>
      <c r="N474" s="185"/>
      <c r="O474" s="179" t="s">
        <v>2951</v>
      </c>
      <c r="P474" s="185"/>
      <c r="Q474" s="182" t="s">
        <v>2998</v>
      </c>
      <c r="R474" s="182" t="s">
        <v>2933</v>
      </c>
      <c r="S474" s="182" t="s">
        <v>2952</v>
      </c>
      <c r="T474" s="179" t="s">
        <v>4623</v>
      </c>
      <c r="U474" s="179" t="s">
        <v>2954</v>
      </c>
      <c r="V474" s="179">
        <v>117</v>
      </c>
      <c r="W474" s="179" t="s">
        <v>4931</v>
      </c>
      <c r="X474" s="188">
        <v>98.347999999999985</v>
      </c>
      <c r="Y474" s="188">
        <v>74.06</v>
      </c>
      <c r="Z474" s="188">
        <v>45.169600000000003</v>
      </c>
      <c r="AA474" s="188">
        <v>15.0328</v>
      </c>
      <c r="AB474" s="188">
        <v>6.5360000000000005</v>
      </c>
      <c r="AC474" s="188">
        <v>17.593399999999999</v>
      </c>
      <c r="AD474" s="179" t="s">
        <v>2939</v>
      </c>
      <c r="AE474" s="188" t="s">
        <v>2940</v>
      </c>
      <c r="AF474" s="189">
        <v>0.29166666666666669</v>
      </c>
      <c r="AG474" s="189">
        <v>0.91666666666666663</v>
      </c>
      <c r="AH474" s="190" t="s">
        <v>2941</v>
      </c>
      <c r="AI474" s="190" t="s">
        <v>2985</v>
      </c>
      <c r="AJ474" s="179" t="s">
        <v>309</v>
      </c>
      <c r="AK474" s="179" t="s">
        <v>3256</v>
      </c>
      <c r="AL474" s="179" t="s">
        <v>4</v>
      </c>
      <c r="AM474" s="179" t="s">
        <v>4932</v>
      </c>
      <c r="AN474" s="179" t="s">
        <v>2102</v>
      </c>
      <c r="AO474" s="179" t="s">
        <v>2795</v>
      </c>
      <c r="AP474" s="191">
        <v>81139008267</v>
      </c>
      <c r="AQ474" s="184">
        <v>44469</v>
      </c>
      <c r="AR474" s="179">
        <v>58</v>
      </c>
      <c r="AS474" s="179"/>
      <c r="AT474" s="181"/>
      <c r="AU474" s="181"/>
      <c r="AV474" s="192">
        <v>9604765</v>
      </c>
      <c r="AW474" s="181">
        <v>31.8</v>
      </c>
      <c r="AX474" s="179">
        <v>80228</v>
      </c>
      <c r="AY474" s="179"/>
    </row>
    <row r="475" spans="1:51" ht="14.4" x14ac:dyDescent="0.3">
      <c r="A475" s="179" t="s">
        <v>1664</v>
      </c>
      <c r="B475" s="179" t="s">
        <v>2947</v>
      </c>
      <c r="C475" s="180" t="s">
        <v>1663</v>
      </c>
      <c r="D475" s="181" t="s">
        <v>2820</v>
      </c>
      <c r="E475" s="181" t="s">
        <v>2819</v>
      </c>
      <c r="F475" s="182" t="s">
        <v>2929</v>
      </c>
      <c r="G475" s="181" t="s">
        <v>12</v>
      </c>
      <c r="H475" s="193">
        <v>44469</v>
      </c>
      <c r="I475" s="184"/>
      <c r="J475" s="179" t="s">
        <v>4933</v>
      </c>
      <c r="K475" s="179">
        <v>282</v>
      </c>
      <c r="L475" s="179" t="s">
        <v>2950</v>
      </c>
      <c r="M475" s="185"/>
      <c r="N475" s="185"/>
      <c r="O475" s="186"/>
      <c r="P475" s="185"/>
      <c r="Q475" s="182" t="s">
        <v>2933</v>
      </c>
      <c r="R475" s="182" t="s">
        <v>2934</v>
      </c>
      <c r="S475" s="182" t="s">
        <v>2952</v>
      </c>
      <c r="T475" s="179" t="s">
        <v>2974</v>
      </c>
      <c r="U475" s="179" t="s">
        <v>2954</v>
      </c>
      <c r="V475" s="179">
        <v>1000</v>
      </c>
      <c r="W475" s="179" t="s">
        <v>3151</v>
      </c>
      <c r="X475" s="188">
        <v>323.70499999999998</v>
      </c>
      <c r="Y475" s="188">
        <v>188.46600000000001</v>
      </c>
      <c r="Z475" s="188">
        <v>128.08600000000001</v>
      </c>
      <c r="AA475" s="188">
        <v>119</v>
      </c>
      <c r="AB475" s="188">
        <v>27.342000000000002</v>
      </c>
      <c r="AC475" s="188">
        <v>197.25040000000004</v>
      </c>
      <c r="AD475" s="179" t="s">
        <v>2956</v>
      </c>
      <c r="AE475" s="188" t="s">
        <v>3017</v>
      </c>
      <c r="AF475" s="189">
        <v>0.29166666666666669</v>
      </c>
      <c r="AG475" s="189">
        <v>0.99930555555555556</v>
      </c>
      <c r="AH475" s="190" t="s">
        <v>2941</v>
      </c>
      <c r="AI475" s="190" t="s">
        <v>2942</v>
      </c>
      <c r="AJ475" s="179" t="s">
        <v>1662</v>
      </c>
      <c r="AK475" s="179" t="s">
        <v>2958</v>
      </c>
      <c r="AL475" s="179" t="s">
        <v>4</v>
      </c>
      <c r="AM475" s="179" t="s">
        <v>4934</v>
      </c>
      <c r="AN475" s="179" t="s">
        <v>2102</v>
      </c>
      <c r="AO475" s="179" t="s">
        <v>2691</v>
      </c>
      <c r="AP475" s="191">
        <v>81139006257</v>
      </c>
      <c r="AQ475" s="184">
        <v>44469</v>
      </c>
      <c r="AR475" s="179">
        <v>58</v>
      </c>
      <c r="AS475" s="179"/>
      <c r="AT475" s="181"/>
      <c r="AU475" s="181"/>
      <c r="AV475" s="192">
        <v>12172608</v>
      </c>
      <c r="AW475" s="181">
        <v>22.6</v>
      </c>
      <c r="AX475" s="179">
        <v>80119</v>
      </c>
      <c r="AY475" s="179"/>
    </row>
    <row r="476" spans="1:51" ht="14.4" x14ac:dyDescent="0.3">
      <c r="A476" s="179" t="s">
        <v>1704</v>
      </c>
      <c r="B476" s="179" t="s">
        <v>2947</v>
      </c>
      <c r="C476" s="180" t="s">
        <v>2217</v>
      </c>
      <c r="D476" s="181" t="s">
        <v>2865</v>
      </c>
      <c r="E476" s="181" t="s">
        <v>2817</v>
      </c>
      <c r="F476" s="182" t="s">
        <v>4501</v>
      </c>
      <c r="G476" s="181" t="s">
        <v>342</v>
      </c>
      <c r="H476" s="193">
        <v>44469</v>
      </c>
      <c r="I476" s="184"/>
      <c r="J476" s="179" t="s">
        <v>3008</v>
      </c>
      <c r="K476" s="179" t="s">
        <v>3008</v>
      </c>
      <c r="L476" s="179" t="s">
        <v>2932</v>
      </c>
      <c r="M476" s="185"/>
      <c r="N476" s="185"/>
      <c r="O476" s="186"/>
      <c r="P476" s="185"/>
      <c r="Q476" s="182" t="s">
        <v>2998</v>
      </c>
      <c r="R476" s="182" t="s">
        <v>2933</v>
      </c>
      <c r="S476" s="182" t="s">
        <v>2952</v>
      </c>
      <c r="T476" s="179" t="s">
        <v>2974</v>
      </c>
      <c r="U476" s="179" t="s">
        <v>2954</v>
      </c>
      <c r="V476" s="179">
        <v>247</v>
      </c>
      <c r="W476" s="179" t="s">
        <v>4935</v>
      </c>
      <c r="X476" s="188">
        <v>118.72589999999998</v>
      </c>
      <c r="Y476" s="188">
        <v>82.651899999999998</v>
      </c>
      <c r="Z476" s="188">
        <v>57.434799999999996</v>
      </c>
      <c r="AA476" s="188">
        <v>26.831899999999997</v>
      </c>
      <c r="AB476" s="188">
        <v>12.602399999999999</v>
      </c>
      <c r="AC476" s="188">
        <v>11.4308</v>
      </c>
      <c r="AD476" s="179" t="s">
        <v>2939</v>
      </c>
      <c r="AE476" s="188" t="s">
        <v>2940</v>
      </c>
      <c r="AF476" s="189">
        <v>0.33333333333333331</v>
      </c>
      <c r="AG476" s="189">
        <v>0.95833333333333337</v>
      </c>
      <c r="AH476" s="190" t="s">
        <v>2941</v>
      </c>
      <c r="AI476" s="190" t="s">
        <v>2942</v>
      </c>
      <c r="AJ476" s="179" t="s">
        <v>860</v>
      </c>
      <c r="AK476" s="179" t="s">
        <v>3293</v>
      </c>
      <c r="AL476" s="179" t="s">
        <v>9</v>
      </c>
      <c r="AM476" s="179" t="s">
        <v>4936</v>
      </c>
      <c r="AN476" s="179" t="s">
        <v>2102</v>
      </c>
      <c r="AO476" s="179" t="s">
        <v>2592</v>
      </c>
      <c r="AP476" s="191">
        <v>81139006676</v>
      </c>
      <c r="AQ476" s="184">
        <v>44469</v>
      </c>
      <c r="AR476" s="179">
        <v>58</v>
      </c>
      <c r="AS476" s="179"/>
      <c r="AT476" s="181"/>
      <c r="AU476" s="181"/>
      <c r="AV476" s="192">
        <v>11232263</v>
      </c>
      <c r="AW476" s="181">
        <v>26.2</v>
      </c>
      <c r="AX476" s="179">
        <v>80361</v>
      </c>
      <c r="AY476" s="179"/>
    </row>
    <row r="477" spans="1:51" ht="14.4" x14ac:dyDescent="0.3">
      <c r="A477" s="179" t="s">
        <v>920</v>
      </c>
      <c r="B477" s="179" t="s">
        <v>2947</v>
      </c>
      <c r="C477" s="180" t="s">
        <v>919</v>
      </c>
      <c r="D477" s="181" t="s">
        <v>2845</v>
      </c>
      <c r="E477" s="181" t="s">
        <v>2821</v>
      </c>
      <c r="F477" s="182" t="s">
        <v>2929</v>
      </c>
      <c r="G477" s="181" t="s">
        <v>12</v>
      </c>
      <c r="H477" s="193">
        <v>44487</v>
      </c>
      <c r="I477" s="184"/>
      <c r="J477" s="179" t="s">
        <v>4937</v>
      </c>
      <c r="K477" s="179">
        <v>67</v>
      </c>
      <c r="L477" s="179" t="s">
        <v>2932</v>
      </c>
      <c r="M477" s="185"/>
      <c r="N477" s="185"/>
      <c r="O477" s="186"/>
      <c r="P477" s="185"/>
      <c r="Q477" s="182" t="s">
        <v>2933</v>
      </c>
      <c r="R477" s="182" t="s">
        <v>2934</v>
      </c>
      <c r="S477" s="182" t="s">
        <v>2952</v>
      </c>
      <c r="T477" s="179" t="s">
        <v>2974</v>
      </c>
      <c r="U477" s="179" t="s">
        <v>2954</v>
      </c>
      <c r="V477" s="179">
        <v>963</v>
      </c>
      <c r="W477" s="179" t="s">
        <v>4457</v>
      </c>
      <c r="X477" s="188">
        <v>273.68639999999999</v>
      </c>
      <c r="Y477" s="188">
        <v>132.3552</v>
      </c>
      <c r="Z477" s="188">
        <v>91.526399999999995</v>
      </c>
      <c r="AA477" s="188">
        <v>141.3312</v>
      </c>
      <c r="AB477" s="188">
        <v>12.1873</v>
      </c>
      <c r="AC477" s="188">
        <v>117.30619999999999</v>
      </c>
      <c r="AD477" s="179" t="s">
        <v>2956</v>
      </c>
      <c r="AE477" s="188" t="s">
        <v>2957</v>
      </c>
      <c r="AF477" s="189">
        <v>0.29166666666666669</v>
      </c>
      <c r="AG477" s="189">
        <v>0.95833333333333337</v>
      </c>
      <c r="AH477" s="190" t="s">
        <v>2941</v>
      </c>
      <c r="AI477" s="190" t="s">
        <v>2942</v>
      </c>
      <c r="AJ477" s="179" t="s">
        <v>918</v>
      </c>
      <c r="AK477" s="179" t="s">
        <v>4938</v>
      </c>
      <c r="AL477" s="179" t="s">
        <v>90</v>
      </c>
      <c r="AM477" s="179" t="s">
        <v>4939</v>
      </c>
      <c r="AN477" s="179" t="s">
        <v>2102</v>
      </c>
      <c r="AO477" s="179" t="s">
        <v>2690</v>
      </c>
      <c r="AP477" s="191">
        <v>81139003846</v>
      </c>
      <c r="AQ477" s="184">
        <v>44487</v>
      </c>
      <c r="AR477" s="179">
        <v>58</v>
      </c>
      <c r="AS477" s="179"/>
      <c r="AT477" s="181"/>
      <c r="AU477" s="181"/>
      <c r="AV477" s="192">
        <v>11478718</v>
      </c>
      <c r="AW477" s="181">
        <v>81</v>
      </c>
      <c r="AX477" s="179">
        <v>82261</v>
      </c>
      <c r="AY477" s="179"/>
    </row>
    <row r="478" spans="1:51" ht="14.4" x14ac:dyDescent="0.3">
      <c r="A478" s="179" t="s">
        <v>230</v>
      </c>
      <c r="B478" s="179" t="s">
        <v>2927</v>
      </c>
      <c r="C478" s="180" t="s">
        <v>229</v>
      </c>
      <c r="D478" s="181" t="s">
        <v>2843</v>
      </c>
      <c r="E478" s="181" t="s">
        <v>2840</v>
      </c>
      <c r="F478" s="182" t="s">
        <v>2929</v>
      </c>
      <c r="G478" s="181" t="s">
        <v>12</v>
      </c>
      <c r="H478" s="193">
        <v>44489</v>
      </c>
      <c r="I478" s="184"/>
      <c r="J478" s="179" t="s">
        <v>4940</v>
      </c>
      <c r="K478" s="179">
        <v>576</v>
      </c>
      <c r="L478" s="179" t="s">
        <v>3026</v>
      </c>
      <c r="M478" s="185"/>
      <c r="N478" s="185"/>
      <c r="O478" s="186"/>
      <c r="P478" s="185"/>
      <c r="Q478" s="182" t="s">
        <v>2933</v>
      </c>
      <c r="R478" s="182" t="s">
        <v>2934</v>
      </c>
      <c r="S478" s="182" t="s">
        <v>2952</v>
      </c>
      <c r="T478" s="179" t="s">
        <v>2974</v>
      </c>
      <c r="U478" s="179" t="s">
        <v>2937</v>
      </c>
      <c r="V478" s="179">
        <v>816</v>
      </c>
      <c r="W478" s="179" t="s">
        <v>4941</v>
      </c>
      <c r="X478" s="188">
        <v>452.87220000000002</v>
      </c>
      <c r="Y478" s="188">
        <v>267.51780000000002</v>
      </c>
      <c r="Z478" s="188">
        <v>130.0968</v>
      </c>
      <c r="AA478" s="188">
        <v>152.67699999999999</v>
      </c>
      <c r="AB478" s="188">
        <v>15.215999999999999</v>
      </c>
      <c r="AC478" s="188">
        <v>99.401399999999995</v>
      </c>
      <c r="AD478" s="179" t="s">
        <v>2956</v>
      </c>
      <c r="AE478" s="188" t="s">
        <v>2940</v>
      </c>
      <c r="AF478" s="189">
        <v>0.29166666666666669</v>
      </c>
      <c r="AG478" s="189">
        <v>0.95833333333333337</v>
      </c>
      <c r="AH478" s="190" t="s">
        <v>2941</v>
      </c>
      <c r="AI478" s="190" t="s">
        <v>2942</v>
      </c>
      <c r="AJ478" s="179" t="s">
        <v>228</v>
      </c>
      <c r="AK478" s="179" t="s">
        <v>2963</v>
      </c>
      <c r="AL478" s="179" t="s">
        <v>90</v>
      </c>
      <c r="AM478" s="179" t="s">
        <v>4942</v>
      </c>
      <c r="AN478" s="179" t="s">
        <v>2102</v>
      </c>
      <c r="AO478" s="179" t="s">
        <v>2333</v>
      </c>
      <c r="AP478" s="191">
        <v>81139006499</v>
      </c>
      <c r="AQ478" s="184">
        <v>44489</v>
      </c>
      <c r="AR478" s="179">
        <v>58</v>
      </c>
      <c r="AS478" s="179"/>
      <c r="AT478" s="181"/>
      <c r="AU478" s="181"/>
      <c r="AV478" s="192">
        <v>9816730</v>
      </c>
      <c r="AW478" s="181">
        <v>92</v>
      </c>
      <c r="AX478" s="179">
        <v>82218</v>
      </c>
      <c r="AY478" s="179"/>
    </row>
    <row r="479" spans="1:51" ht="14.4" x14ac:dyDescent="0.3">
      <c r="A479" s="179" t="s">
        <v>1543</v>
      </c>
      <c r="B479" s="179" t="s">
        <v>2927</v>
      </c>
      <c r="C479" s="180" t="s">
        <v>4943</v>
      </c>
      <c r="D479" s="181" t="s">
        <v>2852</v>
      </c>
      <c r="E479" s="181" t="s">
        <v>2817</v>
      </c>
      <c r="F479" s="182" t="s">
        <v>2929</v>
      </c>
      <c r="G479" s="181" t="s">
        <v>12</v>
      </c>
      <c r="H479" s="193">
        <v>44489</v>
      </c>
      <c r="I479" s="184"/>
      <c r="J479" s="179" t="s">
        <v>4944</v>
      </c>
      <c r="K479" s="179">
        <v>400</v>
      </c>
      <c r="L479" s="179" t="s">
        <v>2950</v>
      </c>
      <c r="M479" s="185"/>
      <c r="N479" s="185"/>
      <c r="O479" s="186"/>
      <c r="P479" s="185"/>
      <c r="Q479" s="182" t="s">
        <v>2934</v>
      </c>
      <c r="R479" s="182" t="s">
        <v>2933</v>
      </c>
      <c r="S479" s="182" t="s">
        <v>2952</v>
      </c>
      <c r="T479" s="179" t="s">
        <v>2974</v>
      </c>
      <c r="U479" s="179" t="s">
        <v>2937</v>
      </c>
      <c r="V479" s="179">
        <v>755</v>
      </c>
      <c r="W479" s="179" t="s">
        <v>3151</v>
      </c>
      <c r="X479" s="188">
        <v>232.434</v>
      </c>
      <c r="Y479" s="188">
        <v>169.0308</v>
      </c>
      <c r="Z479" s="188">
        <v>122.90879999999999</v>
      </c>
      <c r="AA479" s="188">
        <v>54.611999999999995</v>
      </c>
      <c r="AB479" s="188">
        <v>15.623999999999999</v>
      </c>
      <c r="AC479" s="188">
        <v>42.1083</v>
      </c>
      <c r="AD479" s="179" t="s">
        <v>2984</v>
      </c>
      <c r="AE479" s="188" t="s">
        <v>2957</v>
      </c>
      <c r="AF479" s="189">
        <v>0.29166666666666669</v>
      </c>
      <c r="AG479" s="189">
        <v>0.91666666666666663</v>
      </c>
      <c r="AH479" s="190" t="s">
        <v>2941</v>
      </c>
      <c r="AI479" s="190" t="s">
        <v>2985</v>
      </c>
      <c r="AJ479" s="179" t="s">
        <v>536</v>
      </c>
      <c r="AK479" s="179" t="s">
        <v>3256</v>
      </c>
      <c r="AL479" s="179" t="s">
        <v>4</v>
      </c>
      <c r="AM479" s="179" t="s">
        <v>4945</v>
      </c>
      <c r="AN479" s="179" t="s">
        <v>2102</v>
      </c>
      <c r="AO479" s="179" t="s">
        <v>2394</v>
      </c>
      <c r="AP479" s="191">
        <v>81139003847</v>
      </c>
      <c r="AQ479" s="184">
        <v>44489</v>
      </c>
      <c r="AR479" s="179">
        <v>58</v>
      </c>
      <c r="AS479" s="179"/>
      <c r="AT479" s="181"/>
      <c r="AU479" s="181"/>
      <c r="AV479" s="192">
        <v>10689260</v>
      </c>
      <c r="AW479" s="181">
        <v>28</v>
      </c>
      <c r="AX479" s="179">
        <v>80225</v>
      </c>
      <c r="AY479" s="179"/>
    </row>
    <row r="480" spans="1:51" ht="14.4" x14ac:dyDescent="0.3">
      <c r="A480" s="179" t="s">
        <v>931</v>
      </c>
      <c r="B480" s="179" t="s">
        <v>2947</v>
      </c>
      <c r="C480" s="180" t="s">
        <v>930</v>
      </c>
      <c r="D480" s="181" t="s">
        <v>2843</v>
      </c>
      <c r="E480" s="181" t="s">
        <v>2840</v>
      </c>
      <c r="F480" s="182" t="s">
        <v>2972</v>
      </c>
      <c r="G480" s="181" t="s">
        <v>17</v>
      </c>
      <c r="H480" s="193">
        <v>44496</v>
      </c>
      <c r="I480" s="184"/>
      <c r="J480" s="179" t="s">
        <v>4946</v>
      </c>
      <c r="K480" s="179">
        <v>1500</v>
      </c>
      <c r="L480" s="179" t="s">
        <v>2932</v>
      </c>
      <c r="M480" s="185"/>
      <c r="N480" s="185" t="s">
        <v>2951</v>
      </c>
      <c r="O480" s="186"/>
      <c r="P480" s="185"/>
      <c r="Q480" s="182" t="s">
        <v>2933</v>
      </c>
      <c r="R480" s="182" t="s">
        <v>2934</v>
      </c>
      <c r="S480" s="182" t="s">
        <v>2952</v>
      </c>
      <c r="T480" s="179" t="s">
        <v>2974</v>
      </c>
      <c r="U480" s="179" t="s">
        <v>2954</v>
      </c>
      <c r="V480" s="179">
        <v>816</v>
      </c>
      <c r="W480" s="179" t="s">
        <v>3009</v>
      </c>
      <c r="X480" s="188">
        <v>342.95949999999999</v>
      </c>
      <c r="Y480" s="188">
        <v>250.33449999999999</v>
      </c>
      <c r="Z480" s="188">
        <v>120.071</v>
      </c>
      <c r="AA480" s="188">
        <v>90.644400000000005</v>
      </c>
      <c r="AB480" s="188">
        <v>17.700000000000003</v>
      </c>
      <c r="AC480" s="188">
        <v>101.15</v>
      </c>
      <c r="AD480" s="179" t="s">
        <v>2956</v>
      </c>
      <c r="AE480" s="188" t="s">
        <v>2940</v>
      </c>
      <c r="AF480" s="189">
        <v>0.29166666666666669</v>
      </c>
      <c r="AG480" s="189">
        <v>0.95833333333333337</v>
      </c>
      <c r="AH480" s="190" t="s">
        <v>2941</v>
      </c>
      <c r="AI480" s="190" t="s">
        <v>2942</v>
      </c>
      <c r="AJ480" s="179" t="s">
        <v>929</v>
      </c>
      <c r="AK480" s="179" t="s">
        <v>4938</v>
      </c>
      <c r="AL480" s="179" t="s">
        <v>90</v>
      </c>
      <c r="AM480" s="179" t="s">
        <v>4947</v>
      </c>
      <c r="AN480" s="179" t="s">
        <v>2102</v>
      </c>
      <c r="AO480" s="179" t="s">
        <v>2508</v>
      </c>
      <c r="AP480" s="191">
        <v>81139003848</v>
      </c>
      <c r="AQ480" s="184">
        <v>44496</v>
      </c>
      <c r="AR480" s="179">
        <v>58</v>
      </c>
      <c r="AS480" s="179"/>
      <c r="AT480" s="181" t="s">
        <v>3225</v>
      </c>
      <c r="AU480" s="181" t="s">
        <v>2946</v>
      </c>
      <c r="AV480" s="192">
        <v>12008370</v>
      </c>
      <c r="AW480" s="181">
        <v>82</v>
      </c>
      <c r="AX480" s="179">
        <v>82261</v>
      </c>
      <c r="AY480" s="179"/>
    </row>
    <row r="481" spans="1:51" ht="14.4" x14ac:dyDescent="0.3">
      <c r="A481" s="179" t="s">
        <v>580</v>
      </c>
      <c r="B481" s="179" t="s">
        <v>2927</v>
      </c>
      <c r="C481" s="180" t="s">
        <v>579</v>
      </c>
      <c r="D481" s="181" t="s">
        <v>2869</v>
      </c>
      <c r="E481" s="181" t="s">
        <v>2834</v>
      </c>
      <c r="F481" s="182" t="s">
        <v>2929</v>
      </c>
      <c r="G481" s="181" t="s">
        <v>12</v>
      </c>
      <c r="H481" s="193">
        <v>44510</v>
      </c>
      <c r="I481" s="184"/>
      <c r="J481" s="179" t="s">
        <v>3008</v>
      </c>
      <c r="K481" s="179" t="s">
        <v>3008</v>
      </c>
      <c r="L481" s="179" t="s">
        <v>2932</v>
      </c>
      <c r="M481" s="185"/>
      <c r="N481" s="185"/>
      <c r="O481" s="186"/>
      <c r="P481" s="185"/>
      <c r="Q481" s="182" t="s">
        <v>2934</v>
      </c>
      <c r="R481" s="182" t="s">
        <v>2933</v>
      </c>
      <c r="S481" s="182" t="s">
        <v>2952</v>
      </c>
      <c r="T481" s="179" t="s">
        <v>2974</v>
      </c>
      <c r="U481" s="179" t="s">
        <v>2937</v>
      </c>
      <c r="V481" s="179">
        <v>1019</v>
      </c>
      <c r="W481" s="179" t="s">
        <v>2975</v>
      </c>
      <c r="X481" s="188">
        <v>335.79500000000002</v>
      </c>
      <c r="Y481" s="188">
        <v>216.37</v>
      </c>
      <c r="Z481" s="188">
        <v>112.33750000000001</v>
      </c>
      <c r="AA481" s="188">
        <v>105.375</v>
      </c>
      <c r="AB481" s="188">
        <v>15.674999999999999</v>
      </c>
      <c r="AC481" s="188">
        <v>77.825000000000003</v>
      </c>
      <c r="AD481" s="179" t="s">
        <v>2956</v>
      </c>
      <c r="AE481" s="188" t="s">
        <v>2940</v>
      </c>
      <c r="AF481" s="189">
        <v>0.29166666666666669</v>
      </c>
      <c r="AG481" s="189">
        <v>0.95833333333333337</v>
      </c>
      <c r="AH481" s="190" t="s">
        <v>2941</v>
      </c>
      <c r="AI481" s="190" t="s">
        <v>2942</v>
      </c>
      <c r="AJ481" s="179" t="s">
        <v>578</v>
      </c>
      <c r="AK481" s="179" t="s">
        <v>4250</v>
      </c>
      <c r="AL481" s="179" t="s">
        <v>40</v>
      </c>
      <c r="AM481" s="179" t="s">
        <v>4948</v>
      </c>
      <c r="AN481" s="179" t="s">
        <v>2102</v>
      </c>
      <c r="AO481" s="179" t="s">
        <v>2806</v>
      </c>
      <c r="AP481" s="191">
        <v>81139605105</v>
      </c>
      <c r="AQ481" s="184">
        <v>44510</v>
      </c>
      <c r="AR481" s="179">
        <v>57</v>
      </c>
      <c r="AS481" s="179"/>
      <c r="AT481" s="181"/>
      <c r="AU481" s="181"/>
      <c r="AV481" s="192">
        <v>10083615</v>
      </c>
      <c r="AW481" s="181">
        <v>111</v>
      </c>
      <c r="AX481" s="179">
        <v>80853</v>
      </c>
      <c r="AY481" s="179"/>
    </row>
    <row r="482" spans="1:51" ht="14.4" x14ac:dyDescent="0.3">
      <c r="A482" s="179" t="s">
        <v>1772</v>
      </c>
      <c r="B482" s="179" t="s">
        <v>2947</v>
      </c>
      <c r="C482" s="180" t="s">
        <v>4949</v>
      </c>
      <c r="D482" s="181" t="s">
        <v>2875</v>
      </c>
      <c r="E482" s="181" t="s">
        <v>2867</v>
      </c>
      <c r="F482" s="182" t="s">
        <v>3086</v>
      </c>
      <c r="G482" s="181" t="s">
        <v>535</v>
      </c>
      <c r="H482" s="193">
        <v>44954</v>
      </c>
      <c r="I482" s="184">
        <v>44954</v>
      </c>
      <c r="J482" s="179" t="s">
        <v>4950</v>
      </c>
      <c r="K482" s="179">
        <v>14</v>
      </c>
      <c r="L482" s="179" t="s">
        <v>2965</v>
      </c>
      <c r="M482" s="185"/>
      <c r="N482" s="185"/>
      <c r="O482" s="179" t="s">
        <v>2951</v>
      </c>
      <c r="P482" s="185" t="s">
        <v>2951</v>
      </c>
      <c r="Q482" s="182" t="s">
        <v>2933</v>
      </c>
      <c r="R482" s="182" t="s">
        <v>2934</v>
      </c>
      <c r="S482" s="182" t="s">
        <v>2952</v>
      </c>
      <c r="T482" s="179" t="s">
        <v>2974</v>
      </c>
      <c r="U482" s="179" t="s">
        <v>2954</v>
      </c>
      <c r="V482" s="179">
        <v>410</v>
      </c>
      <c r="W482" s="179" t="s">
        <v>4951</v>
      </c>
      <c r="X482" s="188">
        <v>613.18299999999999</v>
      </c>
      <c r="Y482" s="188">
        <v>430.68349999999992</v>
      </c>
      <c r="Z482" s="188">
        <v>116.20029999999998</v>
      </c>
      <c r="AA482" s="188">
        <v>148.98699999999999</v>
      </c>
      <c r="AB482" s="188">
        <v>12.888</v>
      </c>
      <c r="AC482" s="188">
        <v>80.28</v>
      </c>
      <c r="AD482" s="179" t="s">
        <v>2956</v>
      </c>
      <c r="AE482" s="188" t="s">
        <v>2940</v>
      </c>
      <c r="AF482" s="189">
        <v>0</v>
      </c>
      <c r="AG482" s="189">
        <v>0.99930555555555556</v>
      </c>
      <c r="AH482" s="190" t="s">
        <v>2941</v>
      </c>
      <c r="AI482" s="190" t="s">
        <v>2985</v>
      </c>
      <c r="AJ482" s="179" t="s">
        <v>379</v>
      </c>
      <c r="AK482" s="179" t="s">
        <v>3256</v>
      </c>
      <c r="AL482" s="179" t="s">
        <v>4</v>
      </c>
      <c r="AM482" s="179" t="s">
        <v>4952</v>
      </c>
      <c r="AN482" s="179" t="s">
        <v>2102</v>
      </c>
      <c r="AO482" s="179" t="s">
        <v>2457</v>
      </c>
      <c r="AP482" s="191">
        <v>81139004098</v>
      </c>
      <c r="AQ482" s="184">
        <v>44527</v>
      </c>
      <c r="AR482" s="179">
        <v>57</v>
      </c>
      <c r="AS482" s="179"/>
      <c r="AT482" s="181" t="s">
        <v>4953</v>
      </c>
      <c r="AU482" s="181" t="s">
        <v>2946</v>
      </c>
      <c r="AV482" s="192">
        <v>30451238</v>
      </c>
      <c r="AW482" s="181">
        <v>40.4</v>
      </c>
      <c r="AX482" s="179">
        <v>80228</v>
      </c>
      <c r="AY482" s="179"/>
    </row>
    <row r="483" spans="1:51" ht="14.4" x14ac:dyDescent="0.3">
      <c r="A483" s="179" t="s">
        <v>344</v>
      </c>
      <c r="B483" s="179" t="s">
        <v>2947</v>
      </c>
      <c r="C483" s="180" t="s">
        <v>2187</v>
      </c>
      <c r="D483" s="181" t="s">
        <v>2870</v>
      </c>
      <c r="E483" s="181" t="s">
        <v>2867</v>
      </c>
      <c r="F483" s="182" t="s">
        <v>4501</v>
      </c>
      <c r="G483" s="181" t="s">
        <v>342</v>
      </c>
      <c r="H483" s="193">
        <v>44527</v>
      </c>
      <c r="I483" s="184"/>
      <c r="J483" s="179" t="s">
        <v>3732</v>
      </c>
      <c r="K483" s="179">
        <v>110</v>
      </c>
      <c r="L483" s="179" t="s">
        <v>2950</v>
      </c>
      <c r="M483" s="185" t="s">
        <v>3164</v>
      </c>
      <c r="N483" s="185"/>
      <c r="O483" s="179" t="s">
        <v>2951</v>
      </c>
      <c r="P483" s="185"/>
      <c r="Q483" s="182" t="s">
        <v>2998</v>
      </c>
      <c r="R483" s="182" t="s">
        <v>2933</v>
      </c>
      <c r="S483" s="182" t="s">
        <v>2952</v>
      </c>
      <c r="T483" s="179" t="s">
        <v>2974</v>
      </c>
      <c r="U483" s="179" t="s">
        <v>2954</v>
      </c>
      <c r="V483" s="179">
        <v>151</v>
      </c>
      <c r="W483" s="179" t="s">
        <v>4954</v>
      </c>
      <c r="X483" s="188">
        <v>380.15439999999995</v>
      </c>
      <c r="Y483" s="188">
        <v>324.49950000000001</v>
      </c>
      <c r="Z483" s="188">
        <v>96.571200000000005</v>
      </c>
      <c r="AA483" s="188">
        <v>26.229999999999997</v>
      </c>
      <c r="AB483" s="188">
        <v>71.148999999999987</v>
      </c>
      <c r="AC483" s="188">
        <v>50.032899999999998</v>
      </c>
      <c r="AD483" s="179" t="s">
        <v>2984</v>
      </c>
      <c r="AE483" s="188" t="s">
        <v>2940</v>
      </c>
      <c r="AF483" s="189">
        <v>0</v>
      </c>
      <c r="AG483" s="189">
        <v>0.99930555555555556</v>
      </c>
      <c r="AH483" s="190" t="s">
        <v>2941</v>
      </c>
      <c r="AI483" s="190" t="s">
        <v>2942</v>
      </c>
      <c r="AJ483" s="179" t="s">
        <v>131</v>
      </c>
      <c r="AK483" s="179" t="s">
        <v>3293</v>
      </c>
      <c r="AL483" s="179" t="s">
        <v>9</v>
      </c>
      <c r="AM483" s="179" t="s">
        <v>4955</v>
      </c>
      <c r="AN483" s="179" t="s">
        <v>2102</v>
      </c>
      <c r="AO483" s="179" t="s">
        <v>2469</v>
      </c>
      <c r="AP483" s="191">
        <v>81139008337</v>
      </c>
      <c r="AQ483" s="184">
        <v>44527</v>
      </c>
      <c r="AR483" s="179">
        <v>57</v>
      </c>
      <c r="AS483" s="179"/>
      <c r="AT483" s="181"/>
      <c r="AU483" s="181"/>
      <c r="AV483" s="192">
        <v>21766216</v>
      </c>
      <c r="AW483" s="181">
        <v>32.200000000000003</v>
      </c>
      <c r="AX483" s="179">
        <v>80361</v>
      </c>
      <c r="AY483" s="179"/>
    </row>
    <row r="484" spans="1:51" ht="14.4" x14ac:dyDescent="0.3">
      <c r="A484" s="179" t="s">
        <v>1324</v>
      </c>
      <c r="B484" s="179" t="s">
        <v>2927</v>
      </c>
      <c r="C484" s="180" t="s">
        <v>1323</v>
      </c>
      <c r="D484" s="181" t="s">
        <v>2856</v>
      </c>
      <c r="E484" s="181" t="s">
        <v>2819</v>
      </c>
      <c r="F484" s="182" t="s">
        <v>2929</v>
      </c>
      <c r="G484" s="181" t="s">
        <v>12</v>
      </c>
      <c r="H484" s="193">
        <v>44542</v>
      </c>
      <c r="I484" s="184"/>
      <c r="J484" s="179" t="s">
        <v>4956</v>
      </c>
      <c r="K484" s="179">
        <v>800</v>
      </c>
      <c r="L484" s="179" t="s">
        <v>3026</v>
      </c>
      <c r="M484" s="185"/>
      <c r="N484" s="185"/>
      <c r="O484" s="186"/>
      <c r="P484" s="185"/>
      <c r="Q484" s="182" t="s">
        <v>2934</v>
      </c>
      <c r="R484" s="182" t="s">
        <v>2933</v>
      </c>
      <c r="S484" s="182" t="s">
        <v>2952</v>
      </c>
      <c r="T484" s="179" t="s">
        <v>2974</v>
      </c>
      <c r="U484" s="179" t="s">
        <v>2937</v>
      </c>
      <c r="V484" s="179">
        <v>977</v>
      </c>
      <c r="W484" s="179" t="s">
        <v>4239</v>
      </c>
      <c r="X484" s="188">
        <v>212.464</v>
      </c>
      <c r="Y484" s="188">
        <v>163.89839999999998</v>
      </c>
      <c r="Z484" s="188">
        <v>98.246399999999994</v>
      </c>
      <c r="AA484" s="188">
        <v>36.753399999999999</v>
      </c>
      <c r="AB484" s="188">
        <v>9.4</v>
      </c>
      <c r="AC484" s="188">
        <v>43.859000000000002</v>
      </c>
      <c r="AD484" s="179" t="s">
        <v>2984</v>
      </c>
      <c r="AE484" s="188" t="s">
        <v>2940</v>
      </c>
      <c r="AF484" s="189">
        <v>0</v>
      </c>
      <c r="AG484" s="189">
        <v>0.99930555555555556</v>
      </c>
      <c r="AH484" s="190" t="s">
        <v>2976</v>
      </c>
      <c r="AI484" s="190" t="s">
        <v>2942</v>
      </c>
      <c r="AJ484" s="179" t="s">
        <v>198</v>
      </c>
      <c r="AK484" s="179" t="s">
        <v>2977</v>
      </c>
      <c r="AL484" s="179" t="s">
        <v>9</v>
      </c>
      <c r="AM484" s="179" t="s">
        <v>4957</v>
      </c>
      <c r="AN484" s="179" t="s">
        <v>2102</v>
      </c>
      <c r="AO484" s="179" t="s">
        <v>2745</v>
      </c>
      <c r="AP484" s="191">
        <v>81139004102</v>
      </c>
      <c r="AQ484" s="184">
        <v>44542</v>
      </c>
      <c r="AR484" s="179">
        <v>56</v>
      </c>
      <c r="AS484" s="179"/>
      <c r="AT484" s="181"/>
      <c r="AU484" s="181"/>
      <c r="AV484" s="192">
        <v>12552306</v>
      </c>
      <c r="AW484" s="181">
        <v>19.600000000000001</v>
      </c>
      <c r="AX484" s="179">
        <v>80231</v>
      </c>
      <c r="AY484" s="179"/>
    </row>
    <row r="485" spans="1:51" ht="14.4" x14ac:dyDescent="0.3">
      <c r="A485" s="179" t="s">
        <v>1472</v>
      </c>
      <c r="B485" s="179" t="s">
        <v>2927</v>
      </c>
      <c r="C485" s="180" t="s">
        <v>1471</v>
      </c>
      <c r="D485" s="181" t="s">
        <v>2818</v>
      </c>
      <c r="E485" s="181" t="s">
        <v>2817</v>
      </c>
      <c r="F485" s="182" t="s">
        <v>2929</v>
      </c>
      <c r="G485" s="181" t="s">
        <v>12</v>
      </c>
      <c r="H485" s="193">
        <v>44549</v>
      </c>
      <c r="I485" s="184"/>
      <c r="J485" s="179" t="s">
        <v>4958</v>
      </c>
      <c r="K485" s="179">
        <v>200</v>
      </c>
      <c r="L485" s="179" t="s">
        <v>2950</v>
      </c>
      <c r="M485" s="185"/>
      <c r="N485" s="185"/>
      <c r="O485" s="186"/>
      <c r="P485" s="185"/>
      <c r="Q485" s="182" t="s">
        <v>2933</v>
      </c>
      <c r="R485" s="182" t="s">
        <v>2934</v>
      </c>
      <c r="S485" s="182" t="s">
        <v>2952</v>
      </c>
      <c r="T485" s="179" t="s">
        <v>2974</v>
      </c>
      <c r="U485" s="179" t="s">
        <v>2937</v>
      </c>
      <c r="V485" s="179">
        <v>877</v>
      </c>
      <c r="W485" s="179" t="s">
        <v>3009</v>
      </c>
      <c r="X485" s="188">
        <v>232.99639999999997</v>
      </c>
      <c r="Y485" s="188">
        <v>158.64099999999999</v>
      </c>
      <c r="Z485" s="188">
        <v>107.94340000000001</v>
      </c>
      <c r="AA485" s="188">
        <v>74.662300000000002</v>
      </c>
      <c r="AB485" s="188">
        <v>14.172000000000001</v>
      </c>
      <c r="AC485" s="188">
        <v>82.946699999999993</v>
      </c>
      <c r="AD485" s="179" t="s">
        <v>2956</v>
      </c>
      <c r="AE485" s="188" t="s">
        <v>2957</v>
      </c>
      <c r="AF485" s="189">
        <v>0.29166666666666669</v>
      </c>
      <c r="AG485" s="189">
        <v>0.95833333333333337</v>
      </c>
      <c r="AH485" s="190" t="s">
        <v>2941</v>
      </c>
      <c r="AI485" s="190" t="s">
        <v>2942</v>
      </c>
      <c r="AJ485" s="179" t="s">
        <v>5</v>
      </c>
      <c r="AK485" s="179" t="s">
        <v>2958</v>
      </c>
      <c r="AL485" s="179" t="s">
        <v>4</v>
      </c>
      <c r="AM485" s="179" t="s">
        <v>4959</v>
      </c>
      <c r="AN485" s="179" t="s">
        <v>2102</v>
      </c>
      <c r="AO485" s="179" t="s">
        <v>2264</v>
      </c>
      <c r="AP485" s="191">
        <v>81139004097</v>
      </c>
      <c r="AQ485" s="184">
        <v>44549</v>
      </c>
      <c r="AR485" s="179">
        <v>56</v>
      </c>
      <c r="AS485" s="179"/>
      <c r="AT485" s="181"/>
      <c r="AU485" s="181"/>
      <c r="AV485" s="192">
        <v>12620010</v>
      </c>
      <c r="AW485" s="181">
        <v>22.4</v>
      </c>
      <c r="AX485" s="179">
        <v>80112</v>
      </c>
      <c r="AY485" s="179"/>
    </row>
    <row r="486" spans="1:51" ht="14.4" x14ac:dyDescent="0.3">
      <c r="A486" s="179" t="s">
        <v>1619</v>
      </c>
      <c r="B486" s="179" t="s">
        <v>2927</v>
      </c>
      <c r="C486" s="180" t="s">
        <v>1618</v>
      </c>
      <c r="D486" s="181" t="s">
        <v>2847</v>
      </c>
      <c r="E486" s="181" t="s">
        <v>2830</v>
      </c>
      <c r="F486" s="182" t="s">
        <v>2929</v>
      </c>
      <c r="G486" s="181" t="s">
        <v>12</v>
      </c>
      <c r="H486" s="193">
        <v>44550</v>
      </c>
      <c r="I486" s="184"/>
      <c r="J486" s="179" t="s">
        <v>4960</v>
      </c>
      <c r="K486" s="179">
        <v>240</v>
      </c>
      <c r="L486" s="179" t="s">
        <v>2950</v>
      </c>
      <c r="M486" s="185"/>
      <c r="N486" s="185"/>
      <c r="O486" s="186"/>
      <c r="P486" s="185"/>
      <c r="Q486" s="182" t="s">
        <v>2933</v>
      </c>
      <c r="R486" s="182" t="s">
        <v>2934</v>
      </c>
      <c r="S486" s="182" t="s">
        <v>2952</v>
      </c>
      <c r="T486" s="179" t="s">
        <v>2974</v>
      </c>
      <c r="U486" s="179" t="s">
        <v>2937</v>
      </c>
      <c r="V486" s="179">
        <v>354</v>
      </c>
      <c r="W486" s="179" t="s">
        <v>3009</v>
      </c>
      <c r="X486" s="188">
        <v>375</v>
      </c>
      <c r="Y486" s="188">
        <v>243.29999999999998</v>
      </c>
      <c r="Z486" s="188">
        <v>117.6</v>
      </c>
      <c r="AA486" s="188">
        <v>106.72199999999999</v>
      </c>
      <c r="AB486" s="188">
        <v>17.52</v>
      </c>
      <c r="AC486" s="188">
        <v>98.343000000000004</v>
      </c>
      <c r="AD486" s="179" t="s">
        <v>2956</v>
      </c>
      <c r="AE486" s="188" t="s">
        <v>2940</v>
      </c>
      <c r="AF486" s="189">
        <v>0.29166666666666669</v>
      </c>
      <c r="AG486" s="189">
        <v>0.91666666666666663</v>
      </c>
      <c r="AH486" s="190" t="s">
        <v>2941</v>
      </c>
      <c r="AI486" s="190" t="s">
        <v>2985</v>
      </c>
      <c r="AJ486" s="179" t="s">
        <v>78</v>
      </c>
      <c r="AK486" s="179" t="s">
        <v>3256</v>
      </c>
      <c r="AL486" s="179" t="s">
        <v>4</v>
      </c>
      <c r="AM486" s="179" t="s">
        <v>4961</v>
      </c>
      <c r="AN486" s="179" t="s">
        <v>2102</v>
      </c>
      <c r="AO486" s="179" t="s">
        <v>2355</v>
      </c>
      <c r="AP486" s="191">
        <v>81139009811</v>
      </c>
      <c r="AQ486" s="184">
        <v>44550</v>
      </c>
      <c r="AR486" s="179">
        <v>56</v>
      </c>
      <c r="AS486" s="179"/>
      <c r="AT486" s="181"/>
      <c r="AU486" s="181"/>
      <c r="AV486" s="192">
        <v>7418840</v>
      </c>
      <c r="AW486" s="181">
        <v>31</v>
      </c>
      <c r="AX486" s="179">
        <v>80226</v>
      </c>
      <c r="AY486" s="179"/>
    </row>
    <row r="487" spans="1:51" ht="14.4" x14ac:dyDescent="0.3">
      <c r="A487" s="179" t="s">
        <v>1687</v>
      </c>
      <c r="B487" s="179" t="s">
        <v>2927</v>
      </c>
      <c r="C487" s="180" t="s">
        <v>1686</v>
      </c>
      <c r="D487" s="181" t="s">
        <v>2823</v>
      </c>
      <c r="E487" s="181" t="s">
        <v>2819</v>
      </c>
      <c r="F487" s="182" t="s">
        <v>2929</v>
      </c>
      <c r="G487" s="181" t="s">
        <v>12</v>
      </c>
      <c r="H487" s="193">
        <v>44551</v>
      </c>
      <c r="I487" s="184"/>
      <c r="J487" s="179" t="s">
        <v>4962</v>
      </c>
      <c r="K487" s="179">
        <v>522</v>
      </c>
      <c r="L487" s="179" t="s">
        <v>3026</v>
      </c>
      <c r="M487" s="185"/>
      <c r="N487" s="185"/>
      <c r="O487" s="186"/>
      <c r="P487" s="185"/>
      <c r="Q487" s="182" t="s">
        <v>2934</v>
      </c>
      <c r="R487" s="182" t="s">
        <v>2933</v>
      </c>
      <c r="S487" s="182" t="s">
        <v>2952</v>
      </c>
      <c r="T487" s="179" t="s">
        <v>2974</v>
      </c>
      <c r="U487" s="179" t="s">
        <v>2937</v>
      </c>
      <c r="V487" s="179">
        <v>666</v>
      </c>
      <c r="W487" s="179" t="s">
        <v>4941</v>
      </c>
      <c r="X487" s="188">
        <v>292.80880000000002</v>
      </c>
      <c r="Y487" s="188">
        <v>228.17160000000001</v>
      </c>
      <c r="Z487" s="188">
        <v>115.18980000000001</v>
      </c>
      <c r="AA487" s="188">
        <v>52.876700000000007</v>
      </c>
      <c r="AB487" s="188">
        <v>13.673999999999999</v>
      </c>
      <c r="AC487" s="188">
        <v>93.136399999999995</v>
      </c>
      <c r="AD487" s="179" t="s">
        <v>2956</v>
      </c>
      <c r="AE487" s="188" t="s">
        <v>2940</v>
      </c>
      <c r="AF487" s="189">
        <v>0.29166666666666669</v>
      </c>
      <c r="AG487" s="189">
        <v>0.91666666666666663</v>
      </c>
      <c r="AH487" s="190" t="s">
        <v>2941</v>
      </c>
      <c r="AI487" s="190" t="s">
        <v>2942</v>
      </c>
      <c r="AJ487" s="179" t="s">
        <v>953</v>
      </c>
      <c r="AK487" s="179" t="s">
        <v>2958</v>
      </c>
      <c r="AL487" s="179" t="s">
        <v>4</v>
      </c>
      <c r="AM487" s="179" t="s">
        <v>4963</v>
      </c>
      <c r="AN487" s="179" t="s">
        <v>2102</v>
      </c>
      <c r="AO487" s="179" t="s">
        <v>2395</v>
      </c>
      <c r="AP487" s="191">
        <v>81139004095</v>
      </c>
      <c r="AQ487" s="184">
        <v>44551</v>
      </c>
      <c r="AR487" s="179">
        <v>56</v>
      </c>
      <c r="AS487" s="179"/>
      <c r="AT487" s="181"/>
      <c r="AU487" s="181"/>
      <c r="AV487" s="192">
        <v>11354364</v>
      </c>
      <c r="AW487" s="181">
        <v>21.4</v>
      </c>
      <c r="AX487" s="179">
        <v>80119</v>
      </c>
      <c r="AY487" s="179"/>
    </row>
    <row r="488" spans="1:51" ht="14.4" x14ac:dyDescent="0.3">
      <c r="A488" s="179" t="s">
        <v>999</v>
      </c>
      <c r="B488" s="179" t="s">
        <v>2947</v>
      </c>
      <c r="C488" s="180" t="s">
        <v>4964</v>
      </c>
      <c r="D488" s="181" t="s">
        <v>2874</v>
      </c>
      <c r="E488" s="181" t="s">
        <v>2867</v>
      </c>
      <c r="F488" s="182" t="s">
        <v>3086</v>
      </c>
      <c r="G488" s="181" t="s">
        <v>535</v>
      </c>
      <c r="H488" s="193">
        <v>45092</v>
      </c>
      <c r="I488" s="184">
        <v>45092</v>
      </c>
      <c r="J488" s="179" t="s">
        <v>4965</v>
      </c>
      <c r="K488" s="179">
        <v>60</v>
      </c>
      <c r="L488" s="179" t="s">
        <v>2965</v>
      </c>
      <c r="M488" s="185"/>
      <c r="N488" s="185" t="s">
        <v>2951</v>
      </c>
      <c r="O488" s="179" t="s">
        <v>2951</v>
      </c>
      <c r="P488" s="185" t="s">
        <v>2951</v>
      </c>
      <c r="Q488" s="182" t="s">
        <v>2933</v>
      </c>
      <c r="R488" s="182" t="s">
        <v>2934</v>
      </c>
      <c r="S488" s="182" t="s">
        <v>2952</v>
      </c>
      <c r="T488" s="179" t="s">
        <v>2974</v>
      </c>
      <c r="U488" s="179" t="s">
        <v>2954</v>
      </c>
      <c r="V488" s="179">
        <v>751</v>
      </c>
      <c r="W488" s="179" t="s">
        <v>4966</v>
      </c>
      <c r="X488" s="188">
        <v>466.2045</v>
      </c>
      <c r="Y488" s="188">
        <v>272.81899999999996</v>
      </c>
      <c r="Z488" s="188">
        <v>174.048</v>
      </c>
      <c r="AA488" s="188">
        <v>133.30979999999997</v>
      </c>
      <c r="AB488" s="188">
        <v>36.009599999999999</v>
      </c>
      <c r="AC488" s="188">
        <v>482.46399999999994</v>
      </c>
      <c r="AD488" s="179" t="s">
        <v>2956</v>
      </c>
      <c r="AE488" s="188" t="s">
        <v>2957</v>
      </c>
      <c r="AF488" s="189">
        <v>0</v>
      </c>
      <c r="AG488" s="189">
        <v>0.99930555555555556</v>
      </c>
      <c r="AH488" s="190" t="s">
        <v>2976</v>
      </c>
      <c r="AI488" s="190" t="s">
        <v>2942</v>
      </c>
      <c r="AJ488" s="179" t="s">
        <v>997</v>
      </c>
      <c r="AK488" s="179" t="s">
        <v>2958</v>
      </c>
      <c r="AL488" s="179" t="s">
        <v>4</v>
      </c>
      <c r="AM488" s="179" t="s">
        <v>4967</v>
      </c>
      <c r="AN488" s="179" t="s">
        <v>2102</v>
      </c>
      <c r="AO488" s="179" t="s">
        <v>2764</v>
      </c>
      <c r="AP488" s="191">
        <v>81139006678</v>
      </c>
      <c r="AQ488" s="184">
        <v>44556</v>
      </c>
      <c r="AR488" s="179">
        <v>56</v>
      </c>
      <c r="AS488" s="179"/>
      <c r="AT488" s="181" t="s">
        <v>4968</v>
      </c>
      <c r="AU488" s="181" t="s">
        <v>2946</v>
      </c>
      <c r="AV488" s="192">
        <v>27022699</v>
      </c>
      <c r="AW488" s="181">
        <v>31.4</v>
      </c>
      <c r="AX488" s="179">
        <v>80231</v>
      </c>
      <c r="AY488" s="179"/>
    </row>
    <row r="489" spans="1:51" ht="14.4" x14ac:dyDescent="0.3">
      <c r="A489" s="179" t="s">
        <v>1118</v>
      </c>
      <c r="B489" s="179" t="s">
        <v>2947</v>
      </c>
      <c r="C489" s="180" t="s">
        <v>4969</v>
      </c>
      <c r="D489" s="181" t="s">
        <v>2841</v>
      </c>
      <c r="E489" s="181" t="s">
        <v>2840</v>
      </c>
      <c r="F489" s="182" t="s">
        <v>3086</v>
      </c>
      <c r="G489" s="181" t="s">
        <v>535</v>
      </c>
      <c r="H489" s="193">
        <v>45041</v>
      </c>
      <c r="I489" s="184">
        <v>45041</v>
      </c>
      <c r="J489" s="179" t="s">
        <v>4970</v>
      </c>
      <c r="K489" s="179">
        <v>33</v>
      </c>
      <c r="L489" s="179" t="s">
        <v>2965</v>
      </c>
      <c r="M489" s="185"/>
      <c r="N489" s="185" t="s">
        <v>2951</v>
      </c>
      <c r="O489" s="179" t="s">
        <v>2951</v>
      </c>
      <c r="P489" s="185" t="s">
        <v>2951</v>
      </c>
      <c r="Q489" s="182" t="s">
        <v>2933</v>
      </c>
      <c r="R489" s="182" t="s">
        <v>2934</v>
      </c>
      <c r="S489" s="182" t="s">
        <v>2952</v>
      </c>
      <c r="T489" s="179" t="s">
        <v>2953</v>
      </c>
      <c r="U489" s="179" t="s">
        <v>2954</v>
      </c>
      <c r="V489" s="179">
        <v>263</v>
      </c>
      <c r="W489" s="179" t="s">
        <v>4971</v>
      </c>
      <c r="X489" s="188">
        <v>561.28200000000004</v>
      </c>
      <c r="Y489" s="188">
        <v>338.32499999999999</v>
      </c>
      <c r="Z489" s="188">
        <v>138.684</v>
      </c>
      <c r="AA489" s="188">
        <v>208.70399999999998</v>
      </c>
      <c r="AB489" s="188">
        <v>0</v>
      </c>
      <c r="AC489" s="188">
        <v>445.19740000000002</v>
      </c>
      <c r="AD489" s="179" t="s">
        <v>2956</v>
      </c>
      <c r="AE489" s="188" t="s">
        <v>3017</v>
      </c>
      <c r="AF489" s="189">
        <v>0</v>
      </c>
      <c r="AG489" s="189">
        <v>0.99930555555555556</v>
      </c>
      <c r="AH489" s="190" t="s">
        <v>2941</v>
      </c>
      <c r="AI489" s="190" t="s">
        <v>2985</v>
      </c>
      <c r="AJ489" s="179" t="s">
        <v>854</v>
      </c>
      <c r="AK489" s="179" t="s">
        <v>3387</v>
      </c>
      <c r="AL489" s="179" t="s">
        <v>4</v>
      </c>
      <c r="AM489" s="179" t="s">
        <v>4972</v>
      </c>
      <c r="AN489" s="179" t="s">
        <v>2102</v>
      </c>
      <c r="AO489" s="179" t="s">
        <v>2768</v>
      </c>
      <c r="AP489" s="191">
        <v>81139004092</v>
      </c>
      <c r="AQ489" s="184">
        <v>44560</v>
      </c>
      <c r="AR489" s="179">
        <v>55</v>
      </c>
      <c r="AS489" s="179"/>
      <c r="AT489" s="181" t="s">
        <v>4603</v>
      </c>
      <c r="AU489" s="181" t="s">
        <v>2946</v>
      </c>
      <c r="AV489" s="192">
        <v>30862127</v>
      </c>
      <c r="AW489" s="181">
        <v>24.4</v>
      </c>
      <c r="AX489" s="179">
        <v>82261</v>
      </c>
      <c r="AY489" s="179"/>
    </row>
    <row r="490" spans="1:51" ht="14.4" x14ac:dyDescent="0.3">
      <c r="A490" s="179" t="s">
        <v>338</v>
      </c>
      <c r="B490" s="179" t="s">
        <v>2947</v>
      </c>
      <c r="C490" s="180" t="s">
        <v>2194</v>
      </c>
      <c r="D490" s="181" t="s">
        <v>2837</v>
      </c>
      <c r="E490" s="181" t="s">
        <v>2825</v>
      </c>
      <c r="F490" s="182" t="s">
        <v>2972</v>
      </c>
      <c r="G490" s="181" t="s">
        <v>17</v>
      </c>
      <c r="H490" s="193">
        <v>45550</v>
      </c>
      <c r="I490" s="184"/>
      <c r="J490" s="179" t="s">
        <v>4973</v>
      </c>
      <c r="K490" s="179">
        <v>290</v>
      </c>
      <c r="L490" s="179" t="s">
        <v>2950</v>
      </c>
      <c r="M490" s="185"/>
      <c r="N490" s="185" t="s">
        <v>2951</v>
      </c>
      <c r="O490" s="186"/>
      <c r="P490" s="185"/>
      <c r="Q490" s="182" t="s">
        <v>2933</v>
      </c>
      <c r="R490" s="182" t="s">
        <v>2934</v>
      </c>
      <c r="S490" s="182" t="s">
        <v>2952</v>
      </c>
      <c r="T490" s="179" t="s">
        <v>2953</v>
      </c>
      <c r="U490" s="179" t="s">
        <v>2954</v>
      </c>
      <c r="V490" s="179">
        <v>331</v>
      </c>
      <c r="W490" s="179" t="s">
        <v>4941</v>
      </c>
      <c r="X490" s="188">
        <v>1012.6256000000001</v>
      </c>
      <c r="Y490" s="188">
        <v>346.98720000000003</v>
      </c>
      <c r="Z490" s="188">
        <v>206.48059999999998</v>
      </c>
      <c r="AA490" s="188">
        <v>647.34879999999998</v>
      </c>
      <c r="AB490" s="188">
        <v>20.608000000000004</v>
      </c>
      <c r="AC490" s="188">
        <v>105.39049999999999</v>
      </c>
      <c r="AD490" s="179" t="s">
        <v>2956</v>
      </c>
      <c r="AE490" s="188" t="s">
        <v>2940</v>
      </c>
      <c r="AF490" s="189">
        <v>0.29166666666666669</v>
      </c>
      <c r="AG490" s="189">
        <v>0.91666666666666663</v>
      </c>
      <c r="AH490" s="190" t="s">
        <v>2941</v>
      </c>
      <c r="AI490" s="190" t="s">
        <v>2942</v>
      </c>
      <c r="AJ490" s="179" t="s">
        <v>336</v>
      </c>
      <c r="AK490" s="179" t="s">
        <v>3302</v>
      </c>
      <c r="AL490" s="179" t="s">
        <v>9</v>
      </c>
      <c r="AM490" s="179" t="s">
        <v>4974</v>
      </c>
      <c r="AN490" s="179" t="s">
        <v>2102</v>
      </c>
      <c r="AO490" s="179" t="s">
        <v>2445</v>
      </c>
      <c r="AP490" s="191">
        <v>81139004093</v>
      </c>
      <c r="AQ490" s="184">
        <v>44561</v>
      </c>
      <c r="AR490" s="179">
        <v>55</v>
      </c>
      <c r="AS490" s="179"/>
      <c r="AT490" s="181"/>
      <c r="AU490" s="181"/>
      <c r="AV490" s="192">
        <v>13685280</v>
      </c>
      <c r="AW490" s="181">
        <v>10.7</v>
      </c>
      <c r="AX490" s="179">
        <v>80351</v>
      </c>
      <c r="AY490" s="179"/>
    </row>
    <row r="491" spans="1:51" ht="14.4" x14ac:dyDescent="0.3">
      <c r="A491" s="179" t="s">
        <v>693</v>
      </c>
      <c r="B491" s="179" t="s">
        <v>2927</v>
      </c>
      <c r="C491" s="180" t="s">
        <v>692</v>
      </c>
      <c r="D491" s="181" t="s">
        <v>2856</v>
      </c>
      <c r="E491" s="181" t="s">
        <v>2819</v>
      </c>
      <c r="F491" s="182" t="s">
        <v>2929</v>
      </c>
      <c r="G491" s="181" t="s">
        <v>12</v>
      </c>
      <c r="H491" s="193">
        <v>44587</v>
      </c>
      <c r="I491" s="184"/>
      <c r="J491" s="179" t="s">
        <v>3008</v>
      </c>
      <c r="K491" s="179" t="s">
        <v>3008</v>
      </c>
      <c r="L491" s="179" t="s">
        <v>2932</v>
      </c>
      <c r="M491" s="185"/>
      <c r="N491" s="185"/>
      <c r="O491" s="186"/>
      <c r="P491" s="185"/>
      <c r="Q491" s="182" t="s">
        <v>2934</v>
      </c>
      <c r="R491" s="182" t="s">
        <v>2933</v>
      </c>
      <c r="S491" s="182" t="s">
        <v>2952</v>
      </c>
      <c r="T491" s="179" t="s">
        <v>2974</v>
      </c>
      <c r="U491" s="179" t="s">
        <v>2937</v>
      </c>
      <c r="V491" s="179">
        <v>545</v>
      </c>
      <c r="W491" s="179" t="s">
        <v>3009</v>
      </c>
      <c r="X491" s="188">
        <v>434.35519999999997</v>
      </c>
      <c r="Y491" s="188">
        <v>218.3621</v>
      </c>
      <c r="Z491" s="188">
        <v>114.86999999999999</v>
      </c>
      <c r="AA491" s="188">
        <v>80.735200000000006</v>
      </c>
      <c r="AB491" s="188">
        <v>13.127999999999998</v>
      </c>
      <c r="AC491" s="188">
        <v>85.441399999999987</v>
      </c>
      <c r="AD491" s="179" t="s">
        <v>2956</v>
      </c>
      <c r="AE491" s="188" t="s">
        <v>2940</v>
      </c>
      <c r="AF491" s="189">
        <v>0.29166666666666669</v>
      </c>
      <c r="AG491" s="189">
        <v>0.91666666666666663</v>
      </c>
      <c r="AH491" s="190" t="s">
        <v>2941</v>
      </c>
      <c r="AI491" s="190" t="s">
        <v>2942</v>
      </c>
      <c r="AJ491" s="179" t="s">
        <v>691</v>
      </c>
      <c r="AK491" s="179" t="s">
        <v>3034</v>
      </c>
      <c r="AL491" s="179" t="s">
        <v>4</v>
      </c>
      <c r="AM491" s="179" t="s">
        <v>4975</v>
      </c>
      <c r="AN491" s="179" t="s">
        <v>2102</v>
      </c>
      <c r="AO491" s="179" t="s">
        <v>2346</v>
      </c>
      <c r="AP491" s="191">
        <v>81139004316</v>
      </c>
      <c r="AQ491" s="184">
        <v>44587</v>
      </c>
      <c r="AR491" s="179">
        <v>55</v>
      </c>
      <c r="AS491" s="179"/>
      <c r="AT491" s="181"/>
      <c r="AU491" s="181"/>
      <c r="AV491" s="192">
        <v>10326880</v>
      </c>
      <c r="AW491" s="181">
        <v>19.600000000000001</v>
      </c>
      <c r="AX491" s="179">
        <v>80233</v>
      </c>
      <c r="AY491" s="179"/>
    </row>
    <row r="492" spans="1:51" ht="14.4" x14ac:dyDescent="0.3">
      <c r="A492" s="179" t="s">
        <v>1001</v>
      </c>
      <c r="B492" s="179" t="s">
        <v>2927</v>
      </c>
      <c r="C492" s="180" t="s">
        <v>1000</v>
      </c>
      <c r="D492" s="181" t="s">
        <v>2842</v>
      </c>
      <c r="E492" s="181" t="s">
        <v>2834</v>
      </c>
      <c r="F492" s="182" t="s">
        <v>2929</v>
      </c>
      <c r="G492" s="181" t="s">
        <v>12</v>
      </c>
      <c r="H492" s="193">
        <v>44603</v>
      </c>
      <c r="I492" s="184"/>
      <c r="J492" s="179" t="s">
        <v>3008</v>
      </c>
      <c r="K492" s="179" t="s">
        <v>3008</v>
      </c>
      <c r="L492" s="179" t="s">
        <v>2932</v>
      </c>
      <c r="M492" s="185"/>
      <c r="N492" s="185"/>
      <c r="O492" s="186"/>
      <c r="P492" s="185"/>
      <c r="Q492" s="182" t="s">
        <v>2933</v>
      </c>
      <c r="R492" s="182" t="s">
        <v>2934</v>
      </c>
      <c r="S492" s="182" t="s">
        <v>2952</v>
      </c>
      <c r="T492" s="179" t="s">
        <v>2974</v>
      </c>
      <c r="U492" s="179" t="s">
        <v>2937</v>
      </c>
      <c r="V492" s="179">
        <v>757</v>
      </c>
      <c r="W492" s="179" t="s">
        <v>3549</v>
      </c>
      <c r="X492" s="188">
        <v>373.10239999999999</v>
      </c>
      <c r="Y492" s="188">
        <v>200.25360000000001</v>
      </c>
      <c r="Z492" s="188">
        <v>97.65079999999999</v>
      </c>
      <c r="AA492" s="188">
        <v>164.57849999999999</v>
      </c>
      <c r="AB492" s="188">
        <v>26.411400000000004</v>
      </c>
      <c r="AC492" s="188">
        <v>64.783799999999999</v>
      </c>
      <c r="AD492" s="179" t="s">
        <v>2956</v>
      </c>
      <c r="AE492" s="188" t="s">
        <v>2940</v>
      </c>
      <c r="AF492" s="189">
        <v>0.29166666666666669</v>
      </c>
      <c r="AG492" s="189">
        <v>0.95833333333333337</v>
      </c>
      <c r="AH492" s="190" t="s">
        <v>2941</v>
      </c>
      <c r="AI492" s="190" t="s">
        <v>2985</v>
      </c>
      <c r="AJ492" s="179" t="s">
        <v>178</v>
      </c>
      <c r="AK492" s="179" t="s">
        <v>28</v>
      </c>
      <c r="AL492" s="179" t="s">
        <v>28</v>
      </c>
      <c r="AM492" s="179" t="s">
        <v>4976</v>
      </c>
      <c r="AN492" s="179" t="s">
        <v>2102</v>
      </c>
      <c r="AO492" s="179" t="s">
        <v>2401</v>
      </c>
      <c r="AP492" s="191">
        <v>81139004101</v>
      </c>
      <c r="AQ492" s="184">
        <v>44603</v>
      </c>
      <c r="AR492" s="179">
        <v>54</v>
      </c>
      <c r="AS492" s="179"/>
      <c r="AT492" s="181"/>
      <c r="AU492" s="181"/>
      <c r="AV492" s="192">
        <v>11347456</v>
      </c>
      <c r="AW492" s="181">
        <v>31.6</v>
      </c>
      <c r="AX492" s="179">
        <v>80511</v>
      </c>
      <c r="AY492" s="179"/>
    </row>
    <row r="493" spans="1:51" ht="14.4" x14ac:dyDescent="0.3">
      <c r="A493" s="179" t="s">
        <v>1318</v>
      </c>
      <c r="B493" s="179" t="s">
        <v>2927</v>
      </c>
      <c r="C493" s="180" t="s">
        <v>1317</v>
      </c>
      <c r="D493" s="181" t="s">
        <v>2835</v>
      </c>
      <c r="E493" s="181" t="s">
        <v>2834</v>
      </c>
      <c r="F493" s="182" t="s">
        <v>2929</v>
      </c>
      <c r="G493" s="181" t="s">
        <v>12</v>
      </c>
      <c r="H493" s="193">
        <v>44616</v>
      </c>
      <c r="I493" s="184"/>
      <c r="J493" s="179" t="s">
        <v>4977</v>
      </c>
      <c r="K493" s="179">
        <v>222</v>
      </c>
      <c r="L493" s="179" t="s">
        <v>2950</v>
      </c>
      <c r="M493" s="185"/>
      <c r="N493" s="185"/>
      <c r="O493" s="186"/>
      <c r="P493" s="185"/>
      <c r="Q493" s="182" t="s">
        <v>2933</v>
      </c>
      <c r="R493" s="182" t="s">
        <v>2934</v>
      </c>
      <c r="S493" s="182" t="s">
        <v>2952</v>
      </c>
      <c r="T493" s="179" t="s">
        <v>2974</v>
      </c>
      <c r="U493" s="179" t="s">
        <v>2937</v>
      </c>
      <c r="V493" s="179">
        <v>229</v>
      </c>
      <c r="W493" s="179" t="s">
        <v>4941</v>
      </c>
      <c r="X493" s="188">
        <v>442.70499999999998</v>
      </c>
      <c r="Y493" s="188">
        <v>250.86</v>
      </c>
      <c r="Z493" s="188">
        <v>126.61109999999999</v>
      </c>
      <c r="AA493" s="188">
        <v>187.77500000000001</v>
      </c>
      <c r="AB493" s="188">
        <v>18.329999999999998</v>
      </c>
      <c r="AC493" s="188">
        <v>95.420400000000015</v>
      </c>
      <c r="AD493" s="179" t="s">
        <v>2956</v>
      </c>
      <c r="AE493" s="188" t="s">
        <v>2940</v>
      </c>
      <c r="AF493" s="189">
        <v>0.29166666666666669</v>
      </c>
      <c r="AG493" s="189">
        <v>0.91666666666666663</v>
      </c>
      <c r="AH493" s="190" t="s">
        <v>2941</v>
      </c>
      <c r="AI493" s="190" t="s">
        <v>2942</v>
      </c>
      <c r="AJ493" s="179" t="s">
        <v>568</v>
      </c>
      <c r="AK493" s="179" t="s">
        <v>3404</v>
      </c>
      <c r="AL493" s="179" t="s">
        <v>32</v>
      </c>
      <c r="AM493" s="179" t="s">
        <v>4978</v>
      </c>
      <c r="AN493" s="179" t="s">
        <v>2102</v>
      </c>
      <c r="AO493" s="179" t="s">
        <v>2273</v>
      </c>
      <c r="AP493" s="191">
        <v>81139006263</v>
      </c>
      <c r="AQ493" s="184">
        <v>44616</v>
      </c>
      <c r="AR493" s="179">
        <v>54</v>
      </c>
      <c r="AS493" s="179"/>
      <c r="AT493" s="181"/>
      <c r="AU493" s="181"/>
      <c r="AV493" s="192">
        <v>10134500</v>
      </c>
      <c r="AW493" s="181">
        <v>53.2</v>
      </c>
      <c r="AX493" s="179">
        <v>80652</v>
      </c>
      <c r="AY493" s="179"/>
    </row>
    <row r="494" spans="1:51" ht="14.4" x14ac:dyDescent="0.3">
      <c r="A494" s="179" t="s">
        <v>51</v>
      </c>
      <c r="B494" s="179" t="s">
        <v>2947</v>
      </c>
      <c r="C494" s="180" t="s">
        <v>4979</v>
      </c>
      <c r="D494" s="181" t="s">
        <v>2864</v>
      </c>
      <c r="E494" s="181" t="s">
        <v>2827</v>
      </c>
      <c r="F494" s="182" t="s">
        <v>2972</v>
      </c>
      <c r="G494" s="181" t="s">
        <v>17</v>
      </c>
      <c r="H494" s="193">
        <v>44617</v>
      </c>
      <c r="I494" s="184"/>
      <c r="J494" s="179" t="s">
        <v>3008</v>
      </c>
      <c r="K494" s="179" t="s">
        <v>3008</v>
      </c>
      <c r="L494" s="179" t="s">
        <v>2932</v>
      </c>
      <c r="M494" s="185"/>
      <c r="N494" s="185"/>
      <c r="O494" s="186"/>
      <c r="P494" s="185"/>
      <c r="Q494" s="182" t="s">
        <v>2934</v>
      </c>
      <c r="R494" s="182" t="s">
        <v>2933</v>
      </c>
      <c r="S494" s="182" t="s">
        <v>2952</v>
      </c>
      <c r="T494" s="179" t="s">
        <v>2974</v>
      </c>
      <c r="U494" s="179" t="s">
        <v>2954</v>
      </c>
      <c r="V494" s="179">
        <v>1095</v>
      </c>
      <c r="W494" s="179" t="s">
        <v>3009</v>
      </c>
      <c r="X494" s="188">
        <v>299.88</v>
      </c>
      <c r="Y494" s="188">
        <v>201.24899999999997</v>
      </c>
      <c r="Z494" s="188">
        <v>118.31100000000002</v>
      </c>
      <c r="AA494" s="188">
        <v>91.537999999999997</v>
      </c>
      <c r="AB494" s="188">
        <v>11.89</v>
      </c>
      <c r="AC494" s="188">
        <v>61.891000000000005</v>
      </c>
      <c r="AD494" s="179" t="s">
        <v>2956</v>
      </c>
      <c r="AE494" s="188" t="s">
        <v>2940</v>
      </c>
      <c r="AF494" s="189">
        <v>0.29166666666666669</v>
      </c>
      <c r="AG494" s="189">
        <v>0.91666666666666663</v>
      </c>
      <c r="AH494" s="190" t="s">
        <v>2941</v>
      </c>
      <c r="AI494" s="190" t="s">
        <v>2942</v>
      </c>
      <c r="AJ494" s="179" t="s">
        <v>49</v>
      </c>
      <c r="AK494" s="179" t="s">
        <v>143</v>
      </c>
      <c r="AL494" s="179" t="s">
        <v>48</v>
      </c>
      <c r="AM494" s="179" t="s">
        <v>4980</v>
      </c>
      <c r="AN494" s="179" t="s">
        <v>2102</v>
      </c>
      <c r="AO494" s="179" t="s">
        <v>2451</v>
      </c>
      <c r="AP494" s="191">
        <v>81139006264</v>
      </c>
      <c r="AQ494" s="184">
        <v>44617</v>
      </c>
      <c r="AR494" s="179">
        <v>54</v>
      </c>
      <c r="AS494" s="179"/>
      <c r="AT494" s="181"/>
      <c r="AU494" s="181"/>
      <c r="AV494" s="192">
        <v>11313675</v>
      </c>
      <c r="AW494" s="181">
        <v>61</v>
      </c>
      <c r="AX494" s="179">
        <v>81171</v>
      </c>
      <c r="AY494" s="179"/>
    </row>
    <row r="495" spans="1:51" ht="14.4" x14ac:dyDescent="0.3">
      <c r="A495" s="179" t="s">
        <v>825</v>
      </c>
      <c r="B495" s="179" t="s">
        <v>2947</v>
      </c>
      <c r="C495" s="180" t="s">
        <v>2198</v>
      </c>
      <c r="D495" s="181" t="s">
        <v>2861</v>
      </c>
      <c r="E495" s="181" t="s">
        <v>2840</v>
      </c>
      <c r="F495" s="182" t="s">
        <v>3086</v>
      </c>
      <c r="G495" s="181" t="s">
        <v>535</v>
      </c>
      <c r="H495" s="193">
        <v>45475</v>
      </c>
      <c r="I495" s="184"/>
      <c r="J495" s="179" t="s">
        <v>4981</v>
      </c>
      <c r="K495" s="179">
        <v>25</v>
      </c>
      <c r="L495" s="179" t="s">
        <v>2965</v>
      </c>
      <c r="M495" s="185"/>
      <c r="N495" s="185"/>
      <c r="O495" s="179" t="s">
        <v>2951</v>
      </c>
      <c r="P495" s="185" t="s">
        <v>2951</v>
      </c>
      <c r="Q495" s="182" t="s">
        <v>2934</v>
      </c>
      <c r="R495" s="182" t="s">
        <v>2933</v>
      </c>
      <c r="S495" s="182" t="s">
        <v>2935</v>
      </c>
      <c r="T495" s="179" t="s">
        <v>2974</v>
      </c>
      <c r="U495" s="179" t="s">
        <v>2954</v>
      </c>
      <c r="V495" s="179">
        <v>1333</v>
      </c>
      <c r="W495" s="179" t="s">
        <v>3009</v>
      </c>
      <c r="X495" s="188">
        <v>426.73199999999997</v>
      </c>
      <c r="Y495" s="188">
        <v>291.19599999999997</v>
      </c>
      <c r="Z495" s="188">
        <v>166.97200000000001</v>
      </c>
      <c r="AA495" s="188">
        <v>116.27199999999999</v>
      </c>
      <c r="AB495" s="188">
        <v>20.279999999999998</v>
      </c>
      <c r="AC495" s="188">
        <v>93.287999999999982</v>
      </c>
      <c r="AD495" s="179" t="s">
        <v>2956</v>
      </c>
      <c r="AE495" s="188" t="s">
        <v>2940</v>
      </c>
      <c r="AF495" s="189">
        <v>0.29166666666666669</v>
      </c>
      <c r="AG495" s="189">
        <v>0.91666666666666663</v>
      </c>
      <c r="AH495" s="190" t="s">
        <v>2941</v>
      </c>
      <c r="AI495" s="190" t="s">
        <v>2985</v>
      </c>
      <c r="AJ495" s="179" t="s">
        <v>823</v>
      </c>
      <c r="AK495" s="179" t="s">
        <v>3000</v>
      </c>
      <c r="AL495" s="179" t="s">
        <v>28</v>
      </c>
      <c r="AM495" s="179" t="s">
        <v>4982</v>
      </c>
      <c r="AN495" s="179" t="s">
        <v>2102</v>
      </c>
      <c r="AO495" s="179" t="s">
        <v>2496</v>
      </c>
      <c r="AP495" s="191">
        <v>81139006261</v>
      </c>
      <c r="AQ495" s="184">
        <v>44619</v>
      </c>
      <c r="AR495" s="179">
        <v>54</v>
      </c>
      <c r="AS495" s="179"/>
      <c r="AT495" s="181" t="s">
        <v>4983</v>
      </c>
      <c r="AU495" s="181" t="s">
        <v>4984</v>
      </c>
      <c r="AV495" s="192">
        <v>29499745</v>
      </c>
      <c r="AW495" s="181">
        <v>19.3</v>
      </c>
      <c r="AX495" s="179">
        <v>80571</v>
      </c>
      <c r="AY495" s="179"/>
    </row>
    <row r="496" spans="1:51" ht="14.4" x14ac:dyDescent="0.3">
      <c r="A496" s="179" t="s">
        <v>1182</v>
      </c>
      <c r="B496" s="179" t="s">
        <v>2947</v>
      </c>
      <c r="C496" s="180" t="s">
        <v>1181</v>
      </c>
      <c r="D496" s="181" t="s">
        <v>2820</v>
      </c>
      <c r="E496" s="181" t="s">
        <v>2819</v>
      </c>
      <c r="F496" s="182" t="s">
        <v>2929</v>
      </c>
      <c r="G496" s="181" t="s">
        <v>12</v>
      </c>
      <c r="H496" s="193">
        <v>44619</v>
      </c>
      <c r="I496" s="184"/>
      <c r="J496" s="179" t="s">
        <v>4326</v>
      </c>
      <c r="K496" s="179">
        <v>692</v>
      </c>
      <c r="L496" s="179" t="s">
        <v>3026</v>
      </c>
      <c r="M496" s="185"/>
      <c r="N496" s="185"/>
      <c r="O496" s="186"/>
      <c r="P496" s="185"/>
      <c r="Q496" s="182" t="s">
        <v>2933</v>
      </c>
      <c r="R496" s="182" t="s">
        <v>2934</v>
      </c>
      <c r="S496" s="182" t="s">
        <v>2952</v>
      </c>
      <c r="T496" s="179" t="s">
        <v>2974</v>
      </c>
      <c r="U496" s="179" t="s">
        <v>2954</v>
      </c>
      <c r="V496" s="179">
        <v>653</v>
      </c>
      <c r="W496" s="179" t="s">
        <v>4941</v>
      </c>
      <c r="X496" s="188">
        <v>424.99169999999998</v>
      </c>
      <c r="Y496" s="188">
        <v>238.21560000000002</v>
      </c>
      <c r="Z496" s="188">
        <v>117.86</v>
      </c>
      <c r="AA496" s="188">
        <v>159.01680000000002</v>
      </c>
      <c r="AB496" s="188">
        <v>27.98</v>
      </c>
      <c r="AC496" s="188">
        <v>78.531999999999996</v>
      </c>
      <c r="AD496" s="179" t="s">
        <v>2956</v>
      </c>
      <c r="AE496" s="188" t="s">
        <v>2940</v>
      </c>
      <c r="AF496" s="189">
        <v>0.29166666666666669</v>
      </c>
      <c r="AG496" s="189">
        <v>0.99930555555555556</v>
      </c>
      <c r="AH496" s="190" t="s">
        <v>2941</v>
      </c>
      <c r="AI496" s="190" t="s">
        <v>2942</v>
      </c>
      <c r="AJ496" s="179" t="s">
        <v>805</v>
      </c>
      <c r="AK496" s="179" t="s">
        <v>2958</v>
      </c>
      <c r="AL496" s="179" t="s">
        <v>4</v>
      </c>
      <c r="AM496" s="179" t="s">
        <v>4985</v>
      </c>
      <c r="AN496" s="179" t="s">
        <v>2102</v>
      </c>
      <c r="AO496" s="179" t="s">
        <v>2664</v>
      </c>
      <c r="AP496" s="191">
        <v>81139006260</v>
      </c>
      <c r="AQ496" s="184">
        <v>44619</v>
      </c>
      <c r="AR496" s="179">
        <v>54</v>
      </c>
      <c r="AS496" s="179"/>
      <c r="AT496" s="181" t="s">
        <v>4986</v>
      </c>
      <c r="AU496" s="181" t="s">
        <v>2946</v>
      </c>
      <c r="AV496" s="192">
        <v>13039344</v>
      </c>
      <c r="AW496" s="181">
        <v>22.8</v>
      </c>
      <c r="AX496" s="179">
        <v>80571</v>
      </c>
      <c r="AY496" s="179"/>
    </row>
    <row r="497" spans="1:51" ht="14.4" x14ac:dyDescent="0.3">
      <c r="A497" s="183" t="s">
        <v>990</v>
      </c>
      <c r="B497" s="179" t="s">
        <v>2927</v>
      </c>
      <c r="C497" s="180" t="s">
        <v>989</v>
      </c>
      <c r="D497" s="181" t="s">
        <v>2835</v>
      </c>
      <c r="E497" s="181" t="s">
        <v>2834</v>
      </c>
      <c r="F497" s="182" t="s">
        <v>2929</v>
      </c>
      <c r="G497" s="181" t="s">
        <v>12</v>
      </c>
      <c r="H497" s="193">
        <v>44631</v>
      </c>
      <c r="I497" s="184"/>
      <c r="J497" s="179" t="s">
        <v>3008</v>
      </c>
      <c r="K497" s="179" t="s">
        <v>3008</v>
      </c>
      <c r="L497" s="179" t="s">
        <v>2932</v>
      </c>
      <c r="M497" s="185"/>
      <c r="N497" s="185"/>
      <c r="O497" s="186"/>
      <c r="P497" s="185"/>
      <c r="Q497" s="182" t="s">
        <v>2934</v>
      </c>
      <c r="R497" s="182" t="s">
        <v>2933</v>
      </c>
      <c r="S497" s="182" t="s">
        <v>2952</v>
      </c>
      <c r="T497" s="179" t="s">
        <v>2974</v>
      </c>
      <c r="U497" s="183" t="s">
        <v>2937</v>
      </c>
      <c r="V497" s="183">
        <v>575</v>
      </c>
      <c r="W497" s="179" t="s">
        <v>3009</v>
      </c>
      <c r="X497" s="188">
        <v>316.87649999999996</v>
      </c>
      <c r="Y497" s="188">
        <v>236.119</v>
      </c>
      <c r="Z497" s="188">
        <v>121.4464</v>
      </c>
      <c r="AA497" s="188">
        <v>73.424999999999997</v>
      </c>
      <c r="AB497" s="188">
        <v>15.824000000000002</v>
      </c>
      <c r="AC497" s="188">
        <v>87.529200000000003</v>
      </c>
      <c r="AD497" s="179" t="s">
        <v>2956</v>
      </c>
      <c r="AE497" s="188" t="s">
        <v>2940</v>
      </c>
      <c r="AF497" s="189">
        <v>0.29166666666666669</v>
      </c>
      <c r="AG497" s="189">
        <v>0.91666666666666663</v>
      </c>
      <c r="AH497" s="190" t="s">
        <v>2941</v>
      </c>
      <c r="AI497" s="190" t="s">
        <v>2942</v>
      </c>
      <c r="AJ497" s="183" t="s">
        <v>568</v>
      </c>
      <c r="AK497" s="179" t="s">
        <v>3404</v>
      </c>
      <c r="AL497" s="183" t="s">
        <v>32</v>
      </c>
      <c r="AM497" s="183" t="s">
        <v>4978</v>
      </c>
      <c r="AN497" s="183" t="s">
        <v>2102</v>
      </c>
      <c r="AO497" s="206" t="s">
        <v>2348</v>
      </c>
      <c r="AP497" s="191">
        <v>81139006258</v>
      </c>
      <c r="AQ497" s="193">
        <v>44631</v>
      </c>
      <c r="AR497" s="179">
        <v>53</v>
      </c>
      <c r="AS497" s="179"/>
      <c r="AT497" s="181"/>
      <c r="AU497" s="181"/>
      <c r="AV497" s="192">
        <v>9762046</v>
      </c>
      <c r="AW497" s="181">
        <v>53.4</v>
      </c>
      <c r="AX497" s="206">
        <v>80652</v>
      </c>
      <c r="AY497" s="179"/>
    </row>
    <row r="498" spans="1:51" ht="14.4" x14ac:dyDescent="0.3">
      <c r="A498" s="183" t="s">
        <v>262</v>
      </c>
      <c r="B498" s="179" t="s">
        <v>2947</v>
      </c>
      <c r="C498" s="180" t="s">
        <v>4987</v>
      </c>
      <c r="D498" s="181" t="s">
        <v>2870</v>
      </c>
      <c r="E498" s="181" t="s">
        <v>2867</v>
      </c>
      <c r="F498" s="182" t="s">
        <v>4988</v>
      </c>
      <c r="G498" s="181" t="s">
        <v>259</v>
      </c>
      <c r="H498" s="193">
        <v>44636</v>
      </c>
      <c r="I498" s="184"/>
      <c r="J498" s="179" t="s">
        <v>4989</v>
      </c>
      <c r="K498" s="179">
        <v>231</v>
      </c>
      <c r="L498" s="179" t="s">
        <v>2950</v>
      </c>
      <c r="M498" s="185" t="s">
        <v>3164</v>
      </c>
      <c r="N498" s="185"/>
      <c r="O498" s="179" t="s">
        <v>2951</v>
      </c>
      <c r="P498" s="185" t="s">
        <v>2951</v>
      </c>
      <c r="Q498" s="182" t="s">
        <v>4990</v>
      </c>
      <c r="R498" s="182" t="s">
        <v>2933</v>
      </c>
      <c r="S498" s="182" t="s">
        <v>2952</v>
      </c>
      <c r="T498" s="179" t="s">
        <v>3008</v>
      </c>
      <c r="U498" s="183" t="s">
        <v>2954</v>
      </c>
      <c r="V498" s="207" t="s">
        <v>3008</v>
      </c>
      <c r="W498" s="179" t="s">
        <v>3752</v>
      </c>
      <c r="X498" s="188">
        <v>133.773</v>
      </c>
      <c r="Y498" s="188">
        <v>133.773</v>
      </c>
      <c r="Z498" s="188">
        <v>98.578199999999995</v>
      </c>
      <c r="AA498" s="188">
        <v>0</v>
      </c>
      <c r="AB498" s="188">
        <v>0</v>
      </c>
      <c r="AC498" s="188">
        <v>29.314799999999998</v>
      </c>
      <c r="AD498" s="179" t="s">
        <v>2939</v>
      </c>
      <c r="AE498" s="188" t="s">
        <v>2940</v>
      </c>
      <c r="AF498" s="189">
        <v>0</v>
      </c>
      <c r="AG498" s="189">
        <v>0.99930555555555556</v>
      </c>
      <c r="AH498" s="190" t="s">
        <v>2976</v>
      </c>
      <c r="AI498" s="190" t="s">
        <v>2942</v>
      </c>
      <c r="AJ498" s="183" t="s">
        <v>260</v>
      </c>
      <c r="AK498" s="179" t="s">
        <v>3293</v>
      </c>
      <c r="AL498" s="183" t="s">
        <v>9</v>
      </c>
      <c r="AM498" s="183" t="s">
        <v>4991</v>
      </c>
      <c r="AN498" s="183" t="s">
        <v>2102</v>
      </c>
      <c r="AO498" s="206" t="s">
        <v>2703</v>
      </c>
      <c r="AP498" s="191">
        <v>81139006259</v>
      </c>
      <c r="AQ498" s="193">
        <v>44636</v>
      </c>
      <c r="AR498" s="179">
        <v>53</v>
      </c>
      <c r="AS498" s="179"/>
      <c r="AT498" s="181"/>
      <c r="AU498" s="181"/>
      <c r="AV498" s="192">
        <v>24657183</v>
      </c>
      <c r="AW498" s="181">
        <v>40</v>
      </c>
      <c r="AX498" s="206">
        <v>80362</v>
      </c>
      <c r="AY498" s="179"/>
    </row>
    <row r="499" spans="1:51" ht="14.4" x14ac:dyDescent="0.3">
      <c r="A499" s="183" t="s">
        <v>1515</v>
      </c>
      <c r="B499" s="179" t="s">
        <v>2927</v>
      </c>
      <c r="C499" s="180" t="s">
        <v>4992</v>
      </c>
      <c r="D499" s="181" t="s">
        <v>2852</v>
      </c>
      <c r="E499" s="181" t="s">
        <v>2817</v>
      </c>
      <c r="F499" s="182" t="s">
        <v>2929</v>
      </c>
      <c r="G499" s="181" t="s">
        <v>12</v>
      </c>
      <c r="H499" s="193">
        <v>44638</v>
      </c>
      <c r="I499" s="184"/>
      <c r="J499" s="179" t="s">
        <v>3008</v>
      </c>
      <c r="K499" s="179" t="s">
        <v>3008</v>
      </c>
      <c r="L499" s="179" t="s">
        <v>2932</v>
      </c>
      <c r="M499" s="185"/>
      <c r="N499" s="185"/>
      <c r="O499" s="186"/>
      <c r="P499" s="185"/>
      <c r="Q499" s="182" t="s">
        <v>2933</v>
      </c>
      <c r="R499" s="182" t="s">
        <v>2934</v>
      </c>
      <c r="S499" s="182" t="s">
        <v>2952</v>
      </c>
      <c r="T499" s="179" t="s">
        <v>2953</v>
      </c>
      <c r="U499" s="183" t="s">
        <v>2937</v>
      </c>
      <c r="V499" s="183">
        <v>53</v>
      </c>
      <c r="W499" s="179" t="s">
        <v>4941</v>
      </c>
      <c r="X499" s="188">
        <v>371.71600000000001</v>
      </c>
      <c r="Y499" s="188">
        <v>178.71360000000001</v>
      </c>
      <c r="Z499" s="188">
        <v>118.91500000000001</v>
      </c>
      <c r="AA499" s="188">
        <v>171.536</v>
      </c>
      <c r="AB499" s="188">
        <v>11.304000000000002</v>
      </c>
      <c r="AC499" s="188">
        <v>145.55449999999999</v>
      </c>
      <c r="AD499" s="179" t="s">
        <v>2956</v>
      </c>
      <c r="AE499" s="188" t="s">
        <v>3017</v>
      </c>
      <c r="AF499" s="189">
        <v>0.29166666666666669</v>
      </c>
      <c r="AG499" s="189">
        <v>0.91666666666666663</v>
      </c>
      <c r="AH499" s="190" t="s">
        <v>2941</v>
      </c>
      <c r="AI499" s="190" t="s">
        <v>2985</v>
      </c>
      <c r="AJ499" s="183" t="s">
        <v>256</v>
      </c>
      <c r="AK499" s="179" t="s">
        <v>3256</v>
      </c>
      <c r="AL499" s="183" t="s">
        <v>4</v>
      </c>
      <c r="AM499" s="183" t="s">
        <v>4993</v>
      </c>
      <c r="AN499" s="183" t="s">
        <v>2102</v>
      </c>
      <c r="AO499" s="206" t="s">
        <v>2334</v>
      </c>
      <c r="AP499" s="191">
        <v>81139006254</v>
      </c>
      <c r="AQ499" s="193">
        <v>44638</v>
      </c>
      <c r="AR499" s="179">
        <v>53</v>
      </c>
      <c r="AS499" s="179"/>
      <c r="AT499" s="181"/>
      <c r="AU499" s="181"/>
      <c r="AV499" s="192">
        <v>8453930</v>
      </c>
      <c r="AW499" s="181">
        <v>40.200000000000003</v>
      </c>
      <c r="AX499" s="206">
        <v>80221</v>
      </c>
      <c r="AY499" s="179"/>
    </row>
    <row r="500" spans="1:51" ht="14.4" x14ac:dyDescent="0.3">
      <c r="A500" s="183" t="s">
        <v>1309</v>
      </c>
      <c r="B500" s="183" t="s">
        <v>2947</v>
      </c>
      <c r="C500" s="180" t="s">
        <v>2196</v>
      </c>
      <c r="D500" s="181" t="s">
        <v>2818</v>
      </c>
      <c r="E500" s="181" t="s">
        <v>2817</v>
      </c>
      <c r="F500" s="182" t="s">
        <v>2972</v>
      </c>
      <c r="G500" s="181" t="s">
        <v>17</v>
      </c>
      <c r="H500" s="193">
        <v>44645</v>
      </c>
      <c r="I500" s="193"/>
      <c r="J500" s="179" t="s">
        <v>4994</v>
      </c>
      <c r="K500" s="179">
        <v>411</v>
      </c>
      <c r="L500" s="179" t="s">
        <v>3026</v>
      </c>
      <c r="M500" s="185"/>
      <c r="N500" s="185"/>
      <c r="O500" s="179" t="s">
        <v>2951</v>
      </c>
      <c r="P500" s="185"/>
      <c r="Q500" s="182" t="s">
        <v>2933</v>
      </c>
      <c r="R500" s="182" t="s">
        <v>2934</v>
      </c>
      <c r="S500" s="182" t="s">
        <v>2952</v>
      </c>
      <c r="T500" s="179" t="s">
        <v>2974</v>
      </c>
      <c r="U500" s="183" t="s">
        <v>2954</v>
      </c>
      <c r="V500" s="183">
        <v>397</v>
      </c>
      <c r="W500" s="179" t="s">
        <v>2975</v>
      </c>
      <c r="X500" s="188">
        <v>304.87680000000006</v>
      </c>
      <c r="Y500" s="188">
        <v>195.74720000000002</v>
      </c>
      <c r="Z500" s="188">
        <v>107.28200000000001</v>
      </c>
      <c r="AA500" s="188">
        <v>104.19840000000001</v>
      </c>
      <c r="AB500" s="188">
        <v>13.58</v>
      </c>
      <c r="AC500" s="188">
        <v>65.430300000000003</v>
      </c>
      <c r="AD500" s="179" t="s">
        <v>2956</v>
      </c>
      <c r="AE500" s="188" t="s">
        <v>2940</v>
      </c>
      <c r="AF500" s="189">
        <v>0</v>
      </c>
      <c r="AG500" s="189">
        <v>0.99930555555555556</v>
      </c>
      <c r="AH500" s="190" t="s">
        <v>2941</v>
      </c>
      <c r="AI500" s="190" t="s">
        <v>2985</v>
      </c>
      <c r="AJ500" s="183" t="s">
        <v>756</v>
      </c>
      <c r="AK500" s="179" t="s">
        <v>3256</v>
      </c>
      <c r="AL500" s="183" t="s">
        <v>4</v>
      </c>
      <c r="AM500" s="183" t="s">
        <v>4995</v>
      </c>
      <c r="AN500" s="179" t="s">
        <v>2102</v>
      </c>
      <c r="AO500" s="183" t="s">
        <v>2466</v>
      </c>
      <c r="AP500" s="191">
        <v>81139006318</v>
      </c>
      <c r="AQ500" s="193">
        <v>44645</v>
      </c>
      <c r="AR500" s="179">
        <v>53</v>
      </c>
      <c r="AS500" s="183"/>
      <c r="AT500" s="182" t="s">
        <v>4996</v>
      </c>
      <c r="AU500" s="182" t="s">
        <v>2946</v>
      </c>
      <c r="AV500" s="192">
        <v>12070539</v>
      </c>
      <c r="AW500" s="181">
        <v>28.3</v>
      </c>
      <c r="AX500" s="183">
        <v>80118</v>
      </c>
      <c r="AY500" s="183"/>
    </row>
    <row r="501" spans="1:51" ht="14.4" x14ac:dyDescent="0.3">
      <c r="A501" s="183" t="s">
        <v>1857</v>
      </c>
      <c r="B501" s="183" t="s">
        <v>2947</v>
      </c>
      <c r="C501" s="180" t="s">
        <v>4997</v>
      </c>
      <c r="D501" s="181" t="s">
        <v>2850</v>
      </c>
      <c r="E501" s="181" t="s">
        <v>2817</v>
      </c>
      <c r="F501" s="182" t="s">
        <v>2929</v>
      </c>
      <c r="G501" s="181" t="s">
        <v>12</v>
      </c>
      <c r="H501" s="193">
        <v>44648</v>
      </c>
      <c r="I501" s="193"/>
      <c r="J501" s="179" t="s">
        <v>4998</v>
      </c>
      <c r="K501" s="179">
        <v>300</v>
      </c>
      <c r="L501" s="179" t="s">
        <v>2950</v>
      </c>
      <c r="M501" s="185"/>
      <c r="N501" s="185"/>
      <c r="O501" s="179" t="s">
        <v>2951</v>
      </c>
      <c r="P501" s="185"/>
      <c r="Q501" s="182" t="s">
        <v>2933</v>
      </c>
      <c r="R501" s="182" t="s">
        <v>2934</v>
      </c>
      <c r="S501" s="182" t="s">
        <v>2952</v>
      </c>
      <c r="T501" s="179" t="s">
        <v>2953</v>
      </c>
      <c r="U501" s="183" t="s">
        <v>2954</v>
      </c>
      <c r="V501" s="183">
        <v>235</v>
      </c>
      <c r="W501" s="179" t="s">
        <v>3151</v>
      </c>
      <c r="X501" s="188">
        <v>264.51879999999994</v>
      </c>
      <c r="Y501" s="188">
        <v>120.1592</v>
      </c>
      <c r="Z501" s="188">
        <v>100.901</v>
      </c>
      <c r="AA501" s="188">
        <v>136.17240000000001</v>
      </c>
      <c r="AB501" s="188">
        <v>5.1840000000000011</v>
      </c>
      <c r="AC501" s="188">
        <v>117.84960000000001</v>
      </c>
      <c r="AD501" s="179" t="s">
        <v>2956</v>
      </c>
      <c r="AE501" s="188" t="s">
        <v>2957</v>
      </c>
      <c r="AF501" s="189">
        <v>0.29166666666666669</v>
      </c>
      <c r="AG501" s="189">
        <v>0.91666666666666663</v>
      </c>
      <c r="AH501" s="190" t="s">
        <v>2941</v>
      </c>
      <c r="AI501" s="190" t="s">
        <v>2985</v>
      </c>
      <c r="AJ501" s="183" t="s">
        <v>854</v>
      </c>
      <c r="AK501" s="179" t="s">
        <v>3387</v>
      </c>
      <c r="AL501" s="183" t="s">
        <v>4</v>
      </c>
      <c r="AM501" s="183" t="s">
        <v>4999</v>
      </c>
      <c r="AN501" s="179" t="s">
        <v>2102</v>
      </c>
      <c r="AO501" s="183" t="s">
        <v>2652</v>
      </c>
      <c r="AP501" s="191">
        <v>81139008015</v>
      </c>
      <c r="AQ501" s="193">
        <v>44648</v>
      </c>
      <c r="AR501" s="179">
        <v>53</v>
      </c>
      <c r="AS501" s="183"/>
      <c r="AT501" s="182"/>
      <c r="AU501" s="182"/>
      <c r="AV501" s="192">
        <v>13790192</v>
      </c>
      <c r="AW501" s="181">
        <v>24.6</v>
      </c>
      <c r="AX501" s="183">
        <v>80237</v>
      </c>
      <c r="AY501" s="183"/>
    </row>
    <row r="502" spans="1:51" ht="14.4" x14ac:dyDescent="0.3">
      <c r="A502" s="183" t="s">
        <v>1876</v>
      </c>
      <c r="B502" s="183" t="s">
        <v>2947</v>
      </c>
      <c r="C502" s="180" t="s">
        <v>5000</v>
      </c>
      <c r="D502" s="181" t="s">
        <v>2820</v>
      </c>
      <c r="E502" s="181" t="s">
        <v>2819</v>
      </c>
      <c r="F502" s="182" t="s">
        <v>2972</v>
      </c>
      <c r="G502" s="181" t="s">
        <v>17</v>
      </c>
      <c r="H502" s="193">
        <v>45931</v>
      </c>
      <c r="I502" s="193"/>
      <c r="J502" s="179" t="s">
        <v>3008</v>
      </c>
      <c r="K502" s="179" t="s">
        <v>3008</v>
      </c>
      <c r="L502" s="179" t="s">
        <v>2932</v>
      </c>
      <c r="M502" s="185"/>
      <c r="N502" s="185"/>
      <c r="O502" s="179" t="s">
        <v>2951</v>
      </c>
      <c r="P502" s="185"/>
      <c r="Q502" s="182" t="s">
        <v>2933</v>
      </c>
      <c r="R502" s="182" t="s">
        <v>2934</v>
      </c>
      <c r="S502" s="182" t="s">
        <v>2952</v>
      </c>
      <c r="T502" s="179" t="s">
        <v>2953</v>
      </c>
      <c r="U502" s="183" t="s">
        <v>2954</v>
      </c>
      <c r="V502" s="183">
        <v>528</v>
      </c>
      <c r="W502" s="179" t="s">
        <v>2975</v>
      </c>
      <c r="X502" s="188">
        <v>507.52500000000003</v>
      </c>
      <c r="Y502" s="188">
        <v>310.27199999999999</v>
      </c>
      <c r="Z502" s="188">
        <v>140.48100000000002</v>
      </c>
      <c r="AA502" s="188">
        <v>183.3</v>
      </c>
      <c r="AB502" s="188">
        <v>23.76</v>
      </c>
      <c r="AC502" s="188">
        <v>134.98650000000001</v>
      </c>
      <c r="AD502" s="179" t="s">
        <v>2956</v>
      </c>
      <c r="AE502" s="188" t="s">
        <v>2940</v>
      </c>
      <c r="AF502" s="189">
        <v>0.29166666666666669</v>
      </c>
      <c r="AG502" s="189">
        <v>0.99930555555555556</v>
      </c>
      <c r="AH502" s="190" t="s">
        <v>2941</v>
      </c>
      <c r="AI502" s="190" t="s">
        <v>2942</v>
      </c>
      <c r="AJ502" s="183" t="s">
        <v>1503</v>
      </c>
      <c r="AK502" s="179" t="s">
        <v>3034</v>
      </c>
      <c r="AL502" s="183" t="s">
        <v>4</v>
      </c>
      <c r="AM502" s="183" t="s">
        <v>5001</v>
      </c>
      <c r="AN502" s="179" t="s">
        <v>2102</v>
      </c>
      <c r="AO502" s="183" t="s">
        <v>2627</v>
      </c>
      <c r="AP502" s="191">
        <v>81139006461</v>
      </c>
      <c r="AQ502" s="193">
        <v>44651</v>
      </c>
      <c r="AR502" s="179">
        <v>52</v>
      </c>
      <c r="AS502" s="183"/>
      <c r="AT502" s="182" t="s">
        <v>5002</v>
      </c>
      <c r="AU502" s="182" t="s">
        <v>2946</v>
      </c>
      <c r="AV502" s="192">
        <v>14618100</v>
      </c>
      <c r="AW502" s="181">
        <v>19.8</v>
      </c>
      <c r="AX502" s="183">
        <v>80111</v>
      </c>
      <c r="AY502" s="183"/>
    </row>
    <row r="503" spans="1:51" ht="14.4" x14ac:dyDescent="0.3">
      <c r="A503" s="183" t="s">
        <v>1571</v>
      </c>
      <c r="B503" s="183" t="s">
        <v>2947</v>
      </c>
      <c r="C503" s="180" t="s">
        <v>1570</v>
      </c>
      <c r="D503" s="181" t="s">
        <v>2818</v>
      </c>
      <c r="E503" s="181" t="s">
        <v>2817</v>
      </c>
      <c r="F503" s="182" t="s">
        <v>2929</v>
      </c>
      <c r="G503" s="181" t="s">
        <v>12</v>
      </c>
      <c r="H503" s="193">
        <v>44665</v>
      </c>
      <c r="I503" s="193"/>
      <c r="J503" s="179" t="s">
        <v>5003</v>
      </c>
      <c r="K503" s="179">
        <v>12</v>
      </c>
      <c r="L503" s="179" t="s">
        <v>2965</v>
      </c>
      <c r="M503" s="185"/>
      <c r="N503" s="185"/>
      <c r="O503" s="186"/>
      <c r="P503" s="185"/>
      <c r="Q503" s="182" t="s">
        <v>2934</v>
      </c>
      <c r="R503" s="182" t="s">
        <v>2933</v>
      </c>
      <c r="S503" s="182" t="s">
        <v>2952</v>
      </c>
      <c r="T503" s="179" t="s">
        <v>2974</v>
      </c>
      <c r="U503" s="183" t="s">
        <v>2954</v>
      </c>
      <c r="V503" s="183">
        <v>751</v>
      </c>
      <c r="W503" s="179" t="s">
        <v>2975</v>
      </c>
      <c r="X503" s="188">
        <v>197.3972</v>
      </c>
      <c r="Y503" s="188">
        <v>145.4453</v>
      </c>
      <c r="Z503" s="188">
        <v>103.70280000000001</v>
      </c>
      <c r="AA503" s="188">
        <v>50.394900000000007</v>
      </c>
      <c r="AB503" s="188">
        <v>5.2960000000000003</v>
      </c>
      <c r="AC503" s="188">
        <v>158.42020000000002</v>
      </c>
      <c r="AD503" s="179" t="s">
        <v>2956</v>
      </c>
      <c r="AE503" s="188" t="s">
        <v>3017</v>
      </c>
      <c r="AF503" s="189">
        <v>0</v>
      </c>
      <c r="AG503" s="189">
        <v>0.99930555555555556</v>
      </c>
      <c r="AH503" s="190" t="s">
        <v>2941</v>
      </c>
      <c r="AI503" s="190" t="s">
        <v>2942</v>
      </c>
      <c r="AJ503" s="183" t="s">
        <v>5</v>
      </c>
      <c r="AK503" s="179" t="s">
        <v>2958</v>
      </c>
      <c r="AL503" s="183" t="s">
        <v>4</v>
      </c>
      <c r="AM503" s="183" t="s">
        <v>5004</v>
      </c>
      <c r="AN503" s="183" t="s">
        <v>2102</v>
      </c>
      <c r="AO503" s="183" t="s">
        <v>2714</v>
      </c>
      <c r="AP503" s="191">
        <v>81139006316</v>
      </c>
      <c r="AQ503" s="193">
        <v>44665</v>
      </c>
      <c r="AR503" s="183">
        <v>52</v>
      </c>
      <c r="AS503" s="183"/>
      <c r="AT503" s="182"/>
      <c r="AU503" s="182"/>
      <c r="AV503" s="192">
        <v>12402781</v>
      </c>
      <c r="AW503" s="181">
        <v>21.4</v>
      </c>
      <c r="AX503" s="183">
        <v>80119</v>
      </c>
      <c r="AY503" s="183"/>
    </row>
    <row r="504" spans="1:51" ht="14.4" x14ac:dyDescent="0.3">
      <c r="A504" s="183" t="s">
        <v>878</v>
      </c>
      <c r="B504" s="183" t="s">
        <v>2947</v>
      </c>
      <c r="C504" s="180" t="s">
        <v>5005</v>
      </c>
      <c r="D504" s="181" t="s">
        <v>2843</v>
      </c>
      <c r="E504" s="181" t="s">
        <v>2840</v>
      </c>
      <c r="F504" s="182" t="s">
        <v>2929</v>
      </c>
      <c r="G504" s="181" t="s">
        <v>12</v>
      </c>
      <c r="H504" s="193">
        <v>44671</v>
      </c>
      <c r="I504" s="193"/>
      <c r="J504" s="179" t="s">
        <v>3008</v>
      </c>
      <c r="K504" s="179" t="s">
        <v>3008</v>
      </c>
      <c r="L504" s="179" t="s">
        <v>2932</v>
      </c>
      <c r="M504" s="185"/>
      <c r="N504" s="185" t="s">
        <v>2951</v>
      </c>
      <c r="O504" s="179" t="s">
        <v>2951</v>
      </c>
      <c r="P504" s="185"/>
      <c r="Q504" s="182" t="s">
        <v>2934</v>
      </c>
      <c r="R504" s="182" t="s">
        <v>2933</v>
      </c>
      <c r="S504" s="182" t="s">
        <v>2952</v>
      </c>
      <c r="T504" s="179" t="s">
        <v>2974</v>
      </c>
      <c r="U504" s="183" t="s">
        <v>2954</v>
      </c>
      <c r="V504" s="183">
        <v>1187</v>
      </c>
      <c r="W504" s="179" t="s">
        <v>3406</v>
      </c>
      <c r="X504" s="188">
        <v>354.82859999999999</v>
      </c>
      <c r="Y504" s="188">
        <v>208.56289999999998</v>
      </c>
      <c r="Z504" s="188">
        <v>111.55320000000002</v>
      </c>
      <c r="AA504" s="188">
        <v>130.04500000000002</v>
      </c>
      <c r="AB504" s="188">
        <v>3.28</v>
      </c>
      <c r="AC504" s="188">
        <v>72.145200000000003</v>
      </c>
      <c r="AD504" s="179" t="s">
        <v>2956</v>
      </c>
      <c r="AE504" s="188" t="s">
        <v>2940</v>
      </c>
      <c r="AF504" s="189">
        <v>0.29166666666666669</v>
      </c>
      <c r="AG504" s="189">
        <v>0.95833333333333337</v>
      </c>
      <c r="AH504" s="190" t="s">
        <v>2941</v>
      </c>
      <c r="AI504" s="190" t="s">
        <v>2942</v>
      </c>
      <c r="AJ504" s="183" t="s">
        <v>876</v>
      </c>
      <c r="AK504" s="179" t="s">
        <v>2963</v>
      </c>
      <c r="AL504" s="183" t="s">
        <v>90</v>
      </c>
      <c r="AM504" s="183" t="s">
        <v>5006</v>
      </c>
      <c r="AN504" s="183" t="s">
        <v>2102</v>
      </c>
      <c r="AO504" s="183" t="s">
        <v>2616</v>
      </c>
      <c r="AP504" s="191">
        <v>81139008178</v>
      </c>
      <c r="AQ504" s="193">
        <v>44671</v>
      </c>
      <c r="AR504" s="183">
        <v>52</v>
      </c>
      <c r="AS504" s="183"/>
      <c r="AT504" s="182"/>
      <c r="AU504" s="182"/>
      <c r="AV504" s="192">
        <v>11423777</v>
      </c>
      <c r="AW504" s="181">
        <v>92.1</v>
      </c>
      <c r="AX504" s="183">
        <v>82218</v>
      </c>
      <c r="AY504" s="183"/>
    </row>
    <row r="505" spans="1:51" ht="14.4" x14ac:dyDescent="0.3">
      <c r="A505" s="183" t="s">
        <v>1513</v>
      </c>
      <c r="B505" s="183" t="s">
        <v>2927</v>
      </c>
      <c r="C505" s="180" t="s">
        <v>1512</v>
      </c>
      <c r="D505" s="181" t="s">
        <v>2851</v>
      </c>
      <c r="E505" s="181" t="s">
        <v>2817</v>
      </c>
      <c r="F505" s="182" t="s">
        <v>2929</v>
      </c>
      <c r="G505" s="181" t="s">
        <v>12</v>
      </c>
      <c r="H505" s="193">
        <v>44671</v>
      </c>
      <c r="I505" s="193"/>
      <c r="J505" s="179" t="s">
        <v>5007</v>
      </c>
      <c r="K505" s="179">
        <v>619</v>
      </c>
      <c r="L505" s="179" t="s">
        <v>3026</v>
      </c>
      <c r="M505" s="185"/>
      <c r="N505" s="185"/>
      <c r="O505" s="186"/>
      <c r="P505" s="185"/>
      <c r="Q505" s="182" t="s">
        <v>2933</v>
      </c>
      <c r="R505" s="182" t="s">
        <v>2934</v>
      </c>
      <c r="S505" s="182" t="s">
        <v>2952</v>
      </c>
      <c r="T505" s="179" t="s">
        <v>2974</v>
      </c>
      <c r="U505" s="183" t="s">
        <v>2937</v>
      </c>
      <c r="V505" s="183">
        <v>614</v>
      </c>
      <c r="W505" s="179" t="s">
        <v>4941</v>
      </c>
      <c r="X505" s="188">
        <v>385.53579999999999</v>
      </c>
      <c r="Y505" s="188">
        <v>282.63040000000001</v>
      </c>
      <c r="Z505" s="188">
        <v>123.58463999999999</v>
      </c>
      <c r="AA505" s="188">
        <v>97.171200000000013</v>
      </c>
      <c r="AB505" s="188">
        <v>16.047999999999998</v>
      </c>
      <c r="AC505" s="188">
        <v>122.64479999999999</v>
      </c>
      <c r="AD505" s="179" t="s">
        <v>2956</v>
      </c>
      <c r="AE505" s="188" t="s">
        <v>2940</v>
      </c>
      <c r="AF505" s="189">
        <v>0</v>
      </c>
      <c r="AG505" s="189">
        <v>0.99930555555555556</v>
      </c>
      <c r="AH505" s="190" t="s">
        <v>2941</v>
      </c>
      <c r="AI505" s="190" t="s">
        <v>2985</v>
      </c>
      <c r="AJ505" s="183" t="s">
        <v>256</v>
      </c>
      <c r="AK505" s="179" t="s">
        <v>3256</v>
      </c>
      <c r="AL505" s="183" t="s">
        <v>4</v>
      </c>
      <c r="AM505" s="183" t="s">
        <v>5008</v>
      </c>
      <c r="AN505" s="183" t="s">
        <v>2102</v>
      </c>
      <c r="AO505" s="183" t="s">
        <v>2405</v>
      </c>
      <c r="AP505" s="191">
        <v>81139006319</v>
      </c>
      <c r="AQ505" s="193">
        <v>44671</v>
      </c>
      <c r="AR505" s="183">
        <v>52</v>
      </c>
      <c r="AS505" s="183"/>
      <c r="AT505" s="182"/>
      <c r="AU505" s="182"/>
      <c r="AV505" s="192">
        <v>10106328</v>
      </c>
      <c r="AW505" s="181">
        <v>26.2</v>
      </c>
      <c r="AX505" s="183">
        <v>80221</v>
      </c>
      <c r="AY505" s="183"/>
    </row>
    <row r="506" spans="1:51" ht="14.4" x14ac:dyDescent="0.3">
      <c r="A506" s="183" t="s">
        <v>886</v>
      </c>
      <c r="B506" s="183" t="s">
        <v>2927</v>
      </c>
      <c r="C506" s="180" t="s">
        <v>885</v>
      </c>
      <c r="D506" s="181" t="s">
        <v>2845</v>
      </c>
      <c r="E506" s="181" t="s">
        <v>2821</v>
      </c>
      <c r="F506" s="182" t="s">
        <v>2929</v>
      </c>
      <c r="G506" s="181" t="s">
        <v>12</v>
      </c>
      <c r="H506" s="193">
        <v>44681</v>
      </c>
      <c r="I506" s="193"/>
      <c r="J506" s="179" t="s">
        <v>3008</v>
      </c>
      <c r="K506" s="179" t="s">
        <v>3008</v>
      </c>
      <c r="L506" s="179" t="s">
        <v>2932</v>
      </c>
      <c r="M506" s="185"/>
      <c r="N506" s="185"/>
      <c r="O506" s="186"/>
      <c r="P506" s="185"/>
      <c r="Q506" s="182" t="s">
        <v>2934</v>
      </c>
      <c r="R506" s="182" t="s">
        <v>2933</v>
      </c>
      <c r="S506" s="182" t="s">
        <v>2935</v>
      </c>
      <c r="T506" s="179" t="s">
        <v>2974</v>
      </c>
      <c r="U506" s="183" t="s">
        <v>2937</v>
      </c>
      <c r="V506" s="183">
        <v>1001</v>
      </c>
      <c r="W506" s="179" t="s">
        <v>4941</v>
      </c>
      <c r="X506" s="188">
        <v>342.38399999999996</v>
      </c>
      <c r="Y506" s="188">
        <v>226.23999999999998</v>
      </c>
      <c r="Z506" s="188">
        <v>108.46079999999999</v>
      </c>
      <c r="AA506" s="188">
        <v>100.99700000000001</v>
      </c>
      <c r="AB506" s="188">
        <v>19.337500000000002</v>
      </c>
      <c r="AC506" s="188">
        <v>62.711999999999989</v>
      </c>
      <c r="AD506" s="179" t="s">
        <v>2956</v>
      </c>
      <c r="AE506" s="188" t="s">
        <v>2940</v>
      </c>
      <c r="AF506" s="189">
        <v>0.29166666666666669</v>
      </c>
      <c r="AG506" s="189">
        <v>0.95833333333333337</v>
      </c>
      <c r="AH506" s="190" t="s">
        <v>2941</v>
      </c>
      <c r="AI506" s="190" t="s">
        <v>2942</v>
      </c>
      <c r="AJ506" s="183" t="s">
        <v>884</v>
      </c>
      <c r="AK506" s="179" t="s">
        <v>2963</v>
      </c>
      <c r="AL506" s="183" t="s">
        <v>90</v>
      </c>
      <c r="AM506" s="183" t="s">
        <v>5009</v>
      </c>
      <c r="AN506" s="183" t="s">
        <v>2102</v>
      </c>
      <c r="AO506" s="183" t="s">
        <v>2383</v>
      </c>
      <c r="AP506" s="191">
        <v>81139006321</v>
      </c>
      <c r="AQ506" s="193">
        <v>44681</v>
      </c>
      <c r="AR506" s="183">
        <v>51</v>
      </c>
      <c r="AS506" s="183"/>
      <c r="AT506" s="182"/>
      <c r="AU506" s="182"/>
      <c r="AV506" s="192">
        <v>11970560</v>
      </c>
      <c r="AW506" s="181">
        <v>88</v>
      </c>
      <c r="AX506" s="183">
        <v>82251</v>
      </c>
      <c r="AY506" s="183"/>
    </row>
    <row r="507" spans="1:51" ht="14.4" x14ac:dyDescent="0.3">
      <c r="A507" s="183" t="s">
        <v>1734</v>
      </c>
      <c r="B507" s="183" t="s">
        <v>2927</v>
      </c>
      <c r="C507" s="180" t="s">
        <v>1733</v>
      </c>
      <c r="D507" s="181" t="s">
        <v>2847</v>
      </c>
      <c r="E507" s="181" t="s">
        <v>2830</v>
      </c>
      <c r="F507" s="182" t="s">
        <v>2929</v>
      </c>
      <c r="G507" s="181" t="s">
        <v>12</v>
      </c>
      <c r="H507" s="193">
        <v>44701</v>
      </c>
      <c r="I507" s="193"/>
      <c r="J507" s="179" t="s">
        <v>5010</v>
      </c>
      <c r="K507" s="179">
        <v>46</v>
      </c>
      <c r="L507" s="179" t="s">
        <v>2965</v>
      </c>
      <c r="M507" s="185"/>
      <c r="N507" s="185"/>
      <c r="O507" s="186"/>
      <c r="P507" s="185"/>
      <c r="Q507" s="182" t="s">
        <v>2934</v>
      </c>
      <c r="R507" s="182" t="s">
        <v>2933</v>
      </c>
      <c r="S507" s="182" t="s">
        <v>2952</v>
      </c>
      <c r="T507" s="179" t="s">
        <v>2974</v>
      </c>
      <c r="U507" s="183" t="s">
        <v>2937</v>
      </c>
      <c r="V507" s="183">
        <v>713</v>
      </c>
      <c r="W507" s="179" t="s">
        <v>4941</v>
      </c>
      <c r="X507" s="188">
        <v>303.11470000000003</v>
      </c>
      <c r="Y507" s="188">
        <v>196.78569999999999</v>
      </c>
      <c r="Z507" s="188">
        <v>111.5776</v>
      </c>
      <c r="AA507" s="188">
        <v>105.4746</v>
      </c>
      <c r="AB507" s="188">
        <v>6.5120000000000005</v>
      </c>
      <c r="AC507" s="188">
        <v>54.979199999999992</v>
      </c>
      <c r="AD507" s="179" t="s">
        <v>2984</v>
      </c>
      <c r="AE507" s="188" t="s">
        <v>2940</v>
      </c>
      <c r="AF507" s="189">
        <v>0.29166666666666669</v>
      </c>
      <c r="AG507" s="189">
        <v>0.91666666666666663</v>
      </c>
      <c r="AH507" s="190" t="s">
        <v>2941</v>
      </c>
      <c r="AI507" s="190" t="s">
        <v>2985</v>
      </c>
      <c r="AJ507" s="183" t="s">
        <v>373</v>
      </c>
      <c r="AK507" s="179" t="s">
        <v>3256</v>
      </c>
      <c r="AL507" s="183" t="s">
        <v>4</v>
      </c>
      <c r="AM507" s="183" t="s">
        <v>5011</v>
      </c>
      <c r="AN507" s="183" t="s">
        <v>2102</v>
      </c>
      <c r="AO507" s="183" t="s">
        <v>2319</v>
      </c>
      <c r="AP507" s="191">
        <v>81139006311</v>
      </c>
      <c r="AQ507" s="193">
        <v>44701</v>
      </c>
      <c r="AR507" s="183">
        <v>51</v>
      </c>
      <c r="AS507" s="183"/>
      <c r="AT507" s="182"/>
      <c r="AU507" s="182"/>
      <c r="AV507" s="192">
        <v>11477574</v>
      </c>
      <c r="AW507" s="181">
        <v>29.3</v>
      </c>
      <c r="AX507" s="183">
        <v>80225</v>
      </c>
      <c r="AY507" s="183"/>
    </row>
    <row r="508" spans="1:51" ht="14.4" x14ac:dyDescent="0.3">
      <c r="A508" s="183" t="s">
        <v>185</v>
      </c>
      <c r="B508" s="183" t="s">
        <v>2927</v>
      </c>
      <c r="C508" s="180" t="s">
        <v>184</v>
      </c>
      <c r="D508" s="181" t="s">
        <v>2853</v>
      </c>
      <c r="E508" s="181" t="s">
        <v>2825</v>
      </c>
      <c r="F508" s="182" t="s">
        <v>2929</v>
      </c>
      <c r="G508" s="181" t="s">
        <v>12</v>
      </c>
      <c r="H508" s="193">
        <v>44701</v>
      </c>
      <c r="I508" s="193"/>
      <c r="J508" s="179" t="s">
        <v>3008</v>
      </c>
      <c r="K508" s="179" t="s">
        <v>3008</v>
      </c>
      <c r="L508" s="179" t="s">
        <v>2932</v>
      </c>
      <c r="M508" s="185"/>
      <c r="N508" s="185"/>
      <c r="O508" s="186"/>
      <c r="P508" s="185"/>
      <c r="Q508" s="182" t="s">
        <v>2934</v>
      </c>
      <c r="R508" s="182" t="s">
        <v>2933</v>
      </c>
      <c r="S508" s="182" t="s">
        <v>2952</v>
      </c>
      <c r="T508" s="179" t="s">
        <v>2974</v>
      </c>
      <c r="U508" s="183" t="s">
        <v>2937</v>
      </c>
      <c r="V508" s="183">
        <v>790</v>
      </c>
      <c r="W508" s="179" t="s">
        <v>3470</v>
      </c>
      <c r="X508" s="188">
        <v>228.32699999999997</v>
      </c>
      <c r="Y508" s="188">
        <v>145.17319999999998</v>
      </c>
      <c r="Z508" s="188">
        <v>94.555999999999997</v>
      </c>
      <c r="AA508" s="188">
        <v>77.36399999999999</v>
      </c>
      <c r="AB508" s="188">
        <v>4.2965999999999998</v>
      </c>
      <c r="AC508" s="188">
        <v>30.171599999999998</v>
      </c>
      <c r="AD508" s="179" t="s">
        <v>2984</v>
      </c>
      <c r="AE508" s="188" t="s">
        <v>2940</v>
      </c>
      <c r="AF508" s="189">
        <v>0.29166666666666669</v>
      </c>
      <c r="AG508" s="189">
        <v>0.91666666666666663</v>
      </c>
      <c r="AH508" s="190" t="s">
        <v>2941</v>
      </c>
      <c r="AI508" s="190" t="s">
        <v>2942</v>
      </c>
      <c r="AJ508" s="183" t="s">
        <v>183</v>
      </c>
      <c r="AK508" s="179" t="s">
        <v>3229</v>
      </c>
      <c r="AL508" s="183" t="s">
        <v>9</v>
      </c>
      <c r="AM508" s="183" t="s">
        <v>5012</v>
      </c>
      <c r="AN508" s="183" t="s">
        <v>2102</v>
      </c>
      <c r="AO508" s="183" t="s">
        <v>2371</v>
      </c>
      <c r="AP508" s="191">
        <v>81139006320</v>
      </c>
      <c r="AQ508" s="193">
        <v>44701</v>
      </c>
      <c r="AR508" s="183">
        <v>51</v>
      </c>
      <c r="AS508" s="183"/>
      <c r="AT508" s="182"/>
      <c r="AU508" s="182"/>
      <c r="AV508" s="192">
        <v>9678380</v>
      </c>
      <c r="AW508" s="181">
        <v>6.7</v>
      </c>
      <c r="AX508" s="183">
        <v>80352</v>
      </c>
      <c r="AY508" s="183"/>
    </row>
    <row r="509" spans="1:51" ht="14.4" x14ac:dyDescent="0.3">
      <c r="A509" s="183" t="s">
        <v>1229</v>
      </c>
      <c r="B509" s="183" t="s">
        <v>2947</v>
      </c>
      <c r="C509" s="180" t="s">
        <v>5013</v>
      </c>
      <c r="D509" s="181" t="s">
        <v>2847</v>
      </c>
      <c r="E509" s="181" t="s">
        <v>2830</v>
      </c>
      <c r="F509" s="182" t="s">
        <v>2929</v>
      </c>
      <c r="G509" s="181" t="s">
        <v>12</v>
      </c>
      <c r="H509" s="193">
        <v>44712</v>
      </c>
      <c r="I509" s="193"/>
      <c r="J509" s="179" t="s">
        <v>5014</v>
      </c>
      <c r="K509" s="179">
        <v>452</v>
      </c>
      <c r="L509" s="179" t="s">
        <v>3026</v>
      </c>
      <c r="M509" s="185"/>
      <c r="N509" s="185"/>
      <c r="O509" s="186"/>
      <c r="P509" s="185"/>
      <c r="Q509" s="182" t="s">
        <v>2934</v>
      </c>
      <c r="R509" s="182" t="s">
        <v>2933</v>
      </c>
      <c r="S509" s="182" t="s">
        <v>2952</v>
      </c>
      <c r="T509" s="179" t="s">
        <v>2974</v>
      </c>
      <c r="U509" s="183" t="s">
        <v>2954</v>
      </c>
      <c r="V509" s="183">
        <v>459</v>
      </c>
      <c r="W509" s="179" t="s">
        <v>3009</v>
      </c>
      <c r="X509" s="188">
        <v>238.99799999999999</v>
      </c>
      <c r="Y509" s="188">
        <v>160.91799999999998</v>
      </c>
      <c r="Z509" s="188">
        <v>127.211</v>
      </c>
      <c r="AA509" s="188">
        <v>68.543999999999997</v>
      </c>
      <c r="AB509" s="188">
        <v>9.5200000000000014</v>
      </c>
      <c r="AC509" s="188">
        <v>129.1456</v>
      </c>
      <c r="AD509" s="179" t="s">
        <v>2956</v>
      </c>
      <c r="AE509" s="188" t="s">
        <v>2957</v>
      </c>
      <c r="AF509" s="189">
        <v>0.29166666666666669</v>
      </c>
      <c r="AG509" s="189">
        <v>0.99930555555555556</v>
      </c>
      <c r="AH509" s="190" t="s">
        <v>2941</v>
      </c>
      <c r="AI509" s="190" t="s">
        <v>2985</v>
      </c>
      <c r="AJ509" s="183" t="s">
        <v>1119</v>
      </c>
      <c r="AK509" s="179" t="s">
        <v>3256</v>
      </c>
      <c r="AL509" s="183" t="s">
        <v>4</v>
      </c>
      <c r="AM509" s="183" t="s">
        <v>5015</v>
      </c>
      <c r="AN509" s="183" t="s">
        <v>2102</v>
      </c>
      <c r="AO509" s="183" t="s">
        <v>2792</v>
      </c>
      <c r="AP509" s="191">
        <v>81139006479</v>
      </c>
      <c r="AQ509" s="193">
        <v>44712</v>
      </c>
      <c r="AR509" s="183">
        <v>50</v>
      </c>
      <c r="AS509" s="183"/>
      <c r="AT509" s="182" t="s">
        <v>5016</v>
      </c>
      <c r="AU509" s="182" t="s">
        <v>2946</v>
      </c>
      <c r="AV509" s="192">
        <v>12396108</v>
      </c>
      <c r="AW509" s="181">
        <v>33.299999999999997</v>
      </c>
      <c r="AX509" s="183">
        <v>80224</v>
      </c>
      <c r="AY509" s="183"/>
    </row>
    <row r="510" spans="1:51" ht="14.4" x14ac:dyDescent="0.3">
      <c r="A510" s="183" t="s">
        <v>778</v>
      </c>
      <c r="B510" s="183" t="s">
        <v>2947</v>
      </c>
      <c r="C510" s="180" t="s">
        <v>5017</v>
      </c>
      <c r="D510" s="181" t="s">
        <v>2874</v>
      </c>
      <c r="E510" s="181" t="s">
        <v>2867</v>
      </c>
      <c r="F510" s="182" t="s">
        <v>3086</v>
      </c>
      <c r="G510" s="181" t="s">
        <v>535</v>
      </c>
      <c r="H510" s="193">
        <v>45037</v>
      </c>
      <c r="I510" s="193">
        <v>45037</v>
      </c>
      <c r="J510" s="179" t="s">
        <v>5018</v>
      </c>
      <c r="K510" s="179">
        <v>50</v>
      </c>
      <c r="L510" s="179" t="s">
        <v>2965</v>
      </c>
      <c r="M510" s="185"/>
      <c r="N510" s="185" t="s">
        <v>2951</v>
      </c>
      <c r="O510" s="179" t="s">
        <v>2951</v>
      </c>
      <c r="P510" s="185" t="s">
        <v>2951</v>
      </c>
      <c r="Q510" s="182" t="s">
        <v>2934</v>
      </c>
      <c r="R510" s="182" t="s">
        <v>2933</v>
      </c>
      <c r="S510" s="182" t="s">
        <v>2952</v>
      </c>
      <c r="T510" s="179" t="s">
        <v>2974</v>
      </c>
      <c r="U510" s="183" t="s">
        <v>2954</v>
      </c>
      <c r="V510" s="183">
        <v>757</v>
      </c>
      <c r="W510" s="179" t="s">
        <v>3420</v>
      </c>
      <c r="X510" s="188">
        <v>438.05770000000001</v>
      </c>
      <c r="Y510" s="188">
        <v>319.40100000000001</v>
      </c>
      <c r="Z510" s="188">
        <v>203.19039999999998</v>
      </c>
      <c r="AA510" s="188">
        <v>126.2456</v>
      </c>
      <c r="AB510" s="188">
        <v>23.078999999999997</v>
      </c>
      <c r="AC510" s="188">
        <v>177.37020000000001</v>
      </c>
      <c r="AD510" s="179" t="s">
        <v>2956</v>
      </c>
      <c r="AE510" s="188" t="s">
        <v>3017</v>
      </c>
      <c r="AF510" s="189">
        <v>0</v>
      </c>
      <c r="AG510" s="189">
        <v>0.99930555555555556</v>
      </c>
      <c r="AH510" s="190" t="s">
        <v>2976</v>
      </c>
      <c r="AI510" s="190" t="s">
        <v>2942</v>
      </c>
      <c r="AJ510" s="183" t="s">
        <v>776</v>
      </c>
      <c r="AK510" s="179" t="s">
        <v>3034</v>
      </c>
      <c r="AL510" s="183" t="s">
        <v>4</v>
      </c>
      <c r="AM510" s="183" t="s">
        <v>5019</v>
      </c>
      <c r="AN510" s="183" t="s">
        <v>2102</v>
      </c>
      <c r="AO510" s="183" t="s">
        <v>2653</v>
      </c>
      <c r="AP510" s="191">
        <v>81139006478</v>
      </c>
      <c r="AQ510" s="193">
        <v>44712</v>
      </c>
      <c r="AR510" s="183">
        <v>50</v>
      </c>
      <c r="AS510" s="183"/>
      <c r="AT510" s="182" t="s">
        <v>5020</v>
      </c>
      <c r="AU510" s="182" t="s">
        <v>2946</v>
      </c>
      <c r="AV510" s="192">
        <v>28863934</v>
      </c>
      <c r="AW510" s="181">
        <v>15.3</v>
      </c>
      <c r="AX510" s="183">
        <v>80221</v>
      </c>
      <c r="AY510" s="183"/>
    </row>
    <row r="511" spans="1:51" ht="14.4" x14ac:dyDescent="0.3">
      <c r="A511" s="183" t="s">
        <v>108</v>
      </c>
      <c r="B511" s="183" t="s">
        <v>2927</v>
      </c>
      <c r="C511" s="180" t="s">
        <v>107</v>
      </c>
      <c r="D511" s="181" t="s">
        <v>2845</v>
      </c>
      <c r="E511" s="181" t="s">
        <v>2821</v>
      </c>
      <c r="F511" s="182" t="s">
        <v>2929</v>
      </c>
      <c r="G511" s="181" t="s">
        <v>12</v>
      </c>
      <c r="H511" s="193">
        <v>44718</v>
      </c>
      <c r="I511" s="193"/>
      <c r="J511" s="179" t="s">
        <v>5021</v>
      </c>
      <c r="K511" s="179">
        <v>4300</v>
      </c>
      <c r="L511" s="179" t="s">
        <v>2932</v>
      </c>
      <c r="M511" s="185"/>
      <c r="N511" s="185"/>
      <c r="O511" s="186"/>
      <c r="P511" s="185"/>
      <c r="Q511" s="182" t="s">
        <v>2934</v>
      </c>
      <c r="R511" s="182" t="s">
        <v>2933</v>
      </c>
      <c r="S511" s="182" t="s">
        <v>2935</v>
      </c>
      <c r="T511" s="179" t="s">
        <v>2974</v>
      </c>
      <c r="U511" s="183" t="s">
        <v>2937</v>
      </c>
      <c r="V511" s="183">
        <v>1091</v>
      </c>
      <c r="W511" s="179" t="s">
        <v>3151</v>
      </c>
      <c r="X511" s="188">
        <v>583.98310000000004</v>
      </c>
      <c r="Y511" s="188">
        <v>228.15230000000003</v>
      </c>
      <c r="Z511" s="188">
        <v>104.7094</v>
      </c>
      <c r="AA511" s="188">
        <v>352.03279999999995</v>
      </c>
      <c r="AB511" s="188">
        <v>6.8187599999999993</v>
      </c>
      <c r="AC511" s="188">
        <v>68.329800000000006</v>
      </c>
      <c r="AD511" s="179" t="s">
        <v>2956</v>
      </c>
      <c r="AE511" s="188" t="s">
        <v>2940</v>
      </c>
      <c r="AF511" s="189">
        <v>0.29166666666666669</v>
      </c>
      <c r="AG511" s="189">
        <v>0.91666666666666663</v>
      </c>
      <c r="AH511" s="190" t="s">
        <v>2941</v>
      </c>
      <c r="AI511" s="190" t="s">
        <v>2942</v>
      </c>
      <c r="AJ511" s="183" t="s">
        <v>106</v>
      </c>
      <c r="AK511" s="179" t="s">
        <v>2943</v>
      </c>
      <c r="AL511" s="183" t="s">
        <v>90</v>
      </c>
      <c r="AM511" s="183" t="s">
        <v>5022</v>
      </c>
      <c r="AN511" s="183" t="s">
        <v>2102</v>
      </c>
      <c r="AO511" s="183" t="s">
        <v>2330</v>
      </c>
      <c r="AP511" s="191">
        <v>81139006281</v>
      </c>
      <c r="AQ511" s="193">
        <v>44718</v>
      </c>
      <c r="AR511" s="183">
        <v>50</v>
      </c>
      <c r="AS511" s="208">
        <v>46027</v>
      </c>
      <c r="AT511" s="182"/>
      <c r="AU511" s="182"/>
      <c r="AV511" s="192">
        <v>13231000</v>
      </c>
      <c r="AW511" s="181">
        <v>59.3</v>
      </c>
      <c r="AX511" s="183">
        <v>82262</v>
      </c>
      <c r="AY511" s="183" t="s">
        <v>5023</v>
      </c>
    </row>
    <row r="512" spans="1:51" ht="14.4" x14ac:dyDescent="0.3">
      <c r="A512" s="183" t="s">
        <v>86</v>
      </c>
      <c r="B512" s="183" t="s">
        <v>2927</v>
      </c>
      <c r="C512" s="180" t="s">
        <v>85</v>
      </c>
      <c r="D512" s="181" t="s">
        <v>2829</v>
      </c>
      <c r="E512" s="181" t="s">
        <v>2815</v>
      </c>
      <c r="F512" s="182" t="s">
        <v>2929</v>
      </c>
      <c r="G512" s="181" t="s">
        <v>12</v>
      </c>
      <c r="H512" s="193">
        <v>44719</v>
      </c>
      <c r="I512" s="193"/>
      <c r="J512" s="179" t="s">
        <v>3008</v>
      </c>
      <c r="K512" s="179" t="s">
        <v>3008</v>
      </c>
      <c r="L512" s="179" t="s">
        <v>2932</v>
      </c>
      <c r="M512" s="185"/>
      <c r="N512" s="185"/>
      <c r="O512" s="186"/>
      <c r="P512" s="185"/>
      <c r="Q512" s="182" t="s">
        <v>2934</v>
      </c>
      <c r="R512" s="182" t="s">
        <v>2933</v>
      </c>
      <c r="S512" s="182" t="s">
        <v>2935</v>
      </c>
      <c r="T512" s="179" t="s">
        <v>2974</v>
      </c>
      <c r="U512" s="183" t="s">
        <v>2937</v>
      </c>
      <c r="V512" s="183">
        <v>1195</v>
      </c>
      <c r="W512" s="179" t="s">
        <v>3009</v>
      </c>
      <c r="X512" s="188">
        <v>242.178</v>
      </c>
      <c r="Y512" s="188">
        <v>146.065</v>
      </c>
      <c r="Z512" s="188">
        <v>121.70350000000001</v>
      </c>
      <c r="AA512" s="188">
        <v>83.820000000000007</v>
      </c>
      <c r="AB512" s="188">
        <v>5</v>
      </c>
      <c r="AC512" s="188">
        <v>54.625</v>
      </c>
      <c r="AD512" s="179" t="s">
        <v>2984</v>
      </c>
      <c r="AE512" s="188" t="s">
        <v>2957</v>
      </c>
      <c r="AF512" s="189">
        <v>0.29166666666666669</v>
      </c>
      <c r="AG512" s="189">
        <v>0.91666666666666663</v>
      </c>
      <c r="AH512" s="190" t="s">
        <v>2941</v>
      </c>
      <c r="AI512" s="190" t="s">
        <v>2985</v>
      </c>
      <c r="AJ512" s="183" t="s">
        <v>84</v>
      </c>
      <c r="AK512" s="179" t="s">
        <v>3110</v>
      </c>
      <c r="AL512" s="183" t="s">
        <v>28</v>
      </c>
      <c r="AM512" s="183" t="s">
        <v>5024</v>
      </c>
      <c r="AN512" s="183" t="s">
        <v>2102</v>
      </c>
      <c r="AO512" s="183" t="s">
        <v>2308</v>
      </c>
      <c r="AP512" s="191">
        <v>81139006473</v>
      </c>
      <c r="AQ512" s="193">
        <v>44719</v>
      </c>
      <c r="AR512" s="183">
        <v>50</v>
      </c>
      <c r="AS512" s="183"/>
      <c r="AT512" s="182"/>
      <c r="AU512" s="182"/>
      <c r="AV512" s="192">
        <v>10650433</v>
      </c>
      <c r="AW512" s="181">
        <v>22.2</v>
      </c>
      <c r="AX512" s="183">
        <v>80581</v>
      </c>
      <c r="AY512" s="183"/>
    </row>
    <row r="513" spans="1:51" ht="14.4" x14ac:dyDescent="0.3">
      <c r="A513" s="183" t="s">
        <v>1569</v>
      </c>
      <c r="B513" s="183" t="s">
        <v>2927</v>
      </c>
      <c r="C513" s="180" t="s">
        <v>1568</v>
      </c>
      <c r="D513" s="181" t="s">
        <v>2844</v>
      </c>
      <c r="E513" s="181" t="s">
        <v>2834</v>
      </c>
      <c r="F513" s="182" t="s">
        <v>2929</v>
      </c>
      <c r="G513" s="181" t="s">
        <v>12</v>
      </c>
      <c r="H513" s="193">
        <v>44719</v>
      </c>
      <c r="I513" s="193"/>
      <c r="J513" s="179" t="s">
        <v>3008</v>
      </c>
      <c r="K513" s="179" t="s">
        <v>3008</v>
      </c>
      <c r="L513" s="179" t="s">
        <v>2932</v>
      </c>
      <c r="M513" s="185"/>
      <c r="N513" s="185"/>
      <c r="O513" s="186"/>
      <c r="P513" s="185"/>
      <c r="Q513" s="182" t="s">
        <v>2934</v>
      </c>
      <c r="R513" s="182" t="s">
        <v>2933</v>
      </c>
      <c r="S513" s="182" t="s">
        <v>2952</v>
      </c>
      <c r="T513" s="179" t="s">
        <v>2974</v>
      </c>
      <c r="U513" s="183" t="s">
        <v>2937</v>
      </c>
      <c r="V513" s="183">
        <v>1141</v>
      </c>
      <c r="W513" s="179" t="s">
        <v>2975</v>
      </c>
      <c r="X513" s="188">
        <v>420</v>
      </c>
      <c r="Y513" s="188">
        <v>245</v>
      </c>
      <c r="Z513" s="188">
        <v>116.44999999999999</v>
      </c>
      <c r="AA513" s="188">
        <v>164.39999999999998</v>
      </c>
      <c r="AB513" s="188">
        <v>21.76</v>
      </c>
      <c r="AC513" s="188">
        <v>96.858999999999995</v>
      </c>
      <c r="AD513" s="179" t="s">
        <v>2956</v>
      </c>
      <c r="AE513" s="188" t="s">
        <v>2940</v>
      </c>
      <c r="AF513" s="189">
        <v>0.29166666666666669</v>
      </c>
      <c r="AG513" s="189">
        <v>0.91666666666666663</v>
      </c>
      <c r="AH513" s="190" t="s">
        <v>2941</v>
      </c>
      <c r="AI513" s="190" t="s">
        <v>2942</v>
      </c>
      <c r="AJ513" s="183" t="s">
        <v>1382</v>
      </c>
      <c r="AK513" s="179" t="s">
        <v>3972</v>
      </c>
      <c r="AL513" s="183" t="s">
        <v>32</v>
      </c>
      <c r="AM513" s="183" t="s">
        <v>5025</v>
      </c>
      <c r="AN513" s="183" t="s">
        <v>2102</v>
      </c>
      <c r="AO513" s="183" t="s">
        <v>2291</v>
      </c>
      <c r="AP513" s="191">
        <v>81139006472</v>
      </c>
      <c r="AQ513" s="193">
        <v>44719</v>
      </c>
      <c r="AR513" s="183">
        <v>50</v>
      </c>
      <c r="AS513" s="183"/>
      <c r="AT513" s="182"/>
      <c r="AU513" s="182"/>
      <c r="AV513" s="192">
        <v>10474176</v>
      </c>
      <c r="AW513" s="181">
        <v>44</v>
      </c>
      <c r="AX513" s="183">
        <v>80661</v>
      </c>
      <c r="AY513" s="183"/>
    </row>
    <row r="514" spans="1:51" ht="14.4" x14ac:dyDescent="0.3">
      <c r="A514" s="183" t="s">
        <v>1016</v>
      </c>
      <c r="B514" s="183" t="s">
        <v>2947</v>
      </c>
      <c r="C514" s="180" t="s">
        <v>1015</v>
      </c>
      <c r="D514" s="181" t="s">
        <v>2818</v>
      </c>
      <c r="E514" s="181" t="s">
        <v>2817</v>
      </c>
      <c r="F514" s="182" t="s">
        <v>2929</v>
      </c>
      <c r="G514" s="181" t="s">
        <v>12</v>
      </c>
      <c r="H514" s="193">
        <v>44734</v>
      </c>
      <c r="I514" s="193"/>
      <c r="J514" s="179" t="s">
        <v>5026</v>
      </c>
      <c r="K514" s="179">
        <v>370</v>
      </c>
      <c r="L514" s="179" t="s">
        <v>2950</v>
      </c>
      <c r="M514" s="185"/>
      <c r="N514" s="185"/>
      <c r="O514" s="186"/>
      <c r="P514" s="185"/>
      <c r="Q514" s="182" t="s">
        <v>2933</v>
      </c>
      <c r="R514" s="182" t="s">
        <v>2934</v>
      </c>
      <c r="S514" s="182" t="s">
        <v>2952</v>
      </c>
      <c r="T514" s="179" t="s">
        <v>2974</v>
      </c>
      <c r="U514" s="183" t="s">
        <v>2954</v>
      </c>
      <c r="V514" s="183">
        <v>856</v>
      </c>
      <c r="W514" s="179" t="s">
        <v>3009</v>
      </c>
      <c r="X514" s="188">
        <v>375.14400000000001</v>
      </c>
      <c r="Y514" s="188">
        <v>265.02630000000005</v>
      </c>
      <c r="Z514" s="188">
        <v>121.7229</v>
      </c>
      <c r="AA514" s="188">
        <v>108.93599999999999</v>
      </c>
      <c r="AB514" s="188">
        <v>12.696</v>
      </c>
      <c r="AC514" s="188">
        <v>97.05</v>
      </c>
      <c r="AD514" s="179" t="s">
        <v>2956</v>
      </c>
      <c r="AE514" s="188" t="s">
        <v>2940</v>
      </c>
      <c r="AF514" s="189">
        <v>0.29166666666666669</v>
      </c>
      <c r="AG514" s="189">
        <v>0.95833333333333337</v>
      </c>
      <c r="AH514" s="190" t="s">
        <v>2941</v>
      </c>
      <c r="AI514" s="190" t="s">
        <v>2985</v>
      </c>
      <c r="AJ514" s="183" t="s">
        <v>756</v>
      </c>
      <c r="AK514" s="179" t="s">
        <v>3256</v>
      </c>
      <c r="AL514" s="183" t="s">
        <v>4</v>
      </c>
      <c r="AM514" s="183" t="s">
        <v>5027</v>
      </c>
      <c r="AN514" s="183" t="s">
        <v>2102</v>
      </c>
      <c r="AO514" s="183" t="s">
        <v>2717</v>
      </c>
      <c r="AP514" s="191">
        <v>81139006470</v>
      </c>
      <c r="AQ514" s="193">
        <v>44734</v>
      </c>
      <c r="AR514" s="183">
        <v>50</v>
      </c>
      <c r="AS514" s="183"/>
      <c r="AT514" s="182"/>
      <c r="AU514" s="182"/>
      <c r="AV514" s="192">
        <v>12896496</v>
      </c>
      <c r="AW514" s="181">
        <v>28.2</v>
      </c>
      <c r="AX514" s="183">
        <v>80223</v>
      </c>
      <c r="AY514" s="183"/>
    </row>
    <row r="515" spans="1:51" ht="14.4" x14ac:dyDescent="0.3">
      <c r="A515" s="183" t="s">
        <v>166</v>
      </c>
      <c r="B515" s="183" t="s">
        <v>2947</v>
      </c>
      <c r="C515" s="180" t="s">
        <v>165</v>
      </c>
      <c r="D515" s="181" t="s">
        <v>2837</v>
      </c>
      <c r="E515" s="181" t="s">
        <v>2825</v>
      </c>
      <c r="F515" s="182" t="s">
        <v>2972</v>
      </c>
      <c r="G515" s="181" t="s">
        <v>17</v>
      </c>
      <c r="H515" s="193">
        <v>44734</v>
      </c>
      <c r="I515" s="193"/>
      <c r="J515" s="179" t="s">
        <v>3704</v>
      </c>
      <c r="K515" s="179">
        <v>461</v>
      </c>
      <c r="L515" s="179" t="s">
        <v>3026</v>
      </c>
      <c r="M515" s="185"/>
      <c r="N515" s="185"/>
      <c r="O515" s="186"/>
      <c r="P515" s="185"/>
      <c r="Q515" s="182" t="s">
        <v>2934</v>
      </c>
      <c r="R515" s="182" t="s">
        <v>2933</v>
      </c>
      <c r="S515" s="182" t="s">
        <v>2952</v>
      </c>
      <c r="T515" s="179" t="s">
        <v>2974</v>
      </c>
      <c r="U515" s="183" t="s">
        <v>2954</v>
      </c>
      <c r="V515" s="183">
        <v>858</v>
      </c>
      <c r="W515" s="179" t="s">
        <v>2975</v>
      </c>
      <c r="X515" s="188">
        <v>363.267</v>
      </c>
      <c r="Y515" s="188">
        <v>232.11999999999998</v>
      </c>
      <c r="Z515" s="188">
        <v>120.97499999999999</v>
      </c>
      <c r="AA515" s="188">
        <v>130.26</v>
      </c>
      <c r="AB515" s="188">
        <v>17.413</v>
      </c>
      <c r="AC515" s="188">
        <v>84.162000000000006</v>
      </c>
      <c r="AD515" s="179" t="s">
        <v>2956</v>
      </c>
      <c r="AE515" s="188" t="s">
        <v>2940</v>
      </c>
      <c r="AF515" s="189">
        <v>0.25</v>
      </c>
      <c r="AG515" s="189">
        <v>0.95833333333333337</v>
      </c>
      <c r="AH515" s="190" t="s">
        <v>2941</v>
      </c>
      <c r="AI515" s="190" t="s">
        <v>2942</v>
      </c>
      <c r="AJ515" s="183" t="s">
        <v>164</v>
      </c>
      <c r="AK515" s="179" t="s">
        <v>3302</v>
      </c>
      <c r="AL515" s="183" t="s">
        <v>9</v>
      </c>
      <c r="AM515" s="183" t="s">
        <v>5028</v>
      </c>
      <c r="AN515" s="183" t="s">
        <v>2102</v>
      </c>
      <c r="AO515" s="183" t="s">
        <v>2629</v>
      </c>
      <c r="AP515" s="191">
        <v>81139006471</v>
      </c>
      <c r="AQ515" s="193">
        <v>44734</v>
      </c>
      <c r="AR515" s="183">
        <v>50</v>
      </c>
      <c r="AS515" s="183"/>
      <c r="AT515" s="182" t="s">
        <v>5029</v>
      </c>
      <c r="AU515" s="182" t="s">
        <v>2946</v>
      </c>
      <c r="AV515" s="192">
        <v>10469646</v>
      </c>
      <c r="AW515" s="181">
        <v>11.1</v>
      </c>
      <c r="AX515" s="183">
        <v>80351</v>
      </c>
      <c r="AY515" s="183"/>
    </row>
    <row r="516" spans="1:51" ht="14.4" x14ac:dyDescent="0.3">
      <c r="A516" s="183" t="s">
        <v>1224</v>
      </c>
      <c r="B516" s="183" t="s">
        <v>2927</v>
      </c>
      <c r="C516" s="180" t="s">
        <v>1223</v>
      </c>
      <c r="D516" s="181" t="s">
        <v>2848</v>
      </c>
      <c r="E516" s="181" t="s">
        <v>2827</v>
      </c>
      <c r="F516" s="182" t="s">
        <v>2929</v>
      </c>
      <c r="G516" s="181" t="s">
        <v>12</v>
      </c>
      <c r="H516" s="193">
        <v>44741</v>
      </c>
      <c r="I516" s="193"/>
      <c r="J516" s="179" t="s">
        <v>3008</v>
      </c>
      <c r="K516" s="179" t="s">
        <v>3008</v>
      </c>
      <c r="L516" s="179" t="s">
        <v>2932</v>
      </c>
      <c r="M516" s="185"/>
      <c r="N516" s="185"/>
      <c r="O516" s="186"/>
      <c r="P516" s="185"/>
      <c r="Q516" s="182" t="s">
        <v>2934</v>
      </c>
      <c r="R516" s="182" t="s">
        <v>2933</v>
      </c>
      <c r="S516" s="182" t="s">
        <v>2952</v>
      </c>
      <c r="T516" s="179" t="s">
        <v>2974</v>
      </c>
      <c r="U516" s="183" t="s">
        <v>2937</v>
      </c>
      <c r="V516" s="183">
        <v>1151</v>
      </c>
      <c r="W516" s="179" t="s">
        <v>3549</v>
      </c>
      <c r="X516" s="188">
        <v>382.4205</v>
      </c>
      <c r="Y516" s="188">
        <v>209.30249999999998</v>
      </c>
      <c r="Z516" s="188">
        <v>108.87989999999999</v>
      </c>
      <c r="AA516" s="188">
        <v>106.24250000000001</v>
      </c>
      <c r="AB516" s="188">
        <v>63.979000000000006</v>
      </c>
      <c r="AC516" s="188">
        <v>76.693500000000014</v>
      </c>
      <c r="AD516" s="179" t="s">
        <v>2956</v>
      </c>
      <c r="AE516" s="188" t="s">
        <v>2940</v>
      </c>
      <c r="AF516" s="189">
        <v>0.29166666666666669</v>
      </c>
      <c r="AG516" s="189">
        <v>0.91666666666666663</v>
      </c>
      <c r="AH516" s="190" t="s">
        <v>2941</v>
      </c>
      <c r="AI516" s="190" t="s">
        <v>2942</v>
      </c>
      <c r="AJ516" s="183" t="s">
        <v>1222</v>
      </c>
      <c r="AK516" s="179" t="s">
        <v>3511</v>
      </c>
      <c r="AL516" s="183" t="s">
        <v>48</v>
      </c>
      <c r="AM516" s="183" t="s">
        <v>5030</v>
      </c>
      <c r="AN516" s="183" t="s">
        <v>2102</v>
      </c>
      <c r="AO516" s="183" t="s">
        <v>2396</v>
      </c>
      <c r="AP516" s="191">
        <v>81139007374</v>
      </c>
      <c r="AQ516" s="193">
        <v>44741</v>
      </c>
      <c r="AR516" s="183">
        <v>49</v>
      </c>
      <c r="AS516" s="183"/>
      <c r="AT516" s="182"/>
      <c r="AU516" s="182"/>
      <c r="AV516" s="192">
        <v>8954682</v>
      </c>
      <c r="AW516" s="181">
        <v>80.8</v>
      </c>
      <c r="AX516" s="183">
        <v>81152</v>
      </c>
      <c r="AY516" s="183"/>
    </row>
    <row r="517" spans="1:51" ht="14.4" x14ac:dyDescent="0.3">
      <c r="A517" s="183" t="s">
        <v>809</v>
      </c>
      <c r="B517" s="183" t="s">
        <v>2947</v>
      </c>
      <c r="C517" s="180" t="s">
        <v>5031</v>
      </c>
      <c r="D517" s="181" t="s">
        <v>2838</v>
      </c>
      <c r="E517" s="181" t="s">
        <v>2830</v>
      </c>
      <c r="F517" s="182" t="s">
        <v>2929</v>
      </c>
      <c r="G517" s="181" t="s">
        <v>12</v>
      </c>
      <c r="H517" s="193">
        <v>44741</v>
      </c>
      <c r="I517" s="193"/>
      <c r="J517" s="179" t="s">
        <v>5032</v>
      </c>
      <c r="K517" s="179">
        <v>300</v>
      </c>
      <c r="L517" s="179" t="s">
        <v>2950</v>
      </c>
      <c r="M517" s="185"/>
      <c r="N517" s="185"/>
      <c r="O517" s="186"/>
      <c r="P517" s="185"/>
      <c r="Q517" s="182" t="s">
        <v>2934</v>
      </c>
      <c r="R517" s="182" t="s">
        <v>2933</v>
      </c>
      <c r="S517" s="182" t="s">
        <v>2952</v>
      </c>
      <c r="T517" s="179" t="s">
        <v>2974</v>
      </c>
      <c r="U517" s="183" t="s">
        <v>2954</v>
      </c>
      <c r="V517" s="183">
        <v>771</v>
      </c>
      <c r="W517" s="179" t="s">
        <v>3009</v>
      </c>
      <c r="X517" s="188">
        <v>226.0086</v>
      </c>
      <c r="Y517" s="188">
        <v>154.0017</v>
      </c>
      <c r="Z517" s="188">
        <v>124.96770000000001</v>
      </c>
      <c r="AA517" s="188">
        <v>73.507500000000007</v>
      </c>
      <c r="AB517" s="188">
        <v>11.592000000000001</v>
      </c>
      <c r="AC517" s="188">
        <v>169.75</v>
      </c>
      <c r="AD517" s="179" t="s">
        <v>2956</v>
      </c>
      <c r="AE517" s="188" t="s">
        <v>2957</v>
      </c>
      <c r="AF517" s="189">
        <v>0.29166666666666669</v>
      </c>
      <c r="AG517" s="189">
        <v>0.95833333333333337</v>
      </c>
      <c r="AH517" s="190" t="s">
        <v>2941</v>
      </c>
      <c r="AI517" s="190" t="s">
        <v>2942</v>
      </c>
      <c r="AJ517" s="183" t="s">
        <v>776</v>
      </c>
      <c r="AK517" s="179" t="s">
        <v>3034</v>
      </c>
      <c r="AL517" s="183" t="s">
        <v>4</v>
      </c>
      <c r="AM517" s="183" t="s">
        <v>5033</v>
      </c>
      <c r="AN517" s="183" t="s">
        <v>2102</v>
      </c>
      <c r="AO517" s="183" t="s">
        <v>2765</v>
      </c>
      <c r="AP517" s="191">
        <v>81139006459</v>
      </c>
      <c r="AQ517" s="193">
        <v>44741</v>
      </c>
      <c r="AR517" s="183">
        <v>49</v>
      </c>
      <c r="AS517" s="183"/>
      <c r="AT517" s="182" t="s">
        <v>5029</v>
      </c>
      <c r="AU517" s="182" t="s">
        <v>2946</v>
      </c>
      <c r="AV517" s="192">
        <v>11736648</v>
      </c>
      <c r="AW517" s="181">
        <v>13.8</v>
      </c>
      <c r="AX517" s="183">
        <v>80239</v>
      </c>
      <c r="AY517" s="183"/>
    </row>
    <row r="518" spans="1:51" ht="14.4" x14ac:dyDescent="0.3">
      <c r="A518" s="183" t="s">
        <v>727</v>
      </c>
      <c r="B518" s="183" t="s">
        <v>2947</v>
      </c>
      <c r="C518" s="180" t="s">
        <v>5034</v>
      </c>
      <c r="D518" s="181" t="s">
        <v>2862</v>
      </c>
      <c r="E518" s="181" t="s">
        <v>2819</v>
      </c>
      <c r="F518" s="182" t="s">
        <v>2972</v>
      </c>
      <c r="G518" s="181" t="s">
        <v>17</v>
      </c>
      <c r="H518" s="193">
        <v>45931</v>
      </c>
      <c r="I518" s="193">
        <v>45931</v>
      </c>
      <c r="J518" s="179" t="s">
        <v>5035</v>
      </c>
      <c r="K518" s="179">
        <v>48</v>
      </c>
      <c r="L518" s="179" t="s">
        <v>2965</v>
      </c>
      <c r="M518" s="185"/>
      <c r="N518" s="185"/>
      <c r="O518" s="179" t="s">
        <v>2951</v>
      </c>
      <c r="P518" s="185"/>
      <c r="Q518" s="182" t="s">
        <v>2933</v>
      </c>
      <c r="R518" s="182" t="s">
        <v>2934</v>
      </c>
      <c r="S518" s="182" t="s">
        <v>2952</v>
      </c>
      <c r="T518" s="179" t="s">
        <v>2974</v>
      </c>
      <c r="U518" s="183" t="s">
        <v>2954</v>
      </c>
      <c r="V518" s="183">
        <v>354</v>
      </c>
      <c r="W518" s="179" t="s">
        <v>3009</v>
      </c>
      <c r="X518" s="188">
        <v>310.03720000000004</v>
      </c>
      <c r="Y518" s="188">
        <v>224.36329999999998</v>
      </c>
      <c r="Z518" s="188">
        <v>121.80420000000001</v>
      </c>
      <c r="AA518" s="188">
        <v>67.156000000000006</v>
      </c>
      <c r="AB518" s="188">
        <v>16.565999999999999</v>
      </c>
      <c r="AC518" s="188">
        <v>144.37520000000001</v>
      </c>
      <c r="AD518" s="179" t="s">
        <v>2956</v>
      </c>
      <c r="AE518" s="188" t="s">
        <v>2957</v>
      </c>
      <c r="AF518" s="189">
        <v>0.29166666666666669</v>
      </c>
      <c r="AG518" s="189">
        <v>0.99930555555555556</v>
      </c>
      <c r="AH518" s="190" t="s">
        <v>2941</v>
      </c>
      <c r="AI518" s="190" t="s">
        <v>2942</v>
      </c>
      <c r="AJ518" s="183" t="s">
        <v>725</v>
      </c>
      <c r="AK518" s="179" t="s">
        <v>2958</v>
      </c>
      <c r="AL518" s="183" t="s">
        <v>4</v>
      </c>
      <c r="AM518" s="183" t="s">
        <v>5036</v>
      </c>
      <c r="AN518" s="183" t="s">
        <v>2102</v>
      </c>
      <c r="AO518" s="183" t="s">
        <v>2544</v>
      </c>
      <c r="AP518" s="191">
        <v>81139006462</v>
      </c>
      <c r="AQ518" s="193">
        <v>44742</v>
      </c>
      <c r="AR518" s="183">
        <v>49</v>
      </c>
      <c r="AS518" s="183"/>
      <c r="AT518" s="182" t="s">
        <v>4774</v>
      </c>
      <c r="AU518" s="182" t="s">
        <v>2946</v>
      </c>
      <c r="AV518" s="192">
        <v>11587836</v>
      </c>
      <c r="AW518" s="181">
        <v>22.1</v>
      </c>
      <c r="AX518" s="183">
        <v>80119</v>
      </c>
      <c r="AY518" s="183"/>
    </row>
    <row r="519" spans="1:51" ht="14.4" x14ac:dyDescent="0.3">
      <c r="A519" s="183" t="s">
        <v>1245</v>
      </c>
      <c r="B519" s="183" t="s">
        <v>2927</v>
      </c>
      <c r="C519" s="180" t="s">
        <v>1244</v>
      </c>
      <c r="D519" s="181" t="s">
        <v>2853</v>
      </c>
      <c r="E519" s="181" t="s">
        <v>2825</v>
      </c>
      <c r="F519" s="182" t="s">
        <v>2929</v>
      </c>
      <c r="G519" s="181" t="s">
        <v>12</v>
      </c>
      <c r="H519" s="193">
        <v>44750</v>
      </c>
      <c r="I519" s="193"/>
      <c r="J519" s="179" t="s">
        <v>5037</v>
      </c>
      <c r="K519" s="179">
        <v>45</v>
      </c>
      <c r="L519" s="179" t="s">
        <v>2965</v>
      </c>
      <c r="M519" s="185"/>
      <c r="N519" s="185"/>
      <c r="O519" s="186"/>
      <c r="P519" s="185"/>
      <c r="Q519" s="182" t="s">
        <v>2934</v>
      </c>
      <c r="R519" s="182" t="s">
        <v>2933</v>
      </c>
      <c r="S519" s="182" t="s">
        <v>2952</v>
      </c>
      <c r="T519" s="179" t="s">
        <v>2974</v>
      </c>
      <c r="U519" s="183" t="s">
        <v>2937</v>
      </c>
      <c r="V519" s="183">
        <v>919</v>
      </c>
      <c r="W519" s="179" t="s">
        <v>2975</v>
      </c>
      <c r="X519" s="188">
        <v>396.44869999999997</v>
      </c>
      <c r="Y519" s="188">
        <v>196.67999999999998</v>
      </c>
      <c r="Z519" s="188">
        <v>121.72279999999999</v>
      </c>
      <c r="AA519" s="188">
        <v>184.63479999999998</v>
      </c>
      <c r="AB519" s="188">
        <v>13.984000000000002</v>
      </c>
      <c r="AC519" s="188">
        <v>46.905000000000001</v>
      </c>
      <c r="AD519" s="179" t="s">
        <v>2984</v>
      </c>
      <c r="AE519" s="188" t="s">
        <v>2940</v>
      </c>
      <c r="AF519" s="189">
        <v>0.29166666666666669</v>
      </c>
      <c r="AG519" s="189">
        <v>0.91666666666666663</v>
      </c>
      <c r="AH519" s="190" t="s">
        <v>2941</v>
      </c>
      <c r="AI519" s="190" t="s">
        <v>2942</v>
      </c>
      <c r="AJ519" s="183" t="s">
        <v>1243</v>
      </c>
      <c r="AK519" s="179" t="s">
        <v>3229</v>
      </c>
      <c r="AL519" s="183" t="s">
        <v>9</v>
      </c>
      <c r="AM519" s="183" t="s">
        <v>5038</v>
      </c>
      <c r="AN519" s="183" t="s">
        <v>2102</v>
      </c>
      <c r="AO519" s="183" t="s">
        <v>2340</v>
      </c>
      <c r="AP519" s="191">
        <v>81139006493</v>
      </c>
      <c r="AQ519" s="193">
        <v>44750</v>
      </c>
      <c r="AR519" s="183">
        <v>49</v>
      </c>
      <c r="AS519" s="183"/>
      <c r="AT519" s="182"/>
      <c r="AU519" s="182"/>
      <c r="AV519" s="192">
        <v>10042305</v>
      </c>
      <c r="AW519" s="181">
        <v>7.4</v>
      </c>
      <c r="AX519" s="183">
        <v>80352</v>
      </c>
      <c r="AY519" s="183"/>
    </row>
    <row r="520" spans="1:51" ht="14.4" x14ac:dyDescent="0.3">
      <c r="A520" s="183" t="s">
        <v>1841</v>
      </c>
      <c r="B520" s="183" t="s">
        <v>2927</v>
      </c>
      <c r="C520" s="180" t="s">
        <v>5039</v>
      </c>
      <c r="D520" s="181" t="s">
        <v>2847</v>
      </c>
      <c r="E520" s="181" t="s">
        <v>2830</v>
      </c>
      <c r="F520" s="182" t="s">
        <v>2929</v>
      </c>
      <c r="G520" s="181" t="s">
        <v>12</v>
      </c>
      <c r="H520" s="193">
        <v>44755</v>
      </c>
      <c r="I520" s="193"/>
      <c r="J520" s="179" t="s">
        <v>5040</v>
      </c>
      <c r="K520" s="179">
        <v>140</v>
      </c>
      <c r="L520" s="179" t="s">
        <v>2950</v>
      </c>
      <c r="M520" s="185"/>
      <c r="N520" s="185"/>
      <c r="O520" s="186"/>
      <c r="P520" s="185"/>
      <c r="Q520" s="182" t="s">
        <v>2934</v>
      </c>
      <c r="R520" s="182" t="s">
        <v>2933</v>
      </c>
      <c r="S520" s="182" t="s">
        <v>2952</v>
      </c>
      <c r="T520" s="179" t="s">
        <v>2974</v>
      </c>
      <c r="U520" s="183" t="s">
        <v>2937</v>
      </c>
      <c r="V520" s="183">
        <v>1046</v>
      </c>
      <c r="W520" s="179" t="s">
        <v>3151</v>
      </c>
      <c r="X520" s="188">
        <v>328.32479999999998</v>
      </c>
      <c r="Y520" s="188">
        <v>150.48219999999998</v>
      </c>
      <c r="Z520" s="188">
        <v>110.74000000000001</v>
      </c>
      <c r="AA520" s="188">
        <v>111.68650000000001</v>
      </c>
      <c r="AB520" s="188">
        <v>14.752000000000002</v>
      </c>
      <c r="AC520" s="188">
        <v>150.19240000000002</v>
      </c>
      <c r="AD520" s="179" t="s">
        <v>2956</v>
      </c>
      <c r="AE520" s="188" t="s">
        <v>3017</v>
      </c>
      <c r="AF520" s="189">
        <v>0.29166666666666669</v>
      </c>
      <c r="AG520" s="189">
        <v>0.91666666666666663</v>
      </c>
      <c r="AH520" s="190" t="s">
        <v>2941</v>
      </c>
      <c r="AI520" s="190" t="s">
        <v>2985</v>
      </c>
      <c r="AJ520" s="183" t="s">
        <v>373</v>
      </c>
      <c r="AK520" s="179" t="s">
        <v>3256</v>
      </c>
      <c r="AL520" s="183" t="s">
        <v>4</v>
      </c>
      <c r="AM520" s="183" t="s">
        <v>5041</v>
      </c>
      <c r="AN520" s="183" t="s">
        <v>2102</v>
      </c>
      <c r="AO520" s="183" t="s">
        <v>2287</v>
      </c>
      <c r="AP520" s="191">
        <v>81139006494</v>
      </c>
      <c r="AQ520" s="193">
        <v>44755</v>
      </c>
      <c r="AR520" s="183">
        <v>49</v>
      </c>
      <c r="AS520" s="183"/>
      <c r="AT520" s="182"/>
      <c r="AU520" s="182"/>
      <c r="AV520" s="192">
        <v>13289661</v>
      </c>
      <c r="AW520" s="181">
        <v>26.3</v>
      </c>
      <c r="AX520" s="183">
        <v>80225</v>
      </c>
      <c r="AY520" s="183"/>
    </row>
    <row r="521" spans="1:51" ht="14.4" x14ac:dyDescent="0.3">
      <c r="A521" s="183" t="s">
        <v>1764</v>
      </c>
      <c r="B521" s="183" t="s">
        <v>2947</v>
      </c>
      <c r="C521" s="180" t="s">
        <v>1763</v>
      </c>
      <c r="D521" s="181" t="s">
        <v>2852</v>
      </c>
      <c r="E521" s="181" t="s">
        <v>2817</v>
      </c>
      <c r="F521" s="182" t="s">
        <v>2929</v>
      </c>
      <c r="G521" s="181" t="s">
        <v>12</v>
      </c>
      <c r="H521" s="193">
        <v>44769</v>
      </c>
      <c r="I521" s="193"/>
      <c r="J521" s="179" t="s">
        <v>3008</v>
      </c>
      <c r="K521" s="179" t="s">
        <v>3008</v>
      </c>
      <c r="L521" s="179" t="s">
        <v>2932</v>
      </c>
      <c r="M521" s="185"/>
      <c r="N521" s="185" t="s">
        <v>2951</v>
      </c>
      <c r="O521" s="186"/>
      <c r="P521" s="185"/>
      <c r="Q521" s="182" t="s">
        <v>2934</v>
      </c>
      <c r="R521" s="182" t="s">
        <v>2933</v>
      </c>
      <c r="S521" s="182" t="s">
        <v>2952</v>
      </c>
      <c r="T521" s="179" t="s">
        <v>4623</v>
      </c>
      <c r="U521" s="183" t="s">
        <v>2954</v>
      </c>
      <c r="V521" s="183">
        <v>883</v>
      </c>
      <c r="W521" s="179" t="s">
        <v>4941</v>
      </c>
      <c r="X521" s="188">
        <v>278.62799999999999</v>
      </c>
      <c r="Y521" s="188">
        <v>191.33199999999999</v>
      </c>
      <c r="Z521" s="188">
        <v>113.74</v>
      </c>
      <c r="AA521" s="188">
        <v>822.95399999999995</v>
      </c>
      <c r="AB521" s="188">
        <v>7.5600000000000005</v>
      </c>
      <c r="AC521" s="188">
        <v>60.970500000000001</v>
      </c>
      <c r="AD521" s="179" t="s">
        <v>2956</v>
      </c>
      <c r="AE521" s="188" t="s">
        <v>2940</v>
      </c>
      <c r="AF521" s="189">
        <v>0.29166666666666669</v>
      </c>
      <c r="AG521" s="189">
        <v>0.91666666666666663</v>
      </c>
      <c r="AH521" s="190" t="s">
        <v>2941</v>
      </c>
      <c r="AI521" s="190" t="s">
        <v>2985</v>
      </c>
      <c r="AJ521" s="183" t="s">
        <v>523</v>
      </c>
      <c r="AK521" s="179" t="s">
        <v>3387</v>
      </c>
      <c r="AL521" s="183" t="s">
        <v>4</v>
      </c>
      <c r="AM521" s="183" t="s">
        <v>5042</v>
      </c>
      <c r="AN521" s="183" t="s">
        <v>2102</v>
      </c>
      <c r="AO521" s="183" t="s">
        <v>2519</v>
      </c>
      <c r="AP521" s="191">
        <v>81139006498</v>
      </c>
      <c r="AQ521" s="193">
        <v>44769</v>
      </c>
      <c r="AR521" s="183">
        <v>49</v>
      </c>
      <c r="AS521" s="183"/>
      <c r="AT521" s="182"/>
      <c r="AU521" s="182"/>
      <c r="AV521" s="192">
        <v>12382920</v>
      </c>
      <c r="AW521" s="181">
        <v>25.2</v>
      </c>
      <c r="AX521" s="183">
        <v>80239</v>
      </c>
      <c r="AY521" s="183"/>
    </row>
    <row r="522" spans="1:51" ht="14.4" x14ac:dyDescent="0.3">
      <c r="A522" s="183" t="s">
        <v>853</v>
      </c>
      <c r="B522" s="183" t="s">
        <v>2947</v>
      </c>
      <c r="C522" s="180" t="s">
        <v>5043</v>
      </c>
      <c r="D522" s="181" t="s">
        <v>2854</v>
      </c>
      <c r="E522" s="181" t="s">
        <v>2821</v>
      </c>
      <c r="F522" s="182" t="s">
        <v>2972</v>
      </c>
      <c r="G522" s="181" t="s">
        <v>17</v>
      </c>
      <c r="H522" s="193">
        <v>44773</v>
      </c>
      <c r="I522" s="193"/>
      <c r="J522" s="179" t="s">
        <v>3008</v>
      </c>
      <c r="K522" s="179" t="s">
        <v>3008</v>
      </c>
      <c r="L522" s="179" t="s">
        <v>2932</v>
      </c>
      <c r="M522" s="185"/>
      <c r="N522" s="185" t="s">
        <v>2951</v>
      </c>
      <c r="O522" s="179" t="s">
        <v>2951</v>
      </c>
      <c r="P522" s="185"/>
      <c r="Q522" s="182" t="s">
        <v>2933</v>
      </c>
      <c r="R522" s="182" t="s">
        <v>2934</v>
      </c>
      <c r="S522" s="182" t="s">
        <v>2952</v>
      </c>
      <c r="T522" s="179" t="s">
        <v>2974</v>
      </c>
      <c r="U522" s="183" t="s">
        <v>2954</v>
      </c>
      <c r="V522" s="183">
        <v>656</v>
      </c>
      <c r="W522" s="179" t="s">
        <v>3151</v>
      </c>
      <c r="X522" s="188">
        <v>229.4796</v>
      </c>
      <c r="Y522" s="188">
        <v>149.08319999999998</v>
      </c>
      <c r="Z522" s="188">
        <v>106.81410000000001</v>
      </c>
      <c r="AA522" s="188">
        <v>75.685999999999993</v>
      </c>
      <c r="AB522" s="188">
        <v>11.240000000000002</v>
      </c>
      <c r="AC522" s="188">
        <v>176.47720000000004</v>
      </c>
      <c r="AD522" s="179" t="s">
        <v>2956</v>
      </c>
      <c r="AE522" s="188" t="s">
        <v>3017</v>
      </c>
      <c r="AF522" s="189">
        <v>0.29166666666666669</v>
      </c>
      <c r="AG522" s="189">
        <v>0.91666666666666663</v>
      </c>
      <c r="AH522" s="190" t="s">
        <v>2941</v>
      </c>
      <c r="AI522" s="190" t="s">
        <v>2942</v>
      </c>
      <c r="AJ522" s="183" t="s">
        <v>851</v>
      </c>
      <c r="AK522" s="179" t="s">
        <v>3034</v>
      </c>
      <c r="AL522" s="183" t="s">
        <v>4</v>
      </c>
      <c r="AM522" s="183" t="s">
        <v>5044</v>
      </c>
      <c r="AN522" s="183" t="s">
        <v>2102</v>
      </c>
      <c r="AO522" s="183" t="s">
        <v>2701</v>
      </c>
      <c r="AP522" s="191">
        <v>81139006501</v>
      </c>
      <c r="AQ522" s="193">
        <v>44773</v>
      </c>
      <c r="AR522" s="183">
        <v>48</v>
      </c>
      <c r="AS522" s="183"/>
      <c r="AT522" s="182" t="s">
        <v>5045</v>
      </c>
      <c r="AU522" s="182" t="s">
        <v>2946</v>
      </c>
      <c r="AV522" s="192">
        <v>11823771</v>
      </c>
      <c r="AW522" s="181">
        <v>16</v>
      </c>
      <c r="AX522" s="183">
        <v>80234</v>
      </c>
      <c r="AY522" s="183"/>
    </row>
    <row r="523" spans="1:51" ht="14.4" x14ac:dyDescent="0.3">
      <c r="A523" s="183" t="s">
        <v>1404</v>
      </c>
      <c r="B523" s="183" t="s">
        <v>2947</v>
      </c>
      <c r="C523" s="180" t="s">
        <v>1403</v>
      </c>
      <c r="D523" s="181" t="s">
        <v>2849</v>
      </c>
      <c r="E523" s="181" t="s">
        <v>2830</v>
      </c>
      <c r="F523" s="182" t="s">
        <v>2929</v>
      </c>
      <c r="G523" s="181" t="s">
        <v>12</v>
      </c>
      <c r="H523" s="193">
        <v>44797</v>
      </c>
      <c r="I523" s="193"/>
      <c r="J523" s="179" t="s">
        <v>5046</v>
      </c>
      <c r="K523" s="179">
        <v>738</v>
      </c>
      <c r="L523" s="179" t="s">
        <v>3026</v>
      </c>
      <c r="M523" s="185"/>
      <c r="N523" s="185"/>
      <c r="O523" s="179" t="s">
        <v>2951</v>
      </c>
      <c r="P523" s="185"/>
      <c r="Q523" s="182" t="s">
        <v>2933</v>
      </c>
      <c r="R523" s="182" t="s">
        <v>2934</v>
      </c>
      <c r="S523" s="182" t="s">
        <v>2952</v>
      </c>
      <c r="T523" s="179" t="s">
        <v>2974</v>
      </c>
      <c r="U523" s="183" t="s">
        <v>2954</v>
      </c>
      <c r="V523" s="183">
        <v>215</v>
      </c>
      <c r="W523" s="179" t="s">
        <v>3009</v>
      </c>
      <c r="X523" s="188">
        <v>262.185</v>
      </c>
      <c r="Y523" s="188">
        <v>179.751</v>
      </c>
      <c r="Z523" s="188">
        <v>102.31649999999999</v>
      </c>
      <c r="AA523" s="188">
        <v>75.525000000000006</v>
      </c>
      <c r="AB523" s="188">
        <v>6.28</v>
      </c>
      <c r="AC523" s="188">
        <v>61.851000000000006</v>
      </c>
      <c r="AD523" s="179" t="s">
        <v>2956</v>
      </c>
      <c r="AE523" s="188" t="s">
        <v>2940</v>
      </c>
      <c r="AF523" s="189">
        <v>0.29166666666666669</v>
      </c>
      <c r="AG523" s="189">
        <v>0.91666666666666663</v>
      </c>
      <c r="AH523" s="190" t="s">
        <v>2941</v>
      </c>
      <c r="AI523" s="190" t="s">
        <v>2942</v>
      </c>
      <c r="AJ523" s="183" t="s">
        <v>1009</v>
      </c>
      <c r="AK523" s="179" t="s">
        <v>3034</v>
      </c>
      <c r="AL523" s="183" t="s">
        <v>4</v>
      </c>
      <c r="AM523" s="183" t="s">
        <v>5047</v>
      </c>
      <c r="AN523" s="183" t="s">
        <v>2102</v>
      </c>
      <c r="AO523" s="183" t="s">
        <v>2587</v>
      </c>
      <c r="AP523" s="191">
        <v>81139006788</v>
      </c>
      <c r="AQ523" s="193">
        <v>44797</v>
      </c>
      <c r="AR523" s="183">
        <v>48</v>
      </c>
      <c r="AS523" s="183"/>
      <c r="AT523" s="182"/>
      <c r="AU523" s="182"/>
      <c r="AV523" s="192">
        <v>10940559</v>
      </c>
      <c r="AW523" s="181">
        <v>18.100000000000001</v>
      </c>
      <c r="AX523" s="183">
        <v>80231</v>
      </c>
      <c r="AY523" s="183"/>
    </row>
    <row r="524" spans="1:51" ht="14.4" x14ac:dyDescent="0.3">
      <c r="A524" s="183" t="s">
        <v>1047</v>
      </c>
      <c r="B524" s="183" t="s">
        <v>2947</v>
      </c>
      <c r="C524" s="180" t="s">
        <v>5048</v>
      </c>
      <c r="D524" s="181" t="s">
        <v>2854</v>
      </c>
      <c r="E524" s="181" t="s">
        <v>2821</v>
      </c>
      <c r="F524" s="182" t="s">
        <v>2972</v>
      </c>
      <c r="G524" s="181" t="s">
        <v>17</v>
      </c>
      <c r="H524" s="193">
        <v>45821</v>
      </c>
      <c r="I524" s="193">
        <v>45821</v>
      </c>
      <c r="J524" s="179" t="s">
        <v>5049</v>
      </c>
      <c r="K524" s="179">
        <v>250</v>
      </c>
      <c r="L524" s="179" t="s">
        <v>2950</v>
      </c>
      <c r="M524" s="185"/>
      <c r="N524" s="185"/>
      <c r="O524" s="179" t="s">
        <v>2951</v>
      </c>
      <c r="P524" s="185"/>
      <c r="Q524" s="182" t="s">
        <v>2934</v>
      </c>
      <c r="R524" s="182" t="s">
        <v>2933</v>
      </c>
      <c r="S524" s="182" t="s">
        <v>2952</v>
      </c>
      <c r="T524" s="179" t="s">
        <v>2953</v>
      </c>
      <c r="U524" s="183" t="s">
        <v>2954</v>
      </c>
      <c r="V524" s="183">
        <v>565</v>
      </c>
      <c r="W524" s="179" t="s">
        <v>3009</v>
      </c>
      <c r="X524" s="188">
        <v>336.05040000000002</v>
      </c>
      <c r="Y524" s="188">
        <v>186.63040000000001</v>
      </c>
      <c r="Z524" s="188">
        <v>131.88079999999999</v>
      </c>
      <c r="AA524" s="188">
        <v>144.59609999999998</v>
      </c>
      <c r="AB524" s="188">
        <v>16.5318</v>
      </c>
      <c r="AC524" s="188">
        <v>425.11250000000001</v>
      </c>
      <c r="AD524" s="179" t="s">
        <v>2956</v>
      </c>
      <c r="AE524" s="188" t="s">
        <v>5050</v>
      </c>
      <c r="AF524" s="189">
        <v>0</v>
      </c>
      <c r="AG524" s="189">
        <v>0.99930555555555556</v>
      </c>
      <c r="AH524" s="190" t="s">
        <v>2941</v>
      </c>
      <c r="AI524" s="190" t="s">
        <v>2942</v>
      </c>
      <c r="AJ524" s="183" t="s">
        <v>691</v>
      </c>
      <c r="AK524" s="179" t="s">
        <v>3034</v>
      </c>
      <c r="AL524" s="183" t="s">
        <v>4</v>
      </c>
      <c r="AM524" s="183" t="s">
        <v>5051</v>
      </c>
      <c r="AN524" s="183" t="s">
        <v>2102</v>
      </c>
      <c r="AO524" s="183" t="s">
        <v>2416</v>
      </c>
      <c r="AP524" s="191">
        <v>81139006786</v>
      </c>
      <c r="AQ524" s="193">
        <v>44799</v>
      </c>
      <c r="AR524" s="183">
        <v>48</v>
      </c>
      <c r="AS524" s="183"/>
      <c r="AT524" s="182" t="s">
        <v>3248</v>
      </c>
      <c r="AU524" s="182" t="s">
        <v>2946</v>
      </c>
      <c r="AV524" s="192">
        <v>12439728</v>
      </c>
      <c r="AW524" s="181">
        <v>19</v>
      </c>
      <c r="AX524" s="183">
        <v>80116</v>
      </c>
      <c r="AY524" s="183"/>
    </row>
    <row r="525" spans="1:51" ht="14.4" x14ac:dyDescent="0.3">
      <c r="A525" s="183" t="s">
        <v>1287</v>
      </c>
      <c r="B525" s="183" t="s">
        <v>2947</v>
      </c>
      <c r="C525" s="180" t="s">
        <v>1286</v>
      </c>
      <c r="D525" s="181" t="s">
        <v>2849</v>
      </c>
      <c r="E525" s="181" t="s">
        <v>2830</v>
      </c>
      <c r="F525" s="182" t="s">
        <v>2929</v>
      </c>
      <c r="G525" s="181" t="s">
        <v>12</v>
      </c>
      <c r="H525" s="193">
        <v>44803</v>
      </c>
      <c r="I525" s="193"/>
      <c r="J525" s="179" t="s">
        <v>3008</v>
      </c>
      <c r="K525" s="179" t="s">
        <v>3008</v>
      </c>
      <c r="L525" s="179" t="s">
        <v>2932</v>
      </c>
      <c r="M525" s="185"/>
      <c r="N525" s="185"/>
      <c r="O525" s="186"/>
      <c r="P525" s="185"/>
      <c r="Q525" s="182" t="s">
        <v>2933</v>
      </c>
      <c r="R525" s="182" t="s">
        <v>2934</v>
      </c>
      <c r="S525" s="182" t="s">
        <v>2952</v>
      </c>
      <c r="T525" s="179" t="s">
        <v>2974</v>
      </c>
      <c r="U525" s="183" t="s">
        <v>2954</v>
      </c>
      <c r="V525" s="183">
        <v>425</v>
      </c>
      <c r="W525" s="179" t="s">
        <v>2955</v>
      </c>
      <c r="X525" s="188">
        <v>203.33720000000002</v>
      </c>
      <c r="Y525" s="188">
        <v>130.89520000000002</v>
      </c>
      <c r="Z525" s="188">
        <v>108.85669999999999</v>
      </c>
      <c r="AA525" s="188">
        <v>58.511999999999993</v>
      </c>
      <c r="AB525" s="188">
        <v>4.1311</v>
      </c>
      <c r="AC525" s="188">
        <v>130.57470000000001</v>
      </c>
      <c r="AD525" s="179" t="s">
        <v>2956</v>
      </c>
      <c r="AE525" s="188" t="s">
        <v>2957</v>
      </c>
      <c r="AF525" s="189">
        <v>0.29166666666666669</v>
      </c>
      <c r="AG525" s="189">
        <v>0.95833333333333337</v>
      </c>
      <c r="AH525" s="190" t="s">
        <v>2941</v>
      </c>
      <c r="AI525" s="190" t="s">
        <v>2942</v>
      </c>
      <c r="AJ525" s="183" t="s">
        <v>851</v>
      </c>
      <c r="AK525" s="179" t="s">
        <v>3034</v>
      </c>
      <c r="AL525" s="183" t="s">
        <v>4</v>
      </c>
      <c r="AM525" s="183" t="s">
        <v>5052</v>
      </c>
      <c r="AN525" s="183" t="s">
        <v>2102</v>
      </c>
      <c r="AO525" s="183" t="s">
        <v>2778</v>
      </c>
      <c r="AP525" s="191">
        <v>81139006766</v>
      </c>
      <c r="AQ525" s="193">
        <v>44803</v>
      </c>
      <c r="AR525" s="183">
        <v>47</v>
      </c>
      <c r="AS525" s="183"/>
      <c r="AT525" s="182"/>
      <c r="AU525" s="182"/>
      <c r="AV525" s="192">
        <v>11888240</v>
      </c>
      <c r="AW525" s="181">
        <v>16.100000000000001</v>
      </c>
      <c r="AX525" s="183">
        <v>80234</v>
      </c>
      <c r="AY525" s="183"/>
    </row>
    <row r="526" spans="1:51" ht="14.4" x14ac:dyDescent="0.3">
      <c r="A526" s="183" t="s">
        <v>1205</v>
      </c>
      <c r="B526" s="183" t="s">
        <v>2947</v>
      </c>
      <c r="C526" s="180" t="s">
        <v>1204</v>
      </c>
      <c r="D526" s="181" t="s">
        <v>2838</v>
      </c>
      <c r="E526" s="181" t="s">
        <v>2830</v>
      </c>
      <c r="F526" s="182" t="s">
        <v>2929</v>
      </c>
      <c r="G526" s="181" t="s">
        <v>12</v>
      </c>
      <c r="H526" s="193">
        <v>44804</v>
      </c>
      <c r="I526" s="193"/>
      <c r="J526" s="179" t="s">
        <v>5053</v>
      </c>
      <c r="K526" s="179">
        <v>762</v>
      </c>
      <c r="L526" s="179" t="s">
        <v>3026</v>
      </c>
      <c r="M526" s="185"/>
      <c r="N526" s="185"/>
      <c r="O526" s="186"/>
      <c r="P526" s="185"/>
      <c r="Q526" s="182" t="s">
        <v>2934</v>
      </c>
      <c r="R526" s="182" t="s">
        <v>2933</v>
      </c>
      <c r="S526" s="182" t="s">
        <v>2952</v>
      </c>
      <c r="T526" s="179" t="s">
        <v>2974</v>
      </c>
      <c r="U526" s="183" t="s">
        <v>2954</v>
      </c>
      <c r="V526" s="183">
        <v>656</v>
      </c>
      <c r="W526" s="179" t="s">
        <v>3151</v>
      </c>
      <c r="X526" s="188">
        <v>211.99289999999999</v>
      </c>
      <c r="Y526" s="188">
        <v>143.03959999999998</v>
      </c>
      <c r="Z526" s="188">
        <v>119.8092</v>
      </c>
      <c r="AA526" s="188">
        <v>44.978999999999999</v>
      </c>
      <c r="AB526" s="188">
        <v>6.4009</v>
      </c>
      <c r="AC526" s="188">
        <v>133.53340000000003</v>
      </c>
      <c r="AD526" s="179" t="s">
        <v>2956</v>
      </c>
      <c r="AE526" s="188" t="s">
        <v>2957</v>
      </c>
      <c r="AF526" s="189">
        <v>0.29166666666666669</v>
      </c>
      <c r="AG526" s="189">
        <v>0.91666666666666663</v>
      </c>
      <c r="AH526" s="190" t="s">
        <v>2941</v>
      </c>
      <c r="AI526" s="190" t="s">
        <v>2942</v>
      </c>
      <c r="AJ526" s="183" t="s">
        <v>508</v>
      </c>
      <c r="AK526" s="179" t="s">
        <v>3034</v>
      </c>
      <c r="AL526" s="183" t="s">
        <v>4</v>
      </c>
      <c r="AM526" s="183" t="s">
        <v>5054</v>
      </c>
      <c r="AN526" s="183" t="s">
        <v>2102</v>
      </c>
      <c r="AO526" s="183" t="s">
        <v>2440</v>
      </c>
      <c r="AP526" s="191">
        <v>81139006757</v>
      </c>
      <c r="AQ526" s="193">
        <v>44804</v>
      </c>
      <c r="AR526" s="183">
        <v>47</v>
      </c>
      <c r="AS526" s="183"/>
      <c r="AT526" s="182"/>
      <c r="AU526" s="182"/>
      <c r="AV526" s="192">
        <v>10478358</v>
      </c>
      <c r="AW526" s="181">
        <v>14.1</v>
      </c>
      <c r="AX526" s="183">
        <v>80116</v>
      </c>
      <c r="AY526" s="183"/>
    </row>
    <row r="527" spans="1:51" ht="14.4" x14ac:dyDescent="0.3">
      <c r="A527" s="183" t="s">
        <v>1011</v>
      </c>
      <c r="B527" s="183" t="s">
        <v>2947</v>
      </c>
      <c r="C527" s="180" t="s">
        <v>2195</v>
      </c>
      <c r="D527" s="181" t="s">
        <v>2849</v>
      </c>
      <c r="E527" s="181" t="s">
        <v>2830</v>
      </c>
      <c r="F527" s="182" t="s">
        <v>2972</v>
      </c>
      <c r="G527" s="181" t="s">
        <v>17</v>
      </c>
      <c r="H527" s="193">
        <v>44819</v>
      </c>
      <c r="I527" s="193"/>
      <c r="J527" s="179" t="s">
        <v>5055</v>
      </c>
      <c r="K527" s="179">
        <v>550</v>
      </c>
      <c r="L527" s="179" t="s">
        <v>3026</v>
      </c>
      <c r="M527" s="185"/>
      <c r="N527" s="185"/>
      <c r="O527" s="179" t="s">
        <v>2951</v>
      </c>
      <c r="P527" s="185"/>
      <c r="Q527" s="182" t="s">
        <v>2933</v>
      </c>
      <c r="R527" s="182" t="s">
        <v>2934</v>
      </c>
      <c r="S527" s="182" t="s">
        <v>2952</v>
      </c>
      <c r="T527" s="179" t="s">
        <v>2974</v>
      </c>
      <c r="U527" s="183" t="s">
        <v>2954</v>
      </c>
      <c r="V527" s="183">
        <v>767</v>
      </c>
      <c r="W527" s="179" t="s">
        <v>2975</v>
      </c>
      <c r="X527" s="188">
        <v>377.31600000000003</v>
      </c>
      <c r="Y527" s="188">
        <v>234.96199999999999</v>
      </c>
      <c r="Z527" s="188">
        <v>120.4144</v>
      </c>
      <c r="AA527" s="188">
        <v>132.768</v>
      </c>
      <c r="AB527" s="188">
        <v>16.128</v>
      </c>
      <c r="AC527" s="188">
        <v>89.743499999999997</v>
      </c>
      <c r="AD527" s="179" t="s">
        <v>2956</v>
      </c>
      <c r="AE527" s="188" t="s">
        <v>2940</v>
      </c>
      <c r="AF527" s="189">
        <v>0.29166666666666669</v>
      </c>
      <c r="AG527" s="189">
        <v>0.95833333333333337</v>
      </c>
      <c r="AH527" s="190" t="s">
        <v>2941</v>
      </c>
      <c r="AI527" s="190" t="s">
        <v>2942</v>
      </c>
      <c r="AJ527" s="183" t="s">
        <v>1009</v>
      </c>
      <c r="AK527" s="179" t="s">
        <v>3034</v>
      </c>
      <c r="AL527" s="183" t="s">
        <v>4</v>
      </c>
      <c r="AM527" s="183" t="s">
        <v>5056</v>
      </c>
      <c r="AN527" s="183" t="s">
        <v>2102</v>
      </c>
      <c r="AO527" s="183" t="s">
        <v>2453</v>
      </c>
      <c r="AP527" s="191">
        <v>81139006902</v>
      </c>
      <c r="AQ527" s="193">
        <v>44819</v>
      </c>
      <c r="AR527" s="183">
        <v>47</v>
      </c>
      <c r="AS527" s="183"/>
      <c r="AT527" s="182" t="s">
        <v>3591</v>
      </c>
      <c r="AU527" s="182" t="s">
        <v>2946</v>
      </c>
      <c r="AV527" s="192">
        <v>11780868</v>
      </c>
      <c r="AW527" s="181">
        <v>18.3</v>
      </c>
      <c r="AX527" s="183">
        <v>80233</v>
      </c>
      <c r="AY527" s="183"/>
    </row>
    <row r="528" spans="1:51" ht="14.4" x14ac:dyDescent="0.3">
      <c r="A528" s="183" t="s">
        <v>683</v>
      </c>
      <c r="B528" s="183" t="s">
        <v>2947</v>
      </c>
      <c r="C528" s="180" t="s">
        <v>2213</v>
      </c>
      <c r="D528" s="181" t="s">
        <v>2831</v>
      </c>
      <c r="E528" s="181" t="s">
        <v>2830</v>
      </c>
      <c r="F528" s="182" t="s">
        <v>2972</v>
      </c>
      <c r="G528" s="181" t="s">
        <v>17</v>
      </c>
      <c r="H528" s="193">
        <v>44819</v>
      </c>
      <c r="I528" s="193"/>
      <c r="J528" s="179" t="s">
        <v>3008</v>
      </c>
      <c r="K528" s="179" t="s">
        <v>3008</v>
      </c>
      <c r="L528" s="179" t="s">
        <v>2932</v>
      </c>
      <c r="M528" s="185"/>
      <c r="N528" s="185" t="s">
        <v>2951</v>
      </c>
      <c r="O528" s="179" t="s">
        <v>2951</v>
      </c>
      <c r="P528" s="185"/>
      <c r="Q528" s="182" t="s">
        <v>2934</v>
      </c>
      <c r="R528" s="182" t="s">
        <v>2933</v>
      </c>
      <c r="S528" s="182" t="s">
        <v>2952</v>
      </c>
      <c r="T528" s="179" t="s">
        <v>2974</v>
      </c>
      <c r="U528" s="183" t="s">
        <v>2954</v>
      </c>
      <c r="V528" s="183">
        <v>999</v>
      </c>
      <c r="W528" s="179" t="s">
        <v>3009</v>
      </c>
      <c r="X528" s="188">
        <v>330.15599999999995</v>
      </c>
      <c r="Y528" s="188">
        <v>205.83799999999999</v>
      </c>
      <c r="Z528" s="188">
        <v>118.47199999999999</v>
      </c>
      <c r="AA528" s="188">
        <v>106.95399999999999</v>
      </c>
      <c r="AB528" s="188">
        <v>5.3676000000000004</v>
      </c>
      <c r="AC528" s="188">
        <v>65.804699999999997</v>
      </c>
      <c r="AD528" s="179" t="s">
        <v>2956</v>
      </c>
      <c r="AE528" s="188" t="s">
        <v>2940</v>
      </c>
      <c r="AF528" s="189">
        <v>0.29166666666666669</v>
      </c>
      <c r="AG528" s="189">
        <v>0.99930555555555556</v>
      </c>
      <c r="AH528" s="190" t="s">
        <v>2941</v>
      </c>
      <c r="AI528" s="190" t="s">
        <v>2985</v>
      </c>
      <c r="AJ528" s="183" t="s">
        <v>65</v>
      </c>
      <c r="AK528" s="179" t="s">
        <v>3256</v>
      </c>
      <c r="AL528" s="183" t="s">
        <v>4</v>
      </c>
      <c r="AM528" s="183" t="s">
        <v>5057</v>
      </c>
      <c r="AN528" s="183" t="s">
        <v>2102</v>
      </c>
      <c r="AO528" s="183" t="s">
        <v>2730</v>
      </c>
      <c r="AP528" s="191">
        <v>81139006903</v>
      </c>
      <c r="AQ528" s="193">
        <v>44819</v>
      </c>
      <c r="AR528" s="183">
        <v>47</v>
      </c>
      <c r="AS528" s="183"/>
      <c r="AT528" s="182" t="s">
        <v>5058</v>
      </c>
      <c r="AU528" s="182" t="s">
        <v>2946</v>
      </c>
      <c r="AV528" s="192">
        <v>11774850</v>
      </c>
      <c r="AW528" s="181">
        <v>40.200000000000003</v>
      </c>
      <c r="AX528" s="183">
        <v>80227</v>
      </c>
      <c r="AY528" s="183"/>
    </row>
    <row r="529" spans="1:51" ht="14.4" x14ac:dyDescent="0.3">
      <c r="A529" s="183" t="s">
        <v>1865</v>
      </c>
      <c r="B529" s="183" t="s">
        <v>2947</v>
      </c>
      <c r="C529" s="180" t="s">
        <v>2206</v>
      </c>
      <c r="D529" s="181" t="s">
        <v>2837</v>
      </c>
      <c r="E529" s="181" t="s">
        <v>2825</v>
      </c>
      <c r="F529" s="182" t="s">
        <v>2972</v>
      </c>
      <c r="G529" s="181" t="s">
        <v>17</v>
      </c>
      <c r="H529" s="193">
        <v>45931</v>
      </c>
      <c r="I529" s="193">
        <v>45931</v>
      </c>
      <c r="J529" s="179" t="s">
        <v>5059</v>
      </c>
      <c r="K529" s="179">
        <v>93</v>
      </c>
      <c r="L529" s="179" t="s">
        <v>2965</v>
      </c>
      <c r="M529" s="185"/>
      <c r="N529" s="185"/>
      <c r="O529" s="179" t="s">
        <v>2951</v>
      </c>
      <c r="P529" s="185"/>
      <c r="Q529" s="182" t="s">
        <v>2933</v>
      </c>
      <c r="R529" s="182" t="s">
        <v>2934</v>
      </c>
      <c r="S529" s="182" t="s">
        <v>2952</v>
      </c>
      <c r="T529" s="179" t="s">
        <v>2953</v>
      </c>
      <c r="U529" s="183" t="s">
        <v>2954</v>
      </c>
      <c r="V529" s="183">
        <v>709</v>
      </c>
      <c r="W529" s="179" t="s">
        <v>2975</v>
      </c>
      <c r="X529" s="188">
        <v>390.73739999999998</v>
      </c>
      <c r="Y529" s="188">
        <v>247.87359999999998</v>
      </c>
      <c r="Z529" s="188">
        <v>130.8888</v>
      </c>
      <c r="AA529" s="188">
        <v>123.06840000000001</v>
      </c>
      <c r="AB529" s="188">
        <v>20.580000000000002</v>
      </c>
      <c r="AC529" s="188">
        <v>341.62800000000004</v>
      </c>
      <c r="AD529" s="179" t="s">
        <v>2956</v>
      </c>
      <c r="AE529" s="188" t="s">
        <v>3017</v>
      </c>
      <c r="AF529" s="189">
        <v>0.29166666666666669</v>
      </c>
      <c r="AG529" s="189">
        <v>0.95833333333333337</v>
      </c>
      <c r="AH529" s="190" t="s">
        <v>2941</v>
      </c>
      <c r="AI529" s="190" t="s">
        <v>2942</v>
      </c>
      <c r="AJ529" s="183" t="s">
        <v>339</v>
      </c>
      <c r="AK529" s="179" t="s">
        <v>3010</v>
      </c>
      <c r="AL529" s="183" t="s">
        <v>36</v>
      </c>
      <c r="AM529" s="183" t="s">
        <v>5060</v>
      </c>
      <c r="AN529" s="183" t="s">
        <v>2102</v>
      </c>
      <c r="AO529" s="183" t="s">
        <v>2551</v>
      </c>
      <c r="AP529" s="191">
        <v>81139006904</v>
      </c>
      <c r="AQ529" s="193">
        <v>44822</v>
      </c>
      <c r="AR529" s="183">
        <v>47</v>
      </c>
      <c r="AS529" s="183"/>
      <c r="AT529" s="182" t="s">
        <v>5061</v>
      </c>
      <c r="AU529" s="182" t="s">
        <v>2946</v>
      </c>
      <c r="AV529" s="192">
        <v>11036362</v>
      </c>
      <c r="AW529" s="181">
        <v>11.2</v>
      </c>
      <c r="AX529" s="183">
        <v>82121</v>
      </c>
      <c r="AY529" s="183"/>
    </row>
    <row r="530" spans="1:51" ht="14.4" x14ac:dyDescent="0.3">
      <c r="A530" s="183" t="s">
        <v>1802</v>
      </c>
      <c r="B530" s="183" t="s">
        <v>2927</v>
      </c>
      <c r="C530" s="180" t="s">
        <v>5062</v>
      </c>
      <c r="D530" s="181" t="s">
        <v>2831</v>
      </c>
      <c r="E530" s="181" t="s">
        <v>2830</v>
      </c>
      <c r="F530" s="182" t="s">
        <v>2929</v>
      </c>
      <c r="G530" s="181" t="s">
        <v>12</v>
      </c>
      <c r="H530" s="193">
        <v>44829</v>
      </c>
      <c r="I530" s="193"/>
      <c r="J530" s="179" t="s">
        <v>5063</v>
      </c>
      <c r="K530" s="179">
        <v>74</v>
      </c>
      <c r="L530" s="179" t="s">
        <v>2965</v>
      </c>
      <c r="M530" s="185"/>
      <c r="N530" s="185"/>
      <c r="O530" s="186"/>
      <c r="P530" s="185"/>
      <c r="Q530" s="182" t="s">
        <v>2933</v>
      </c>
      <c r="R530" s="182" t="s">
        <v>2934</v>
      </c>
      <c r="S530" s="182" t="s">
        <v>2952</v>
      </c>
      <c r="T530" s="179" t="s">
        <v>2974</v>
      </c>
      <c r="U530" s="183" t="s">
        <v>2937</v>
      </c>
      <c r="V530" s="183">
        <v>970</v>
      </c>
      <c r="W530" s="179" t="s">
        <v>2975</v>
      </c>
      <c r="X530" s="188">
        <v>259.09650000000005</v>
      </c>
      <c r="Y530" s="188">
        <v>154.32299999999998</v>
      </c>
      <c r="Z530" s="188">
        <v>107.66029999999999</v>
      </c>
      <c r="AA530" s="188">
        <v>90.855200000000011</v>
      </c>
      <c r="AB530" s="188">
        <v>10.200000000000001</v>
      </c>
      <c r="AC530" s="188">
        <v>167.17439999999999</v>
      </c>
      <c r="AD530" s="179" t="s">
        <v>2956</v>
      </c>
      <c r="AE530" s="188" t="s">
        <v>3017</v>
      </c>
      <c r="AF530" s="189">
        <v>0.29166666666666669</v>
      </c>
      <c r="AG530" s="189">
        <v>0.91666666666666663</v>
      </c>
      <c r="AH530" s="190" t="s">
        <v>2941</v>
      </c>
      <c r="AI530" s="190" t="s">
        <v>2985</v>
      </c>
      <c r="AJ530" s="183" t="s">
        <v>523</v>
      </c>
      <c r="AK530" s="179" t="s">
        <v>3387</v>
      </c>
      <c r="AL530" s="183" t="s">
        <v>4</v>
      </c>
      <c r="AM530" s="183" t="s">
        <v>5064</v>
      </c>
      <c r="AN530" s="183" t="s">
        <v>2102</v>
      </c>
      <c r="AO530" s="183" t="s">
        <v>2271</v>
      </c>
      <c r="AP530" s="191">
        <v>81138205377</v>
      </c>
      <c r="AQ530" s="193">
        <v>44829</v>
      </c>
      <c r="AR530" s="183">
        <v>47</v>
      </c>
      <c r="AS530" s="183"/>
      <c r="AT530" s="182"/>
      <c r="AU530" s="182"/>
      <c r="AV530" s="192">
        <v>14332850</v>
      </c>
      <c r="AW530" s="181">
        <v>25.4</v>
      </c>
      <c r="AX530" s="183">
        <v>80239</v>
      </c>
      <c r="AY530" s="183"/>
    </row>
    <row r="531" spans="1:51" ht="14.4" x14ac:dyDescent="0.3">
      <c r="A531" s="183" t="s">
        <v>914</v>
      </c>
      <c r="B531" s="183" t="s">
        <v>2927</v>
      </c>
      <c r="C531" s="180" t="s">
        <v>2133</v>
      </c>
      <c r="D531" s="181" t="s">
        <v>2850</v>
      </c>
      <c r="E531" s="181" t="s">
        <v>2817</v>
      </c>
      <c r="F531" s="182" t="s">
        <v>2929</v>
      </c>
      <c r="G531" s="181" t="s">
        <v>12</v>
      </c>
      <c r="H531" s="193">
        <v>44829</v>
      </c>
      <c r="I531" s="193"/>
      <c r="J531" s="179" t="s">
        <v>5065</v>
      </c>
      <c r="K531" s="179">
        <v>67</v>
      </c>
      <c r="L531" s="179" t="s">
        <v>2965</v>
      </c>
      <c r="M531" s="185"/>
      <c r="N531" s="185"/>
      <c r="O531" s="186"/>
      <c r="P531" s="185"/>
      <c r="Q531" s="182" t="s">
        <v>2934</v>
      </c>
      <c r="R531" s="182" t="s">
        <v>2933</v>
      </c>
      <c r="S531" s="182" t="s">
        <v>2952</v>
      </c>
      <c r="T531" s="179" t="s">
        <v>2974</v>
      </c>
      <c r="U531" s="183" t="s">
        <v>2937</v>
      </c>
      <c r="V531" s="183">
        <v>970</v>
      </c>
      <c r="W531" s="179" t="s">
        <v>5066</v>
      </c>
      <c r="X531" s="188">
        <v>165.60720000000001</v>
      </c>
      <c r="Y531" s="188">
        <v>95.386499999999998</v>
      </c>
      <c r="Z531" s="188">
        <v>84.804299999999998</v>
      </c>
      <c r="AA531" s="188">
        <v>65.562000000000012</v>
      </c>
      <c r="AB531" s="188">
        <v>7.2352000000000007</v>
      </c>
      <c r="AC531" s="188">
        <v>103.16160000000001</v>
      </c>
      <c r="AD531" s="179" t="s">
        <v>2956</v>
      </c>
      <c r="AE531" s="188" t="s">
        <v>2957</v>
      </c>
      <c r="AF531" s="189">
        <v>0.29166666666666669</v>
      </c>
      <c r="AG531" s="189">
        <v>0.95833333333333337</v>
      </c>
      <c r="AH531" s="190" t="s">
        <v>2941</v>
      </c>
      <c r="AI531" s="190" t="s">
        <v>2985</v>
      </c>
      <c r="AJ531" s="183" t="s">
        <v>912</v>
      </c>
      <c r="AK531" s="179" t="s">
        <v>3387</v>
      </c>
      <c r="AL531" s="183" t="s">
        <v>4</v>
      </c>
      <c r="AM531" s="183" t="s">
        <v>5067</v>
      </c>
      <c r="AN531" s="183" t="s">
        <v>2102</v>
      </c>
      <c r="AO531" s="183" t="s">
        <v>2721</v>
      </c>
      <c r="AP531" s="191">
        <v>81139001650</v>
      </c>
      <c r="AQ531" s="193">
        <v>44829</v>
      </c>
      <c r="AR531" s="183">
        <v>47</v>
      </c>
      <c r="AS531" s="183"/>
      <c r="AT531" s="182"/>
      <c r="AU531" s="182"/>
      <c r="AV531" s="192">
        <v>10136213</v>
      </c>
      <c r="AW531" s="181">
        <v>25.1</v>
      </c>
      <c r="AX531" s="183">
        <v>82121</v>
      </c>
      <c r="AY531" s="183"/>
    </row>
    <row r="532" spans="1:51" ht="14.4" x14ac:dyDescent="0.3">
      <c r="A532" s="183" t="s">
        <v>1020</v>
      </c>
      <c r="B532" s="183" t="s">
        <v>2947</v>
      </c>
      <c r="C532" s="180" t="s">
        <v>1019</v>
      </c>
      <c r="D532" s="181" t="s">
        <v>2854</v>
      </c>
      <c r="E532" s="181" t="s">
        <v>2821</v>
      </c>
      <c r="F532" s="182" t="s">
        <v>2929</v>
      </c>
      <c r="G532" s="181" t="s">
        <v>12</v>
      </c>
      <c r="H532" s="193">
        <v>44832</v>
      </c>
      <c r="I532" s="193"/>
      <c r="J532" s="179" t="s">
        <v>5068</v>
      </c>
      <c r="K532" s="179">
        <v>290</v>
      </c>
      <c r="L532" s="179" t="s">
        <v>2950</v>
      </c>
      <c r="M532" s="185"/>
      <c r="N532" s="185"/>
      <c r="O532" s="186"/>
      <c r="P532" s="185"/>
      <c r="Q532" s="182" t="s">
        <v>2933</v>
      </c>
      <c r="R532" s="182" t="s">
        <v>2934</v>
      </c>
      <c r="S532" s="182" t="s">
        <v>2935</v>
      </c>
      <c r="T532" s="179" t="s">
        <v>2974</v>
      </c>
      <c r="U532" s="183" t="s">
        <v>2954</v>
      </c>
      <c r="V532" s="183">
        <v>529</v>
      </c>
      <c r="W532" s="179" t="s">
        <v>3151</v>
      </c>
      <c r="X532" s="188">
        <v>268.39019999999999</v>
      </c>
      <c r="Y532" s="188">
        <v>166.72499999999999</v>
      </c>
      <c r="Z532" s="188">
        <v>113.988</v>
      </c>
      <c r="AA532" s="188">
        <v>84.040500000000009</v>
      </c>
      <c r="AB532" s="188">
        <v>11.040000000000001</v>
      </c>
      <c r="AC532" s="188">
        <v>151.619</v>
      </c>
      <c r="AD532" s="179" t="s">
        <v>2956</v>
      </c>
      <c r="AE532" s="188" t="s">
        <v>2957</v>
      </c>
      <c r="AF532" s="189">
        <v>0.29166666666666669</v>
      </c>
      <c r="AG532" s="189">
        <v>0.95833333333333337</v>
      </c>
      <c r="AH532" s="190" t="s">
        <v>2941</v>
      </c>
      <c r="AI532" s="190" t="s">
        <v>2942</v>
      </c>
      <c r="AJ532" s="183" t="s">
        <v>466</v>
      </c>
      <c r="AK532" s="179" t="s">
        <v>3034</v>
      </c>
      <c r="AL532" s="183" t="s">
        <v>4</v>
      </c>
      <c r="AM532" s="183" t="s">
        <v>5069</v>
      </c>
      <c r="AN532" s="183" t="s">
        <v>2102</v>
      </c>
      <c r="AO532" s="183" t="s">
        <v>2561</v>
      </c>
      <c r="AP532" s="191">
        <v>81139008356</v>
      </c>
      <c r="AQ532" s="193">
        <v>44832</v>
      </c>
      <c r="AR532" s="183">
        <v>47</v>
      </c>
      <c r="AS532" s="183"/>
      <c r="AT532" s="182"/>
      <c r="AU532" s="182"/>
      <c r="AV532" s="192">
        <v>12236616</v>
      </c>
      <c r="AW532" s="181">
        <v>18.3</v>
      </c>
      <c r="AX532" s="183">
        <v>80231</v>
      </c>
      <c r="AY532" s="183"/>
    </row>
    <row r="533" spans="1:51" ht="14.4" x14ac:dyDescent="0.3">
      <c r="A533" s="179" t="s">
        <v>1732</v>
      </c>
      <c r="B533" s="183" t="s">
        <v>2927</v>
      </c>
      <c r="C533" s="180" t="s">
        <v>1731</v>
      </c>
      <c r="D533" s="181" t="s">
        <v>2823</v>
      </c>
      <c r="E533" s="181" t="s">
        <v>2819</v>
      </c>
      <c r="F533" s="182" t="s">
        <v>2929</v>
      </c>
      <c r="G533" s="181" t="s">
        <v>12</v>
      </c>
      <c r="H533" s="193">
        <v>44850</v>
      </c>
      <c r="I533" s="193"/>
      <c r="J533" s="179" t="s">
        <v>5070</v>
      </c>
      <c r="K533" s="179">
        <v>180</v>
      </c>
      <c r="L533" s="179" t="s">
        <v>2950</v>
      </c>
      <c r="M533" s="185"/>
      <c r="N533" s="185"/>
      <c r="O533" s="186"/>
      <c r="P533" s="185"/>
      <c r="Q533" s="182" t="s">
        <v>2933</v>
      </c>
      <c r="R533" s="182" t="s">
        <v>2934</v>
      </c>
      <c r="S533" s="182" t="s">
        <v>2952</v>
      </c>
      <c r="T533" s="179" t="s">
        <v>2974</v>
      </c>
      <c r="U533" s="183" t="s">
        <v>2937</v>
      </c>
      <c r="V533" s="183">
        <v>529</v>
      </c>
      <c r="W533" s="179" t="s">
        <v>3009</v>
      </c>
      <c r="X533" s="188">
        <v>361.20000000000005</v>
      </c>
      <c r="Y533" s="188">
        <v>218.036</v>
      </c>
      <c r="Z533" s="188">
        <v>125.63840000000002</v>
      </c>
      <c r="AA533" s="188">
        <v>134.78</v>
      </c>
      <c r="AB533" s="188">
        <v>14.04</v>
      </c>
      <c r="AC533" s="188">
        <v>69.614999999999995</v>
      </c>
      <c r="AD533" s="179" t="s">
        <v>2956</v>
      </c>
      <c r="AE533" s="188" t="s">
        <v>2940</v>
      </c>
      <c r="AF533" s="189">
        <v>0.29166666666666669</v>
      </c>
      <c r="AG533" s="189">
        <v>0.99930555555555556</v>
      </c>
      <c r="AH533" s="190" t="s">
        <v>2941</v>
      </c>
      <c r="AI533" s="190" t="s">
        <v>2942</v>
      </c>
      <c r="AJ533" s="183" t="s">
        <v>316</v>
      </c>
      <c r="AK533" s="179" t="s">
        <v>2977</v>
      </c>
      <c r="AL533" s="183" t="s">
        <v>9</v>
      </c>
      <c r="AM533" s="183" t="s">
        <v>5071</v>
      </c>
      <c r="AN533" s="183" t="s">
        <v>2102</v>
      </c>
      <c r="AO533" s="206" t="s">
        <v>2270</v>
      </c>
      <c r="AP533" s="191">
        <v>81139007373</v>
      </c>
      <c r="AQ533" s="193">
        <v>44850</v>
      </c>
      <c r="AR533" s="183">
        <v>46</v>
      </c>
      <c r="AS533" s="183"/>
      <c r="AT533" s="182"/>
      <c r="AU533" s="182"/>
      <c r="AV533" s="192">
        <v>9873783</v>
      </c>
      <c r="AW533" s="181">
        <v>20.3</v>
      </c>
      <c r="AX533" s="206">
        <v>80363</v>
      </c>
      <c r="AY533" s="183"/>
    </row>
    <row r="534" spans="1:51" ht="14.4" x14ac:dyDescent="0.3">
      <c r="A534" s="179" t="s">
        <v>1149</v>
      </c>
      <c r="B534" s="183" t="s">
        <v>2947</v>
      </c>
      <c r="C534" s="180" t="s">
        <v>1148</v>
      </c>
      <c r="D534" s="181" t="s">
        <v>2849</v>
      </c>
      <c r="E534" s="181" t="s">
        <v>2830</v>
      </c>
      <c r="F534" s="182" t="s">
        <v>2929</v>
      </c>
      <c r="G534" s="181" t="s">
        <v>12</v>
      </c>
      <c r="H534" s="193">
        <v>44851</v>
      </c>
      <c r="I534" s="193"/>
      <c r="J534" s="179" t="s">
        <v>5072</v>
      </c>
      <c r="K534" s="179">
        <v>40</v>
      </c>
      <c r="L534" s="179" t="s">
        <v>2965</v>
      </c>
      <c r="M534" s="185"/>
      <c r="N534" s="185"/>
      <c r="O534" s="186"/>
      <c r="P534" s="185"/>
      <c r="Q534" s="182" t="s">
        <v>2933</v>
      </c>
      <c r="R534" s="182" t="s">
        <v>2934</v>
      </c>
      <c r="S534" s="182" t="s">
        <v>2952</v>
      </c>
      <c r="T534" s="179" t="s">
        <v>2974</v>
      </c>
      <c r="U534" s="183" t="s">
        <v>2954</v>
      </c>
      <c r="V534" s="183">
        <v>954</v>
      </c>
      <c r="W534" s="179" t="s">
        <v>3549</v>
      </c>
      <c r="X534" s="188">
        <v>359.29680000000002</v>
      </c>
      <c r="Y534" s="188">
        <v>199.45840000000001</v>
      </c>
      <c r="Z534" s="188">
        <v>105.38079999999999</v>
      </c>
      <c r="AA534" s="188">
        <v>141.726</v>
      </c>
      <c r="AB534" s="188">
        <v>15.897400000000001</v>
      </c>
      <c r="AC534" s="188">
        <v>60.114400000000003</v>
      </c>
      <c r="AD534" s="179" t="s">
        <v>2956</v>
      </c>
      <c r="AE534" s="188" t="s">
        <v>2940</v>
      </c>
      <c r="AF534" s="189">
        <v>0.29166666666666669</v>
      </c>
      <c r="AG534" s="189">
        <v>0.95833333333333337</v>
      </c>
      <c r="AH534" s="190" t="s">
        <v>2941</v>
      </c>
      <c r="AI534" s="190" t="s">
        <v>2985</v>
      </c>
      <c r="AJ534" s="183" t="s">
        <v>829</v>
      </c>
      <c r="AK534" s="179" t="s">
        <v>3387</v>
      </c>
      <c r="AL534" s="183" t="s">
        <v>4</v>
      </c>
      <c r="AM534" s="183" t="s">
        <v>5073</v>
      </c>
      <c r="AN534" s="183" t="s">
        <v>2102</v>
      </c>
      <c r="AO534" s="206" t="s">
        <v>2774</v>
      </c>
      <c r="AP534" s="191">
        <v>81139007337</v>
      </c>
      <c r="AQ534" s="193">
        <v>44851</v>
      </c>
      <c r="AR534" s="183">
        <v>46</v>
      </c>
      <c r="AS534" s="183"/>
      <c r="AT534" s="182"/>
      <c r="AU534" s="182"/>
      <c r="AV534" s="192">
        <v>12565410</v>
      </c>
      <c r="AW534" s="181">
        <v>25.6</v>
      </c>
      <c r="AX534" s="206">
        <v>80236</v>
      </c>
      <c r="AY534" s="183"/>
    </row>
    <row r="535" spans="1:51" ht="14.4" x14ac:dyDescent="0.3">
      <c r="A535" s="179" t="s">
        <v>753</v>
      </c>
      <c r="B535" s="183" t="s">
        <v>2947</v>
      </c>
      <c r="C535" s="180" t="s">
        <v>751</v>
      </c>
      <c r="D535" s="181" t="s">
        <v>2820</v>
      </c>
      <c r="E535" s="181" t="s">
        <v>2819</v>
      </c>
      <c r="F535" s="182" t="s">
        <v>2929</v>
      </c>
      <c r="G535" s="181" t="s">
        <v>12</v>
      </c>
      <c r="H535" s="193">
        <v>44861</v>
      </c>
      <c r="I535" s="193"/>
      <c r="J535" s="179" t="s">
        <v>3008</v>
      </c>
      <c r="K535" s="179" t="s">
        <v>3008</v>
      </c>
      <c r="L535" s="179" t="s">
        <v>2932</v>
      </c>
      <c r="M535" s="185"/>
      <c r="N535" s="185" t="s">
        <v>2951</v>
      </c>
      <c r="O535" s="186"/>
      <c r="P535" s="185"/>
      <c r="Q535" s="182" t="s">
        <v>2933</v>
      </c>
      <c r="R535" s="182" t="s">
        <v>2934</v>
      </c>
      <c r="S535" s="182" t="s">
        <v>2952</v>
      </c>
      <c r="T535" s="179" t="s">
        <v>2953</v>
      </c>
      <c r="U535" s="183" t="s">
        <v>2954</v>
      </c>
      <c r="V535" s="183">
        <v>357</v>
      </c>
      <c r="W535" s="179" t="s">
        <v>2975</v>
      </c>
      <c r="X535" s="188">
        <v>487.8904</v>
      </c>
      <c r="Y535" s="188">
        <v>311.71199999999999</v>
      </c>
      <c r="Z535" s="188">
        <v>155.4924</v>
      </c>
      <c r="AA535" s="188">
        <v>172.71940000000001</v>
      </c>
      <c r="AB535" s="188">
        <v>23.968000000000004</v>
      </c>
      <c r="AC535" s="188">
        <v>121.18819999999999</v>
      </c>
      <c r="AD535" s="179" t="s">
        <v>2956</v>
      </c>
      <c r="AE535" s="188" t="s">
        <v>2940</v>
      </c>
      <c r="AF535" s="189">
        <v>0.29166666666666669</v>
      </c>
      <c r="AG535" s="189">
        <v>0.95833333333333337</v>
      </c>
      <c r="AH535" s="190" t="s">
        <v>2941</v>
      </c>
      <c r="AI535" s="190" t="s">
        <v>2942</v>
      </c>
      <c r="AJ535" s="183" t="s">
        <v>115</v>
      </c>
      <c r="AK535" s="179" t="s">
        <v>2958</v>
      </c>
      <c r="AL535" s="183" t="s">
        <v>4</v>
      </c>
      <c r="AM535" s="183" t="s">
        <v>5074</v>
      </c>
      <c r="AN535" s="183" t="s">
        <v>2102</v>
      </c>
      <c r="AO535" s="206" t="s">
        <v>2773</v>
      </c>
      <c r="AP535" s="191">
        <v>81139007910</v>
      </c>
      <c r="AQ535" s="193">
        <v>44861</v>
      </c>
      <c r="AR535" s="183">
        <v>46</v>
      </c>
      <c r="AS535" s="183"/>
      <c r="AT535" s="182"/>
      <c r="AU535" s="182"/>
      <c r="AV535" s="192">
        <v>11804100</v>
      </c>
      <c r="AW535" s="181">
        <v>19</v>
      </c>
      <c r="AX535" s="206">
        <v>80117</v>
      </c>
      <c r="AY535" s="183"/>
    </row>
    <row r="536" spans="1:51" ht="14.4" x14ac:dyDescent="0.3">
      <c r="A536" s="179" t="s">
        <v>1049</v>
      </c>
      <c r="B536" s="183" t="s">
        <v>2947</v>
      </c>
      <c r="C536" s="180" t="s">
        <v>2235</v>
      </c>
      <c r="D536" s="181" t="s">
        <v>2816</v>
      </c>
      <c r="E536" s="181" t="s">
        <v>2815</v>
      </c>
      <c r="F536" s="182" t="s">
        <v>2972</v>
      </c>
      <c r="G536" s="181" t="s">
        <v>17</v>
      </c>
      <c r="H536" s="193">
        <v>45842</v>
      </c>
      <c r="I536" s="193"/>
      <c r="J536" s="179" t="s">
        <v>5075</v>
      </c>
      <c r="K536" s="179">
        <v>450</v>
      </c>
      <c r="L536" s="179" t="s">
        <v>3026</v>
      </c>
      <c r="M536" s="185"/>
      <c r="N536" s="185" t="s">
        <v>2951</v>
      </c>
      <c r="O536" s="179" t="s">
        <v>2951</v>
      </c>
      <c r="P536" s="185"/>
      <c r="Q536" s="182" t="s">
        <v>2934</v>
      </c>
      <c r="R536" s="182" t="s">
        <v>2933</v>
      </c>
      <c r="S536" s="182" t="s">
        <v>2935</v>
      </c>
      <c r="T536" s="179" t="s">
        <v>2974</v>
      </c>
      <c r="U536" s="183" t="s">
        <v>2954</v>
      </c>
      <c r="V536" s="183">
        <v>528</v>
      </c>
      <c r="W536" s="179" t="s">
        <v>3009</v>
      </c>
      <c r="X536" s="188">
        <v>388.8</v>
      </c>
      <c r="Y536" s="188">
        <v>247.5</v>
      </c>
      <c r="Z536" s="188">
        <v>135.53399999999999</v>
      </c>
      <c r="AA536" s="188">
        <v>134.01059999999998</v>
      </c>
      <c r="AB536" s="188">
        <v>23.52</v>
      </c>
      <c r="AC536" s="188">
        <v>78.644999999999996</v>
      </c>
      <c r="AD536" s="179" t="s">
        <v>2956</v>
      </c>
      <c r="AE536" s="188" t="s">
        <v>2940</v>
      </c>
      <c r="AF536" s="189">
        <v>0.29166666666666669</v>
      </c>
      <c r="AG536" s="189">
        <v>0.95833333333333337</v>
      </c>
      <c r="AH536" s="190" t="s">
        <v>2941</v>
      </c>
      <c r="AI536" s="190" t="s">
        <v>2985</v>
      </c>
      <c r="AJ536" s="183" t="s">
        <v>857</v>
      </c>
      <c r="AK536" s="179" t="s">
        <v>3000</v>
      </c>
      <c r="AL536" s="183" t="s">
        <v>28</v>
      </c>
      <c r="AM536" s="183" t="s">
        <v>5076</v>
      </c>
      <c r="AN536" s="183" t="s">
        <v>2102</v>
      </c>
      <c r="AO536" s="206" t="s">
        <v>2696</v>
      </c>
      <c r="AP536" s="191">
        <v>81139007911</v>
      </c>
      <c r="AQ536" s="193">
        <v>44862</v>
      </c>
      <c r="AR536" s="183">
        <v>46</v>
      </c>
      <c r="AS536" s="183"/>
      <c r="AT536" s="182" t="s">
        <v>5077</v>
      </c>
      <c r="AU536" s="182" t="s">
        <v>2946</v>
      </c>
      <c r="AV536" s="192">
        <v>10879972</v>
      </c>
      <c r="AW536" s="181">
        <v>18</v>
      </c>
      <c r="AX536" s="206">
        <v>80571</v>
      </c>
      <c r="AY536" s="183"/>
    </row>
    <row r="537" spans="1:51" ht="14.4" x14ac:dyDescent="0.3">
      <c r="A537" s="179" t="s">
        <v>1235</v>
      </c>
      <c r="B537" s="179" t="s">
        <v>2947</v>
      </c>
      <c r="C537" s="180" t="s">
        <v>2087</v>
      </c>
      <c r="D537" s="181" t="s">
        <v>2874</v>
      </c>
      <c r="E537" s="181" t="s">
        <v>2867</v>
      </c>
      <c r="F537" s="182" t="s">
        <v>2972</v>
      </c>
      <c r="G537" s="181" t="s">
        <v>17</v>
      </c>
      <c r="H537" s="193">
        <v>45788</v>
      </c>
      <c r="I537" s="193">
        <v>45788</v>
      </c>
      <c r="J537" s="179" t="s">
        <v>5078</v>
      </c>
      <c r="K537" s="179">
        <v>190</v>
      </c>
      <c r="L537" s="179" t="s">
        <v>2950</v>
      </c>
      <c r="M537" s="185"/>
      <c r="N537" s="185" t="s">
        <v>2951</v>
      </c>
      <c r="O537" s="186"/>
      <c r="P537" s="185"/>
      <c r="Q537" s="182" t="s">
        <v>2933</v>
      </c>
      <c r="R537" s="182" t="s">
        <v>2934</v>
      </c>
      <c r="S537" s="182" t="s">
        <v>2952</v>
      </c>
      <c r="T537" s="179" t="s">
        <v>2974</v>
      </c>
      <c r="U537" s="183" t="s">
        <v>2954</v>
      </c>
      <c r="V537" s="183">
        <v>574</v>
      </c>
      <c r="W537" s="179" t="s">
        <v>2975</v>
      </c>
      <c r="X537" s="188">
        <v>427.67099999999999</v>
      </c>
      <c r="Y537" s="188">
        <v>289.48050000000001</v>
      </c>
      <c r="Z537" s="188">
        <v>145.19999999999999</v>
      </c>
      <c r="AA537" s="188">
        <v>126.8685</v>
      </c>
      <c r="AB537" s="188">
        <v>27.224999999999998</v>
      </c>
      <c r="AC537" s="188">
        <v>438.55500000000001</v>
      </c>
      <c r="AD537" s="179" t="s">
        <v>2956</v>
      </c>
      <c r="AE537" s="188" t="s">
        <v>3017</v>
      </c>
      <c r="AF537" s="189">
        <v>0.29166666666666669</v>
      </c>
      <c r="AG537" s="189">
        <v>0.99930555555555556</v>
      </c>
      <c r="AH537" s="190" t="s">
        <v>2941</v>
      </c>
      <c r="AI537" s="190" t="s">
        <v>2942</v>
      </c>
      <c r="AJ537" s="183" t="s">
        <v>915</v>
      </c>
      <c r="AK537" s="179" t="s">
        <v>2958</v>
      </c>
      <c r="AL537" s="183" t="s">
        <v>4</v>
      </c>
      <c r="AM537" s="183" t="s">
        <v>5079</v>
      </c>
      <c r="AN537" s="183" t="s">
        <v>2102</v>
      </c>
      <c r="AO537" s="209" t="s">
        <v>2729</v>
      </c>
      <c r="AP537" s="191">
        <v>81139008016</v>
      </c>
      <c r="AQ537" s="193">
        <v>44887</v>
      </c>
      <c r="AR537" s="183">
        <v>45</v>
      </c>
      <c r="AS537" s="183"/>
      <c r="AT537" s="182" t="s">
        <v>3333</v>
      </c>
      <c r="AU537" s="182"/>
      <c r="AV537" s="192">
        <v>14299395</v>
      </c>
      <c r="AW537" s="181">
        <v>28.4</v>
      </c>
      <c r="AX537" s="206">
        <v>80114</v>
      </c>
      <c r="AY537" s="183"/>
    </row>
    <row r="538" spans="1:51" ht="14.4" x14ac:dyDescent="0.3">
      <c r="A538" s="179" t="s">
        <v>1463</v>
      </c>
      <c r="B538" s="179" t="s">
        <v>2927</v>
      </c>
      <c r="C538" s="180" t="s">
        <v>1462</v>
      </c>
      <c r="D538" s="181" t="s">
        <v>2849</v>
      </c>
      <c r="E538" s="181" t="s">
        <v>2830</v>
      </c>
      <c r="F538" s="182" t="s">
        <v>2929</v>
      </c>
      <c r="G538" s="181" t="s">
        <v>12</v>
      </c>
      <c r="H538" s="193">
        <v>44888</v>
      </c>
      <c r="I538" s="193"/>
      <c r="J538" s="179" t="s">
        <v>5080</v>
      </c>
      <c r="K538" s="179">
        <v>500</v>
      </c>
      <c r="L538" s="179" t="s">
        <v>3026</v>
      </c>
      <c r="M538" s="185"/>
      <c r="N538" s="185"/>
      <c r="O538" s="186"/>
      <c r="P538" s="185"/>
      <c r="Q538" s="182" t="s">
        <v>2934</v>
      </c>
      <c r="R538" s="182" t="s">
        <v>2933</v>
      </c>
      <c r="S538" s="182" t="s">
        <v>2952</v>
      </c>
      <c r="T538" s="179" t="s">
        <v>4623</v>
      </c>
      <c r="U538" s="183" t="s">
        <v>2937</v>
      </c>
      <c r="V538" s="183">
        <v>489</v>
      </c>
      <c r="W538" s="179" t="s">
        <v>3009</v>
      </c>
      <c r="X538" s="188">
        <v>366.14600000000002</v>
      </c>
      <c r="Y538" s="188">
        <v>229.976</v>
      </c>
      <c r="Z538" s="188">
        <v>128.45250000000001</v>
      </c>
      <c r="AA538" s="188">
        <v>127.71</v>
      </c>
      <c r="AB538" s="188">
        <v>14.75</v>
      </c>
      <c r="AC538" s="188">
        <v>77.516999999999996</v>
      </c>
      <c r="AD538" s="179" t="s">
        <v>2956</v>
      </c>
      <c r="AE538" s="188" t="s">
        <v>2940</v>
      </c>
      <c r="AF538" s="189">
        <v>0.29166666666666669</v>
      </c>
      <c r="AG538" s="189">
        <v>0.91666666666666663</v>
      </c>
      <c r="AH538" s="190" t="s">
        <v>2941</v>
      </c>
      <c r="AI538" s="190" t="s">
        <v>2985</v>
      </c>
      <c r="AJ538" s="183" t="s">
        <v>1461</v>
      </c>
      <c r="AK538" s="179" t="s">
        <v>3387</v>
      </c>
      <c r="AL538" s="183" t="s">
        <v>4</v>
      </c>
      <c r="AM538" s="183" t="s">
        <v>5081</v>
      </c>
      <c r="AN538" s="183" t="s">
        <v>2102</v>
      </c>
      <c r="AO538" s="209" t="s">
        <v>2336</v>
      </c>
      <c r="AP538" s="191">
        <v>81139008018</v>
      </c>
      <c r="AQ538" s="193">
        <v>44888</v>
      </c>
      <c r="AR538" s="183">
        <v>45</v>
      </c>
      <c r="AS538" s="183"/>
      <c r="AT538" s="182"/>
      <c r="AU538" s="182"/>
      <c r="AV538" s="192">
        <v>8201988</v>
      </c>
      <c r="AW538" s="181">
        <v>25.3</v>
      </c>
      <c r="AX538" s="206">
        <v>80237</v>
      </c>
      <c r="AY538" s="183"/>
    </row>
    <row r="539" spans="1:51" ht="14.4" x14ac:dyDescent="0.3">
      <c r="A539" s="179" t="s">
        <v>502</v>
      </c>
      <c r="B539" s="179" t="s">
        <v>2927</v>
      </c>
      <c r="C539" s="180" t="s">
        <v>501</v>
      </c>
      <c r="D539" s="181" t="s">
        <v>2843</v>
      </c>
      <c r="E539" s="181" t="s">
        <v>2840</v>
      </c>
      <c r="F539" s="182" t="s">
        <v>2929</v>
      </c>
      <c r="G539" s="181" t="s">
        <v>12</v>
      </c>
      <c r="H539" s="193">
        <v>44888</v>
      </c>
      <c r="I539" s="193"/>
      <c r="J539" s="179" t="s">
        <v>3008</v>
      </c>
      <c r="K539" s="179" t="s">
        <v>3008</v>
      </c>
      <c r="L539" s="179" t="s">
        <v>2932</v>
      </c>
      <c r="M539" s="185"/>
      <c r="N539" s="185"/>
      <c r="O539" s="186"/>
      <c r="P539" s="185"/>
      <c r="Q539" s="182" t="s">
        <v>2934</v>
      </c>
      <c r="R539" s="182" t="s">
        <v>2933</v>
      </c>
      <c r="S539" s="182" t="s">
        <v>2952</v>
      </c>
      <c r="T539" s="179" t="s">
        <v>2953</v>
      </c>
      <c r="U539" s="183" t="s">
        <v>2937</v>
      </c>
      <c r="V539" s="183">
        <v>718</v>
      </c>
      <c r="W539" s="179" t="s">
        <v>4941</v>
      </c>
      <c r="X539" s="188">
        <v>372.75</v>
      </c>
      <c r="Y539" s="188">
        <v>257.98499999999996</v>
      </c>
      <c r="Z539" s="188">
        <v>128.21600000000001</v>
      </c>
      <c r="AA539" s="188">
        <v>106</v>
      </c>
      <c r="AB539" s="188">
        <v>12.491999999999999</v>
      </c>
      <c r="AC539" s="188">
        <v>105.48260000000001</v>
      </c>
      <c r="AD539" s="179" t="s">
        <v>2956</v>
      </c>
      <c r="AE539" s="188" t="s">
        <v>2940</v>
      </c>
      <c r="AF539" s="189">
        <v>0.29166666666666669</v>
      </c>
      <c r="AG539" s="189">
        <v>0.95833333333333337</v>
      </c>
      <c r="AH539" s="190" t="s">
        <v>2941</v>
      </c>
      <c r="AI539" s="190" t="s">
        <v>2942</v>
      </c>
      <c r="AJ539" s="183" t="s">
        <v>500</v>
      </c>
      <c r="AK539" s="179" t="s">
        <v>2963</v>
      </c>
      <c r="AL539" s="183" t="s">
        <v>90</v>
      </c>
      <c r="AM539" s="183" t="s">
        <v>5082</v>
      </c>
      <c r="AN539" s="183" t="s">
        <v>2102</v>
      </c>
      <c r="AO539" s="209" t="s">
        <v>2356</v>
      </c>
      <c r="AP539" s="191">
        <v>81139008023</v>
      </c>
      <c r="AQ539" s="193">
        <v>44888</v>
      </c>
      <c r="AR539" s="183">
        <v>45</v>
      </c>
      <c r="AS539" s="183"/>
      <c r="AT539" s="182"/>
      <c r="AU539" s="182"/>
      <c r="AV539" s="192">
        <v>14758686</v>
      </c>
      <c r="AW539" s="181">
        <v>84.1</v>
      </c>
      <c r="AX539" s="206">
        <v>82218</v>
      </c>
      <c r="AY539" s="183"/>
    </row>
    <row r="540" spans="1:51" ht="14.4" x14ac:dyDescent="0.3">
      <c r="A540" s="179" t="s">
        <v>321</v>
      </c>
      <c r="B540" s="179" t="s">
        <v>2947</v>
      </c>
      <c r="C540" s="180" t="s">
        <v>320</v>
      </c>
      <c r="D540" s="181" t="s">
        <v>2862</v>
      </c>
      <c r="E540" s="181" t="s">
        <v>2819</v>
      </c>
      <c r="F540" s="182" t="s">
        <v>2929</v>
      </c>
      <c r="G540" s="181" t="s">
        <v>12</v>
      </c>
      <c r="H540" s="193">
        <v>44888</v>
      </c>
      <c r="I540" s="193"/>
      <c r="J540" s="179" t="s">
        <v>5083</v>
      </c>
      <c r="K540" s="179">
        <v>260</v>
      </c>
      <c r="L540" s="179" t="s">
        <v>2965</v>
      </c>
      <c r="M540" s="185"/>
      <c r="N540" s="185"/>
      <c r="O540" s="186"/>
      <c r="P540" s="185"/>
      <c r="Q540" s="182" t="s">
        <v>2934</v>
      </c>
      <c r="R540" s="182" t="s">
        <v>2933</v>
      </c>
      <c r="S540" s="182" t="s">
        <v>2952</v>
      </c>
      <c r="T540" s="179" t="s">
        <v>2974</v>
      </c>
      <c r="U540" s="183" t="s">
        <v>2954</v>
      </c>
      <c r="V540" s="183">
        <v>605</v>
      </c>
      <c r="W540" s="179" t="s">
        <v>4941</v>
      </c>
      <c r="X540" s="188">
        <v>407.00659999999993</v>
      </c>
      <c r="Y540" s="188">
        <v>238.87749999999997</v>
      </c>
      <c r="Z540" s="188">
        <v>126.19999999999999</v>
      </c>
      <c r="AA540" s="188">
        <v>149.53729999999999</v>
      </c>
      <c r="AB540" s="188">
        <v>24.215999999999998</v>
      </c>
      <c r="AC540" s="188">
        <v>67.095600000000005</v>
      </c>
      <c r="AD540" s="179" t="s">
        <v>2956</v>
      </c>
      <c r="AE540" s="188" t="s">
        <v>2940</v>
      </c>
      <c r="AF540" s="189">
        <v>0.29166666666666669</v>
      </c>
      <c r="AG540" s="189">
        <v>0.95833333333333337</v>
      </c>
      <c r="AH540" s="190" t="s">
        <v>2941</v>
      </c>
      <c r="AI540" s="190" t="s">
        <v>2942</v>
      </c>
      <c r="AJ540" s="183" t="s">
        <v>319</v>
      </c>
      <c r="AK540" s="179" t="s">
        <v>2977</v>
      </c>
      <c r="AL540" s="183" t="s">
        <v>9</v>
      </c>
      <c r="AM540" s="183" t="s">
        <v>5084</v>
      </c>
      <c r="AN540" s="183" t="s">
        <v>2102</v>
      </c>
      <c r="AO540" s="209" t="s">
        <v>2489</v>
      </c>
      <c r="AP540" s="191">
        <v>81139008017</v>
      </c>
      <c r="AQ540" s="193">
        <v>44888</v>
      </c>
      <c r="AR540" s="183">
        <v>45</v>
      </c>
      <c r="AS540" s="183"/>
      <c r="AT540" s="182"/>
      <c r="AU540" s="182"/>
      <c r="AV540" s="192">
        <v>11636730</v>
      </c>
      <c r="AW540" s="181">
        <v>23</v>
      </c>
      <c r="AX540" s="206">
        <v>80363</v>
      </c>
      <c r="AY540" s="183"/>
    </row>
    <row r="541" spans="1:51" ht="14.4" x14ac:dyDescent="0.3">
      <c r="A541" s="179" t="s">
        <v>1013</v>
      </c>
      <c r="B541" s="179" t="s">
        <v>2947</v>
      </c>
      <c r="C541" s="180" t="s">
        <v>1012</v>
      </c>
      <c r="D541" s="181" t="s">
        <v>2852</v>
      </c>
      <c r="E541" s="181" t="s">
        <v>2817</v>
      </c>
      <c r="F541" s="182" t="s">
        <v>2929</v>
      </c>
      <c r="G541" s="181" t="s">
        <v>12</v>
      </c>
      <c r="H541" s="193">
        <v>44892</v>
      </c>
      <c r="I541" s="193"/>
      <c r="J541" s="179" t="s">
        <v>5085</v>
      </c>
      <c r="K541" s="179">
        <v>270</v>
      </c>
      <c r="L541" s="179" t="s">
        <v>2950</v>
      </c>
      <c r="M541" s="185"/>
      <c r="N541" s="185"/>
      <c r="O541" s="186"/>
      <c r="P541" s="185"/>
      <c r="Q541" s="182" t="s">
        <v>2933</v>
      </c>
      <c r="R541" s="182" t="s">
        <v>2934</v>
      </c>
      <c r="S541" s="182" t="s">
        <v>2952</v>
      </c>
      <c r="T541" s="179" t="s">
        <v>2974</v>
      </c>
      <c r="U541" s="183" t="s">
        <v>2954</v>
      </c>
      <c r="V541" s="183">
        <v>634</v>
      </c>
      <c r="W541" s="179" t="s">
        <v>3009</v>
      </c>
      <c r="X541" s="188">
        <v>278.12160000000006</v>
      </c>
      <c r="Y541" s="188">
        <v>165.56389999999999</v>
      </c>
      <c r="Z541" s="188">
        <v>117.70599999999999</v>
      </c>
      <c r="AA541" s="188">
        <v>102.52019999999999</v>
      </c>
      <c r="AB541" s="188">
        <v>16.448</v>
      </c>
      <c r="AC541" s="188">
        <v>179.10939999999999</v>
      </c>
      <c r="AD541" s="179" t="s">
        <v>2956</v>
      </c>
      <c r="AE541" s="188" t="s">
        <v>3017</v>
      </c>
      <c r="AF541" s="189">
        <v>0.29166666666666669</v>
      </c>
      <c r="AG541" s="189">
        <v>0.95833333333333337</v>
      </c>
      <c r="AH541" s="190" t="s">
        <v>2941</v>
      </c>
      <c r="AI541" s="190" t="s">
        <v>2985</v>
      </c>
      <c r="AJ541" s="183" t="s">
        <v>373</v>
      </c>
      <c r="AK541" s="179" t="s">
        <v>3256</v>
      </c>
      <c r="AL541" s="183" t="s">
        <v>4</v>
      </c>
      <c r="AM541" s="183" t="s">
        <v>5086</v>
      </c>
      <c r="AN541" s="183" t="s">
        <v>2102</v>
      </c>
      <c r="AO541" s="209" t="s">
        <v>2506</v>
      </c>
      <c r="AP541" s="191">
        <v>81139007934</v>
      </c>
      <c r="AQ541" s="193">
        <v>44892</v>
      </c>
      <c r="AR541" s="183">
        <v>45</v>
      </c>
      <c r="AS541" s="183"/>
      <c r="AT541" s="182"/>
      <c r="AU541" s="182"/>
      <c r="AV541" s="192">
        <v>12935331</v>
      </c>
      <c r="AW541" s="181">
        <v>27</v>
      </c>
      <c r="AX541" s="206">
        <v>80223</v>
      </c>
      <c r="AY541" s="183"/>
    </row>
    <row r="542" spans="1:51" ht="14.4" x14ac:dyDescent="0.3">
      <c r="A542" s="179" t="s">
        <v>831</v>
      </c>
      <c r="B542" s="179" t="s">
        <v>2947</v>
      </c>
      <c r="C542" s="180" t="s">
        <v>830</v>
      </c>
      <c r="D542" s="181" t="s">
        <v>2823</v>
      </c>
      <c r="E542" s="181" t="s">
        <v>2819</v>
      </c>
      <c r="F542" s="182" t="s">
        <v>2929</v>
      </c>
      <c r="G542" s="181" t="s">
        <v>12</v>
      </c>
      <c r="H542" s="193">
        <v>44895</v>
      </c>
      <c r="I542" s="193"/>
      <c r="J542" s="179" t="s">
        <v>5087</v>
      </c>
      <c r="K542" s="179">
        <v>30</v>
      </c>
      <c r="L542" s="179" t="s">
        <v>2965</v>
      </c>
      <c r="M542" s="185"/>
      <c r="N542" s="185"/>
      <c r="O542" s="186"/>
      <c r="P542" s="185"/>
      <c r="Q542" s="182" t="s">
        <v>2934</v>
      </c>
      <c r="R542" s="182" t="s">
        <v>2933</v>
      </c>
      <c r="S542" s="182" t="s">
        <v>2952</v>
      </c>
      <c r="T542" s="179" t="s">
        <v>2974</v>
      </c>
      <c r="U542" s="183" t="s">
        <v>2954</v>
      </c>
      <c r="V542" s="183">
        <v>981</v>
      </c>
      <c r="W542" s="179" t="s">
        <v>2975</v>
      </c>
      <c r="X542" s="188">
        <v>268.7962</v>
      </c>
      <c r="Y542" s="188">
        <v>160.17400000000001</v>
      </c>
      <c r="Z542" s="188">
        <v>108.95849999999999</v>
      </c>
      <c r="AA542" s="188">
        <v>99.310199999999995</v>
      </c>
      <c r="AB542" s="188">
        <v>11.53</v>
      </c>
      <c r="AC542" s="188">
        <v>240.5051</v>
      </c>
      <c r="AD542" s="179" t="s">
        <v>2956</v>
      </c>
      <c r="AE542" s="188" t="s">
        <v>4115</v>
      </c>
      <c r="AF542" s="189">
        <v>0.29166666666666669</v>
      </c>
      <c r="AG542" s="189">
        <v>0.91666666666666663</v>
      </c>
      <c r="AH542" s="190" t="s">
        <v>2941</v>
      </c>
      <c r="AI542" s="190" t="s">
        <v>2985</v>
      </c>
      <c r="AJ542" s="183" t="s">
        <v>829</v>
      </c>
      <c r="AK542" s="179" t="s">
        <v>3387</v>
      </c>
      <c r="AL542" s="183" t="s">
        <v>4</v>
      </c>
      <c r="AM542" s="183" t="s">
        <v>5088</v>
      </c>
      <c r="AN542" s="183" t="s">
        <v>2102</v>
      </c>
      <c r="AO542" s="209" t="s">
        <v>2771</v>
      </c>
      <c r="AP542" s="191">
        <v>81139007935</v>
      </c>
      <c r="AQ542" s="193">
        <v>44895</v>
      </c>
      <c r="AR542" s="183">
        <v>44</v>
      </c>
      <c r="AS542" s="183"/>
      <c r="AT542" s="182"/>
      <c r="AU542" s="182"/>
      <c r="AV542" s="192">
        <v>12929600</v>
      </c>
      <c r="AW542" s="181">
        <v>21.7</v>
      </c>
      <c r="AX542" s="206">
        <v>80236</v>
      </c>
      <c r="AY542" s="183"/>
    </row>
    <row r="543" spans="1:51" ht="14.4" x14ac:dyDescent="0.3">
      <c r="A543" s="179" t="s">
        <v>1081</v>
      </c>
      <c r="B543" s="179" t="s">
        <v>2947</v>
      </c>
      <c r="C543" s="180" t="s">
        <v>1080</v>
      </c>
      <c r="D543" s="181" t="s">
        <v>2844</v>
      </c>
      <c r="E543" s="181" t="s">
        <v>2834</v>
      </c>
      <c r="F543" s="182" t="s">
        <v>2929</v>
      </c>
      <c r="G543" s="181" t="s">
        <v>12</v>
      </c>
      <c r="H543" s="193">
        <v>44895</v>
      </c>
      <c r="I543" s="193"/>
      <c r="J543" s="179" t="s">
        <v>3008</v>
      </c>
      <c r="K543" s="179" t="s">
        <v>3008</v>
      </c>
      <c r="L543" s="179" t="s">
        <v>2932</v>
      </c>
      <c r="M543" s="185"/>
      <c r="N543" s="185"/>
      <c r="O543" s="186"/>
      <c r="P543" s="185"/>
      <c r="Q543" s="182" t="s">
        <v>2934</v>
      </c>
      <c r="R543" s="182" t="s">
        <v>2933</v>
      </c>
      <c r="S543" s="182" t="s">
        <v>2952</v>
      </c>
      <c r="T543" s="179" t="s">
        <v>2974</v>
      </c>
      <c r="U543" s="183" t="s">
        <v>2954</v>
      </c>
      <c r="V543" s="183">
        <v>897</v>
      </c>
      <c r="W543" s="179" t="s">
        <v>3009</v>
      </c>
      <c r="X543" s="188">
        <v>345.20319999999998</v>
      </c>
      <c r="Y543" s="188">
        <v>277.49760000000003</v>
      </c>
      <c r="Z543" s="188">
        <v>110.50619999999999</v>
      </c>
      <c r="AA543" s="188">
        <v>55.017600000000002</v>
      </c>
      <c r="AB543" s="188">
        <v>27.887999999999998</v>
      </c>
      <c r="AC543" s="188">
        <v>111.72479999999999</v>
      </c>
      <c r="AD543" s="179" t="s">
        <v>2956</v>
      </c>
      <c r="AE543" s="188" t="s">
        <v>2940</v>
      </c>
      <c r="AF543" s="189">
        <v>0.29166666666666669</v>
      </c>
      <c r="AG543" s="189">
        <v>0.91666666666666663</v>
      </c>
      <c r="AH543" s="190" t="s">
        <v>2941</v>
      </c>
      <c r="AI543" s="190" t="s">
        <v>2985</v>
      </c>
      <c r="AJ543" s="183" t="s">
        <v>178</v>
      </c>
      <c r="AK543" s="179" t="s">
        <v>28</v>
      </c>
      <c r="AL543" s="183" t="s">
        <v>28</v>
      </c>
      <c r="AM543" s="183" t="s">
        <v>5089</v>
      </c>
      <c r="AN543" s="183" t="s">
        <v>2102</v>
      </c>
      <c r="AO543" s="209" t="s">
        <v>2658</v>
      </c>
      <c r="AP543" s="191">
        <v>81139007936</v>
      </c>
      <c r="AQ543" s="193">
        <v>44895</v>
      </c>
      <c r="AR543" s="183">
        <v>44</v>
      </c>
      <c r="AS543" s="183"/>
      <c r="AT543" s="182"/>
      <c r="AU543" s="182"/>
      <c r="AV543" s="192">
        <v>11550242</v>
      </c>
      <c r="AW543" s="181">
        <v>31.7</v>
      </c>
      <c r="AX543" s="206">
        <v>80511</v>
      </c>
      <c r="AY543" s="183"/>
    </row>
    <row r="544" spans="1:51" ht="14.4" x14ac:dyDescent="0.3">
      <c r="A544" s="179" t="s">
        <v>715</v>
      </c>
      <c r="B544" s="179" t="s">
        <v>2947</v>
      </c>
      <c r="C544" s="180" t="s">
        <v>2186</v>
      </c>
      <c r="D544" s="181" t="s">
        <v>2820</v>
      </c>
      <c r="E544" s="181" t="s">
        <v>2819</v>
      </c>
      <c r="F544" s="182" t="s">
        <v>2929</v>
      </c>
      <c r="G544" s="181" t="s">
        <v>12</v>
      </c>
      <c r="H544" s="193">
        <v>44907</v>
      </c>
      <c r="I544" s="193"/>
      <c r="J544" s="179" t="s">
        <v>4334</v>
      </c>
      <c r="K544" s="179">
        <v>150</v>
      </c>
      <c r="L544" s="179" t="s">
        <v>2950</v>
      </c>
      <c r="M544" s="185"/>
      <c r="N544" s="185"/>
      <c r="O544" s="186"/>
      <c r="P544" s="185"/>
      <c r="Q544" s="182" t="s">
        <v>2933</v>
      </c>
      <c r="R544" s="182" t="s">
        <v>2934</v>
      </c>
      <c r="S544" s="182" t="s">
        <v>2952</v>
      </c>
      <c r="T544" s="179" t="s">
        <v>2953</v>
      </c>
      <c r="U544" s="183" t="s">
        <v>2954</v>
      </c>
      <c r="V544" s="183">
        <v>474</v>
      </c>
      <c r="W544" s="179" t="s">
        <v>4941</v>
      </c>
      <c r="X544" s="188">
        <v>255.25500000000002</v>
      </c>
      <c r="Y544" s="188">
        <v>156.71110000000002</v>
      </c>
      <c r="Z544" s="188">
        <v>962.82119999999998</v>
      </c>
      <c r="AA544" s="188">
        <v>85.332400000000007</v>
      </c>
      <c r="AB544" s="188">
        <v>7.7040000000000006</v>
      </c>
      <c r="AC544" s="188">
        <v>72.418500000000009</v>
      </c>
      <c r="AD544" s="179" t="s">
        <v>2956</v>
      </c>
      <c r="AE544" s="188" t="s">
        <v>2957</v>
      </c>
      <c r="AF544" s="189">
        <v>0.29166666666666669</v>
      </c>
      <c r="AG544" s="189">
        <v>0.95833333333333337</v>
      </c>
      <c r="AH544" s="190" t="s">
        <v>2941</v>
      </c>
      <c r="AI544" s="190" t="s">
        <v>2942</v>
      </c>
      <c r="AJ544" s="183" t="s">
        <v>691</v>
      </c>
      <c r="AK544" s="179" t="s">
        <v>2958</v>
      </c>
      <c r="AL544" s="183" t="s">
        <v>4</v>
      </c>
      <c r="AM544" s="183" t="s">
        <v>5090</v>
      </c>
      <c r="AN544" s="183" t="s">
        <v>2102</v>
      </c>
      <c r="AO544" s="209" t="s">
        <v>2436</v>
      </c>
      <c r="AP544" s="191">
        <v>81139007937</v>
      </c>
      <c r="AQ544" s="193">
        <v>44907</v>
      </c>
      <c r="AR544" s="183">
        <v>44</v>
      </c>
      <c r="AS544" s="183"/>
      <c r="AT544" s="182"/>
      <c r="AU544" s="182"/>
      <c r="AV544" s="192">
        <v>12414600</v>
      </c>
      <c r="AW544" s="181">
        <v>19.399999999999999</v>
      </c>
      <c r="AX544" s="206">
        <v>80119</v>
      </c>
      <c r="AY544" s="183"/>
    </row>
    <row r="545" spans="1:51" ht="14.4" x14ac:dyDescent="0.3">
      <c r="A545" s="179" t="s">
        <v>1165</v>
      </c>
      <c r="B545" s="179" t="s">
        <v>2947</v>
      </c>
      <c r="C545" s="180" t="s">
        <v>5091</v>
      </c>
      <c r="D545" s="181" t="s">
        <v>2874</v>
      </c>
      <c r="E545" s="181" t="s">
        <v>2867</v>
      </c>
      <c r="F545" s="182" t="s">
        <v>2972</v>
      </c>
      <c r="G545" s="181" t="s">
        <v>17</v>
      </c>
      <c r="H545" s="193">
        <v>44907</v>
      </c>
      <c r="I545" s="193">
        <v>45821</v>
      </c>
      <c r="J545" s="179" t="s">
        <v>5092</v>
      </c>
      <c r="K545" s="179">
        <v>450</v>
      </c>
      <c r="L545" s="179" t="s">
        <v>3026</v>
      </c>
      <c r="M545" s="185"/>
      <c r="N545" s="185"/>
      <c r="O545" s="186"/>
      <c r="P545" s="185"/>
      <c r="Q545" s="182" t="s">
        <v>2934</v>
      </c>
      <c r="R545" s="182" t="s">
        <v>2933</v>
      </c>
      <c r="S545" s="182" t="s">
        <v>2952</v>
      </c>
      <c r="T545" s="179" t="s">
        <v>2974</v>
      </c>
      <c r="U545" s="183" t="s">
        <v>2954</v>
      </c>
      <c r="V545" s="183">
        <v>781</v>
      </c>
      <c r="W545" s="179" t="s">
        <v>4941</v>
      </c>
      <c r="X545" s="188">
        <v>379.07279999999997</v>
      </c>
      <c r="Y545" s="188">
        <v>237.19759999999999</v>
      </c>
      <c r="Z545" s="188">
        <v>129.4384</v>
      </c>
      <c r="AA545" s="188">
        <v>135.19200000000001</v>
      </c>
      <c r="AB545" s="188">
        <v>15.197999999999999</v>
      </c>
      <c r="AC545" s="188">
        <v>83.578000000000003</v>
      </c>
      <c r="AD545" s="179" t="s">
        <v>2956</v>
      </c>
      <c r="AE545" s="188" t="s">
        <v>2940</v>
      </c>
      <c r="AF545" s="189">
        <v>0.25</v>
      </c>
      <c r="AG545" s="189">
        <v>0.95833333333333337</v>
      </c>
      <c r="AH545" s="190" t="s">
        <v>2941</v>
      </c>
      <c r="AI545" s="190" t="s">
        <v>2942</v>
      </c>
      <c r="AJ545" s="183" t="s">
        <v>997</v>
      </c>
      <c r="AK545" s="179" t="s">
        <v>2958</v>
      </c>
      <c r="AL545" s="183" t="s">
        <v>4</v>
      </c>
      <c r="AM545" s="183" t="s">
        <v>5093</v>
      </c>
      <c r="AN545" s="183" t="s">
        <v>2102</v>
      </c>
      <c r="AO545" s="209" t="s">
        <v>2455</v>
      </c>
      <c r="AP545" s="191">
        <v>81139007940</v>
      </c>
      <c r="AQ545" s="193">
        <v>44914</v>
      </c>
      <c r="AR545" s="183">
        <v>44</v>
      </c>
      <c r="AS545" s="183"/>
      <c r="AT545" s="182" t="s">
        <v>3127</v>
      </c>
      <c r="AU545" s="182" t="s">
        <v>2946</v>
      </c>
      <c r="AV545" s="192">
        <v>13770260</v>
      </c>
      <c r="AW545" s="181">
        <v>26.7</v>
      </c>
      <c r="AX545" s="206">
        <v>80114</v>
      </c>
      <c r="AY545" s="183"/>
    </row>
    <row r="546" spans="1:51" ht="14.4" x14ac:dyDescent="0.3">
      <c r="A546" s="179" t="s">
        <v>451</v>
      </c>
      <c r="B546" s="179" t="s">
        <v>2927</v>
      </c>
      <c r="C546" s="180" t="s">
        <v>5094</v>
      </c>
      <c r="D546" s="181" t="s">
        <v>2835</v>
      </c>
      <c r="E546" s="181" t="s">
        <v>2834</v>
      </c>
      <c r="F546" s="182" t="s">
        <v>3750</v>
      </c>
      <c r="G546" s="181" t="s">
        <v>134</v>
      </c>
      <c r="H546" s="193">
        <v>44915</v>
      </c>
      <c r="I546" s="193"/>
      <c r="J546" s="179" t="s">
        <v>5095</v>
      </c>
      <c r="K546" s="179">
        <v>230</v>
      </c>
      <c r="L546" s="179" t="s">
        <v>2950</v>
      </c>
      <c r="M546" s="185"/>
      <c r="N546" s="185"/>
      <c r="O546" s="186"/>
      <c r="P546" s="185"/>
      <c r="Q546" s="182" t="s">
        <v>5096</v>
      </c>
      <c r="R546" s="182" t="s">
        <v>2934</v>
      </c>
      <c r="S546" s="182" t="s">
        <v>2952</v>
      </c>
      <c r="T546" s="179" t="s">
        <v>4623</v>
      </c>
      <c r="U546" s="183" t="s">
        <v>2937</v>
      </c>
      <c r="V546" s="183">
        <v>0</v>
      </c>
      <c r="W546" s="179" t="s">
        <v>5097</v>
      </c>
      <c r="X546" s="188">
        <v>0</v>
      </c>
      <c r="Y546" s="188">
        <v>0</v>
      </c>
      <c r="Z546" s="188">
        <v>0</v>
      </c>
      <c r="AA546" s="188">
        <v>0</v>
      </c>
      <c r="AB546" s="188">
        <v>0</v>
      </c>
      <c r="AC546" s="188">
        <v>0</v>
      </c>
      <c r="AD546" s="179" t="s">
        <v>2939</v>
      </c>
      <c r="AE546" s="188">
        <v>0</v>
      </c>
      <c r="AF546" s="189">
        <v>0.29166666666666669</v>
      </c>
      <c r="AG546" s="189">
        <v>0.91666666666666663</v>
      </c>
      <c r="AH546" s="190" t="s">
        <v>2941</v>
      </c>
      <c r="AI546" s="190" t="s">
        <v>2942</v>
      </c>
      <c r="AJ546" s="183" t="s">
        <v>159</v>
      </c>
      <c r="AK546" s="179" t="s">
        <v>32</v>
      </c>
      <c r="AL546" s="183" t="s">
        <v>32</v>
      </c>
      <c r="AM546" s="183" t="s">
        <v>5098</v>
      </c>
      <c r="AN546" s="183" t="s">
        <v>2102</v>
      </c>
      <c r="AO546" s="209" t="s">
        <v>2403</v>
      </c>
      <c r="AP546" s="191">
        <v>81139007945</v>
      </c>
      <c r="AQ546" s="193">
        <v>44915</v>
      </c>
      <c r="AR546" s="183">
        <v>44</v>
      </c>
      <c r="AS546" s="208">
        <v>45669</v>
      </c>
      <c r="AT546" s="182"/>
      <c r="AU546" s="182"/>
      <c r="AV546" s="192">
        <v>7152876</v>
      </c>
      <c r="AW546" s="181">
        <v>41.1</v>
      </c>
      <c r="AX546" s="206">
        <v>80614</v>
      </c>
      <c r="AY546" s="183" t="s">
        <v>5099</v>
      </c>
    </row>
    <row r="547" spans="1:51" ht="14.4" x14ac:dyDescent="0.3">
      <c r="A547" s="179" t="s">
        <v>402</v>
      </c>
      <c r="B547" s="179" t="s">
        <v>2947</v>
      </c>
      <c r="C547" s="180" t="s">
        <v>2230</v>
      </c>
      <c r="D547" s="181" t="s">
        <v>2858</v>
      </c>
      <c r="E547" s="181" t="s">
        <v>2813</v>
      </c>
      <c r="F547" s="182" t="s">
        <v>2972</v>
      </c>
      <c r="G547" s="181" t="s">
        <v>17</v>
      </c>
      <c r="H547" s="193">
        <v>45821</v>
      </c>
      <c r="I547" s="193">
        <v>45821</v>
      </c>
      <c r="J547" s="179" t="s">
        <v>3008</v>
      </c>
      <c r="K547" s="179" t="s">
        <v>3008</v>
      </c>
      <c r="L547" s="179" t="s">
        <v>2932</v>
      </c>
      <c r="M547" s="185"/>
      <c r="N547" s="185"/>
      <c r="O547" s="186"/>
      <c r="P547" s="185"/>
      <c r="Q547" s="182" t="s">
        <v>2934</v>
      </c>
      <c r="R547" s="182" t="s">
        <v>2933</v>
      </c>
      <c r="S547" s="182" t="s">
        <v>2952</v>
      </c>
      <c r="T547" s="179" t="s">
        <v>2974</v>
      </c>
      <c r="U547" s="183" t="s">
        <v>2954</v>
      </c>
      <c r="V547" s="183">
        <v>878</v>
      </c>
      <c r="W547" s="179" t="s">
        <v>4941</v>
      </c>
      <c r="X547" s="188">
        <v>293.64</v>
      </c>
      <c r="Y547" s="188">
        <v>221.64</v>
      </c>
      <c r="Z547" s="188">
        <v>119.925</v>
      </c>
      <c r="AA547" s="188">
        <v>65.52</v>
      </c>
      <c r="AB547" s="188">
        <v>11.6</v>
      </c>
      <c r="AC547" s="188">
        <v>80.612999999999985</v>
      </c>
      <c r="AD547" s="179" t="s">
        <v>2956</v>
      </c>
      <c r="AE547" s="188" t="s">
        <v>2940</v>
      </c>
      <c r="AF547" s="189">
        <v>0.25</v>
      </c>
      <c r="AG547" s="189">
        <v>0.95833333333333337</v>
      </c>
      <c r="AH547" s="190" t="s">
        <v>2941</v>
      </c>
      <c r="AI547" s="190" t="s">
        <v>2942</v>
      </c>
      <c r="AJ547" s="183" t="s">
        <v>349</v>
      </c>
      <c r="AK547" s="179" t="s">
        <v>3010</v>
      </c>
      <c r="AL547" s="183" t="s">
        <v>36</v>
      </c>
      <c r="AM547" s="183" t="s">
        <v>5100</v>
      </c>
      <c r="AN547" s="183" t="s">
        <v>2102</v>
      </c>
      <c r="AO547" s="209" t="s">
        <v>2670</v>
      </c>
      <c r="AP547" s="191">
        <v>81139007948</v>
      </c>
      <c r="AQ547" s="193">
        <v>44925</v>
      </c>
      <c r="AR547" s="183">
        <v>43</v>
      </c>
      <c r="AS547" s="183"/>
      <c r="AT547" s="210" t="s">
        <v>5101</v>
      </c>
      <c r="AU547" s="182" t="s">
        <v>2946</v>
      </c>
      <c r="AV547" s="192">
        <v>12615264</v>
      </c>
      <c r="AW547" s="181">
        <v>15.1</v>
      </c>
      <c r="AX547" s="206">
        <v>82121</v>
      </c>
      <c r="AY547" s="183"/>
    </row>
    <row r="548" spans="1:51" ht="14.4" x14ac:dyDescent="0.3">
      <c r="A548" s="179" t="s">
        <v>1621</v>
      </c>
      <c r="B548" s="179" t="s">
        <v>2947</v>
      </c>
      <c r="C548" s="180" t="s">
        <v>5102</v>
      </c>
      <c r="D548" s="181" t="s">
        <v>2852</v>
      </c>
      <c r="E548" s="181" t="s">
        <v>2817</v>
      </c>
      <c r="F548" s="182" t="s">
        <v>2972</v>
      </c>
      <c r="G548" s="181" t="s">
        <v>17</v>
      </c>
      <c r="H548" s="193">
        <v>45899</v>
      </c>
      <c r="I548" s="193"/>
      <c r="J548" s="179" t="s">
        <v>5103</v>
      </c>
      <c r="K548" s="179">
        <v>94</v>
      </c>
      <c r="L548" s="179" t="s">
        <v>2965</v>
      </c>
      <c r="M548" s="185"/>
      <c r="N548" s="185"/>
      <c r="O548" s="186"/>
      <c r="P548" s="185"/>
      <c r="Q548" s="182" t="s">
        <v>2933</v>
      </c>
      <c r="R548" s="182" t="s">
        <v>2934</v>
      </c>
      <c r="S548" s="182" t="s">
        <v>2952</v>
      </c>
      <c r="T548" s="179" t="s">
        <v>2974</v>
      </c>
      <c r="U548" s="183" t="s">
        <v>2954</v>
      </c>
      <c r="V548" s="183">
        <v>727</v>
      </c>
      <c r="W548" s="179" t="s">
        <v>3009</v>
      </c>
      <c r="X548" s="188">
        <v>241.96260000000001</v>
      </c>
      <c r="Y548" s="188">
        <v>161.54880000000003</v>
      </c>
      <c r="Z548" s="188">
        <v>115.245</v>
      </c>
      <c r="AA548" s="188">
        <v>79.566000000000003</v>
      </c>
      <c r="AB548" s="188">
        <v>19.325700000000001</v>
      </c>
      <c r="AC548" s="188">
        <v>104.04799999999999</v>
      </c>
      <c r="AD548" s="179" t="s">
        <v>2956</v>
      </c>
      <c r="AE548" s="188" t="s">
        <v>2957</v>
      </c>
      <c r="AF548" s="189">
        <v>0.29166666666666669</v>
      </c>
      <c r="AG548" s="189">
        <v>0.95833333333333337</v>
      </c>
      <c r="AH548" s="190" t="s">
        <v>2941</v>
      </c>
      <c r="AI548" s="190" t="s">
        <v>2985</v>
      </c>
      <c r="AJ548" s="183" t="s">
        <v>1119</v>
      </c>
      <c r="AK548" s="179" t="s">
        <v>3256</v>
      </c>
      <c r="AL548" s="183" t="s">
        <v>4</v>
      </c>
      <c r="AM548" s="183" t="s">
        <v>5104</v>
      </c>
      <c r="AN548" s="183" t="s">
        <v>2102</v>
      </c>
      <c r="AO548" s="209" t="s">
        <v>2545</v>
      </c>
      <c r="AP548" s="191">
        <v>81139007947</v>
      </c>
      <c r="AQ548" s="193">
        <v>44925</v>
      </c>
      <c r="AR548" s="183">
        <v>43</v>
      </c>
      <c r="AS548" s="183"/>
      <c r="AT548" s="182" t="s">
        <v>4781</v>
      </c>
      <c r="AU548" s="182" t="s">
        <v>2946</v>
      </c>
      <c r="AV548" s="192">
        <v>12677872</v>
      </c>
      <c r="AW548" s="181">
        <v>33.200000000000003</v>
      </c>
      <c r="AX548" s="206">
        <v>80114</v>
      </c>
      <c r="AY548" s="183"/>
    </row>
    <row r="549" spans="1:51" ht="14.4" x14ac:dyDescent="0.3">
      <c r="A549" s="179" t="s">
        <v>1372</v>
      </c>
      <c r="B549" s="211" t="s">
        <v>2947</v>
      </c>
      <c r="C549" s="180" t="s">
        <v>2212</v>
      </c>
      <c r="D549" s="181" t="s">
        <v>2851</v>
      </c>
      <c r="E549" s="181" t="s">
        <v>2817</v>
      </c>
      <c r="F549" s="182" t="s">
        <v>2972</v>
      </c>
      <c r="G549" s="181" t="s">
        <v>17</v>
      </c>
      <c r="H549" s="193">
        <v>45632</v>
      </c>
      <c r="I549" s="193"/>
      <c r="J549" s="179" t="s">
        <v>5105</v>
      </c>
      <c r="K549" s="179">
        <v>350</v>
      </c>
      <c r="L549" s="179" t="s">
        <v>2950</v>
      </c>
      <c r="M549" s="185"/>
      <c r="N549" s="185"/>
      <c r="O549" s="179" t="s">
        <v>2951</v>
      </c>
      <c r="P549" s="185"/>
      <c r="Q549" s="182" t="s">
        <v>2933</v>
      </c>
      <c r="R549" s="182" t="s">
        <v>2934</v>
      </c>
      <c r="S549" s="182" t="s">
        <v>2952</v>
      </c>
      <c r="T549" s="179" t="s">
        <v>2974</v>
      </c>
      <c r="U549" s="183" t="s">
        <v>2954</v>
      </c>
      <c r="V549" s="183">
        <v>556</v>
      </c>
      <c r="W549" s="179" t="s">
        <v>4941</v>
      </c>
      <c r="X549" s="188">
        <v>349.524</v>
      </c>
      <c r="Y549" s="188">
        <v>251.41199999999998</v>
      </c>
      <c r="Z549" s="188">
        <v>130.87199999999999</v>
      </c>
      <c r="AA549" s="188">
        <v>86.502600000000015</v>
      </c>
      <c r="AB549" s="188">
        <v>27.104000000000003</v>
      </c>
      <c r="AC549" s="188">
        <v>127.0492</v>
      </c>
      <c r="AD549" s="179" t="s">
        <v>2956</v>
      </c>
      <c r="AE549" s="188" t="s">
        <v>3017</v>
      </c>
      <c r="AF549" s="189">
        <v>0</v>
      </c>
      <c r="AG549" s="189">
        <v>0.99930555555555556</v>
      </c>
      <c r="AH549" s="190" t="s">
        <v>2941</v>
      </c>
      <c r="AI549" s="190" t="s">
        <v>2985</v>
      </c>
      <c r="AJ549" s="183" t="s">
        <v>756</v>
      </c>
      <c r="AK549" s="179" t="s">
        <v>3256</v>
      </c>
      <c r="AL549" s="183" t="s">
        <v>4</v>
      </c>
      <c r="AM549" s="183" t="s">
        <v>5106</v>
      </c>
      <c r="AN549" s="183" t="s">
        <v>2102</v>
      </c>
      <c r="AO549" s="209" t="s">
        <v>2584</v>
      </c>
      <c r="AP549" s="191">
        <v>81139007949</v>
      </c>
      <c r="AQ549" s="193">
        <v>44926</v>
      </c>
      <c r="AR549" s="183">
        <v>43</v>
      </c>
      <c r="AS549" s="183"/>
      <c r="AT549" s="182" t="s">
        <v>5107</v>
      </c>
      <c r="AU549" s="182" t="s">
        <v>2946</v>
      </c>
      <c r="AV549" s="192">
        <v>27930782</v>
      </c>
      <c r="AW549" s="181">
        <v>28.1</v>
      </c>
      <c r="AX549" s="206">
        <v>80114</v>
      </c>
      <c r="AY549" s="183"/>
    </row>
    <row r="550" spans="1:51" ht="14.4" x14ac:dyDescent="0.3">
      <c r="A550" s="179" t="s">
        <v>1357</v>
      </c>
      <c r="B550" s="179" t="s">
        <v>2927</v>
      </c>
      <c r="C550" s="180" t="s">
        <v>5108</v>
      </c>
      <c r="D550" s="181" t="s">
        <v>2831</v>
      </c>
      <c r="E550" s="181" t="s">
        <v>2830</v>
      </c>
      <c r="F550" s="182" t="s">
        <v>2929</v>
      </c>
      <c r="G550" s="181" t="s">
        <v>12</v>
      </c>
      <c r="H550" s="193">
        <v>44932</v>
      </c>
      <c r="I550" s="193"/>
      <c r="J550" s="179" t="s">
        <v>5109</v>
      </c>
      <c r="K550" s="179">
        <v>300</v>
      </c>
      <c r="L550" s="179" t="s">
        <v>2950</v>
      </c>
      <c r="M550" s="185"/>
      <c r="N550" s="185"/>
      <c r="O550" s="186"/>
      <c r="P550" s="185"/>
      <c r="Q550" s="182" t="s">
        <v>2933</v>
      </c>
      <c r="R550" s="182" t="s">
        <v>2934</v>
      </c>
      <c r="S550" s="182" t="s">
        <v>2952</v>
      </c>
      <c r="T550" s="179" t="s">
        <v>2953</v>
      </c>
      <c r="U550" s="183" t="s">
        <v>2937</v>
      </c>
      <c r="V550" s="183">
        <v>446</v>
      </c>
      <c r="W550" s="179" t="s">
        <v>3151</v>
      </c>
      <c r="X550" s="188">
        <v>319.66239999999999</v>
      </c>
      <c r="Y550" s="188">
        <v>182.8828</v>
      </c>
      <c r="Z550" s="188">
        <v>111.62140000000001</v>
      </c>
      <c r="AA550" s="188">
        <v>113.5728</v>
      </c>
      <c r="AB550" s="188">
        <v>5.1495999999999995</v>
      </c>
      <c r="AC550" s="188">
        <v>59.264000000000003</v>
      </c>
      <c r="AD550" s="179" t="s">
        <v>2984</v>
      </c>
      <c r="AE550" s="188" t="s">
        <v>2940</v>
      </c>
      <c r="AF550" s="189">
        <v>0.29166666666666669</v>
      </c>
      <c r="AG550" s="189">
        <v>0.95833333333333337</v>
      </c>
      <c r="AH550" s="190" t="s">
        <v>2941</v>
      </c>
      <c r="AI550" s="190" t="s">
        <v>2985</v>
      </c>
      <c r="AJ550" s="183" t="s">
        <v>309</v>
      </c>
      <c r="AK550" s="179" t="s">
        <v>3256</v>
      </c>
      <c r="AL550" s="183" t="s">
        <v>4</v>
      </c>
      <c r="AM550" s="183" t="s">
        <v>5110</v>
      </c>
      <c r="AN550" s="183" t="s">
        <v>2102</v>
      </c>
      <c r="AO550" s="209" t="s">
        <v>2722</v>
      </c>
      <c r="AP550" s="191">
        <v>81139008024</v>
      </c>
      <c r="AQ550" s="193">
        <v>44932</v>
      </c>
      <c r="AR550" s="183">
        <v>43</v>
      </c>
      <c r="AS550" s="208">
        <v>45665</v>
      </c>
      <c r="AT550" s="182"/>
      <c r="AU550" s="182"/>
      <c r="AV550" s="192">
        <v>8426645</v>
      </c>
      <c r="AW550" s="181">
        <v>40.5</v>
      </c>
      <c r="AX550" s="206">
        <v>80227</v>
      </c>
      <c r="AY550" s="183" t="s">
        <v>5111</v>
      </c>
    </row>
    <row r="551" spans="1:51" ht="14.4" x14ac:dyDescent="0.3">
      <c r="A551" s="179" t="s">
        <v>785</v>
      </c>
      <c r="B551" s="179" t="s">
        <v>2927</v>
      </c>
      <c r="C551" s="180" t="s">
        <v>2112</v>
      </c>
      <c r="D551" s="181" t="s">
        <v>2831</v>
      </c>
      <c r="E551" s="181" t="s">
        <v>2830</v>
      </c>
      <c r="F551" s="182" t="s">
        <v>2929</v>
      </c>
      <c r="G551" s="181" t="s">
        <v>12</v>
      </c>
      <c r="H551" s="193">
        <v>44935</v>
      </c>
      <c r="I551" s="193"/>
      <c r="J551" s="179" t="s">
        <v>5112</v>
      </c>
      <c r="K551" s="179">
        <v>1200</v>
      </c>
      <c r="L551" s="179" t="s">
        <v>2932</v>
      </c>
      <c r="M551" s="185"/>
      <c r="N551" s="185"/>
      <c r="O551" s="186"/>
      <c r="P551" s="185"/>
      <c r="Q551" s="182" t="s">
        <v>2934</v>
      </c>
      <c r="R551" s="182" t="s">
        <v>2933</v>
      </c>
      <c r="S551" s="182" t="s">
        <v>2952</v>
      </c>
      <c r="T551" s="179" t="s">
        <v>2974</v>
      </c>
      <c r="U551" s="183" t="s">
        <v>2937</v>
      </c>
      <c r="V551" s="183">
        <v>545</v>
      </c>
      <c r="W551" s="179" t="s">
        <v>2975</v>
      </c>
      <c r="X551" s="188">
        <v>299.2</v>
      </c>
      <c r="Y551" s="188">
        <v>187.2</v>
      </c>
      <c r="Z551" s="188">
        <v>112.11200000000001</v>
      </c>
      <c r="AA551" s="188">
        <v>102.05</v>
      </c>
      <c r="AB551" s="188">
        <v>4.6640000000000006</v>
      </c>
      <c r="AC551" s="188">
        <v>55.738999999999997</v>
      </c>
      <c r="AD551" s="179" t="s">
        <v>2984</v>
      </c>
      <c r="AE551" s="188" t="s">
        <v>2940</v>
      </c>
      <c r="AF551" s="189">
        <v>0.29166666666666669</v>
      </c>
      <c r="AG551" s="189">
        <v>0.91666666666666663</v>
      </c>
      <c r="AH551" s="190" t="s">
        <v>2941</v>
      </c>
      <c r="AI551" s="190" t="s">
        <v>2985</v>
      </c>
      <c r="AJ551" s="183" t="s">
        <v>309</v>
      </c>
      <c r="AK551" s="179" t="s">
        <v>3256</v>
      </c>
      <c r="AL551" s="183" t="s">
        <v>4</v>
      </c>
      <c r="AM551" s="183" t="s">
        <v>5113</v>
      </c>
      <c r="AN551" s="183" t="s">
        <v>2102</v>
      </c>
      <c r="AO551" s="209" t="s">
        <v>5114</v>
      </c>
      <c r="AP551" s="191">
        <v>81139008026</v>
      </c>
      <c r="AQ551" s="193">
        <v>44935</v>
      </c>
      <c r="AR551" s="183">
        <v>43</v>
      </c>
      <c r="AS551" s="183"/>
      <c r="AT551" s="182"/>
      <c r="AU551" s="182"/>
      <c r="AV551" s="192">
        <v>7705296</v>
      </c>
      <c r="AW551" s="181">
        <v>25.5</v>
      </c>
      <c r="AX551" s="206">
        <v>80227</v>
      </c>
      <c r="AY551" s="183"/>
    </row>
    <row r="552" spans="1:51" ht="14.4" x14ac:dyDescent="0.3">
      <c r="A552" s="179" t="s">
        <v>96</v>
      </c>
      <c r="B552" s="179" t="s">
        <v>2927</v>
      </c>
      <c r="C552" s="180" t="s">
        <v>2119</v>
      </c>
      <c r="D552" s="181" t="s">
        <v>2850</v>
      </c>
      <c r="E552" s="181" t="s">
        <v>2817</v>
      </c>
      <c r="F552" s="182" t="s">
        <v>2929</v>
      </c>
      <c r="G552" s="181" t="s">
        <v>12</v>
      </c>
      <c r="H552" s="193">
        <v>44942</v>
      </c>
      <c r="I552" s="193"/>
      <c r="J552" s="179" t="s">
        <v>5115</v>
      </c>
      <c r="K552" s="179">
        <v>300</v>
      </c>
      <c r="L552" s="179" t="s">
        <v>2950</v>
      </c>
      <c r="M552" s="185"/>
      <c r="N552" s="185"/>
      <c r="O552" s="186"/>
      <c r="P552" s="185"/>
      <c r="Q552" s="182" t="s">
        <v>2934</v>
      </c>
      <c r="R552" s="182" t="s">
        <v>2933</v>
      </c>
      <c r="S552" s="182" t="s">
        <v>2952</v>
      </c>
      <c r="T552" s="179" t="s">
        <v>2974</v>
      </c>
      <c r="U552" s="183" t="s">
        <v>2937</v>
      </c>
      <c r="V552" s="183">
        <v>1000</v>
      </c>
      <c r="W552" s="179" t="s">
        <v>3151</v>
      </c>
      <c r="X552" s="188">
        <v>300.52259999999995</v>
      </c>
      <c r="Y552" s="188">
        <v>155.4486</v>
      </c>
      <c r="Z552" s="188">
        <v>110.22659999999998</v>
      </c>
      <c r="AA552" s="188">
        <v>135.94499999999999</v>
      </c>
      <c r="AB552" s="188">
        <v>13.954799999999999</v>
      </c>
      <c r="AC552" s="188">
        <v>137.53049999999999</v>
      </c>
      <c r="AD552" s="179" t="s">
        <v>2956</v>
      </c>
      <c r="AE552" s="188" t="s">
        <v>2957</v>
      </c>
      <c r="AF552" s="189">
        <v>0.29166666666666669</v>
      </c>
      <c r="AG552" s="189">
        <v>0.91666666666666663</v>
      </c>
      <c r="AH552" s="190" t="s">
        <v>2941</v>
      </c>
      <c r="AI552" s="190" t="s">
        <v>2985</v>
      </c>
      <c r="AJ552" s="183" t="s">
        <v>94</v>
      </c>
      <c r="AK552" s="179" t="s">
        <v>3387</v>
      </c>
      <c r="AL552" s="183" t="s">
        <v>4</v>
      </c>
      <c r="AM552" s="183" t="s">
        <v>5116</v>
      </c>
      <c r="AN552" s="183" t="s">
        <v>2102</v>
      </c>
      <c r="AO552" s="209" t="s">
        <v>2290</v>
      </c>
      <c r="AP552" s="191">
        <v>81139008014</v>
      </c>
      <c r="AQ552" s="193">
        <v>44942</v>
      </c>
      <c r="AR552" s="183">
        <v>43</v>
      </c>
      <c r="AS552" s="183"/>
      <c r="AT552" s="182"/>
      <c r="AU552" s="182"/>
      <c r="AV552" s="192">
        <v>11634610</v>
      </c>
      <c r="AW552" s="181">
        <v>20.5</v>
      </c>
      <c r="AX552" s="206">
        <v>80227</v>
      </c>
      <c r="AY552" s="183"/>
    </row>
    <row r="553" spans="1:51" ht="14.4" x14ac:dyDescent="0.3">
      <c r="A553" s="179" t="s">
        <v>883</v>
      </c>
      <c r="B553" s="179" t="s">
        <v>2927</v>
      </c>
      <c r="C553" s="180" t="s">
        <v>2130</v>
      </c>
      <c r="D553" s="181" t="s">
        <v>2843</v>
      </c>
      <c r="E553" s="181" t="s">
        <v>2840</v>
      </c>
      <c r="F553" s="182" t="s">
        <v>2929</v>
      </c>
      <c r="G553" s="181" t="s">
        <v>12</v>
      </c>
      <c r="H553" s="193">
        <v>44947</v>
      </c>
      <c r="I553" s="193"/>
      <c r="J553" s="179" t="s">
        <v>5117</v>
      </c>
      <c r="K553" s="179">
        <v>750</v>
      </c>
      <c r="L553" s="179" t="s">
        <v>3026</v>
      </c>
      <c r="M553" s="185"/>
      <c r="N553" s="185"/>
      <c r="O553" s="186"/>
      <c r="P553" s="185"/>
      <c r="Q553" s="182" t="s">
        <v>2934</v>
      </c>
      <c r="R553" s="182" t="s">
        <v>2933</v>
      </c>
      <c r="S553" s="182" t="s">
        <v>2952</v>
      </c>
      <c r="T553" s="179" t="s">
        <v>2953</v>
      </c>
      <c r="U553" s="183" t="s">
        <v>2937</v>
      </c>
      <c r="V553" s="183">
        <v>1151</v>
      </c>
      <c r="W553" s="179" t="s">
        <v>3151</v>
      </c>
      <c r="X553" s="188">
        <v>293.24639999999999</v>
      </c>
      <c r="Y553" s="188">
        <v>172.9914</v>
      </c>
      <c r="Z553" s="188">
        <v>107.6692</v>
      </c>
      <c r="AA553" s="188">
        <v>116.66</v>
      </c>
      <c r="AB553" s="188">
        <v>14.411999999999999</v>
      </c>
      <c r="AC553" s="188">
        <v>35.916800000000002</v>
      </c>
      <c r="AD553" s="179" t="s">
        <v>2984</v>
      </c>
      <c r="AE553" s="188" t="s">
        <v>2940</v>
      </c>
      <c r="AF553" s="189">
        <v>0.29166666666666669</v>
      </c>
      <c r="AG553" s="189">
        <v>0.95833333333333337</v>
      </c>
      <c r="AH553" s="190" t="s">
        <v>2941</v>
      </c>
      <c r="AI553" s="190" t="s">
        <v>2942</v>
      </c>
      <c r="AJ553" s="183" t="s">
        <v>237</v>
      </c>
      <c r="AK553" s="179" t="s">
        <v>2963</v>
      </c>
      <c r="AL553" s="183" t="s">
        <v>90</v>
      </c>
      <c r="AM553" s="183" t="s">
        <v>5118</v>
      </c>
      <c r="AN553" s="183" t="s">
        <v>2102</v>
      </c>
      <c r="AO553" s="209" t="s">
        <v>2310</v>
      </c>
      <c r="AP553" s="191">
        <v>81139008027</v>
      </c>
      <c r="AQ553" s="193">
        <v>44947</v>
      </c>
      <c r="AR553" s="183">
        <v>43</v>
      </c>
      <c r="AS553" s="183"/>
      <c r="AT553" s="182"/>
      <c r="AU553" s="182"/>
      <c r="AV553" s="192">
        <v>12831745</v>
      </c>
      <c r="AW553" s="181">
        <v>85.3</v>
      </c>
      <c r="AX553" s="206">
        <v>82212</v>
      </c>
      <c r="AY553" s="183"/>
    </row>
    <row r="554" spans="1:51" ht="14.4" x14ac:dyDescent="0.3">
      <c r="A554" s="179" t="s">
        <v>468</v>
      </c>
      <c r="B554" s="179" t="s">
        <v>2947</v>
      </c>
      <c r="C554" s="180" t="s">
        <v>2189</v>
      </c>
      <c r="D554" s="181" t="s">
        <v>2854</v>
      </c>
      <c r="E554" s="181" t="s">
        <v>2821</v>
      </c>
      <c r="F554" s="182" t="s">
        <v>2929</v>
      </c>
      <c r="G554" s="181" t="s">
        <v>12</v>
      </c>
      <c r="H554" s="193">
        <v>44953</v>
      </c>
      <c r="I554" s="193"/>
      <c r="J554" s="179" t="s">
        <v>5119</v>
      </c>
      <c r="K554" s="179">
        <v>400</v>
      </c>
      <c r="L554" s="179" t="s">
        <v>2950</v>
      </c>
      <c r="M554" s="185"/>
      <c r="N554" s="185"/>
      <c r="O554" s="186"/>
      <c r="P554" s="185"/>
      <c r="Q554" s="182" t="s">
        <v>2933</v>
      </c>
      <c r="R554" s="182" t="s">
        <v>2934</v>
      </c>
      <c r="S554" s="182" t="s">
        <v>2935</v>
      </c>
      <c r="T554" s="179" t="s">
        <v>2974</v>
      </c>
      <c r="U554" s="183" t="s">
        <v>2954</v>
      </c>
      <c r="V554" s="183">
        <v>424</v>
      </c>
      <c r="W554" s="179" t="s">
        <v>2975</v>
      </c>
      <c r="X554" s="188">
        <v>250.143</v>
      </c>
      <c r="Y554" s="188">
        <v>170.44349999999997</v>
      </c>
      <c r="Z554" s="188">
        <v>101.518</v>
      </c>
      <c r="AA554" s="188">
        <v>72.471500000000006</v>
      </c>
      <c r="AB554" s="188">
        <v>8.2025000000000006</v>
      </c>
      <c r="AC554" s="188">
        <v>51.917000000000002</v>
      </c>
      <c r="AD554" s="179" t="s">
        <v>2984</v>
      </c>
      <c r="AE554" s="188" t="s">
        <v>2940</v>
      </c>
      <c r="AF554" s="189">
        <v>0.29166666666666669</v>
      </c>
      <c r="AG554" s="189">
        <v>0.91666666666666663</v>
      </c>
      <c r="AH554" s="190" t="s">
        <v>2941</v>
      </c>
      <c r="AI554" s="190" t="s">
        <v>2942</v>
      </c>
      <c r="AJ554" s="183" t="s">
        <v>466</v>
      </c>
      <c r="AK554" s="179" t="s">
        <v>3034</v>
      </c>
      <c r="AL554" s="183" t="s">
        <v>4</v>
      </c>
      <c r="AM554" s="183" t="s">
        <v>5120</v>
      </c>
      <c r="AN554" s="183" t="s">
        <v>2102</v>
      </c>
      <c r="AO554" s="209" t="s">
        <v>2437</v>
      </c>
      <c r="AP554" s="191">
        <v>81139009401</v>
      </c>
      <c r="AQ554" s="193">
        <v>44953</v>
      </c>
      <c r="AR554" s="183">
        <v>43</v>
      </c>
      <c r="AS554" s="183"/>
      <c r="AT554" s="182"/>
      <c r="AU554" s="182"/>
      <c r="AV554" s="192">
        <v>11922366</v>
      </c>
      <c r="AW554" s="181">
        <v>18.2</v>
      </c>
      <c r="AX554" s="206">
        <v>80227</v>
      </c>
      <c r="AY554" s="183"/>
    </row>
    <row r="555" spans="1:51" ht="14.4" x14ac:dyDescent="0.3">
      <c r="A555" s="179" t="s">
        <v>1216</v>
      </c>
      <c r="B555" s="179" t="s">
        <v>2927</v>
      </c>
      <c r="C555" s="180" t="s">
        <v>2126</v>
      </c>
      <c r="D555" s="181" t="s">
        <v>2853</v>
      </c>
      <c r="E555" s="181" t="s">
        <v>2825</v>
      </c>
      <c r="F555" s="182" t="s">
        <v>2972</v>
      </c>
      <c r="G555" s="181" t="s">
        <v>17</v>
      </c>
      <c r="H555" s="193">
        <v>44960</v>
      </c>
      <c r="I555" s="193"/>
      <c r="J555" s="179" t="s">
        <v>3008</v>
      </c>
      <c r="K555" s="179" t="s">
        <v>3008</v>
      </c>
      <c r="L555" s="179" t="s">
        <v>2932</v>
      </c>
      <c r="M555" s="185"/>
      <c r="N555" s="185"/>
      <c r="O555" s="179" t="s">
        <v>2951</v>
      </c>
      <c r="P555" s="185"/>
      <c r="Q555" s="182" t="s">
        <v>2933</v>
      </c>
      <c r="R555" s="182" t="s">
        <v>2934</v>
      </c>
      <c r="S555" s="182" t="s">
        <v>2952</v>
      </c>
      <c r="T555" s="179" t="s">
        <v>2974</v>
      </c>
      <c r="U555" s="183" t="s">
        <v>2937</v>
      </c>
      <c r="V555" s="183">
        <v>1013</v>
      </c>
      <c r="W555" s="179" t="s">
        <v>4941</v>
      </c>
      <c r="X555" s="188">
        <v>410</v>
      </c>
      <c r="Y555" s="188">
        <v>246</v>
      </c>
      <c r="Z555" s="188">
        <v>134.12799999999999</v>
      </c>
      <c r="AA555" s="188">
        <v>151.5</v>
      </c>
      <c r="AB555" s="188">
        <v>23.315999999999999</v>
      </c>
      <c r="AC555" s="188">
        <v>71.207999999999998</v>
      </c>
      <c r="AD555" s="179" t="s">
        <v>2956</v>
      </c>
      <c r="AE555" s="188" t="s">
        <v>2940</v>
      </c>
      <c r="AF555" s="189">
        <v>0.29166666666666669</v>
      </c>
      <c r="AG555" s="189">
        <v>0.99930555555555556</v>
      </c>
      <c r="AH555" s="190" t="s">
        <v>2941</v>
      </c>
      <c r="AI555" s="190" t="s">
        <v>2942</v>
      </c>
      <c r="AJ555" s="183" t="s">
        <v>1214</v>
      </c>
      <c r="AK555" s="179" t="s">
        <v>3922</v>
      </c>
      <c r="AL555" s="183" t="s">
        <v>9</v>
      </c>
      <c r="AM555" s="183" t="s">
        <v>5121</v>
      </c>
      <c r="AN555" s="183" t="s">
        <v>2102</v>
      </c>
      <c r="AO555" s="209" t="s">
        <v>5122</v>
      </c>
      <c r="AP555" s="191">
        <v>81139009414</v>
      </c>
      <c r="AQ555" s="193">
        <v>44960</v>
      </c>
      <c r="AR555" s="183">
        <v>42</v>
      </c>
      <c r="AS555" s="183"/>
      <c r="AT555" s="182" t="s">
        <v>5123</v>
      </c>
      <c r="AU555" s="182" t="s">
        <v>2946</v>
      </c>
      <c r="AV555" s="192">
        <v>11229736</v>
      </c>
      <c r="AW555" s="181">
        <v>28.5</v>
      </c>
      <c r="AX555" s="206">
        <v>80353</v>
      </c>
      <c r="AY555" s="183"/>
    </row>
    <row r="556" spans="1:51" ht="14.4" x14ac:dyDescent="0.3">
      <c r="A556" s="179" t="s">
        <v>928</v>
      </c>
      <c r="B556" s="179" t="s">
        <v>2927</v>
      </c>
      <c r="C556" s="180" t="s">
        <v>2164</v>
      </c>
      <c r="D556" s="181" t="s">
        <v>2845</v>
      </c>
      <c r="E556" s="181" t="s">
        <v>2821</v>
      </c>
      <c r="F556" s="182" t="s">
        <v>2929</v>
      </c>
      <c r="G556" s="181" t="s">
        <v>12</v>
      </c>
      <c r="H556" s="193">
        <v>44963</v>
      </c>
      <c r="I556" s="193"/>
      <c r="J556" s="179" t="s">
        <v>5124</v>
      </c>
      <c r="K556" s="179">
        <v>57</v>
      </c>
      <c r="L556" s="179" t="s">
        <v>2965</v>
      </c>
      <c r="M556" s="185"/>
      <c r="N556" s="185"/>
      <c r="O556" s="186"/>
      <c r="P556" s="185"/>
      <c r="Q556" s="182" t="s">
        <v>2933</v>
      </c>
      <c r="R556" s="182" t="s">
        <v>2934</v>
      </c>
      <c r="S556" s="182" t="s">
        <v>2952</v>
      </c>
      <c r="T556" s="179" t="s">
        <v>2953</v>
      </c>
      <c r="U556" s="183" t="s">
        <v>2937</v>
      </c>
      <c r="V556" s="183">
        <v>917</v>
      </c>
      <c r="W556" s="179" t="s">
        <v>2975</v>
      </c>
      <c r="X556" s="188">
        <v>263.40799999999996</v>
      </c>
      <c r="Y556" s="188">
        <v>186.32760000000002</v>
      </c>
      <c r="Z556" s="188">
        <v>106.6768</v>
      </c>
      <c r="AA556" s="188">
        <v>70.230800000000002</v>
      </c>
      <c r="AB556" s="188">
        <v>10.06</v>
      </c>
      <c r="AC556" s="188">
        <v>60.996600000000001</v>
      </c>
      <c r="AD556" s="179" t="s">
        <v>2956</v>
      </c>
      <c r="AE556" s="188" t="s">
        <v>2940</v>
      </c>
      <c r="AF556" s="189">
        <v>0.25</v>
      </c>
      <c r="AG556" s="189">
        <v>0.95833333333333337</v>
      </c>
      <c r="AH556" s="190" t="s">
        <v>2941</v>
      </c>
      <c r="AI556" s="190" t="s">
        <v>2942</v>
      </c>
      <c r="AJ556" s="183" t="s">
        <v>926</v>
      </c>
      <c r="AK556" s="179" t="s">
        <v>4938</v>
      </c>
      <c r="AL556" s="183" t="s">
        <v>90</v>
      </c>
      <c r="AM556" s="183" t="s">
        <v>5125</v>
      </c>
      <c r="AN556" s="183" t="s">
        <v>2102</v>
      </c>
      <c r="AO556" s="209" t="s">
        <v>5126</v>
      </c>
      <c r="AP556" s="191">
        <v>81139008179</v>
      </c>
      <c r="AQ556" s="193">
        <v>44963</v>
      </c>
      <c r="AR556" s="183">
        <v>42</v>
      </c>
      <c r="AS556" s="183"/>
      <c r="AT556" s="182"/>
      <c r="AU556" s="182"/>
      <c r="AV556" s="192">
        <v>11942170</v>
      </c>
      <c r="AW556" s="181">
        <v>81.099999999999994</v>
      </c>
      <c r="AX556" s="206">
        <v>82261</v>
      </c>
      <c r="AY556" s="183"/>
    </row>
    <row r="557" spans="1:51" ht="14.4" x14ac:dyDescent="0.3">
      <c r="A557" s="179" t="s">
        <v>1202</v>
      </c>
      <c r="B557" s="179" t="s">
        <v>2927</v>
      </c>
      <c r="C557" s="180" t="s">
        <v>2175</v>
      </c>
      <c r="D557" s="181" t="s">
        <v>2842</v>
      </c>
      <c r="E557" s="181" t="s">
        <v>2834</v>
      </c>
      <c r="F557" s="182" t="s">
        <v>2929</v>
      </c>
      <c r="G557" s="181" t="s">
        <v>12</v>
      </c>
      <c r="H557" s="193">
        <v>44979</v>
      </c>
      <c r="I557" s="193"/>
      <c r="J557" s="179" t="s">
        <v>3008</v>
      </c>
      <c r="K557" s="179" t="s">
        <v>3008</v>
      </c>
      <c r="L557" s="179" t="s">
        <v>2932</v>
      </c>
      <c r="M557" s="185"/>
      <c r="N557" s="185"/>
      <c r="O557" s="186"/>
      <c r="P557" s="185"/>
      <c r="Q557" s="182" t="s">
        <v>2934</v>
      </c>
      <c r="R557" s="182" t="s">
        <v>2933</v>
      </c>
      <c r="S557" s="182" t="s">
        <v>2952</v>
      </c>
      <c r="T557" s="179" t="s">
        <v>2974</v>
      </c>
      <c r="U557" s="183" t="s">
        <v>2937</v>
      </c>
      <c r="V557" s="183">
        <v>1100</v>
      </c>
      <c r="W557" s="179" t="s">
        <v>3009</v>
      </c>
      <c r="X557" s="188">
        <v>404.38649999999996</v>
      </c>
      <c r="Y557" s="188">
        <v>224.83649999999997</v>
      </c>
      <c r="Z557" s="188">
        <v>131.38649999999998</v>
      </c>
      <c r="AA557" s="188">
        <v>162.70199999999997</v>
      </c>
      <c r="AB557" s="188">
        <v>29.1</v>
      </c>
      <c r="AC557" s="188">
        <v>45.391500000000001</v>
      </c>
      <c r="AD557" s="179" t="s">
        <v>2984</v>
      </c>
      <c r="AE557" s="188" t="s">
        <v>2940</v>
      </c>
      <c r="AF557" s="189">
        <v>0.29166666666666669</v>
      </c>
      <c r="AG557" s="189">
        <v>0.95833333333333337</v>
      </c>
      <c r="AH557" s="190" t="s">
        <v>2941</v>
      </c>
      <c r="AI557" s="190" t="s">
        <v>2942</v>
      </c>
      <c r="AJ557" s="183" t="s">
        <v>1200</v>
      </c>
      <c r="AK557" s="179" t="s">
        <v>5127</v>
      </c>
      <c r="AL557" s="183" t="s">
        <v>58</v>
      </c>
      <c r="AM557" s="183" t="s">
        <v>5128</v>
      </c>
      <c r="AN557" s="183" t="s">
        <v>2102</v>
      </c>
      <c r="AO557" s="209" t="s">
        <v>5129</v>
      </c>
      <c r="AP557" s="191">
        <v>81139008174</v>
      </c>
      <c r="AQ557" s="193">
        <v>44979</v>
      </c>
      <c r="AR557" s="183">
        <v>42</v>
      </c>
      <c r="AS557" s="183"/>
      <c r="AT557" s="182"/>
      <c r="AU557" s="182"/>
      <c r="AV557" s="192">
        <v>13561104</v>
      </c>
      <c r="AW557" s="181">
        <v>44</v>
      </c>
      <c r="AX557" s="206">
        <v>80761</v>
      </c>
      <c r="AY557" s="183"/>
    </row>
    <row r="558" spans="1:51" ht="14.4" x14ac:dyDescent="0.3">
      <c r="A558" s="179" t="s">
        <v>942</v>
      </c>
      <c r="B558" s="179" t="s">
        <v>2947</v>
      </c>
      <c r="C558" s="180" t="s">
        <v>2192</v>
      </c>
      <c r="D558" s="181" t="s">
        <v>2818</v>
      </c>
      <c r="E558" s="181" t="s">
        <v>2817</v>
      </c>
      <c r="F558" s="182" t="s">
        <v>2929</v>
      </c>
      <c r="G558" s="181" t="s">
        <v>12</v>
      </c>
      <c r="H558" s="193">
        <v>45550</v>
      </c>
      <c r="I558" s="193"/>
      <c r="J558" s="179" t="s">
        <v>3008</v>
      </c>
      <c r="K558" s="179" t="s">
        <v>3008</v>
      </c>
      <c r="L558" s="179" t="s">
        <v>2932</v>
      </c>
      <c r="M558" s="185"/>
      <c r="N558" s="185"/>
      <c r="O558" s="186"/>
      <c r="P558" s="185"/>
      <c r="Q558" s="182" t="s">
        <v>2933</v>
      </c>
      <c r="R558" s="182" t="s">
        <v>2934</v>
      </c>
      <c r="S558" s="182" t="s">
        <v>2952</v>
      </c>
      <c r="T558" s="179" t="s">
        <v>2953</v>
      </c>
      <c r="U558" s="183" t="s">
        <v>2954</v>
      </c>
      <c r="V558" s="183">
        <v>509</v>
      </c>
      <c r="W558" s="179" t="s">
        <v>4941</v>
      </c>
      <c r="X558" s="188">
        <v>519.15369999999996</v>
      </c>
      <c r="Y558" s="188">
        <v>260.8039</v>
      </c>
      <c r="Z558" s="188">
        <v>150.43680000000001</v>
      </c>
      <c r="AA558" s="188">
        <v>243.87080000000003</v>
      </c>
      <c r="AB558" s="188">
        <v>20.088000000000001</v>
      </c>
      <c r="AC558" s="188">
        <v>79.502200000000002</v>
      </c>
      <c r="AD558" s="179" t="s">
        <v>2956</v>
      </c>
      <c r="AE558" s="188" t="s">
        <v>2940</v>
      </c>
      <c r="AF558" s="189">
        <v>0.29166666666666669</v>
      </c>
      <c r="AG558" s="189">
        <v>0.99930555555555556</v>
      </c>
      <c r="AH558" s="190" t="s">
        <v>2941</v>
      </c>
      <c r="AI558" s="190" t="s">
        <v>2942</v>
      </c>
      <c r="AJ558" s="183" t="s">
        <v>5</v>
      </c>
      <c r="AK558" s="179" t="s">
        <v>2958</v>
      </c>
      <c r="AL558" s="183" t="s">
        <v>4</v>
      </c>
      <c r="AM558" s="183" t="s">
        <v>5130</v>
      </c>
      <c r="AN558" s="183" t="s">
        <v>2102</v>
      </c>
      <c r="AO558" s="209" t="s">
        <v>5131</v>
      </c>
      <c r="AP558" s="191">
        <v>81139008325</v>
      </c>
      <c r="AQ558" s="193">
        <v>44985</v>
      </c>
      <c r="AR558" s="183">
        <v>42</v>
      </c>
      <c r="AS558" s="183"/>
      <c r="AT558" s="182"/>
      <c r="AU558" s="182"/>
      <c r="AV558" s="192">
        <v>13852946</v>
      </c>
      <c r="AW558" s="181">
        <v>22.3</v>
      </c>
      <c r="AX558" s="206">
        <v>80353</v>
      </c>
      <c r="AY558" s="183"/>
    </row>
    <row r="559" spans="1:51" ht="14.4" x14ac:dyDescent="0.3">
      <c r="A559" s="179" t="s">
        <v>1726</v>
      </c>
      <c r="B559" s="179" t="s">
        <v>2927</v>
      </c>
      <c r="C559" s="180" t="s">
        <v>2120</v>
      </c>
      <c r="D559" s="181" t="s">
        <v>2851</v>
      </c>
      <c r="E559" s="181" t="s">
        <v>2817</v>
      </c>
      <c r="F559" s="182" t="s">
        <v>2929</v>
      </c>
      <c r="G559" s="181" t="s">
        <v>12</v>
      </c>
      <c r="H559" s="193">
        <v>44991</v>
      </c>
      <c r="I559" s="193"/>
      <c r="J559" s="179" t="s">
        <v>5132</v>
      </c>
      <c r="K559" s="179">
        <v>240</v>
      </c>
      <c r="L559" s="179" t="s">
        <v>2950</v>
      </c>
      <c r="M559" s="185"/>
      <c r="N559" s="185"/>
      <c r="O559" s="186"/>
      <c r="P559" s="185"/>
      <c r="Q559" s="182" t="s">
        <v>2933</v>
      </c>
      <c r="R559" s="182" t="s">
        <v>2934</v>
      </c>
      <c r="S559" s="182" t="s">
        <v>2952</v>
      </c>
      <c r="T559" s="179" t="s">
        <v>2974</v>
      </c>
      <c r="U559" s="183" t="s">
        <v>2937</v>
      </c>
      <c r="V559" s="183">
        <v>563</v>
      </c>
      <c r="W559" s="179" t="s">
        <v>3009</v>
      </c>
      <c r="X559" s="188">
        <v>279.822</v>
      </c>
      <c r="Y559" s="188">
        <v>196.43879999999999</v>
      </c>
      <c r="Z559" s="188">
        <v>122.4444</v>
      </c>
      <c r="AA559" s="188">
        <v>78.673199999999994</v>
      </c>
      <c r="AB559" s="188">
        <v>23.462399999999999</v>
      </c>
      <c r="AC559" s="188">
        <v>36.730800000000002</v>
      </c>
      <c r="AD559" s="179" t="s">
        <v>2984</v>
      </c>
      <c r="AE559" s="188" t="s">
        <v>2940</v>
      </c>
      <c r="AF559" s="189">
        <v>0.29166666666666669</v>
      </c>
      <c r="AG559" s="189">
        <v>0.99930555555555556</v>
      </c>
      <c r="AH559" s="190" t="s">
        <v>2941</v>
      </c>
      <c r="AI559" s="190" t="s">
        <v>2985</v>
      </c>
      <c r="AJ559" s="183" t="s">
        <v>373</v>
      </c>
      <c r="AK559" s="179" t="s">
        <v>3256</v>
      </c>
      <c r="AL559" s="183" t="s">
        <v>4</v>
      </c>
      <c r="AM559" s="183" t="s">
        <v>5133</v>
      </c>
      <c r="AN559" s="183" t="s">
        <v>2102</v>
      </c>
      <c r="AO559" s="209" t="s">
        <v>5134</v>
      </c>
      <c r="AP559" s="191">
        <v>81139008142</v>
      </c>
      <c r="AQ559" s="193">
        <v>44991</v>
      </c>
      <c r="AR559" s="183">
        <v>41</v>
      </c>
      <c r="AS559" s="183"/>
      <c r="AT559" s="182"/>
      <c r="AU559" s="182"/>
      <c r="AV559" s="192">
        <v>13153434</v>
      </c>
      <c r="AW559" s="181">
        <v>28</v>
      </c>
      <c r="AX559" s="206">
        <v>80223</v>
      </c>
      <c r="AY559" s="183"/>
    </row>
    <row r="560" spans="1:51" ht="14.4" x14ac:dyDescent="0.3">
      <c r="A560" s="179" t="s">
        <v>1818</v>
      </c>
      <c r="B560" s="179" t="s">
        <v>2927</v>
      </c>
      <c r="C560" s="180" t="s">
        <v>5135</v>
      </c>
      <c r="D560" s="181" t="s">
        <v>2847</v>
      </c>
      <c r="E560" s="181" t="s">
        <v>2830</v>
      </c>
      <c r="F560" s="182" t="s">
        <v>2929</v>
      </c>
      <c r="G560" s="181" t="s">
        <v>12</v>
      </c>
      <c r="H560" s="193">
        <v>45005</v>
      </c>
      <c r="I560" s="193"/>
      <c r="J560" s="179" t="s">
        <v>5136</v>
      </c>
      <c r="K560" s="179">
        <v>27</v>
      </c>
      <c r="L560" s="179" t="s">
        <v>2965</v>
      </c>
      <c r="M560" s="185"/>
      <c r="N560" s="185"/>
      <c r="O560" s="186"/>
      <c r="P560" s="185"/>
      <c r="Q560" s="182" t="s">
        <v>2933</v>
      </c>
      <c r="R560" s="182" t="s">
        <v>2934</v>
      </c>
      <c r="S560" s="182" t="s">
        <v>2952</v>
      </c>
      <c r="T560" s="179" t="s">
        <v>2974</v>
      </c>
      <c r="U560" s="183" t="s">
        <v>2937</v>
      </c>
      <c r="V560" s="183">
        <v>687</v>
      </c>
      <c r="W560" s="179" t="s">
        <v>4578</v>
      </c>
      <c r="X560" s="188">
        <v>227.79679999999999</v>
      </c>
      <c r="Y560" s="188">
        <v>169.334</v>
      </c>
      <c r="Z560" s="188">
        <v>104.74420000000001</v>
      </c>
      <c r="AA560" s="188">
        <v>60.811199999999999</v>
      </c>
      <c r="AB560" s="188">
        <v>8.19</v>
      </c>
      <c r="AC560" s="188">
        <v>34.529000000000003</v>
      </c>
      <c r="AD560" s="179" t="s">
        <v>2984</v>
      </c>
      <c r="AE560" s="188" t="s">
        <v>2940</v>
      </c>
      <c r="AF560" s="189">
        <v>0.33333333333333331</v>
      </c>
      <c r="AG560" s="189">
        <v>0.95833333333333337</v>
      </c>
      <c r="AH560" s="190" t="s">
        <v>2941</v>
      </c>
      <c r="AI560" s="190" t="s">
        <v>2985</v>
      </c>
      <c r="AJ560" s="183" t="s">
        <v>536</v>
      </c>
      <c r="AK560" s="179" t="s">
        <v>3256</v>
      </c>
      <c r="AL560" s="183" t="s">
        <v>4</v>
      </c>
      <c r="AM560" s="183" t="s">
        <v>5137</v>
      </c>
      <c r="AN560" s="183" t="s">
        <v>2102</v>
      </c>
      <c r="AO560" s="209" t="s">
        <v>5138</v>
      </c>
      <c r="AP560" s="191"/>
      <c r="AQ560" s="193">
        <v>45005</v>
      </c>
      <c r="AR560" s="183">
        <v>41</v>
      </c>
      <c r="AS560" s="183"/>
      <c r="AT560" s="182"/>
      <c r="AU560" s="182"/>
      <c r="AV560" s="192">
        <v>13522740</v>
      </c>
      <c r="AW560" s="181">
        <v>26.2</v>
      </c>
      <c r="AX560" s="206">
        <v>80223</v>
      </c>
      <c r="AY560" s="183"/>
    </row>
    <row r="561" spans="1:51" ht="14.4" x14ac:dyDescent="0.3">
      <c r="A561" s="179" t="s">
        <v>2091</v>
      </c>
      <c r="B561" s="179" t="s">
        <v>2947</v>
      </c>
      <c r="C561" s="180" t="s">
        <v>2203</v>
      </c>
      <c r="D561" s="181" t="s">
        <v>2862</v>
      </c>
      <c r="E561" s="181" t="s">
        <v>2819</v>
      </c>
      <c r="F561" s="182" t="s">
        <v>2972</v>
      </c>
      <c r="G561" s="181" t="s">
        <v>17</v>
      </c>
      <c r="H561" s="193">
        <v>45475</v>
      </c>
      <c r="I561" s="193">
        <v>45382</v>
      </c>
      <c r="J561" s="179" t="s">
        <v>3008</v>
      </c>
      <c r="K561" s="179" t="s">
        <v>3008</v>
      </c>
      <c r="L561" s="179" t="s">
        <v>2932</v>
      </c>
      <c r="M561" s="185"/>
      <c r="N561" s="185"/>
      <c r="O561" s="179" t="s">
        <v>2951</v>
      </c>
      <c r="P561" s="185"/>
      <c r="Q561" s="182" t="s">
        <v>2934</v>
      </c>
      <c r="R561" s="182" t="s">
        <v>2933</v>
      </c>
      <c r="S561" s="182" t="s">
        <v>2952</v>
      </c>
      <c r="T561" s="179" t="s">
        <v>2974</v>
      </c>
      <c r="U561" s="183" t="s">
        <v>2954</v>
      </c>
      <c r="V561" s="183">
        <v>479</v>
      </c>
      <c r="W561" s="179" t="s">
        <v>4941</v>
      </c>
      <c r="X561" s="188">
        <v>365.49700000000001</v>
      </c>
      <c r="Y561" s="188">
        <v>247.489</v>
      </c>
      <c r="Z561" s="188">
        <v>134.67329999999998</v>
      </c>
      <c r="AA561" s="188">
        <v>102.976</v>
      </c>
      <c r="AB561" s="188">
        <v>25.744</v>
      </c>
      <c r="AC561" s="188">
        <v>77.804999999999993</v>
      </c>
      <c r="AD561" s="179" t="s">
        <v>2956</v>
      </c>
      <c r="AE561" s="188" t="s">
        <v>2940</v>
      </c>
      <c r="AF561" s="189">
        <v>0</v>
      </c>
      <c r="AG561" s="189">
        <v>0.99930555555555556</v>
      </c>
      <c r="AH561" s="190" t="s">
        <v>2941</v>
      </c>
      <c r="AI561" s="190" t="s">
        <v>2942</v>
      </c>
      <c r="AJ561" s="183" t="s">
        <v>1388</v>
      </c>
      <c r="AK561" s="179" t="s">
        <v>2958</v>
      </c>
      <c r="AL561" s="183" t="s">
        <v>4</v>
      </c>
      <c r="AM561" s="183" t="s">
        <v>5139</v>
      </c>
      <c r="AN561" s="183" t="s">
        <v>2102</v>
      </c>
      <c r="AO561" s="209" t="s">
        <v>5140</v>
      </c>
      <c r="AP561" s="191">
        <v>81139009449</v>
      </c>
      <c r="AQ561" s="193">
        <v>45012</v>
      </c>
      <c r="AR561" s="183">
        <v>41</v>
      </c>
      <c r="AS561" s="183"/>
      <c r="AT561" s="182" t="s">
        <v>5141</v>
      </c>
      <c r="AU561" s="182" t="s">
        <v>2946</v>
      </c>
      <c r="AV561" s="192">
        <v>31769062</v>
      </c>
      <c r="AW561" s="181">
        <v>23.1</v>
      </c>
      <c r="AX561" s="206">
        <v>80113</v>
      </c>
      <c r="AY561" s="183"/>
    </row>
    <row r="562" spans="1:51" ht="14.4" x14ac:dyDescent="0.3">
      <c r="A562" s="179" t="s">
        <v>1154</v>
      </c>
      <c r="B562" s="179" t="s">
        <v>2947</v>
      </c>
      <c r="C562" s="180" t="s">
        <v>5142</v>
      </c>
      <c r="D562" s="181" t="s">
        <v>2823</v>
      </c>
      <c r="E562" s="181" t="s">
        <v>2819</v>
      </c>
      <c r="F562" s="182" t="s">
        <v>2929</v>
      </c>
      <c r="G562" s="181" t="s">
        <v>12</v>
      </c>
      <c r="H562" s="193">
        <v>45014</v>
      </c>
      <c r="I562" s="193"/>
      <c r="J562" s="179" t="s">
        <v>4962</v>
      </c>
      <c r="K562" s="179">
        <v>35</v>
      </c>
      <c r="L562" s="179" t="s">
        <v>2965</v>
      </c>
      <c r="M562" s="185"/>
      <c r="N562" s="185"/>
      <c r="O562" s="179" t="s">
        <v>2951</v>
      </c>
      <c r="P562" s="185"/>
      <c r="Q562" s="182" t="s">
        <v>2933</v>
      </c>
      <c r="R562" s="182" t="s">
        <v>2934</v>
      </c>
      <c r="S562" s="182" t="s">
        <v>2952</v>
      </c>
      <c r="T562" s="179" t="s">
        <v>2974</v>
      </c>
      <c r="U562" s="183" t="s">
        <v>2954</v>
      </c>
      <c r="V562" s="183">
        <v>338</v>
      </c>
      <c r="W562" s="179" t="s">
        <v>4941</v>
      </c>
      <c r="X562" s="188">
        <v>399.96959999999996</v>
      </c>
      <c r="Y562" s="188">
        <v>226.51999999999998</v>
      </c>
      <c r="Z562" s="188">
        <v>120.688</v>
      </c>
      <c r="AA562" s="188">
        <v>170.55520000000001</v>
      </c>
      <c r="AB562" s="188">
        <v>12.624000000000001</v>
      </c>
      <c r="AC562" s="188">
        <v>412.49639999999999</v>
      </c>
      <c r="AD562" s="179" t="s">
        <v>2956</v>
      </c>
      <c r="AE562" s="188" t="s">
        <v>2940</v>
      </c>
      <c r="AF562" s="189">
        <v>0.29166666666666669</v>
      </c>
      <c r="AG562" s="189">
        <v>0.95833333333333337</v>
      </c>
      <c r="AH562" s="190" t="s">
        <v>2941</v>
      </c>
      <c r="AI562" s="190" t="s">
        <v>2942</v>
      </c>
      <c r="AJ562" s="183" t="s">
        <v>268</v>
      </c>
      <c r="AK562" s="179" t="s">
        <v>2958</v>
      </c>
      <c r="AL562" s="183" t="s">
        <v>4</v>
      </c>
      <c r="AM562" s="183" t="s">
        <v>5143</v>
      </c>
      <c r="AN562" s="183" t="s">
        <v>2102</v>
      </c>
      <c r="AO562" s="209" t="s">
        <v>5140</v>
      </c>
      <c r="AP562" s="191">
        <v>81139008259</v>
      </c>
      <c r="AQ562" s="193">
        <v>45014</v>
      </c>
      <c r="AR562" s="183">
        <v>40</v>
      </c>
      <c r="AS562" s="183"/>
      <c r="AT562" s="182"/>
      <c r="AU562" s="182"/>
      <c r="AV562" s="192">
        <v>15837094</v>
      </c>
      <c r="AW562" s="181">
        <v>21.2</v>
      </c>
      <c r="AX562" s="206">
        <v>80117</v>
      </c>
      <c r="AY562" s="183"/>
    </row>
    <row r="563" spans="1:51" ht="14.4" x14ac:dyDescent="0.3">
      <c r="A563" s="179" t="s">
        <v>978</v>
      </c>
      <c r="B563" s="179" t="s">
        <v>2947</v>
      </c>
      <c r="C563" s="180" t="s">
        <v>5144</v>
      </c>
      <c r="D563" s="181" t="s">
        <v>2870</v>
      </c>
      <c r="E563" s="181" t="s">
        <v>2867</v>
      </c>
      <c r="F563" s="182" t="s">
        <v>3086</v>
      </c>
      <c r="G563" s="181" t="s">
        <v>535</v>
      </c>
      <c r="H563" s="193">
        <v>45016</v>
      </c>
      <c r="I563" s="193"/>
      <c r="J563" s="179" t="s">
        <v>5145</v>
      </c>
      <c r="K563" s="179">
        <v>200</v>
      </c>
      <c r="L563" s="179" t="s">
        <v>2950</v>
      </c>
      <c r="M563" s="185" t="s">
        <v>3164</v>
      </c>
      <c r="N563" s="185" t="s">
        <v>2951</v>
      </c>
      <c r="O563" s="179" t="s">
        <v>2951</v>
      </c>
      <c r="P563" s="185" t="s">
        <v>2951</v>
      </c>
      <c r="Q563" s="182" t="s">
        <v>2933</v>
      </c>
      <c r="R563" s="182" t="s">
        <v>2934</v>
      </c>
      <c r="S563" s="182" t="s">
        <v>2952</v>
      </c>
      <c r="T563" s="179" t="s">
        <v>2953</v>
      </c>
      <c r="U563" s="183" t="s">
        <v>2954</v>
      </c>
      <c r="V563" s="183">
        <v>83</v>
      </c>
      <c r="W563" s="179" t="s">
        <v>4951</v>
      </c>
      <c r="X563" s="188">
        <v>2476.9360000000001</v>
      </c>
      <c r="Y563" s="188">
        <v>701.91359999999997</v>
      </c>
      <c r="Z563" s="188">
        <v>330.54719999999998</v>
      </c>
      <c r="AA563" s="188">
        <v>752.7600000000001</v>
      </c>
      <c r="AB563" s="188">
        <v>54.816000000000003</v>
      </c>
      <c r="AC563" s="188">
        <v>261.06119999999999</v>
      </c>
      <c r="AD563" s="179" t="s">
        <v>2956</v>
      </c>
      <c r="AE563" s="188" t="s">
        <v>2940</v>
      </c>
      <c r="AF563" s="189">
        <v>0</v>
      </c>
      <c r="AG563" s="189">
        <v>0.99930555555555556</v>
      </c>
      <c r="AH563" s="190" t="s">
        <v>2976</v>
      </c>
      <c r="AI563" s="190" t="s">
        <v>2942</v>
      </c>
      <c r="AJ563" s="183" t="s">
        <v>131</v>
      </c>
      <c r="AK563" s="179" t="s">
        <v>3293</v>
      </c>
      <c r="AL563" s="183" t="s">
        <v>9</v>
      </c>
      <c r="AM563" s="183" t="s">
        <v>5146</v>
      </c>
      <c r="AN563" s="183" t="s">
        <v>2102</v>
      </c>
      <c r="AO563" s="209" t="s">
        <v>5147</v>
      </c>
      <c r="AP563" s="191">
        <v>81139009494</v>
      </c>
      <c r="AQ563" s="193">
        <v>45016</v>
      </c>
      <c r="AR563" s="183">
        <v>40</v>
      </c>
      <c r="AS563" s="183"/>
      <c r="AT563" s="182"/>
      <c r="AU563" s="182"/>
      <c r="AV563" s="192">
        <v>34660320</v>
      </c>
      <c r="AW563" s="181">
        <v>32.799999999999997</v>
      </c>
      <c r="AX563" s="206">
        <v>80361</v>
      </c>
      <c r="AY563" s="183"/>
    </row>
    <row r="564" spans="1:51" ht="14.4" x14ac:dyDescent="0.3">
      <c r="A564" s="179" t="s">
        <v>744</v>
      </c>
      <c r="B564" s="179" t="s">
        <v>2927</v>
      </c>
      <c r="C564" s="180" t="s">
        <v>5148</v>
      </c>
      <c r="D564" s="181" t="s">
        <v>2848</v>
      </c>
      <c r="E564" s="181" t="s">
        <v>2827</v>
      </c>
      <c r="F564" s="182" t="s">
        <v>2929</v>
      </c>
      <c r="G564" s="181" t="s">
        <v>12</v>
      </c>
      <c r="H564" s="193">
        <v>45021</v>
      </c>
      <c r="I564" s="193"/>
      <c r="J564" s="179" t="s">
        <v>5149</v>
      </c>
      <c r="K564" s="179">
        <v>170</v>
      </c>
      <c r="L564" s="179" t="s">
        <v>2950</v>
      </c>
      <c r="M564" s="185"/>
      <c r="N564" s="185"/>
      <c r="O564" s="186"/>
      <c r="P564" s="185"/>
      <c r="Q564" s="182" t="s">
        <v>2933</v>
      </c>
      <c r="R564" s="182" t="s">
        <v>2934</v>
      </c>
      <c r="S564" s="182" t="s">
        <v>2952</v>
      </c>
      <c r="T564" s="179" t="s">
        <v>2974</v>
      </c>
      <c r="U564" s="183" t="s">
        <v>2937</v>
      </c>
      <c r="V564" s="183">
        <v>507</v>
      </c>
      <c r="W564" s="179" t="s">
        <v>3125</v>
      </c>
      <c r="X564" s="188">
        <v>371.6379</v>
      </c>
      <c r="Y564" s="188">
        <v>221.9811</v>
      </c>
      <c r="Z564" s="188">
        <v>126.1182</v>
      </c>
      <c r="AA564" s="188">
        <v>139.24950000000001</v>
      </c>
      <c r="AB564" s="188">
        <v>21.933599999999998</v>
      </c>
      <c r="AC564" s="188">
        <v>65.079299999999989</v>
      </c>
      <c r="AD564" s="179" t="s">
        <v>2956</v>
      </c>
      <c r="AE564" s="188" t="s">
        <v>2940</v>
      </c>
      <c r="AF564" s="189">
        <v>0.29166666666666669</v>
      </c>
      <c r="AG564" s="189">
        <v>0.91666666666666663</v>
      </c>
      <c r="AH564" s="190" t="s">
        <v>2941</v>
      </c>
      <c r="AI564" s="190" t="s">
        <v>2942</v>
      </c>
      <c r="AJ564" s="183" t="s">
        <v>742</v>
      </c>
      <c r="AK564" s="179" t="s">
        <v>48</v>
      </c>
      <c r="AL564" s="183" t="s">
        <v>48</v>
      </c>
      <c r="AM564" s="183" t="s">
        <v>5150</v>
      </c>
      <c r="AN564" s="183" t="s">
        <v>2102</v>
      </c>
      <c r="AO564" s="209" t="s">
        <v>5151</v>
      </c>
      <c r="AP564" s="191">
        <v>81139008147</v>
      </c>
      <c r="AQ564" s="193">
        <v>45021</v>
      </c>
      <c r="AR564" s="183">
        <v>40</v>
      </c>
      <c r="AS564" s="183"/>
      <c r="AT564" s="182"/>
      <c r="AU564" s="182"/>
      <c r="AV564" s="192">
        <v>11064726</v>
      </c>
      <c r="AW564" s="181">
        <v>58.1</v>
      </c>
      <c r="AX564" s="206">
        <v>81119</v>
      </c>
      <c r="AY564" s="183"/>
    </row>
    <row r="565" spans="1:51" ht="14.4" x14ac:dyDescent="0.3">
      <c r="A565" s="179" t="s">
        <v>417</v>
      </c>
      <c r="B565" s="179" t="s">
        <v>2927</v>
      </c>
      <c r="C565" s="180" t="s">
        <v>2176</v>
      </c>
      <c r="D565" s="181" t="s">
        <v>2832</v>
      </c>
      <c r="E565" s="181" t="s">
        <v>2813</v>
      </c>
      <c r="F565" s="182" t="s">
        <v>2929</v>
      </c>
      <c r="G565" s="181" t="s">
        <v>12</v>
      </c>
      <c r="H565" s="193">
        <v>45032</v>
      </c>
      <c r="I565" s="193"/>
      <c r="J565" s="179" t="s">
        <v>3570</v>
      </c>
      <c r="K565" s="179">
        <v>50</v>
      </c>
      <c r="L565" s="183" t="s">
        <v>5152</v>
      </c>
      <c r="M565" s="185"/>
      <c r="N565" s="185"/>
      <c r="O565" s="186"/>
      <c r="P565" s="185"/>
      <c r="Q565" s="182" t="s">
        <v>2934</v>
      </c>
      <c r="R565" s="182" t="s">
        <v>2933</v>
      </c>
      <c r="S565" s="182" t="s">
        <v>2952</v>
      </c>
      <c r="T565" s="179" t="s">
        <v>2974</v>
      </c>
      <c r="U565" s="183" t="s">
        <v>2937</v>
      </c>
      <c r="V565" s="183">
        <v>545</v>
      </c>
      <c r="W565" s="179" t="s">
        <v>3009</v>
      </c>
      <c r="X565" s="188">
        <v>377.2944</v>
      </c>
      <c r="Y565" s="188">
        <v>248.29199999999997</v>
      </c>
      <c r="Z565" s="188">
        <v>120.42</v>
      </c>
      <c r="AA565" s="188">
        <v>119.4834</v>
      </c>
      <c r="AB565" s="188">
        <v>15.935999999999998</v>
      </c>
      <c r="AC565" s="188">
        <v>104.24160000000001</v>
      </c>
      <c r="AD565" s="179" t="s">
        <v>2956</v>
      </c>
      <c r="AE565" s="188" t="s">
        <v>2940</v>
      </c>
      <c r="AF565" s="189">
        <v>0.29166666666666669</v>
      </c>
      <c r="AG565" s="189">
        <v>0.99930555555555556</v>
      </c>
      <c r="AH565" s="190" t="s">
        <v>2941</v>
      </c>
      <c r="AI565" s="190" t="s">
        <v>2985</v>
      </c>
      <c r="AJ565" s="183" t="s">
        <v>167</v>
      </c>
      <c r="AK565" s="179" t="s">
        <v>3241</v>
      </c>
      <c r="AL565" s="183" t="s">
        <v>9</v>
      </c>
      <c r="AM565" s="183" t="s">
        <v>5153</v>
      </c>
      <c r="AN565" s="183" t="s">
        <v>2102</v>
      </c>
      <c r="AO565" s="209" t="s">
        <v>5154</v>
      </c>
      <c r="AP565" s="191">
        <v>81139008146</v>
      </c>
      <c r="AQ565" s="193">
        <v>45032</v>
      </c>
      <c r="AR565" s="183">
        <v>40</v>
      </c>
      <c r="AS565" s="183"/>
      <c r="AT565" s="182"/>
      <c r="AU565" s="182"/>
      <c r="AV565" s="192">
        <v>12270076</v>
      </c>
      <c r="AW565" s="181">
        <v>41</v>
      </c>
      <c r="AX565" s="206">
        <v>80362</v>
      </c>
      <c r="AY565" s="183"/>
    </row>
    <row r="566" spans="1:51" ht="14.4" x14ac:dyDescent="0.3">
      <c r="A566" s="179" t="s">
        <v>1458</v>
      </c>
      <c r="B566" s="179" t="s">
        <v>2927</v>
      </c>
      <c r="C566" s="180" t="s">
        <v>5155</v>
      </c>
      <c r="D566" s="181" t="s">
        <v>2823</v>
      </c>
      <c r="E566" s="181" t="s">
        <v>2819</v>
      </c>
      <c r="F566" s="182" t="s">
        <v>2929</v>
      </c>
      <c r="G566" s="181" t="s">
        <v>12</v>
      </c>
      <c r="H566" s="193">
        <v>45032</v>
      </c>
      <c r="I566" s="193"/>
      <c r="J566" s="186" t="s">
        <v>3008</v>
      </c>
      <c r="K566" s="186" t="s">
        <v>3008</v>
      </c>
      <c r="L566" s="179" t="s">
        <v>2932</v>
      </c>
      <c r="M566" s="185"/>
      <c r="N566" s="185"/>
      <c r="O566" s="186"/>
      <c r="P566" s="185"/>
      <c r="Q566" s="182" t="s">
        <v>2934</v>
      </c>
      <c r="R566" s="182" t="s">
        <v>2933</v>
      </c>
      <c r="S566" s="182" t="s">
        <v>2952</v>
      </c>
      <c r="T566" s="179" t="s">
        <v>2974</v>
      </c>
      <c r="U566" s="183" t="s">
        <v>2937</v>
      </c>
      <c r="V566" s="183">
        <v>671</v>
      </c>
      <c r="W566" s="179" t="s">
        <v>4941</v>
      </c>
      <c r="X566" s="188">
        <v>212.21099999999998</v>
      </c>
      <c r="Y566" s="188">
        <v>144.89100000000002</v>
      </c>
      <c r="Z566" s="188">
        <v>113.39999999999999</v>
      </c>
      <c r="AA566" s="188">
        <v>60</v>
      </c>
      <c r="AB566" s="188">
        <v>10.331999999999999</v>
      </c>
      <c r="AC566" s="188">
        <v>69.462000000000003</v>
      </c>
      <c r="AD566" s="179" t="s">
        <v>2956</v>
      </c>
      <c r="AE566" s="188" t="s">
        <v>2957</v>
      </c>
      <c r="AF566" s="189">
        <v>0</v>
      </c>
      <c r="AG566" s="189">
        <v>0.99930555555555556</v>
      </c>
      <c r="AH566" s="190" t="s">
        <v>2941</v>
      </c>
      <c r="AI566" s="190" t="s">
        <v>2942</v>
      </c>
      <c r="AJ566" s="183" t="s">
        <v>1456</v>
      </c>
      <c r="AK566" s="179" t="s">
        <v>2958</v>
      </c>
      <c r="AL566" s="183" t="s">
        <v>4</v>
      </c>
      <c r="AM566" s="183" t="s">
        <v>5156</v>
      </c>
      <c r="AN566" s="183" t="s">
        <v>2102</v>
      </c>
      <c r="AO566" s="209" t="s">
        <v>5157</v>
      </c>
      <c r="AP566" s="191">
        <v>81139008145</v>
      </c>
      <c r="AQ566" s="193">
        <v>45032</v>
      </c>
      <c r="AR566" s="183">
        <v>40</v>
      </c>
      <c r="AS566" s="183"/>
      <c r="AT566" s="182"/>
      <c r="AU566" s="182"/>
      <c r="AV566" s="192">
        <v>12082977</v>
      </c>
      <c r="AW566" s="181">
        <v>23</v>
      </c>
      <c r="AX566" s="206">
        <v>80117</v>
      </c>
      <c r="AY566" s="183"/>
    </row>
    <row r="567" spans="1:51" ht="14.4" x14ac:dyDescent="0.3">
      <c r="A567" s="179" t="s">
        <v>1470</v>
      </c>
      <c r="B567" s="179" t="s">
        <v>2947</v>
      </c>
      <c r="C567" s="180" t="s">
        <v>2193</v>
      </c>
      <c r="D567" s="181" t="s">
        <v>2847</v>
      </c>
      <c r="E567" s="181" t="s">
        <v>2830</v>
      </c>
      <c r="F567" s="182" t="s">
        <v>2972</v>
      </c>
      <c r="G567" s="181" t="s">
        <v>17</v>
      </c>
      <c r="H567" s="193">
        <v>45725</v>
      </c>
      <c r="I567" s="193">
        <v>45725</v>
      </c>
      <c r="J567" s="179" t="s">
        <v>5014</v>
      </c>
      <c r="K567" s="179">
        <v>400</v>
      </c>
      <c r="L567" s="179" t="s">
        <v>2950</v>
      </c>
      <c r="M567" s="185"/>
      <c r="N567" s="185"/>
      <c r="O567" s="186"/>
      <c r="P567" s="185"/>
      <c r="Q567" s="182" t="s">
        <v>2933</v>
      </c>
      <c r="R567" s="182" t="s">
        <v>2934</v>
      </c>
      <c r="S567" s="182" t="s">
        <v>2952</v>
      </c>
      <c r="T567" s="179" t="s">
        <v>2974</v>
      </c>
      <c r="U567" s="183" t="s">
        <v>2954</v>
      </c>
      <c r="V567" s="183">
        <v>252</v>
      </c>
      <c r="W567" s="179" t="s">
        <v>3009</v>
      </c>
      <c r="X567" s="188">
        <v>415.12209999999999</v>
      </c>
      <c r="Y567" s="188">
        <v>295.54019999999997</v>
      </c>
      <c r="Z567" s="188">
        <v>140.976</v>
      </c>
      <c r="AA567" s="188">
        <v>98.560699999999997</v>
      </c>
      <c r="AB567" s="188">
        <v>20.88</v>
      </c>
      <c r="AC567" s="188">
        <v>127.25579999999998</v>
      </c>
      <c r="AD567" s="179" t="s">
        <v>2956</v>
      </c>
      <c r="AE567" s="188" t="s">
        <v>2940</v>
      </c>
      <c r="AF567" s="189">
        <v>0.29166666666666669</v>
      </c>
      <c r="AG567" s="189">
        <v>0.99930555555555556</v>
      </c>
      <c r="AH567" s="190" t="s">
        <v>2941</v>
      </c>
      <c r="AI567" s="190" t="s">
        <v>2985</v>
      </c>
      <c r="AJ567" s="183" t="s">
        <v>1119</v>
      </c>
      <c r="AK567" s="179" t="s">
        <v>3256</v>
      </c>
      <c r="AL567" s="183" t="s">
        <v>4</v>
      </c>
      <c r="AM567" s="183" t="s">
        <v>5158</v>
      </c>
      <c r="AN567" s="183" t="s">
        <v>2102</v>
      </c>
      <c r="AO567" s="209" t="s">
        <v>5159</v>
      </c>
      <c r="AP567" s="191">
        <v>81139008140</v>
      </c>
      <c r="AQ567" s="193">
        <v>45036</v>
      </c>
      <c r="AR567" s="183">
        <v>40</v>
      </c>
      <c r="AS567" s="183"/>
      <c r="AT567" s="182" t="s">
        <v>3898</v>
      </c>
      <c r="AU567" s="182" t="s">
        <v>2946</v>
      </c>
      <c r="AV567" s="192">
        <v>13149881</v>
      </c>
      <c r="AW567" s="181">
        <v>33.4</v>
      </c>
      <c r="AX567" s="206">
        <v>80113</v>
      </c>
      <c r="AY567" s="183"/>
    </row>
    <row r="568" spans="1:51" ht="14.4" x14ac:dyDescent="0.3">
      <c r="A568" s="179" t="s">
        <v>655</v>
      </c>
      <c r="B568" s="179" t="s">
        <v>2927</v>
      </c>
      <c r="C568" s="180" t="s">
        <v>5160</v>
      </c>
      <c r="D568" s="181" t="s">
        <v>2839</v>
      </c>
      <c r="E568" s="181" t="s">
        <v>2834</v>
      </c>
      <c r="F568" s="182" t="s">
        <v>2929</v>
      </c>
      <c r="G568" s="181" t="s">
        <v>12</v>
      </c>
      <c r="H568" s="193">
        <v>45050</v>
      </c>
      <c r="I568" s="193"/>
      <c r="J568" s="179" t="s">
        <v>4666</v>
      </c>
      <c r="K568" s="179">
        <v>450</v>
      </c>
      <c r="L568" s="179"/>
      <c r="M568" s="185"/>
      <c r="N568" s="185"/>
      <c r="O568" s="186"/>
      <c r="P568" s="185"/>
      <c r="Q568" s="182" t="s">
        <v>2934</v>
      </c>
      <c r="R568" s="182" t="s">
        <v>2933</v>
      </c>
      <c r="S568" s="182" t="s">
        <v>2952</v>
      </c>
      <c r="T568" s="179" t="s">
        <v>2974</v>
      </c>
      <c r="U568" s="183" t="s">
        <v>2937</v>
      </c>
      <c r="V568" s="183">
        <v>797</v>
      </c>
      <c r="W568" s="179" t="s">
        <v>4941</v>
      </c>
      <c r="X568" s="188">
        <v>438.69780000000003</v>
      </c>
      <c r="Y568" s="188">
        <v>228.96180000000001</v>
      </c>
      <c r="Z568" s="188">
        <v>122.36800000000001</v>
      </c>
      <c r="AA568" s="188">
        <v>206.49600000000004</v>
      </c>
      <c r="AB568" s="188">
        <v>22.943999999999999</v>
      </c>
      <c r="AC568" s="188">
        <v>73.990200000000002</v>
      </c>
      <c r="AD568" s="179" t="s">
        <v>2956</v>
      </c>
      <c r="AE568" s="188" t="s">
        <v>2940</v>
      </c>
      <c r="AF568" s="189">
        <v>0.29166666666666669</v>
      </c>
      <c r="AG568" s="189">
        <v>0.91666666666666663</v>
      </c>
      <c r="AH568" s="190" t="s">
        <v>2941</v>
      </c>
      <c r="AI568" s="190" t="s">
        <v>2942</v>
      </c>
      <c r="AJ568" s="183" t="s">
        <v>653</v>
      </c>
      <c r="AK568" s="179" t="s">
        <v>5161</v>
      </c>
      <c r="AL568" s="183" t="s">
        <v>40</v>
      </c>
      <c r="AM568" s="183" t="s">
        <v>5162</v>
      </c>
      <c r="AN568" s="183" t="s">
        <v>2102</v>
      </c>
      <c r="AO568" s="209" t="s">
        <v>5163</v>
      </c>
      <c r="AP568" s="191">
        <v>81139008175</v>
      </c>
      <c r="AQ568" s="193">
        <v>45050</v>
      </c>
      <c r="AR568" s="183">
        <v>39</v>
      </c>
      <c r="AS568" s="183"/>
      <c r="AT568" s="182"/>
      <c r="AU568" s="182"/>
      <c r="AV568" s="192">
        <v>10044818</v>
      </c>
      <c r="AW568" s="181">
        <v>48.4</v>
      </c>
      <c r="AX568" s="206">
        <v>80863</v>
      </c>
      <c r="AY568" s="183"/>
    </row>
    <row r="569" spans="1:51" ht="14.4" x14ac:dyDescent="0.3">
      <c r="A569" s="179" t="s">
        <v>1476</v>
      </c>
      <c r="B569" s="179" t="s">
        <v>2947</v>
      </c>
      <c r="C569" s="180" t="s">
        <v>2233</v>
      </c>
      <c r="D569" s="181" t="s">
        <v>2849</v>
      </c>
      <c r="E569" s="181" t="s">
        <v>2830</v>
      </c>
      <c r="F569" s="182" t="s">
        <v>2972</v>
      </c>
      <c r="G569" s="181" t="s">
        <v>17</v>
      </c>
      <c r="H569" s="193">
        <v>45821</v>
      </c>
      <c r="I569" s="193">
        <v>45821</v>
      </c>
      <c r="J569" s="179" t="s">
        <v>5164</v>
      </c>
      <c r="K569" s="179">
        <v>750</v>
      </c>
      <c r="L569" s="179" t="s">
        <v>3026</v>
      </c>
      <c r="M569" s="185"/>
      <c r="N569" s="185"/>
      <c r="O569" s="186"/>
      <c r="P569" s="185"/>
      <c r="Q569" s="182" t="s">
        <v>2934</v>
      </c>
      <c r="R569" s="182" t="s">
        <v>2933</v>
      </c>
      <c r="S569" s="182" t="s">
        <v>2952</v>
      </c>
      <c r="T569" s="179" t="s">
        <v>2974</v>
      </c>
      <c r="U569" s="183" t="s">
        <v>2954</v>
      </c>
      <c r="V569" s="183">
        <v>675</v>
      </c>
      <c r="W569" s="179" t="s">
        <v>4941</v>
      </c>
      <c r="X569" s="188">
        <v>265.55160000000001</v>
      </c>
      <c r="Y569" s="188">
        <v>208.91039999999998</v>
      </c>
      <c r="Z569" s="188">
        <v>119.12160000000002</v>
      </c>
      <c r="AA569" s="188">
        <v>60.198599999999999</v>
      </c>
      <c r="AB569" s="188">
        <v>13.156000000000002</v>
      </c>
      <c r="AC569" s="188">
        <v>66.1374</v>
      </c>
      <c r="AD569" s="179" t="s">
        <v>2956</v>
      </c>
      <c r="AE569" s="188" t="s">
        <v>2940</v>
      </c>
      <c r="AF569" s="189">
        <v>0.29166666666666669</v>
      </c>
      <c r="AG569" s="189">
        <v>0.99930555555555556</v>
      </c>
      <c r="AH569" s="190" t="s">
        <v>2941</v>
      </c>
      <c r="AI569" s="190" t="s">
        <v>2985</v>
      </c>
      <c r="AJ569" s="183" t="s">
        <v>733</v>
      </c>
      <c r="AK569" s="179" t="s">
        <v>3387</v>
      </c>
      <c r="AL569" s="183" t="s">
        <v>4</v>
      </c>
      <c r="AM569" s="183" t="s">
        <v>5165</v>
      </c>
      <c r="AN569" s="183" t="s">
        <v>2102</v>
      </c>
      <c r="AO569" s="209" t="s">
        <v>5166</v>
      </c>
      <c r="AP569" s="191">
        <v>81139008186</v>
      </c>
      <c r="AQ569" s="193">
        <v>45062</v>
      </c>
      <c r="AR569" s="183">
        <v>39</v>
      </c>
      <c r="AS569" s="183"/>
      <c r="AT569" s="182" t="s">
        <v>5167</v>
      </c>
      <c r="AU569" s="182" t="s">
        <v>2946</v>
      </c>
      <c r="AV569" s="192">
        <v>12673777</v>
      </c>
      <c r="AW569" s="181">
        <v>25</v>
      </c>
      <c r="AX569" s="206">
        <v>80236</v>
      </c>
      <c r="AY569" s="183"/>
    </row>
    <row r="570" spans="1:51" ht="14.4" x14ac:dyDescent="0.3">
      <c r="A570" s="179" t="s">
        <v>643</v>
      </c>
      <c r="B570" s="179" t="s">
        <v>2927</v>
      </c>
      <c r="C570" s="180" t="s">
        <v>5168</v>
      </c>
      <c r="D570" s="181" t="s">
        <v>2839</v>
      </c>
      <c r="E570" s="181" t="s">
        <v>2834</v>
      </c>
      <c r="F570" s="182" t="s">
        <v>2929</v>
      </c>
      <c r="G570" s="181" t="s">
        <v>12</v>
      </c>
      <c r="H570" s="193">
        <v>45062</v>
      </c>
      <c r="I570" s="193"/>
      <c r="J570" s="186" t="s">
        <v>3008</v>
      </c>
      <c r="K570" s="186" t="s">
        <v>3008</v>
      </c>
      <c r="L570" s="179" t="s">
        <v>2932</v>
      </c>
      <c r="M570" s="185"/>
      <c r="N570" s="185"/>
      <c r="O570" s="186"/>
      <c r="P570" s="185"/>
      <c r="Q570" s="182" t="s">
        <v>2933</v>
      </c>
      <c r="R570" s="182" t="s">
        <v>3729</v>
      </c>
      <c r="S570" s="182" t="s">
        <v>2952</v>
      </c>
      <c r="T570" s="179" t="s">
        <v>2974</v>
      </c>
      <c r="U570" s="183" t="s">
        <v>2937</v>
      </c>
      <c r="V570" s="183">
        <v>0</v>
      </c>
      <c r="W570" s="179" t="s">
        <v>4843</v>
      </c>
      <c r="X570" s="188">
        <v>146.15260000000001</v>
      </c>
      <c r="Y570" s="188">
        <v>146.15260000000001</v>
      </c>
      <c r="Z570" s="188">
        <v>89.763400000000004</v>
      </c>
      <c r="AA570" s="188">
        <v>0</v>
      </c>
      <c r="AB570" s="188">
        <v>3.0760000000000005</v>
      </c>
      <c r="AC570" s="188">
        <v>32.368000000000002</v>
      </c>
      <c r="AD570" s="179" t="s">
        <v>2984</v>
      </c>
      <c r="AE570" s="188" t="s">
        <v>2940</v>
      </c>
      <c r="AF570" s="189">
        <v>0.29166666666666669</v>
      </c>
      <c r="AG570" s="189">
        <v>0.91666666666666663</v>
      </c>
      <c r="AH570" s="190" t="s">
        <v>2941</v>
      </c>
      <c r="AI570" s="190" t="s">
        <v>2942</v>
      </c>
      <c r="AJ570" s="183" t="s">
        <v>641</v>
      </c>
      <c r="AK570" s="179" t="s">
        <v>5169</v>
      </c>
      <c r="AL570" s="183" t="s">
        <v>40</v>
      </c>
      <c r="AM570" s="183" t="s">
        <v>5170</v>
      </c>
      <c r="AN570" s="183" t="s">
        <v>2102</v>
      </c>
      <c r="AO570" s="209" t="s">
        <v>5171</v>
      </c>
      <c r="AP570" s="191">
        <v>81139008185</v>
      </c>
      <c r="AQ570" s="193">
        <v>45062</v>
      </c>
      <c r="AR570" s="183">
        <v>39</v>
      </c>
      <c r="AS570" s="183"/>
      <c r="AT570" s="182"/>
      <c r="AU570" s="182"/>
      <c r="AV570" s="192">
        <v>9563460</v>
      </c>
      <c r="AW570" s="181">
        <v>80.3</v>
      </c>
      <c r="AX570" s="206">
        <v>80861</v>
      </c>
      <c r="AY570" s="183"/>
    </row>
    <row r="571" spans="1:51" ht="14.4" x14ac:dyDescent="0.3">
      <c r="A571" s="179" t="s">
        <v>1674</v>
      </c>
      <c r="B571" s="179" t="s">
        <v>2927</v>
      </c>
      <c r="C571" s="180" t="s">
        <v>1673</v>
      </c>
      <c r="D571" s="181" t="s">
        <v>2848</v>
      </c>
      <c r="E571" s="181" t="s">
        <v>2827</v>
      </c>
      <c r="F571" s="182" t="s">
        <v>2929</v>
      </c>
      <c r="G571" s="181" t="s">
        <v>12</v>
      </c>
      <c r="H571" s="193">
        <v>45066</v>
      </c>
      <c r="I571" s="193"/>
      <c r="J571" s="186" t="s">
        <v>3008</v>
      </c>
      <c r="K571" s="186" t="s">
        <v>3008</v>
      </c>
      <c r="L571" s="179" t="s">
        <v>2932</v>
      </c>
      <c r="M571" s="185"/>
      <c r="N571" s="185"/>
      <c r="O571" s="186"/>
      <c r="P571" s="185"/>
      <c r="Q571" s="182" t="s">
        <v>2934</v>
      </c>
      <c r="R571" s="182" t="s">
        <v>2933</v>
      </c>
      <c r="S571" s="182" t="s">
        <v>2952</v>
      </c>
      <c r="T571" s="179" t="s">
        <v>2974</v>
      </c>
      <c r="U571" s="183" t="s">
        <v>2937</v>
      </c>
      <c r="V571" s="183">
        <v>1672</v>
      </c>
      <c r="W571" s="179" t="s">
        <v>4941</v>
      </c>
      <c r="X571" s="188">
        <v>539.9905</v>
      </c>
      <c r="Y571" s="188">
        <v>293.78960000000001</v>
      </c>
      <c r="Z571" s="188">
        <v>125.7771</v>
      </c>
      <c r="AA571" s="188">
        <v>201.12559999999999</v>
      </c>
      <c r="AB571" s="188">
        <v>29.805</v>
      </c>
      <c r="AC571" s="188">
        <v>114.8648</v>
      </c>
      <c r="AD571" s="179" t="s">
        <v>2956</v>
      </c>
      <c r="AE571" s="188" t="s">
        <v>3017</v>
      </c>
      <c r="AF571" s="189">
        <v>0.29166666666666669</v>
      </c>
      <c r="AG571" s="189">
        <v>0.91666666666666663</v>
      </c>
      <c r="AH571" s="190" t="s">
        <v>2941</v>
      </c>
      <c r="AI571" s="190" t="s">
        <v>2942</v>
      </c>
      <c r="AJ571" s="183" t="s">
        <v>1672</v>
      </c>
      <c r="AK571" s="179" t="s">
        <v>5172</v>
      </c>
      <c r="AL571" s="183" t="s">
        <v>48</v>
      </c>
      <c r="AM571" s="183" t="s">
        <v>5173</v>
      </c>
      <c r="AN571" s="183" t="s">
        <v>2102</v>
      </c>
      <c r="AO571" s="209" t="s">
        <v>5174</v>
      </c>
      <c r="AP571" s="191">
        <v>81139008180</v>
      </c>
      <c r="AQ571" s="193">
        <v>45066</v>
      </c>
      <c r="AR571" s="183">
        <v>39</v>
      </c>
      <c r="AS571" s="183"/>
      <c r="AT571" s="182"/>
      <c r="AU571" s="182"/>
      <c r="AV571" s="192">
        <v>10333512</v>
      </c>
      <c r="AW571" s="181">
        <v>67</v>
      </c>
      <c r="AX571" s="206">
        <v>81154</v>
      </c>
      <c r="AY571" s="183"/>
    </row>
    <row r="572" spans="1:51" ht="14.4" x14ac:dyDescent="0.3">
      <c r="A572" s="179" t="s">
        <v>1060</v>
      </c>
      <c r="B572" s="179" t="s">
        <v>2927</v>
      </c>
      <c r="C572" s="180" t="s">
        <v>2108</v>
      </c>
      <c r="D572" s="181" t="s">
        <v>2854</v>
      </c>
      <c r="E572" s="181" t="s">
        <v>2821</v>
      </c>
      <c r="F572" s="182" t="s">
        <v>2929</v>
      </c>
      <c r="G572" s="181" t="s">
        <v>12</v>
      </c>
      <c r="H572" s="193">
        <v>45066</v>
      </c>
      <c r="I572" s="193"/>
      <c r="J572" s="179" t="s">
        <v>5175</v>
      </c>
      <c r="K572" s="179">
        <v>80</v>
      </c>
      <c r="L572" s="179" t="s">
        <v>2965</v>
      </c>
      <c r="M572" s="185"/>
      <c r="N572" s="185"/>
      <c r="O572" s="186"/>
      <c r="P572" s="185"/>
      <c r="Q572" s="182" t="s">
        <v>2934</v>
      </c>
      <c r="R572" s="182" t="s">
        <v>2933</v>
      </c>
      <c r="S572" s="182" t="s">
        <v>2952</v>
      </c>
      <c r="T572" s="179" t="s">
        <v>2974</v>
      </c>
      <c r="U572" s="183" t="s">
        <v>2937</v>
      </c>
      <c r="V572" s="183">
        <v>353</v>
      </c>
      <c r="W572" s="179" t="s">
        <v>3292</v>
      </c>
      <c r="X572" s="188">
        <v>122.244</v>
      </c>
      <c r="Y572" s="188">
        <v>84.501999999999995</v>
      </c>
      <c r="Z572" s="188">
        <v>71.56450000000001</v>
      </c>
      <c r="AA572" s="188">
        <v>33.566999999999993</v>
      </c>
      <c r="AB572" s="188">
        <v>3.4365000000000001</v>
      </c>
      <c r="AC572" s="188">
        <v>81.484400000000008</v>
      </c>
      <c r="AD572" s="179" t="s">
        <v>2956</v>
      </c>
      <c r="AE572" s="188" t="s">
        <v>2957</v>
      </c>
      <c r="AF572" s="189">
        <v>0.29166666666666669</v>
      </c>
      <c r="AG572" s="189">
        <v>0.91666666666666663</v>
      </c>
      <c r="AH572" s="190" t="s">
        <v>2941</v>
      </c>
      <c r="AI572" s="190" t="s">
        <v>2942</v>
      </c>
      <c r="AJ572" s="183" t="s">
        <v>466</v>
      </c>
      <c r="AK572" s="179" t="s">
        <v>3034</v>
      </c>
      <c r="AL572" s="183" t="s">
        <v>4</v>
      </c>
      <c r="AM572" s="183" t="s">
        <v>5176</v>
      </c>
      <c r="AN572" s="183" t="s">
        <v>2102</v>
      </c>
      <c r="AO572" s="209" t="s">
        <v>5177</v>
      </c>
      <c r="AP572" s="191">
        <v>81139008184</v>
      </c>
      <c r="AQ572" s="193">
        <v>45066</v>
      </c>
      <c r="AR572" s="183">
        <v>39</v>
      </c>
      <c r="AS572" s="183"/>
      <c r="AT572" s="182"/>
      <c r="AU572" s="182"/>
      <c r="AV572" s="192">
        <v>7500816</v>
      </c>
      <c r="AW572" s="181">
        <v>18.100000000000001</v>
      </c>
      <c r="AX572" s="206">
        <v>80236</v>
      </c>
      <c r="AY572" s="183"/>
    </row>
    <row r="573" spans="1:51" ht="14.4" x14ac:dyDescent="0.3">
      <c r="A573" s="179" t="s">
        <v>923</v>
      </c>
      <c r="B573" s="179" t="s">
        <v>2927</v>
      </c>
      <c r="C573" s="180" t="s">
        <v>922</v>
      </c>
      <c r="D573" s="181" t="s">
        <v>2855</v>
      </c>
      <c r="E573" s="181" t="s">
        <v>2815</v>
      </c>
      <c r="F573" s="182" t="s">
        <v>2929</v>
      </c>
      <c r="G573" s="181" t="s">
        <v>12</v>
      </c>
      <c r="H573" s="193">
        <v>45075</v>
      </c>
      <c r="I573" s="193"/>
      <c r="J573" s="186" t="s">
        <v>3008</v>
      </c>
      <c r="K573" s="186" t="s">
        <v>3008</v>
      </c>
      <c r="L573" s="179" t="s">
        <v>2932</v>
      </c>
      <c r="M573" s="185"/>
      <c r="N573" s="185"/>
      <c r="O573" s="186"/>
      <c r="P573" s="185"/>
      <c r="Q573" s="182" t="s">
        <v>2934</v>
      </c>
      <c r="R573" s="182" t="s">
        <v>2933</v>
      </c>
      <c r="S573" s="182" t="s">
        <v>2952</v>
      </c>
      <c r="T573" s="179" t="s">
        <v>2974</v>
      </c>
      <c r="U573" s="183" t="s">
        <v>2937</v>
      </c>
      <c r="V573" s="183">
        <v>1039</v>
      </c>
      <c r="W573" s="179" t="s">
        <v>4941</v>
      </c>
      <c r="X573" s="188">
        <v>226.3338</v>
      </c>
      <c r="Y573" s="188">
        <v>142.7236</v>
      </c>
      <c r="Z573" s="188">
        <v>124.6752</v>
      </c>
      <c r="AA573" s="188">
        <v>72.897300000000001</v>
      </c>
      <c r="AB573" s="188">
        <v>3.3639999999999999</v>
      </c>
      <c r="AC573" s="188">
        <v>94.261200000000002</v>
      </c>
      <c r="AD573" s="179" t="s">
        <v>2956</v>
      </c>
      <c r="AE573" s="188" t="s">
        <v>2957</v>
      </c>
      <c r="AF573" s="189">
        <v>0.29166666666666669</v>
      </c>
      <c r="AG573" s="189">
        <v>0.91666666666666663</v>
      </c>
      <c r="AH573" s="190" t="s">
        <v>2941</v>
      </c>
      <c r="AI573" s="190" t="s">
        <v>2985</v>
      </c>
      <c r="AJ573" s="183" t="s">
        <v>921</v>
      </c>
      <c r="AK573" s="179" t="s">
        <v>2981</v>
      </c>
      <c r="AL573" s="183" t="s">
        <v>28</v>
      </c>
      <c r="AM573" s="183" t="s">
        <v>5178</v>
      </c>
      <c r="AN573" s="183" t="s">
        <v>2102</v>
      </c>
      <c r="AO573" s="209" t="s">
        <v>5179</v>
      </c>
      <c r="AP573" s="191">
        <v>81139008176</v>
      </c>
      <c r="AQ573" s="193">
        <v>45075</v>
      </c>
      <c r="AR573" s="183">
        <v>38</v>
      </c>
      <c r="AS573" s="183"/>
      <c r="AT573" s="182"/>
      <c r="AU573" s="182"/>
      <c r="AV573" s="192">
        <v>11510407</v>
      </c>
      <c r="AW573" s="181">
        <v>24</v>
      </c>
      <c r="AX573" s="206">
        <v>80582</v>
      </c>
      <c r="AY573" s="183"/>
    </row>
    <row r="574" spans="1:51" ht="14.4" x14ac:dyDescent="0.3">
      <c r="A574" s="179" t="s">
        <v>1400</v>
      </c>
      <c r="B574" s="179" t="s">
        <v>2947</v>
      </c>
      <c r="C574" s="180" t="s">
        <v>5180</v>
      </c>
      <c r="D574" s="181" t="s">
        <v>2855</v>
      </c>
      <c r="E574" s="181" t="s">
        <v>2815</v>
      </c>
      <c r="F574" s="182" t="s">
        <v>2929</v>
      </c>
      <c r="G574" s="181" t="s">
        <v>12</v>
      </c>
      <c r="H574" s="193">
        <v>45077</v>
      </c>
      <c r="I574" s="193"/>
      <c r="J574" s="186" t="s">
        <v>3008</v>
      </c>
      <c r="K574" s="186" t="s">
        <v>3008</v>
      </c>
      <c r="L574" s="179" t="s">
        <v>2932</v>
      </c>
      <c r="M574" s="185"/>
      <c r="N574" s="185" t="s">
        <v>2951</v>
      </c>
      <c r="O574" s="186"/>
      <c r="P574" s="185"/>
      <c r="Q574" s="182" t="s">
        <v>2934</v>
      </c>
      <c r="R574" s="182" t="s">
        <v>2933</v>
      </c>
      <c r="S574" s="182" t="s">
        <v>2952</v>
      </c>
      <c r="T574" s="179" t="s">
        <v>2974</v>
      </c>
      <c r="U574" s="183" t="s">
        <v>2954</v>
      </c>
      <c r="V574" s="183">
        <v>900</v>
      </c>
      <c r="W574" s="179" t="s">
        <v>4616</v>
      </c>
      <c r="X574" s="188">
        <v>277.62800000000004</v>
      </c>
      <c r="Y574" s="188">
        <v>171.12160000000003</v>
      </c>
      <c r="Z574" s="188">
        <v>100.71599999999999</v>
      </c>
      <c r="AA574" s="188">
        <v>127.85359999999999</v>
      </c>
      <c r="AB574" s="188">
        <v>10.464</v>
      </c>
      <c r="AC574" s="188">
        <v>52.15</v>
      </c>
      <c r="AD574" s="179" t="s">
        <v>2984</v>
      </c>
      <c r="AE574" s="188" t="s">
        <v>2940</v>
      </c>
      <c r="AF574" s="189">
        <v>0.29166666666666669</v>
      </c>
      <c r="AG574" s="189">
        <v>0.91666666666666663</v>
      </c>
      <c r="AH574" s="190" t="s">
        <v>2941</v>
      </c>
      <c r="AI574" s="190" t="s">
        <v>2985</v>
      </c>
      <c r="AJ574" s="183" t="s">
        <v>1312</v>
      </c>
      <c r="AK574" s="179" t="s">
        <v>2981</v>
      </c>
      <c r="AL574" s="183" t="s">
        <v>28</v>
      </c>
      <c r="AM574" s="183" t="s">
        <v>5181</v>
      </c>
      <c r="AN574" s="183" t="s">
        <v>2102</v>
      </c>
      <c r="AO574" s="209" t="s">
        <v>5182</v>
      </c>
      <c r="AP574" s="191">
        <v>81139008177</v>
      </c>
      <c r="AQ574" s="193">
        <v>45077</v>
      </c>
      <c r="AR574" s="183">
        <v>38</v>
      </c>
      <c r="AS574" s="183"/>
      <c r="AT574" s="182"/>
      <c r="AU574" s="182"/>
      <c r="AV574" s="192">
        <v>10815000</v>
      </c>
      <c r="AW574" s="181">
        <v>24.5</v>
      </c>
      <c r="AX574" s="206">
        <v>80582</v>
      </c>
      <c r="AY574" s="183"/>
    </row>
    <row r="575" spans="1:51" ht="14.4" x14ac:dyDescent="0.3">
      <c r="A575" s="179" t="s">
        <v>1812</v>
      </c>
      <c r="B575" s="179" t="s">
        <v>2927</v>
      </c>
      <c r="C575" s="180" t="s">
        <v>2163</v>
      </c>
      <c r="D575" s="181" t="s">
        <v>2829</v>
      </c>
      <c r="E575" s="181" t="s">
        <v>2815</v>
      </c>
      <c r="F575" s="182" t="s">
        <v>2929</v>
      </c>
      <c r="G575" s="181" t="s">
        <v>12</v>
      </c>
      <c r="H575" s="193">
        <v>45086</v>
      </c>
      <c r="I575" s="193"/>
      <c r="J575" s="186" t="s">
        <v>3008</v>
      </c>
      <c r="K575" s="186" t="s">
        <v>3008</v>
      </c>
      <c r="L575" s="179" t="s">
        <v>2932</v>
      </c>
      <c r="M575" s="185"/>
      <c r="N575" s="185"/>
      <c r="O575" s="186"/>
      <c r="P575" s="185"/>
      <c r="Q575" s="182" t="s">
        <v>2934</v>
      </c>
      <c r="R575" s="182" t="s">
        <v>2933</v>
      </c>
      <c r="S575" s="182" t="s">
        <v>2952</v>
      </c>
      <c r="T575" s="179" t="s">
        <v>2974</v>
      </c>
      <c r="U575" s="183" t="s">
        <v>2937</v>
      </c>
      <c r="V575" s="183">
        <v>708</v>
      </c>
      <c r="W575" s="179" t="s">
        <v>4941</v>
      </c>
      <c r="X575" s="188">
        <v>199.43549999999999</v>
      </c>
      <c r="Y575" s="188">
        <v>141.84449999999998</v>
      </c>
      <c r="Z575" s="188">
        <v>114.97129999999999</v>
      </c>
      <c r="AA575" s="188">
        <v>56.781000000000006</v>
      </c>
      <c r="AB575" s="188">
        <v>7.5519999999999996</v>
      </c>
      <c r="AC575" s="188">
        <v>133.33019999999999</v>
      </c>
      <c r="AD575" s="179" t="s">
        <v>2956</v>
      </c>
      <c r="AE575" s="188" t="s">
        <v>2957</v>
      </c>
      <c r="AF575" s="189">
        <v>0.29166666666666669</v>
      </c>
      <c r="AG575" s="189">
        <v>0.91666666666666663</v>
      </c>
      <c r="AH575" s="190" t="s">
        <v>2941</v>
      </c>
      <c r="AI575" s="190" t="s">
        <v>2985</v>
      </c>
      <c r="AJ575" s="183" t="s">
        <v>207</v>
      </c>
      <c r="AK575" s="179" t="s">
        <v>3110</v>
      </c>
      <c r="AL575" s="183" t="s">
        <v>28</v>
      </c>
      <c r="AM575" s="183" t="s">
        <v>5183</v>
      </c>
      <c r="AN575" s="183" t="s">
        <v>2102</v>
      </c>
      <c r="AO575" s="209" t="s">
        <v>5184</v>
      </c>
      <c r="AP575" s="191">
        <v>81139008197</v>
      </c>
      <c r="AQ575" s="193">
        <v>45086</v>
      </c>
      <c r="AR575" s="183">
        <v>38</v>
      </c>
      <c r="AS575" s="183"/>
      <c r="AT575" s="182"/>
      <c r="AU575" s="182"/>
      <c r="AV575" s="192">
        <v>11448659</v>
      </c>
      <c r="AW575" s="181">
        <v>22.1</v>
      </c>
      <c r="AX575" s="206">
        <v>80581</v>
      </c>
      <c r="AY575" s="183"/>
    </row>
    <row r="576" spans="1:51" ht="14.4" x14ac:dyDescent="0.3">
      <c r="A576" s="179" t="s">
        <v>1507</v>
      </c>
      <c r="B576" s="179" t="s">
        <v>2927</v>
      </c>
      <c r="C576" s="180" t="s">
        <v>5185</v>
      </c>
      <c r="D576" s="181" t="s">
        <v>2823</v>
      </c>
      <c r="E576" s="181" t="s">
        <v>2819</v>
      </c>
      <c r="F576" s="182" t="s">
        <v>2929</v>
      </c>
      <c r="G576" s="181" t="s">
        <v>12</v>
      </c>
      <c r="H576" s="193">
        <v>45086</v>
      </c>
      <c r="I576" s="193"/>
      <c r="J576" s="179" t="s">
        <v>5186</v>
      </c>
      <c r="K576" s="179">
        <v>350</v>
      </c>
      <c r="L576" s="179" t="s">
        <v>2950</v>
      </c>
      <c r="M576" s="185"/>
      <c r="N576" s="185"/>
      <c r="O576" s="186"/>
      <c r="P576" s="185"/>
      <c r="Q576" s="182" t="s">
        <v>2933</v>
      </c>
      <c r="R576" s="182" t="s">
        <v>2934</v>
      </c>
      <c r="S576" s="182" t="s">
        <v>2952</v>
      </c>
      <c r="T576" s="179" t="s">
        <v>2974</v>
      </c>
      <c r="U576" s="183" t="s">
        <v>2937</v>
      </c>
      <c r="V576" s="183">
        <v>351</v>
      </c>
      <c r="W576" s="179" t="s">
        <v>3963</v>
      </c>
      <c r="X576" s="188">
        <v>208.61099999999996</v>
      </c>
      <c r="Y576" s="188">
        <v>122.03099999999999</v>
      </c>
      <c r="Z576" s="188">
        <v>93.059999999999988</v>
      </c>
      <c r="AA576" s="188">
        <v>68.14500000000001</v>
      </c>
      <c r="AB576" s="188">
        <v>2.8723999999999998</v>
      </c>
      <c r="AC576" s="188">
        <v>83.191500000000005</v>
      </c>
      <c r="AD576" s="179" t="s">
        <v>2956</v>
      </c>
      <c r="AE576" s="188" t="s">
        <v>2957</v>
      </c>
      <c r="AF576" s="189">
        <v>0.29166666666666669</v>
      </c>
      <c r="AG576" s="189">
        <v>0.95833333333333337</v>
      </c>
      <c r="AH576" s="190" t="s">
        <v>2941</v>
      </c>
      <c r="AI576" s="190" t="s">
        <v>2942</v>
      </c>
      <c r="AJ576" s="183" t="s">
        <v>268</v>
      </c>
      <c r="AK576" s="179" t="s">
        <v>2958</v>
      </c>
      <c r="AL576" s="183" t="s">
        <v>4</v>
      </c>
      <c r="AM576" s="183" t="s">
        <v>5187</v>
      </c>
      <c r="AN576" s="183" t="s">
        <v>2102</v>
      </c>
      <c r="AO576" s="209" t="s">
        <v>5188</v>
      </c>
      <c r="AP576" s="191">
        <v>81139008198</v>
      </c>
      <c r="AQ576" s="193">
        <v>45086</v>
      </c>
      <c r="AR576" s="183">
        <v>38</v>
      </c>
      <c r="AS576" s="183"/>
      <c r="AT576" s="182"/>
      <c r="AU576" s="182"/>
      <c r="AV576" s="192">
        <v>9638150</v>
      </c>
      <c r="AW576" s="181">
        <v>21.3</v>
      </c>
      <c r="AX576" s="206">
        <v>80117</v>
      </c>
      <c r="AY576" s="183"/>
    </row>
    <row r="577" spans="1:51" ht="14.4" x14ac:dyDescent="0.3">
      <c r="A577" s="179" t="s">
        <v>1180</v>
      </c>
      <c r="B577" s="179" t="s">
        <v>2947</v>
      </c>
      <c r="C577" s="180" t="s">
        <v>2190</v>
      </c>
      <c r="D577" s="181" t="s">
        <v>2838</v>
      </c>
      <c r="E577" s="181" t="s">
        <v>2830</v>
      </c>
      <c r="F577" s="182" t="s">
        <v>2929</v>
      </c>
      <c r="G577" s="181" t="s">
        <v>12</v>
      </c>
      <c r="H577" s="193">
        <v>45088</v>
      </c>
      <c r="I577" s="193"/>
      <c r="J577" s="179" t="s">
        <v>5189</v>
      </c>
      <c r="K577" s="179">
        <v>300</v>
      </c>
      <c r="L577" s="179" t="s">
        <v>2950</v>
      </c>
      <c r="M577" s="185"/>
      <c r="N577" s="185"/>
      <c r="O577" s="186"/>
      <c r="P577" s="185"/>
      <c r="Q577" s="182" t="s">
        <v>2934</v>
      </c>
      <c r="R577" s="182" t="s">
        <v>2933</v>
      </c>
      <c r="S577" s="182" t="s">
        <v>2935</v>
      </c>
      <c r="T577" s="179" t="s">
        <v>2974</v>
      </c>
      <c r="U577" s="183" t="s">
        <v>2954</v>
      </c>
      <c r="V577" s="183">
        <v>675</v>
      </c>
      <c r="W577" s="179" t="s">
        <v>4941</v>
      </c>
      <c r="X577" s="188">
        <v>288.66360000000003</v>
      </c>
      <c r="Y577" s="188">
        <v>202.39240000000001</v>
      </c>
      <c r="Z577" s="188">
        <v>117.783</v>
      </c>
      <c r="AA577" s="188">
        <v>79.331999999999994</v>
      </c>
      <c r="AB577" s="188">
        <v>14.076000000000001</v>
      </c>
      <c r="AC577" s="188">
        <v>62.617500000000007</v>
      </c>
      <c r="AD577" s="179" t="s">
        <v>2956</v>
      </c>
      <c r="AE577" s="188" t="s">
        <v>2940</v>
      </c>
      <c r="AF577" s="189">
        <v>0.29166666666666669</v>
      </c>
      <c r="AG577" s="189">
        <v>0.95833333333333337</v>
      </c>
      <c r="AH577" s="190" t="s">
        <v>2941</v>
      </c>
      <c r="AI577" s="190" t="s">
        <v>2942</v>
      </c>
      <c r="AJ577" s="183" t="s">
        <v>1178</v>
      </c>
      <c r="AK577" s="179" t="s">
        <v>3034</v>
      </c>
      <c r="AL577" s="183" t="s">
        <v>4</v>
      </c>
      <c r="AM577" s="183" t="s">
        <v>5190</v>
      </c>
      <c r="AN577" s="183" t="s">
        <v>2102</v>
      </c>
      <c r="AO577" s="209" t="s">
        <v>5191</v>
      </c>
      <c r="AP577" s="191">
        <v>81139008195</v>
      </c>
      <c r="AQ577" s="193">
        <v>45088</v>
      </c>
      <c r="AR577" s="183">
        <v>38</v>
      </c>
      <c r="AS577" s="183"/>
      <c r="AT577" s="182"/>
      <c r="AU577" s="182"/>
      <c r="AV577" s="192">
        <v>10036666</v>
      </c>
      <c r="AW577" s="181">
        <v>13.9</v>
      </c>
      <c r="AX577" s="206">
        <v>80115</v>
      </c>
      <c r="AY577" s="183"/>
    </row>
    <row r="578" spans="1:51" ht="14.4" x14ac:dyDescent="0.3">
      <c r="A578" s="179" t="s">
        <v>111</v>
      </c>
      <c r="B578" s="179" t="s">
        <v>2927</v>
      </c>
      <c r="C578" s="180" t="s">
        <v>5192</v>
      </c>
      <c r="D578" s="181" t="s">
        <v>2848</v>
      </c>
      <c r="E578" s="181" t="s">
        <v>2827</v>
      </c>
      <c r="F578" s="182" t="s">
        <v>2929</v>
      </c>
      <c r="G578" s="181" t="s">
        <v>12</v>
      </c>
      <c r="H578" s="193">
        <v>45093</v>
      </c>
      <c r="I578" s="193"/>
      <c r="J578" s="179" t="s">
        <v>5193</v>
      </c>
      <c r="K578" s="186">
        <v>3000</v>
      </c>
      <c r="L578" s="179"/>
      <c r="M578" s="185"/>
      <c r="N578" s="185"/>
      <c r="O578" s="186"/>
      <c r="P578" s="185"/>
      <c r="Q578" s="182" t="s">
        <v>2934</v>
      </c>
      <c r="R578" s="182" t="s">
        <v>2933</v>
      </c>
      <c r="S578" s="182" t="s">
        <v>2935</v>
      </c>
      <c r="T578" s="179" t="s">
        <v>2953</v>
      </c>
      <c r="U578" s="183" t="s">
        <v>2937</v>
      </c>
      <c r="V578" s="183">
        <v>841</v>
      </c>
      <c r="W578" s="179" t="s">
        <v>4941</v>
      </c>
      <c r="X578" s="188">
        <v>345.42300000000006</v>
      </c>
      <c r="Y578" s="188">
        <v>261.66399999999999</v>
      </c>
      <c r="Z578" s="188">
        <v>104.8125</v>
      </c>
      <c r="AA578" s="188">
        <v>89.137199999999993</v>
      </c>
      <c r="AB578" s="188">
        <v>16.125</v>
      </c>
      <c r="AC578" s="188">
        <v>107.185</v>
      </c>
      <c r="AD578" s="179" t="s">
        <v>2956</v>
      </c>
      <c r="AE578" s="188" t="s">
        <v>2940</v>
      </c>
      <c r="AF578" s="189">
        <v>0.29166666666666669</v>
      </c>
      <c r="AG578" s="189">
        <v>0.91666666666666663</v>
      </c>
      <c r="AH578" s="190" t="s">
        <v>2941</v>
      </c>
      <c r="AI578" s="190" t="s">
        <v>2942</v>
      </c>
      <c r="AJ578" s="183" t="s">
        <v>109</v>
      </c>
      <c r="AK578" s="179" t="s">
        <v>3617</v>
      </c>
      <c r="AL578" s="183" t="s">
        <v>48</v>
      </c>
      <c r="AM578" s="183" t="s">
        <v>5194</v>
      </c>
      <c r="AN578" s="183" t="s">
        <v>2102</v>
      </c>
      <c r="AO578" s="209" t="s">
        <v>5195</v>
      </c>
      <c r="AP578" s="191">
        <v>81139008194</v>
      </c>
      <c r="AQ578" s="193">
        <v>45093</v>
      </c>
      <c r="AR578" s="183">
        <v>38</v>
      </c>
      <c r="AS578" s="183"/>
      <c r="AT578" s="182"/>
      <c r="AU578" s="182"/>
      <c r="AV578" s="192">
        <v>12944750</v>
      </c>
      <c r="AW578" s="181">
        <v>85</v>
      </c>
      <c r="AX578" s="206">
        <v>81155</v>
      </c>
      <c r="AY578" s="183"/>
    </row>
    <row r="579" spans="1:51" ht="14.4" x14ac:dyDescent="0.3">
      <c r="A579" s="179" t="s">
        <v>1098</v>
      </c>
      <c r="B579" s="179" t="s">
        <v>2947</v>
      </c>
      <c r="C579" s="180" t="s">
        <v>2239</v>
      </c>
      <c r="D579" s="181" t="s">
        <v>2851</v>
      </c>
      <c r="E579" s="181" t="s">
        <v>2817</v>
      </c>
      <c r="F579" s="182" t="s">
        <v>2972</v>
      </c>
      <c r="G579" s="181" t="s">
        <v>17</v>
      </c>
      <c r="H579" s="193">
        <v>45094</v>
      </c>
      <c r="I579" s="193"/>
      <c r="J579" s="179" t="s">
        <v>5196</v>
      </c>
      <c r="K579" s="179">
        <v>90</v>
      </c>
      <c r="L579" s="179" t="s">
        <v>2965</v>
      </c>
      <c r="M579" s="185"/>
      <c r="N579" s="185"/>
      <c r="O579" s="179" t="s">
        <v>2951</v>
      </c>
      <c r="P579" s="185"/>
      <c r="Q579" s="182" t="s">
        <v>2933</v>
      </c>
      <c r="R579" s="182" t="s">
        <v>2934</v>
      </c>
      <c r="S579" s="182" t="s">
        <v>2952</v>
      </c>
      <c r="T579" s="179" t="s">
        <v>2974</v>
      </c>
      <c r="U579" s="183" t="s">
        <v>2954</v>
      </c>
      <c r="V579" s="183">
        <v>623</v>
      </c>
      <c r="W579" s="179" t="s">
        <v>4941</v>
      </c>
      <c r="X579" s="188">
        <v>296.6585</v>
      </c>
      <c r="Y579" s="188">
        <v>195.50849999999997</v>
      </c>
      <c r="Z579" s="188">
        <v>110.40300000000001</v>
      </c>
      <c r="AA579" s="188">
        <v>85.54</v>
      </c>
      <c r="AB579" s="188">
        <v>10.072000000000001</v>
      </c>
      <c r="AC579" s="188">
        <v>61.412499999999994</v>
      </c>
      <c r="AD579" s="179" t="s">
        <v>2956</v>
      </c>
      <c r="AE579" s="188" t="s">
        <v>2940</v>
      </c>
      <c r="AF579" s="189">
        <v>0.29166666666666669</v>
      </c>
      <c r="AG579" s="189">
        <v>0.99930555555555556</v>
      </c>
      <c r="AH579" s="190" t="s">
        <v>2941</v>
      </c>
      <c r="AI579" s="190" t="s">
        <v>2985</v>
      </c>
      <c r="AJ579" s="183" t="s">
        <v>256</v>
      </c>
      <c r="AK579" s="179" t="s">
        <v>3256</v>
      </c>
      <c r="AL579" s="183" t="s">
        <v>4</v>
      </c>
      <c r="AM579" s="183" t="s">
        <v>5197</v>
      </c>
      <c r="AN579" s="183" t="s">
        <v>2102</v>
      </c>
      <c r="AO579" s="209" t="s">
        <v>5198</v>
      </c>
      <c r="AP579" s="191">
        <v>81139008193</v>
      </c>
      <c r="AQ579" s="193">
        <v>45094</v>
      </c>
      <c r="AR579" s="183">
        <v>38</v>
      </c>
      <c r="AS579" s="183"/>
      <c r="AT579" s="182" t="s">
        <v>5199</v>
      </c>
      <c r="AU579" s="182" t="s">
        <v>2946</v>
      </c>
      <c r="AV579" s="192">
        <v>12609837</v>
      </c>
      <c r="AW579" s="181">
        <v>26.6</v>
      </c>
      <c r="AX579" s="206">
        <v>80113</v>
      </c>
      <c r="AY579" s="183"/>
    </row>
    <row r="580" spans="1:51" ht="14.4" x14ac:dyDescent="0.3">
      <c r="A580" s="179" t="s">
        <v>1045</v>
      </c>
      <c r="B580" s="179" t="s">
        <v>2947</v>
      </c>
      <c r="C580" s="180" t="s">
        <v>5200</v>
      </c>
      <c r="D580" s="181" t="s">
        <v>2850</v>
      </c>
      <c r="E580" s="181" t="s">
        <v>2817</v>
      </c>
      <c r="F580" s="182" t="s">
        <v>2972</v>
      </c>
      <c r="G580" s="181" t="s">
        <v>17</v>
      </c>
      <c r="H580" s="193">
        <v>45475</v>
      </c>
      <c r="I580" s="193"/>
      <c r="J580" s="186" t="s">
        <v>3008</v>
      </c>
      <c r="K580" s="186" t="s">
        <v>3008</v>
      </c>
      <c r="L580" s="179" t="s">
        <v>2932</v>
      </c>
      <c r="M580" s="185"/>
      <c r="N580" s="185"/>
      <c r="O580" s="179" t="s">
        <v>2951</v>
      </c>
      <c r="P580" s="185"/>
      <c r="Q580" s="182" t="s">
        <v>2933</v>
      </c>
      <c r="R580" s="182" t="s">
        <v>2934</v>
      </c>
      <c r="S580" s="182" t="s">
        <v>2952</v>
      </c>
      <c r="T580" s="179" t="s">
        <v>2953</v>
      </c>
      <c r="U580" s="183" t="s">
        <v>2954</v>
      </c>
      <c r="V580" s="183">
        <v>469</v>
      </c>
      <c r="W580" s="179" t="s">
        <v>3009</v>
      </c>
      <c r="X580" s="188">
        <v>510.70949999999999</v>
      </c>
      <c r="Y580" s="188">
        <v>246.59449999999998</v>
      </c>
      <c r="Z580" s="188">
        <v>143.71600000000001</v>
      </c>
      <c r="AA580" s="188">
        <v>225.92900000000003</v>
      </c>
      <c r="AB580" s="188">
        <v>35.156000000000006</v>
      </c>
      <c r="AC580" s="188">
        <v>81.114599999999996</v>
      </c>
      <c r="AD580" s="179" t="s">
        <v>2956</v>
      </c>
      <c r="AE580" s="188" t="s">
        <v>2940</v>
      </c>
      <c r="AF580" s="189">
        <v>0</v>
      </c>
      <c r="AG580" s="189">
        <v>0.99930555555555556</v>
      </c>
      <c r="AH580" s="190" t="s">
        <v>2941</v>
      </c>
      <c r="AI580" s="190" t="s">
        <v>2985</v>
      </c>
      <c r="AJ580" s="183" t="s">
        <v>854</v>
      </c>
      <c r="AK580" s="179" t="s">
        <v>3387</v>
      </c>
      <c r="AL580" s="183" t="s">
        <v>4</v>
      </c>
      <c r="AM580" s="183" t="s">
        <v>5201</v>
      </c>
      <c r="AN580" s="183" t="s">
        <v>2102</v>
      </c>
      <c r="AO580" s="209" t="s">
        <v>5202</v>
      </c>
      <c r="AP580" s="191">
        <v>81139008136</v>
      </c>
      <c r="AQ580" s="193">
        <v>45102</v>
      </c>
      <c r="AR580" s="183">
        <v>38</v>
      </c>
      <c r="AS580" s="183"/>
      <c r="AT580" s="182" t="s">
        <v>5203</v>
      </c>
      <c r="AU580" s="182" t="s">
        <v>2946</v>
      </c>
      <c r="AV580" s="192">
        <v>12534894</v>
      </c>
      <c r="AW580" s="181">
        <v>40.5</v>
      </c>
      <c r="AX580" s="206">
        <v>80237</v>
      </c>
      <c r="AY580" s="183"/>
    </row>
    <row r="581" spans="1:51" ht="14.4" x14ac:dyDescent="0.3">
      <c r="A581" s="179" t="s">
        <v>550</v>
      </c>
      <c r="B581" s="179" t="s">
        <v>2947</v>
      </c>
      <c r="C581" s="180" t="s">
        <v>5204</v>
      </c>
      <c r="D581" s="181" t="s">
        <v>2852</v>
      </c>
      <c r="E581" s="181" t="s">
        <v>2817</v>
      </c>
      <c r="F581" s="182" t="s">
        <v>2929</v>
      </c>
      <c r="G581" s="181" t="s">
        <v>12</v>
      </c>
      <c r="H581" s="193">
        <v>45125</v>
      </c>
      <c r="I581" s="193"/>
      <c r="J581" s="183" t="s">
        <v>5205</v>
      </c>
      <c r="K581" s="183">
        <v>600</v>
      </c>
      <c r="L581" s="179"/>
      <c r="M581" s="185"/>
      <c r="N581" s="185"/>
      <c r="O581" s="186"/>
      <c r="P581" s="185"/>
      <c r="Q581" s="182" t="s">
        <v>2933</v>
      </c>
      <c r="R581" s="182" t="s">
        <v>2934</v>
      </c>
      <c r="S581" s="182" t="s">
        <v>2952</v>
      </c>
      <c r="T581" s="179" t="s">
        <v>2974</v>
      </c>
      <c r="U581" s="183" t="s">
        <v>2954</v>
      </c>
      <c r="V581" s="183">
        <v>456</v>
      </c>
      <c r="W581" s="179" t="s">
        <v>4941</v>
      </c>
      <c r="X581" s="188">
        <v>358.58299999999997</v>
      </c>
      <c r="Y581" s="188">
        <v>236.2045</v>
      </c>
      <c r="Z581" s="188">
        <v>120.47500000000001</v>
      </c>
      <c r="AA581" s="188">
        <v>110.41</v>
      </c>
      <c r="AB581" s="188">
        <v>18.18</v>
      </c>
      <c r="AC581" s="188">
        <v>80.977499999999992</v>
      </c>
      <c r="AD581" s="179" t="s">
        <v>2956</v>
      </c>
      <c r="AE581" s="188" t="s">
        <v>2940</v>
      </c>
      <c r="AF581" s="189">
        <v>0.29166666666666669</v>
      </c>
      <c r="AG581" s="189">
        <v>0.99930555555555556</v>
      </c>
      <c r="AH581" s="190" t="s">
        <v>2941</v>
      </c>
      <c r="AI581" s="190" t="s">
        <v>2985</v>
      </c>
      <c r="AJ581" s="183" t="s">
        <v>373</v>
      </c>
      <c r="AK581" s="179" t="s">
        <v>3256</v>
      </c>
      <c r="AL581" s="183" t="s">
        <v>4</v>
      </c>
      <c r="AM581" s="183" t="s">
        <v>5206</v>
      </c>
      <c r="AN581" s="183" t="s">
        <v>2102</v>
      </c>
      <c r="AO581" s="209" t="s">
        <v>5207</v>
      </c>
      <c r="AP581" s="191">
        <v>81139008240</v>
      </c>
      <c r="AQ581" s="193">
        <v>45125</v>
      </c>
      <c r="AR581" s="183">
        <v>37</v>
      </c>
      <c r="AS581" s="183"/>
      <c r="AT581" s="182" t="s">
        <v>5029</v>
      </c>
      <c r="AU581" s="182" t="s">
        <v>2946</v>
      </c>
      <c r="AV581" s="192">
        <v>13407081</v>
      </c>
      <c r="AW581" s="181">
        <v>28.7</v>
      </c>
      <c r="AX581" s="206">
        <v>80224</v>
      </c>
      <c r="AY581" s="183"/>
    </row>
    <row r="582" spans="1:51" ht="14.4" x14ac:dyDescent="0.3">
      <c r="A582" s="179" t="s">
        <v>848</v>
      </c>
      <c r="B582" s="179" t="s">
        <v>2927</v>
      </c>
      <c r="C582" s="180" t="s">
        <v>5208</v>
      </c>
      <c r="D582" s="181" t="s">
        <v>2845</v>
      </c>
      <c r="E582" s="181" t="s">
        <v>2821</v>
      </c>
      <c r="F582" s="182" t="s">
        <v>2929</v>
      </c>
      <c r="G582" s="181" t="s">
        <v>12</v>
      </c>
      <c r="H582" s="193">
        <v>45131</v>
      </c>
      <c r="I582" s="193"/>
      <c r="J582" s="183" t="s">
        <v>5209</v>
      </c>
      <c r="K582" s="183">
        <v>2200</v>
      </c>
      <c r="L582" s="179"/>
      <c r="M582" s="185"/>
      <c r="N582" s="185"/>
      <c r="O582" s="186"/>
      <c r="P582" s="185"/>
      <c r="Q582" s="182" t="s">
        <v>2934</v>
      </c>
      <c r="R582" s="182" t="s">
        <v>2933</v>
      </c>
      <c r="S582" s="182" t="s">
        <v>2952</v>
      </c>
      <c r="T582" s="179" t="s">
        <v>2953</v>
      </c>
      <c r="U582" s="183" t="s">
        <v>2937</v>
      </c>
      <c r="V582" s="183">
        <v>464</v>
      </c>
      <c r="W582" s="179" t="s">
        <v>4941</v>
      </c>
      <c r="X582" s="188">
        <v>413.7</v>
      </c>
      <c r="Y582" s="188">
        <v>245.70000000000002</v>
      </c>
      <c r="Z582" s="188">
        <v>127.821</v>
      </c>
      <c r="AA582" s="188">
        <v>164.39999999999998</v>
      </c>
      <c r="AB582" s="188">
        <v>16.32</v>
      </c>
      <c r="AC582" s="188">
        <v>93.100000000000009</v>
      </c>
      <c r="AD582" s="179" t="s">
        <v>2956</v>
      </c>
      <c r="AE582" s="188" t="s">
        <v>2940</v>
      </c>
      <c r="AF582" s="189">
        <v>0.29166666666666669</v>
      </c>
      <c r="AG582" s="189">
        <v>0.91666666666666663</v>
      </c>
      <c r="AH582" s="190" t="s">
        <v>2941</v>
      </c>
      <c r="AI582" s="190" t="s">
        <v>2942</v>
      </c>
      <c r="AJ582" s="183" t="s">
        <v>846</v>
      </c>
      <c r="AK582" s="179" t="s">
        <v>4938</v>
      </c>
      <c r="AL582" s="183" t="s">
        <v>90</v>
      </c>
      <c r="AM582" s="183" t="s">
        <v>5210</v>
      </c>
      <c r="AN582" s="183" t="s">
        <v>2102</v>
      </c>
      <c r="AO582" s="209" t="s">
        <v>5211</v>
      </c>
      <c r="AP582" s="191">
        <v>81139008241</v>
      </c>
      <c r="AQ582" s="193">
        <v>45131</v>
      </c>
      <c r="AR582" s="183">
        <v>37</v>
      </c>
      <c r="AS582" s="183"/>
      <c r="AT582" s="182"/>
      <c r="AU582" s="182"/>
      <c r="AV582" s="192">
        <v>9154644</v>
      </c>
      <c r="AW582" s="181">
        <v>77</v>
      </c>
      <c r="AX582" s="206">
        <v>82261</v>
      </c>
      <c r="AY582" s="183"/>
    </row>
    <row r="583" spans="1:51" ht="14.4" x14ac:dyDescent="0.3">
      <c r="A583" s="179" t="s">
        <v>1788</v>
      </c>
      <c r="B583" s="179" t="s">
        <v>2927</v>
      </c>
      <c r="C583" s="180" t="s">
        <v>5212</v>
      </c>
      <c r="D583" s="181" t="s">
        <v>2853</v>
      </c>
      <c r="E583" s="181" t="s">
        <v>2825</v>
      </c>
      <c r="F583" s="182" t="s">
        <v>2929</v>
      </c>
      <c r="G583" s="181" t="s">
        <v>12</v>
      </c>
      <c r="H583" s="193">
        <v>45132</v>
      </c>
      <c r="I583" s="193"/>
      <c r="J583" s="186" t="s">
        <v>3008</v>
      </c>
      <c r="K583" s="186" t="s">
        <v>3008</v>
      </c>
      <c r="L583" s="183" t="s">
        <v>2932</v>
      </c>
      <c r="M583" s="185"/>
      <c r="N583" s="185"/>
      <c r="O583" s="186"/>
      <c r="P583" s="185"/>
      <c r="Q583" s="182" t="s">
        <v>2934</v>
      </c>
      <c r="R583" s="182" t="s">
        <v>2933</v>
      </c>
      <c r="S583" s="182" t="s">
        <v>2952</v>
      </c>
      <c r="T583" s="179" t="s">
        <v>2974</v>
      </c>
      <c r="U583" s="183" t="s">
        <v>2937</v>
      </c>
      <c r="V583" s="183">
        <v>1253</v>
      </c>
      <c r="W583" s="179" t="s">
        <v>4941</v>
      </c>
      <c r="X583" s="188">
        <v>562</v>
      </c>
      <c r="Y583" s="188">
        <v>226.5984</v>
      </c>
      <c r="Z583" s="188">
        <v>144.02249999999998</v>
      </c>
      <c r="AA583" s="188">
        <v>236.8776</v>
      </c>
      <c r="AB583" s="188">
        <v>19.920000000000002</v>
      </c>
      <c r="AC583" s="188">
        <v>56.923999999999999</v>
      </c>
      <c r="AD583" s="179" t="s">
        <v>2984</v>
      </c>
      <c r="AE583" s="188" t="s">
        <v>2940</v>
      </c>
      <c r="AF583" s="189">
        <v>0.29166666666666669</v>
      </c>
      <c r="AG583" s="189">
        <v>0.91666666666666663</v>
      </c>
      <c r="AH583" s="190" t="s">
        <v>2941</v>
      </c>
      <c r="AI583" s="190" t="s">
        <v>2942</v>
      </c>
      <c r="AJ583" s="183" t="s">
        <v>1282</v>
      </c>
      <c r="AK583" s="179" t="s">
        <v>3229</v>
      </c>
      <c r="AL583" s="183" t="s">
        <v>9</v>
      </c>
      <c r="AM583" s="183" t="s">
        <v>5213</v>
      </c>
      <c r="AN583" s="183" t="s">
        <v>2102</v>
      </c>
      <c r="AO583" s="209" t="s">
        <v>5214</v>
      </c>
      <c r="AP583" s="191">
        <v>81139008242</v>
      </c>
      <c r="AQ583" s="193">
        <v>45132</v>
      </c>
      <c r="AR583" s="183">
        <v>37</v>
      </c>
      <c r="AS583" s="183"/>
      <c r="AT583" s="182"/>
      <c r="AU583" s="182"/>
      <c r="AV583" s="192">
        <v>9314701</v>
      </c>
      <c r="AW583" s="181">
        <v>7</v>
      </c>
      <c r="AX583" s="206">
        <v>80352</v>
      </c>
      <c r="AY583" s="183"/>
    </row>
    <row r="584" spans="1:51" ht="14.4" x14ac:dyDescent="0.3">
      <c r="A584" s="179" t="s">
        <v>1056</v>
      </c>
      <c r="B584" s="179" t="s">
        <v>2927</v>
      </c>
      <c r="C584" s="180" t="s">
        <v>2168</v>
      </c>
      <c r="D584" s="181" t="s">
        <v>2862</v>
      </c>
      <c r="E584" s="181" t="s">
        <v>2819</v>
      </c>
      <c r="F584" s="182" t="s">
        <v>2929</v>
      </c>
      <c r="G584" s="181" t="s">
        <v>12</v>
      </c>
      <c r="H584" s="193">
        <v>45132</v>
      </c>
      <c r="I584" s="193"/>
      <c r="J584" s="186" t="s">
        <v>3008</v>
      </c>
      <c r="K584" s="186" t="s">
        <v>3008</v>
      </c>
      <c r="L584" s="183" t="s">
        <v>2932</v>
      </c>
      <c r="M584" s="185"/>
      <c r="N584" s="185"/>
      <c r="O584" s="186"/>
      <c r="P584" s="185"/>
      <c r="Q584" s="182" t="s">
        <v>2934</v>
      </c>
      <c r="R584" s="182" t="s">
        <v>2933</v>
      </c>
      <c r="S584" s="182" t="s">
        <v>2952</v>
      </c>
      <c r="T584" s="179" t="s">
        <v>2974</v>
      </c>
      <c r="U584" s="183" t="s">
        <v>2937</v>
      </c>
      <c r="V584" s="183">
        <v>572</v>
      </c>
      <c r="W584" s="179" t="s">
        <v>2975</v>
      </c>
      <c r="X584" s="188">
        <v>197.99039999999999</v>
      </c>
      <c r="Y584" s="188">
        <v>141.91890000000001</v>
      </c>
      <c r="Z584" s="188">
        <v>118.72369999999999</v>
      </c>
      <c r="AA584" s="188">
        <v>66.554999999999993</v>
      </c>
      <c r="AB584" s="188">
        <v>4.7930999999999999</v>
      </c>
      <c r="AC584" s="188">
        <v>64.654799999999994</v>
      </c>
      <c r="AD584" s="179" t="s">
        <v>2956</v>
      </c>
      <c r="AE584" s="188" t="s">
        <v>2957</v>
      </c>
      <c r="AF584" s="189">
        <v>0.29166666666666669</v>
      </c>
      <c r="AG584" s="189">
        <v>0.91666666666666663</v>
      </c>
      <c r="AH584" s="190" t="s">
        <v>2941</v>
      </c>
      <c r="AI584" s="190" t="s">
        <v>2942</v>
      </c>
      <c r="AJ584" s="183" t="s">
        <v>1054</v>
      </c>
      <c r="AK584" s="179" t="s">
        <v>2977</v>
      </c>
      <c r="AL584" s="183" t="s">
        <v>9</v>
      </c>
      <c r="AM584" s="183" t="s">
        <v>5215</v>
      </c>
      <c r="AN584" s="183" t="s">
        <v>2102</v>
      </c>
      <c r="AO584" s="209" t="s">
        <v>5216</v>
      </c>
      <c r="AP584" s="191">
        <v>81139008243</v>
      </c>
      <c r="AQ584" s="193">
        <v>45132</v>
      </c>
      <c r="AR584" s="183">
        <v>37</v>
      </c>
      <c r="AS584" s="183"/>
      <c r="AT584" s="182"/>
      <c r="AU584" s="182"/>
      <c r="AV584" s="192">
        <v>8713728</v>
      </c>
      <c r="AW584" s="181">
        <v>21</v>
      </c>
      <c r="AX584" s="206">
        <v>80361</v>
      </c>
      <c r="AY584" s="183"/>
    </row>
    <row r="585" spans="1:51" ht="14.4" x14ac:dyDescent="0.3">
      <c r="A585" s="179" t="s">
        <v>1497</v>
      </c>
      <c r="B585" s="179" t="s">
        <v>2947</v>
      </c>
      <c r="C585" s="180" t="s">
        <v>5217</v>
      </c>
      <c r="D585" s="181" t="s">
        <v>2865</v>
      </c>
      <c r="E585" s="181" t="s">
        <v>2817</v>
      </c>
      <c r="F585" s="182" t="s">
        <v>2972</v>
      </c>
      <c r="G585" s="181" t="s">
        <v>17</v>
      </c>
      <c r="H585" s="193">
        <v>45087</v>
      </c>
      <c r="I585" s="184"/>
      <c r="J585" s="179" t="s">
        <v>5218</v>
      </c>
      <c r="K585" s="179">
        <v>62</v>
      </c>
      <c r="L585" s="179" t="s">
        <v>2965</v>
      </c>
      <c r="M585" s="185"/>
      <c r="N585" s="185"/>
      <c r="O585" s="179" t="s">
        <v>2951</v>
      </c>
      <c r="P585" s="185" t="s">
        <v>2951</v>
      </c>
      <c r="Q585" s="182" t="s">
        <v>2933</v>
      </c>
      <c r="R585" s="182" t="s">
        <v>2934</v>
      </c>
      <c r="S585" s="182" t="s">
        <v>2952</v>
      </c>
      <c r="T585" s="179" t="s">
        <v>2999</v>
      </c>
      <c r="U585" s="179" t="s">
        <v>2954</v>
      </c>
      <c r="V585" s="187">
        <v>713</v>
      </c>
      <c r="W585" s="179" t="s">
        <v>3075</v>
      </c>
      <c r="X585" s="188">
        <v>405.55340000000001</v>
      </c>
      <c r="Y585" s="188">
        <v>239.5806</v>
      </c>
      <c r="Z585" s="188">
        <v>167.23910000000001</v>
      </c>
      <c r="AA585" s="188">
        <v>125.19010000000002</v>
      </c>
      <c r="AB585" s="188">
        <v>20.715</v>
      </c>
      <c r="AC585" s="188">
        <v>247.267</v>
      </c>
      <c r="AD585" s="179" t="s">
        <v>2956</v>
      </c>
      <c r="AE585" s="188" t="s">
        <v>3017</v>
      </c>
      <c r="AF585" s="189">
        <v>0</v>
      </c>
      <c r="AG585" s="189">
        <v>0.99930555555555556</v>
      </c>
      <c r="AH585" s="190" t="s">
        <v>2941</v>
      </c>
      <c r="AI585" s="190" t="s">
        <v>2942</v>
      </c>
      <c r="AJ585" s="179" t="s">
        <v>125</v>
      </c>
      <c r="AK585" s="179" t="s">
        <v>3293</v>
      </c>
      <c r="AL585" s="179" t="s">
        <v>9</v>
      </c>
      <c r="AM585" s="179" t="s">
        <v>5219</v>
      </c>
      <c r="AN585" s="179" t="s">
        <v>2102</v>
      </c>
      <c r="AO585" s="179" t="s">
        <v>2433</v>
      </c>
      <c r="AP585" s="191">
        <v>81139001239</v>
      </c>
      <c r="AQ585" s="184">
        <v>45135</v>
      </c>
      <c r="AR585" s="179">
        <v>37</v>
      </c>
      <c r="AS585" s="179"/>
      <c r="AT585" s="181" t="s">
        <v>5220</v>
      </c>
      <c r="AU585" s="181" t="s">
        <v>5221</v>
      </c>
      <c r="AV585" s="192">
        <v>31150000</v>
      </c>
      <c r="AW585" s="181">
        <v>32.5</v>
      </c>
      <c r="AX585" s="179">
        <v>80361</v>
      </c>
      <c r="AY585" s="179"/>
    </row>
    <row r="586" spans="1:51" ht="14.4" x14ac:dyDescent="0.3">
      <c r="A586" s="179" t="s">
        <v>792</v>
      </c>
      <c r="B586" s="179" t="s">
        <v>2927</v>
      </c>
      <c r="C586" s="180" t="s">
        <v>2125</v>
      </c>
      <c r="D586" s="181" t="s">
        <v>2856</v>
      </c>
      <c r="E586" s="181" t="s">
        <v>2819</v>
      </c>
      <c r="F586" s="182" t="s">
        <v>2929</v>
      </c>
      <c r="G586" s="181" t="s">
        <v>12</v>
      </c>
      <c r="H586" s="193">
        <v>45146</v>
      </c>
      <c r="I586" s="193"/>
      <c r="J586" s="179" t="s">
        <v>5222</v>
      </c>
      <c r="K586" s="179">
        <v>75</v>
      </c>
      <c r="L586" s="179" t="s">
        <v>2965</v>
      </c>
      <c r="M586" s="185"/>
      <c r="N586" s="185"/>
      <c r="O586" s="186"/>
      <c r="P586" s="185"/>
      <c r="Q586" s="182" t="s">
        <v>2934</v>
      </c>
      <c r="R586" s="182" t="s">
        <v>2933</v>
      </c>
      <c r="S586" s="182" t="s">
        <v>2952</v>
      </c>
      <c r="T586" s="179" t="s">
        <v>2974</v>
      </c>
      <c r="U586" s="183" t="s">
        <v>2937</v>
      </c>
      <c r="V586" s="183">
        <v>598</v>
      </c>
      <c r="W586" s="179" t="s">
        <v>4431</v>
      </c>
      <c r="X586" s="188">
        <v>198.74879999999996</v>
      </c>
      <c r="Y586" s="188">
        <v>144.3648</v>
      </c>
      <c r="Z586" s="188">
        <v>112.6131</v>
      </c>
      <c r="AA586" s="188">
        <v>48.2</v>
      </c>
      <c r="AB586" s="188">
        <v>11.89</v>
      </c>
      <c r="AC586" s="188">
        <v>65.793000000000006</v>
      </c>
      <c r="AD586" s="179" t="s">
        <v>2956</v>
      </c>
      <c r="AE586" s="188" t="s">
        <v>2957</v>
      </c>
      <c r="AF586" s="189">
        <v>0.29166666666666669</v>
      </c>
      <c r="AG586" s="189">
        <v>0.95833333333333337</v>
      </c>
      <c r="AH586" s="190" t="s">
        <v>2941</v>
      </c>
      <c r="AI586" s="190" t="s">
        <v>2942</v>
      </c>
      <c r="AJ586" s="183" t="s">
        <v>192</v>
      </c>
      <c r="AK586" s="179" t="s">
        <v>2977</v>
      </c>
      <c r="AL586" s="183" t="s">
        <v>9</v>
      </c>
      <c r="AM586" s="183" t="s">
        <v>5223</v>
      </c>
      <c r="AN586" s="183" t="s">
        <v>2102</v>
      </c>
      <c r="AO586" s="209" t="s">
        <v>5224</v>
      </c>
      <c r="AP586" s="191">
        <v>81139008244</v>
      </c>
      <c r="AQ586" s="193">
        <v>45146</v>
      </c>
      <c r="AR586" s="183">
        <v>36</v>
      </c>
      <c r="AS586" s="183"/>
      <c r="AT586" s="182"/>
      <c r="AU586" s="182"/>
      <c r="AV586" s="192">
        <v>9352740</v>
      </c>
      <c r="AW586" s="181">
        <v>17.899999999999999</v>
      </c>
      <c r="AX586" s="206">
        <v>80361</v>
      </c>
      <c r="AY586" s="183"/>
    </row>
    <row r="587" spans="1:51" ht="14.4" x14ac:dyDescent="0.3">
      <c r="A587" s="179" t="s">
        <v>1253</v>
      </c>
      <c r="B587" s="179" t="s">
        <v>2927</v>
      </c>
      <c r="C587" s="180" t="s">
        <v>2123</v>
      </c>
      <c r="D587" s="181" t="s">
        <v>2846</v>
      </c>
      <c r="E587" s="181" t="s">
        <v>2821</v>
      </c>
      <c r="F587" s="182" t="s">
        <v>2972</v>
      </c>
      <c r="G587" s="181" t="s">
        <v>17</v>
      </c>
      <c r="H587" s="193">
        <v>45146</v>
      </c>
      <c r="I587" s="193"/>
      <c r="J587" s="186" t="s">
        <v>3008</v>
      </c>
      <c r="K587" s="186" t="s">
        <v>3008</v>
      </c>
      <c r="L587" s="183" t="s">
        <v>2932</v>
      </c>
      <c r="M587" s="185"/>
      <c r="N587" s="185"/>
      <c r="O587" s="179" t="s">
        <v>2951</v>
      </c>
      <c r="P587" s="185"/>
      <c r="Q587" s="182" t="s">
        <v>2934</v>
      </c>
      <c r="R587" s="182" t="s">
        <v>2933</v>
      </c>
      <c r="S587" s="182" t="s">
        <v>2952</v>
      </c>
      <c r="T587" s="179" t="s">
        <v>2974</v>
      </c>
      <c r="U587" s="183" t="s">
        <v>2937</v>
      </c>
      <c r="V587" s="183">
        <v>737</v>
      </c>
      <c r="W587" s="179" t="s">
        <v>4941</v>
      </c>
      <c r="X587" s="188">
        <v>493.8</v>
      </c>
      <c r="Y587" s="188">
        <v>333.8</v>
      </c>
      <c r="Z587" s="188">
        <v>153.66</v>
      </c>
      <c r="AA587" s="188">
        <v>157.6</v>
      </c>
      <c r="AB587" s="188">
        <v>35.28</v>
      </c>
      <c r="AC587" s="188">
        <v>136.32399999999998</v>
      </c>
      <c r="AD587" s="179" t="s">
        <v>2956</v>
      </c>
      <c r="AE587" s="188" t="s">
        <v>2940</v>
      </c>
      <c r="AF587" s="189">
        <v>0.29166666666666669</v>
      </c>
      <c r="AG587" s="189">
        <v>0.91666666666666663</v>
      </c>
      <c r="AH587" s="190" t="s">
        <v>2941</v>
      </c>
      <c r="AI587" s="190" t="s">
        <v>2942</v>
      </c>
      <c r="AJ587" s="183" t="s">
        <v>1251</v>
      </c>
      <c r="AK587" s="179" t="s">
        <v>4910</v>
      </c>
      <c r="AL587" s="183" t="s">
        <v>36</v>
      </c>
      <c r="AM587" s="183" t="s">
        <v>5225</v>
      </c>
      <c r="AN587" s="183" t="s">
        <v>2102</v>
      </c>
      <c r="AO587" s="209" t="s">
        <v>5226</v>
      </c>
      <c r="AP587" s="191">
        <v>81139008245</v>
      </c>
      <c r="AQ587" s="193">
        <v>45146</v>
      </c>
      <c r="AR587" s="183">
        <v>36</v>
      </c>
      <c r="AS587" s="183"/>
      <c r="AT587" s="182" t="s">
        <v>5227</v>
      </c>
      <c r="AU587" s="182" t="s">
        <v>2946</v>
      </c>
      <c r="AV587" s="192">
        <v>11961141</v>
      </c>
      <c r="AW587" s="181">
        <v>18</v>
      </c>
      <c r="AX587" s="206">
        <v>82152</v>
      </c>
      <c r="AY587" s="183"/>
    </row>
    <row r="588" spans="1:51" ht="14.4" x14ac:dyDescent="0.3">
      <c r="A588" s="179" t="s">
        <v>724</v>
      </c>
      <c r="B588" s="179" t="s">
        <v>2947</v>
      </c>
      <c r="C588" s="180" t="s">
        <v>2179</v>
      </c>
      <c r="D588" s="181" t="s">
        <v>2854</v>
      </c>
      <c r="E588" s="181" t="s">
        <v>2821</v>
      </c>
      <c r="F588" s="182" t="s">
        <v>2929</v>
      </c>
      <c r="G588" s="181" t="s">
        <v>12</v>
      </c>
      <c r="H588" s="193">
        <v>45169</v>
      </c>
      <c r="I588" s="193"/>
      <c r="J588" s="179" t="s">
        <v>5228</v>
      </c>
      <c r="K588" s="179">
        <v>810</v>
      </c>
      <c r="L588" s="179" t="s">
        <v>3026</v>
      </c>
      <c r="M588" s="185"/>
      <c r="N588" s="185"/>
      <c r="O588" s="186"/>
      <c r="P588" s="185"/>
      <c r="Q588" s="182" t="s">
        <v>2933</v>
      </c>
      <c r="R588" s="182" t="s">
        <v>2934</v>
      </c>
      <c r="S588" s="182" t="s">
        <v>2952</v>
      </c>
      <c r="T588" s="179" t="s">
        <v>2974</v>
      </c>
      <c r="U588" s="183" t="s">
        <v>2954</v>
      </c>
      <c r="V588" s="183">
        <v>545</v>
      </c>
      <c r="W588" s="179" t="s">
        <v>4941</v>
      </c>
      <c r="X588" s="188">
        <v>388.47240000000005</v>
      </c>
      <c r="Y588" s="188">
        <v>291.4092</v>
      </c>
      <c r="Z588" s="188">
        <v>134.7252</v>
      </c>
      <c r="AA588" s="188">
        <v>97.272599999999997</v>
      </c>
      <c r="AB588" s="188">
        <v>21.66</v>
      </c>
      <c r="AC588" s="188">
        <v>120.51110000000001</v>
      </c>
      <c r="AD588" s="179" t="s">
        <v>2956</v>
      </c>
      <c r="AE588" s="188" t="s">
        <v>2940</v>
      </c>
      <c r="AF588" s="189">
        <v>0.29166666666666669</v>
      </c>
      <c r="AG588" s="189">
        <v>0.99930555555555556</v>
      </c>
      <c r="AH588" s="190" t="s">
        <v>2941</v>
      </c>
      <c r="AI588" s="190" t="s">
        <v>2942</v>
      </c>
      <c r="AJ588" s="183" t="s">
        <v>691</v>
      </c>
      <c r="AK588" s="179" t="s">
        <v>3034</v>
      </c>
      <c r="AL588" s="183" t="s">
        <v>4</v>
      </c>
      <c r="AM588" s="183" t="s">
        <v>5229</v>
      </c>
      <c r="AN588" s="183" t="s">
        <v>2102</v>
      </c>
      <c r="AO588" s="209" t="s">
        <v>5230</v>
      </c>
      <c r="AP588" s="191">
        <v>81139008264</v>
      </c>
      <c r="AQ588" s="193">
        <v>45169</v>
      </c>
      <c r="AR588" s="183">
        <v>35</v>
      </c>
      <c r="AS588" s="183"/>
      <c r="AT588" s="182"/>
      <c r="AU588" s="182"/>
      <c r="AV588" s="192">
        <v>14053874</v>
      </c>
      <c r="AW588" s="181">
        <v>18.5</v>
      </c>
      <c r="AX588" s="206">
        <v>80118</v>
      </c>
      <c r="AY588" s="183"/>
    </row>
    <row r="589" spans="1:51" ht="14.4" x14ac:dyDescent="0.3">
      <c r="A589" s="179" t="s">
        <v>1728</v>
      </c>
      <c r="B589" s="179" t="s">
        <v>2927</v>
      </c>
      <c r="C589" s="180" t="s">
        <v>2132</v>
      </c>
      <c r="D589" s="181" t="s">
        <v>2816</v>
      </c>
      <c r="E589" s="181" t="s">
        <v>2815</v>
      </c>
      <c r="F589" s="182" t="s">
        <v>2929</v>
      </c>
      <c r="G589" s="181" t="s">
        <v>12</v>
      </c>
      <c r="H589" s="193">
        <v>45169</v>
      </c>
      <c r="I589" s="193"/>
      <c r="J589" s="179" t="s">
        <v>5231</v>
      </c>
      <c r="K589" s="179">
        <v>350</v>
      </c>
      <c r="L589" s="179" t="s">
        <v>2950</v>
      </c>
      <c r="M589" s="185"/>
      <c r="N589" s="185"/>
      <c r="O589" s="186"/>
      <c r="P589" s="185"/>
      <c r="Q589" s="182" t="s">
        <v>2934</v>
      </c>
      <c r="R589" s="182" t="s">
        <v>2933</v>
      </c>
      <c r="S589" s="182" t="s">
        <v>2952</v>
      </c>
      <c r="T589" s="179" t="s">
        <v>2974</v>
      </c>
      <c r="U589" s="183" t="s">
        <v>2937</v>
      </c>
      <c r="V589" s="183">
        <v>351</v>
      </c>
      <c r="W589" s="179" t="s">
        <v>3009</v>
      </c>
      <c r="X589" s="188">
        <v>322.83679999999998</v>
      </c>
      <c r="Y589" s="188">
        <v>240.2576</v>
      </c>
      <c r="Z589" s="188">
        <v>121.175</v>
      </c>
      <c r="AA589" s="188">
        <v>69.383999999999986</v>
      </c>
      <c r="AB589" s="188">
        <v>15.768000000000001</v>
      </c>
      <c r="AC589" s="188">
        <v>58.680600000000005</v>
      </c>
      <c r="AD589" s="179" t="s">
        <v>2984</v>
      </c>
      <c r="AE589" s="188" t="s">
        <v>2940</v>
      </c>
      <c r="AF589" s="189">
        <v>0.29166666666666669</v>
      </c>
      <c r="AG589" s="189">
        <v>0.91666666666666663</v>
      </c>
      <c r="AH589" s="190" t="s">
        <v>2941</v>
      </c>
      <c r="AI589" s="190" t="s">
        <v>2985</v>
      </c>
      <c r="AJ589" s="183" t="s">
        <v>1707</v>
      </c>
      <c r="AK589" s="179" t="s">
        <v>2981</v>
      </c>
      <c r="AL589" s="183" t="s">
        <v>28</v>
      </c>
      <c r="AM589" s="183" t="s">
        <v>5232</v>
      </c>
      <c r="AN589" s="183" t="s">
        <v>2102</v>
      </c>
      <c r="AO589" s="209" t="s">
        <v>5233</v>
      </c>
      <c r="AP589" s="191">
        <v>81139008248</v>
      </c>
      <c r="AQ589" s="193">
        <v>45169</v>
      </c>
      <c r="AR589" s="183">
        <v>35</v>
      </c>
      <c r="AS589" s="183"/>
      <c r="AT589" s="182"/>
      <c r="AU589" s="182"/>
      <c r="AV589" s="192">
        <v>9483531</v>
      </c>
      <c r="AW589" s="181">
        <v>28.4</v>
      </c>
      <c r="AX589" s="206">
        <v>80582</v>
      </c>
      <c r="AY589" s="183"/>
    </row>
    <row r="590" spans="1:51" ht="14.4" x14ac:dyDescent="0.3">
      <c r="A590" s="179" t="s">
        <v>917</v>
      </c>
      <c r="B590" s="179" t="s">
        <v>2947</v>
      </c>
      <c r="C590" s="180" t="s">
        <v>2183</v>
      </c>
      <c r="D590" s="181" t="s">
        <v>2852</v>
      </c>
      <c r="E590" s="181" t="s">
        <v>2817</v>
      </c>
      <c r="F590" s="182" t="s">
        <v>2972</v>
      </c>
      <c r="G590" s="181" t="s">
        <v>17</v>
      </c>
      <c r="H590" s="193">
        <v>45179</v>
      </c>
      <c r="I590" s="193"/>
      <c r="J590" s="179" t="s">
        <v>5234</v>
      </c>
      <c r="K590" s="179">
        <v>80</v>
      </c>
      <c r="L590" s="179" t="s">
        <v>2965</v>
      </c>
      <c r="M590" s="185"/>
      <c r="N590" s="185"/>
      <c r="O590" s="179" t="s">
        <v>2951</v>
      </c>
      <c r="P590" s="185"/>
      <c r="Q590" s="182" t="s">
        <v>2933</v>
      </c>
      <c r="R590" s="182" t="s">
        <v>2934</v>
      </c>
      <c r="S590" s="182" t="s">
        <v>2952</v>
      </c>
      <c r="T590" s="179" t="s">
        <v>2974</v>
      </c>
      <c r="U590" s="183" t="s">
        <v>2954</v>
      </c>
      <c r="V590" s="183">
        <v>63</v>
      </c>
      <c r="W590" s="179" t="s">
        <v>4941</v>
      </c>
      <c r="X590" s="188">
        <v>305.87700000000001</v>
      </c>
      <c r="Y590" s="188">
        <v>215.202</v>
      </c>
      <c r="Z590" s="188">
        <v>118.3</v>
      </c>
      <c r="AA590" s="188">
        <v>82.927999999999997</v>
      </c>
      <c r="AB590" s="188">
        <v>14.087999999999999</v>
      </c>
      <c r="AC590" s="188">
        <v>75.114599999999996</v>
      </c>
      <c r="AD590" s="179" t="s">
        <v>2956</v>
      </c>
      <c r="AE590" s="188" t="s">
        <v>2940</v>
      </c>
      <c r="AF590" s="189">
        <v>0.29166666666666669</v>
      </c>
      <c r="AG590" s="189">
        <v>0.95833333333333337</v>
      </c>
      <c r="AH590" s="190" t="s">
        <v>2941</v>
      </c>
      <c r="AI590" s="190" t="s">
        <v>2942</v>
      </c>
      <c r="AJ590" s="183" t="s">
        <v>915</v>
      </c>
      <c r="AK590" s="179" t="s">
        <v>2958</v>
      </c>
      <c r="AL590" s="183" t="s">
        <v>4</v>
      </c>
      <c r="AM590" s="183" t="s">
        <v>5235</v>
      </c>
      <c r="AN590" s="183" t="s">
        <v>2102</v>
      </c>
      <c r="AO590" s="209" t="s">
        <v>5236</v>
      </c>
      <c r="AP590" s="191">
        <v>81139008263</v>
      </c>
      <c r="AQ590" s="193">
        <v>45179</v>
      </c>
      <c r="AR590" s="183">
        <v>35</v>
      </c>
      <c r="AS590" s="183"/>
      <c r="AT590" s="182" t="s">
        <v>5237</v>
      </c>
      <c r="AU590" s="182" t="s">
        <v>2946</v>
      </c>
      <c r="AV590" s="192">
        <v>12358522</v>
      </c>
      <c r="AW590" s="181">
        <v>28.6</v>
      </c>
      <c r="AX590" s="206">
        <v>80113</v>
      </c>
      <c r="AY590" s="183"/>
    </row>
    <row r="591" spans="1:51" ht="14.4" x14ac:dyDescent="0.3">
      <c r="A591" s="179" t="s">
        <v>972</v>
      </c>
      <c r="B591" s="179" t="s">
        <v>2927</v>
      </c>
      <c r="C591" s="180" t="s">
        <v>2138</v>
      </c>
      <c r="D591" s="181" t="s">
        <v>2831</v>
      </c>
      <c r="E591" s="181" t="s">
        <v>2830</v>
      </c>
      <c r="F591" s="182" t="s">
        <v>2929</v>
      </c>
      <c r="G591" s="181" t="s">
        <v>12</v>
      </c>
      <c r="H591" s="193">
        <v>45185</v>
      </c>
      <c r="I591" s="193"/>
      <c r="J591" s="186" t="s">
        <v>3008</v>
      </c>
      <c r="K591" s="186" t="s">
        <v>3008</v>
      </c>
      <c r="L591" s="186" t="s">
        <v>3008</v>
      </c>
      <c r="M591" s="185"/>
      <c r="N591" s="185"/>
      <c r="O591" s="186"/>
      <c r="P591" s="185"/>
      <c r="Q591" s="182" t="s">
        <v>2934</v>
      </c>
      <c r="R591" s="182" t="s">
        <v>2933</v>
      </c>
      <c r="S591" s="182" t="s">
        <v>2952</v>
      </c>
      <c r="T591" s="179" t="s">
        <v>2974</v>
      </c>
      <c r="U591" s="183" t="s">
        <v>2937</v>
      </c>
      <c r="V591" s="183">
        <v>351</v>
      </c>
      <c r="W591" s="179" t="s">
        <v>4941</v>
      </c>
      <c r="X591" s="188">
        <v>300.77730000000003</v>
      </c>
      <c r="Y591" s="188">
        <v>250.25549999999998</v>
      </c>
      <c r="Z591" s="188">
        <v>143.13240000000002</v>
      </c>
      <c r="AA591" s="188">
        <v>93.1875</v>
      </c>
      <c r="AB591" s="188">
        <v>25.755600000000001</v>
      </c>
      <c r="AC591" s="188">
        <v>210.4624</v>
      </c>
      <c r="AD591" s="179" t="s">
        <v>2956</v>
      </c>
      <c r="AE591" s="188" t="s">
        <v>2957</v>
      </c>
      <c r="AF591" s="189">
        <v>0.29166666666666669</v>
      </c>
      <c r="AG591" s="189">
        <v>0.95833333333333337</v>
      </c>
      <c r="AH591" s="190" t="s">
        <v>2941</v>
      </c>
      <c r="AI591" s="190" t="s">
        <v>2985</v>
      </c>
      <c r="AJ591" s="183" t="s">
        <v>379</v>
      </c>
      <c r="AK591" s="179" t="s">
        <v>3256</v>
      </c>
      <c r="AL591" s="183" t="s">
        <v>4</v>
      </c>
      <c r="AM591" s="183" t="s">
        <v>5238</v>
      </c>
      <c r="AN591" s="183" t="s">
        <v>2102</v>
      </c>
      <c r="AO591" s="209" t="s">
        <v>5239</v>
      </c>
      <c r="AP591" s="191">
        <v>81139008387</v>
      </c>
      <c r="AQ591" s="193">
        <v>45185</v>
      </c>
      <c r="AR591" s="183">
        <v>35</v>
      </c>
      <c r="AS591" s="183"/>
      <c r="AT591" s="182"/>
      <c r="AU591" s="182"/>
      <c r="AV591" s="192">
        <v>10502956</v>
      </c>
      <c r="AW591" s="181">
        <v>40.299999999999997</v>
      </c>
      <c r="AX591" s="206">
        <v>80228</v>
      </c>
      <c r="AY591" s="183"/>
    </row>
    <row r="592" spans="1:51" ht="14.4" x14ac:dyDescent="0.3">
      <c r="A592" s="179" t="s">
        <v>117</v>
      </c>
      <c r="B592" s="179" t="s">
        <v>2947</v>
      </c>
      <c r="C592" s="180" t="s">
        <v>2214</v>
      </c>
      <c r="D592" s="181" t="s">
        <v>2820</v>
      </c>
      <c r="E592" s="181" t="s">
        <v>2819</v>
      </c>
      <c r="F592" s="182" t="s">
        <v>2972</v>
      </c>
      <c r="G592" s="181" t="s">
        <v>17</v>
      </c>
      <c r="H592" s="193">
        <v>45821</v>
      </c>
      <c r="I592" s="193">
        <v>45821</v>
      </c>
      <c r="J592" s="179" t="s">
        <v>5240</v>
      </c>
      <c r="K592" s="179">
        <v>400</v>
      </c>
      <c r="L592" s="179" t="s">
        <v>2950</v>
      </c>
      <c r="M592" s="185"/>
      <c r="N592" s="185"/>
      <c r="O592" s="186"/>
      <c r="P592" s="185"/>
      <c r="Q592" s="182" t="s">
        <v>2934</v>
      </c>
      <c r="R592" s="182" t="s">
        <v>2933</v>
      </c>
      <c r="S592" s="182" t="s">
        <v>2952</v>
      </c>
      <c r="T592" s="179" t="s">
        <v>2974</v>
      </c>
      <c r="U592" s="183" t="s">
        <v>2954</v>
      </c>
      <c r="V592" s="183">
        <v>697</v>
      </c>
      <c r="W592" s="179" t="s">
        <v>4941</v>
      </c>
      <c r="X592" s="188">
        <v>461.44</v>
      </c>
      <c r="Y592" s="188">
        <v>293.62</v>
      </c>
      <c r="Z592" s="188">
        <v>159</v>
      </c>
      <c r="AA592" s="188">
        <v>145.99</v>
      </c>
      <c r="AB592" s="188">
        <v>4.9400000000000004</v>
      </c>
      <c r="AC592" s="188">
        <v>101.99</v>
      </c>
      <c r="AD592" s="179" t="s">
        <v>2956</v>
      </c>
      <c r="AE592" s="188" t="s">
        <v>5241</v>
      </c>
      <c r="AF592" s="189">
        <v>0.29166666666666669</v>
      </c>
      <c r="AG592" s="189">
        <v>0.95833333333333337</v>
      </c>
      <c r="AH592" s="190" t="s">
        <v>2941</v>
      </c>
      <c r="AI592" s="190" t="s">
        <v>2942</v>
      </c>
      <c r="AJ592" s="183" t="s">
        <v>115</v>
      </c>
      <c r="AK592" s="179" t="s">
        <v>2958</v>
      </c>
      <c r="AL592" s="183" t="s">
        <v>4</v>
      </c>
      <c r="AM592" s="183" t="s">
        <v>5242</v>
      </c>
      <c r="AN592" s="183" t="s">
        <v>2102</v>
      </c>
      <c r="AO592" s="209" t="s">
        <v>5243</v>
      </c>
      <c r="AP592" s="191">
        <v>81139008427</v>
      </c>
      <c r="AQ592" s="193">
        <v>45197</v>
      </c>
      <c r="AR592" s="183">
        <v>35</v>
      </c>
      <c r="AS592" s="183"/>
      <c r="AT592" s="182" t="s">
        <v>5244</v>
      </c>
      <c r="AU592" s="182" t="s">
        <v>2946</v>
      </c>
      <c r="AV592" s="192">
        <v>13353774</v>
      </c>
      <c r="AW592" s="181">
        <v>18</v>
      </c>
      <c r="AX592" s="206">
        <v>80117</v>
      </c>
      <c r="AY592" s="183"/>
    </row>
    <row r="593" spans="1:51" ht="14.4" x14ac:dyDescent="0.3">
      <c r="A593" s="179" t="s">
        <v>1511</v>
      </c>
      <c r="B593" s="179" t="s">
        <v>2927</v>
      </c>
      <c r="C593" s="180" t="s">
        <v>2159</v>
      </c>
      <c r="D593" s="181" t="s">
        <v>2838</v>
      </c>
      <c r="E593" s="181" t="s">
        <v>2830</v>
      </c>
      <c r="F593" s="182" t="s">
        <v>2929</v>
      </c>
      <c r="G593" s="181" t="s">
        <v>12</v>
      </c>
      <c r="H593" s="193">
        <v>45198</v>
      </c>
      <c r="I593" s="193"/>
      <c r="J593" s="179" t="s">
        <v>5245</v>
      </c>
      <c r="K593" s="179">
        <v>800</v>
      </c>
      <c r="L593" s="179" t="s">
        <v>3026</v>
      </c>
      <c r="M593" s="185"/>
      <c r="N593" s="185"/>
      <c r="O593" s="186"/>
      <c r="P593" s="185"/>
      <c r="Q593" s="182" t="s">
        <v>2933</v>
      </c>
      <c r="R593" s="182" t="s">
        <v>2934</v>
      </c>
      <c r="S593" s="182" t="s">
        <v>2952</v>
      </c>
      <c r="T593" s="179" t="s">
        <v>2974</v>
      </c>
      <c r="U593" s="183" t="s">
        <v>2937</v>
      </c>
      <c r="V593" s="183">
        <v>154</v>
      </c>
      <c r="W593" s="179" t="s">
        <v>4941</v>
      </c>
      <c r="X593" s="188">
        <v>350.04</v>
      </c>
      <c r="Y593" s="188">
        <v>249.15</v>
      </c>
      <c r="Z593" s="188">
        <v>120.66</v>
      </c>
      <c r="AA593" s="188">
        <v>86.82</v>
      </c>
      <c r="AB593" s="188">
        <v>11.55</v>
      </c>
      <c r="AC593" s="188">
        <v>105.74</v>
      </c>
      <c r="AD593" s="179" t="s">
        <v>2956</v>
      </c>
      <c r="AE593" s="188" t="s">
        <v>5241</v>
      </c>
      <c r="AF593" s="189">
        <v>0.29166666666666669</v>
      </c>
      <c r="AG593" s="189">
        <v>0.91666666666666663</v>
      </c>
      <c r="AH593" s="190" t="s">
        <v>2941</v>
      </c>
      <c r="AI593" s="190" t="s">
        <v>2942</v>
      </c>
      <c r="AJ593" s="183" t="s">
        <v>968</v>
      </c>
      <c r="AK593" s="179" t="s">
        <v>3034</v>
      </c>
      <c r="AL593" s="183" t="s">
        <v>4</v>
      </c>
      <c r="AM593" s="183" t="s">
        <v>5246</v>
      </c>
      <c r="AN593" s="183" t="s">
        <v>2102</v>
      </c>
      <c r="AO593" s="209" t="s">
        <v>5247</v>
      </c>
      <c r="AP593" s="191">
        <v>81139008418</v>
      </c>
      <c r="AQ593" s="193">
        <v>45198</v>
      </c>
      <c r="AR593" s="183">
        <v>34</v>
      </c>
      <c r="AS593" s="183"/>
      <c r="AT593" s="182"/>
      <c r="AU593" s="182"/>
      <c r="AV593" s="192">
        <v>10051184</v>
      </c>
      <c r="AW593" s="181">
        <v>26.15</v>
      </c>
      <c r="AX593" s="206">
        <v>80117</v>
      </c>
      <c r="AY593" s="183"/>
    </row>
    <row r="594" spans="1:51" ht="14.4" x14ac:dyDescent="0.3">
      <c r="A594" s="179" t="s">
        <v>946</v>
      </c>
      <c r="B594" s="179" t="s">
        <v>2927</v>
      </c>
      <c r="C594" s="180" t="s">
        <v>2107</v>
      </c>
      <c r="D594" s="181" t="s">
        <v>2849</v>
      </c>
      <c r="E594" s="181" t="s">
        <v>2830</v>
      </c>
      <c r="F594" s="182" t="s">
        <v>2929</v>
      </c>
      <c r="G594" s="181" t="s">
        <v>12</v>
      </c>
      <c r="H594" s="193">
        <v>45219</v>
      </c>
      <c r="I594" s="193"/>
      <c r="J594" s="179" t="s">
        <v>5248</v>
      </c>
      <c r="K594" s="186">
        <v>100</v>
      </c>
      <c r="L594" s="179" t="s">
        <v>2965</v>
      </c>
      <c r="M594" s="185"/>
      <c r="N594" s="185"/>
      <c r="O594" s="186"/>
      <c r="P594" s="185"/>
      <c r="Q594" s="182" t="s">
        <v>2934</v>
      </c>
      <c r="R594" s="182" t="s">
        <v>2933</v>
      </c>
      <c r="S594" s="182" t="s">
        <v>2952</v>
      </c>
      <c r="T594" s="179" t="s">
        <v>2974</v>
      </c>
      <c r="U594" s="183" t="s">
        <v>2937</v>
      </c>
      <c r="V594" s="183">
        <v>567</v>
      </c>
      <c r="W594" s="179" t="s">
        <v>4941</v>
      </c>
      <c r="X594" s="188">
        <v>214.05</v>
      </c>
      <c r="Y594" s="188">
        <v>296.39999999999998</v>
      </c>
      <c r="Z594" s="188">
        <v>140.6</v>
      </c>
      <c r="AA594" s="188">
        <v>59.31</v>
      </c>
      <c r="AB594" s="188">
        <v>13.16</v>
      </c>
      <c r="AC594" s="188">
        <v>139.94</v>
      </c>
      <c r="AD594" s="179" t="s">
        <v>2956</v>
      </c>
      <c r="AE594" s="188" t="s">
        <v>2957</v>
      </c>
      <c r="AF594" s="189">
        <v>0</v>
      </c>
      <c r="AG594" s="189">
        <v>0.99930555555555556</v>
      </c>
      <c r="AH594" s="190" t="s">
        <v>2941</v>
      </c>
      <c r="AI594" s="190" t="s">
        <v>2985</v>
      </c>
      <c r="AJ594" s="183" t="s">
        <v>733</v>
      </c>
      <c r="AK594" s="179" t="s">
        <v>3387</v>
      </c>
      <c r="AL594" s="183" t="s">
        <v>4</v>
      </c>
      <c r="AM594" s="183" t="s">
        <v>5249</v>
      </c>
      <c r="AN594" s="183" t="s">
        <v>2102</v>
      </c>
      <c r="AO594" s="209" t="s">
        <v>5250</v>
      </c>
      <c r="AP594" s="191">
        <v>81139009399</v>
      </c>
      <c r="AQ594" s="193">
        <v>45219</v>
      </c>
      <c r="AR594" s="183">
        <v>34</v>
      </c>
      <c r="AS594" s="183"/>
      <c r="AT594" s="182"/>
      <c r="AU594" s="182"/>
      <c r="AV594" s="192">
        <v>9290436</v>
      </c>
      <c r="AW594" s="181">
        <v>25.2</v>
      </c>
      <c r="AX594" s="206">
        <v>80239</v>
      </c>
      <c r="AY594" s="183"/>
    </row>
    <row r="595" spans="1:51" ht="14.4" x14ac:dyDescent="0.3">
      <c r="A595" s="179" t="s">
        <v>1138</v>
      </c>
      <c r="B595" s="179" t="s">
        <v>2947</v>
      </c>
      <c r="C595" s="180" t="s">
        <v>5251</v>
      </c>
      <c r="D595" s="181" t="s">
        <v>2875</v>
      </c>
      <c r="E595" s="181" t="s">
        <v>2867</v>
      </c>
      <c r="F595" s="182" t="s">
        <v>3086</v>
      </c>
      <c r="G595" s="181" t="s">
        <v>535</v>
      </c>
      <c r="H595" s="193">
        <v>45228</v>
      </c>
      <c r="I595" s="193"/>
      <c r="J595" s="179" t="s">
        <v>5252</v>
      </c>
      <c r="K595" s="179">
        <v>50</v>
      </c>
      <c r="L595" s="179" t="s">
        <v>2965</v>
      </c>
      <c r="M595" s="185" t="s">
        <v>3164</v>
      </c>
      <c r="N595" s="185"/>
      <c r="O595" s="179" t="s">
        <v>2951</v>
      </c>
      <c r="P595" s="185" t="s">
        <v>2951</v>
      </c>
      <c r="Q595" s="182" t="s">
        <v>2933</v>
      </c>
      <c r="R595" s="182" t="s">
        <v>2934</v>
      </c>
      <c r="S595" s="182" t="s">
        <v>2952</v>
      </c>
      <c r="T595" s="179" t="s">
        <v>2974</v>
      </c>
      <c r="U595" s="183" t="s">
        <v>2954</v>
      </c>
      <c r="V595" s="183">
        <v>898</v>
      </c>
      <c r="W595" s="179" t="s">
        <v>3420</v>
      </c>
      <c r="X595" s="188">
        <v>604.32000000000005</v>
      </c>
      <c r="Y595" s="188">
        <v>759.74</v>
      </c>
      <c r="Z595" s="188">
        <v>252.02</v>
      </c>
      <c r="AA595" s="188">
        <v>207.64</v>
      </c>
      <c r="AB595" s="188">
        <v>62.91</v>
      </c>
      <c r="AC595" s="188">
        <v>336.67</v>
      </c>
      <c r="AD595" s="179" t="s">
        <v>2956</v>
      </c>
      <c r="AE595" s="188" t="s">
        <v>5253</v>
      </c>
      <c r="AF595" s="189">
        <v>0</v>
      </c>
      <c r="AG595" s="189">
        <v>0.99930555555555556</v>
      </c>
      <c r="AH595" s="190" t="s">
        <v>2976</v>
      </c>
      <c r="AI595" s="190" t="s">
        <v>2985</v>
      </c>
      <c r="AJ595" s="183" t="s">
        <v>523</v>
      </c>
      <c r="AK595" s="179" t="s">
        <v>3387</v>
      </c>
      <c r="AL595" s="183" t="s">
        <v>4</v>
      </c>
      <c r="AM595" s="183" t="s">
        <v>5254</v>
      </c>
      <c r="AN595" s="183" t="s">
        <v>2102</v>
      </c>
      <c r="AO595" s="209" t="s">
        <v>5255</v>
      </c>
      <c r="AP595" s="191">
        <v>81139009349</v>
      </c>
      <c r="AQ595" s="193">
        <v>45228</v>
      </c>
      <c r="AR595" s="183">
        <v>33</v>
      </c>
      <c r="AS595" s="183"/>
      <c r="AT595" s="182"/>
      <c r="AU595" s="182"/>
      <c r="AV595" s="192">
        <v>32956909</v>
      </c>
      <c r="AW595" s="181">
        <v>26.4</v>
      </c>
      <c r="AX595" s="206">
        <v>80117</v>
      </c>
      <c r="AY595" s="183"/>
    </row>
    <row r="596" spans="1:51" ht="14.4" x14ac:dyDescent="0.3">
      <c r="A596" s="179" t="s">
        <v>1715</v>
      </c>
      <c r="B596" s="179" t="s">
        <v>2947</v>
      </c>
      <c r="C596" s="212" t="s">
        <v>2234</v>
      </c>
      <c r="D596" s="181" t="s">
        <v>2816</v>
      </c>
      <c r="E596" s="181" t="s">
        <v>2815</v>
      </c>
      <c r="F596" s="182" t="s">
        <v>2929</v>
      </c>
      <c r="G596" s="181" t="s">
        <v>12</v>
      </c>
      <c r="H596" s="193">
        <v>45238</v>
      </c>
      <c r="I596" s="193"/>
      <c r="J596" s="186" t="s">
        <v>3008</v>
      </c>
      <c r="K596" s="186" t="s">
        <v>3008</v>
      </c>
      <c r="L596" s="186" t="s">
        <v>3008</v>
      </c>
      <c r="M596" s="185"/>
      <c r="N596" s="185"/>
      <c r="O596" s="186"/>
      <c r="P596" s="185"/>
      <c r="Q596" s="182" t="s">
        <v>2934</v>
      </c>
      <c r="R596" s="182" t="s">
        <v>2933</v>
      </c>
      <c r="S596" s="182" t="s">
        <v>2952</v>
      </c>
      <c r="T596" s="179" t="s">
        <v>2974</v>
      </c>
      <c r="U596" s="183" t="s">
        <v>2954</v>
      </c>
      <c r="V596" s="183">
        <v>675</v>
      </c>
      <c r="W596" s="179" t="s">
        <v>4532</v>
      </c>
      <c r="X596" s="188">
        <v>255.7</v>
      </c>
      <c r="Y596" s="188">
        <v>252.83999999999997</v>
      </c>
      <c r="Z596" s="188">
        <v>107.34</v>
      </c>
      <c r="AA596" s="188">
        <v>77.069999999999993</v>
      </c>
      <c r="AB596" s="188">
        <v>21.65</v>
      </c>
      <c r="AC596" s="188">
        <v>97.52</v>
      </c>
      <c r="AD596" s="179" t="s">
        <v>2956</v>
      </c>
      <c r="AE596" s="188" t="s">
        <v>5253</v>
      </c>
      <c r="AF596" s="189">
        <v>0.29166666666666669</v>
      </c>
      <c r="AG596" s="189">
        <v>0.95833333333333337</v>
      </c>
      <c r="AH596" s="190" t="s">
        <v>2941</v>
      </c>
      <c r="AI596" s="190" t="s">
        <v>2985</v>
      </c>
      <c r="AJ596" s="183" t="s">
        <v>461</v>
      </c>
      <c r="AK596" s="179" t="s">
        <v>2981</v>
      </c>
      <c r="AL596" s="183" t="s">
        <v>28</v>
      </c>
      <c r="AM596" s="183" t="s">
        <v>5256</v>
      </c>
      <c r="AN596" s="183" t="s">
        <v>2102</v>
      </c>
      <c r="AO596" s="209" t="s">
        <v>5257</v>
      </c>
      <c r="AP596" s="191">
        <v>81139009782</v>
      </c>
      <c r="AQ596" s="193">
        <v>45238</v>
      </c>
      <c r="AR596" s="183">
        <v>33</v>
      </c>
      <c r="AS596" s="183"/>
      <c r="AT596" s="182"/>
      <c r="AU596" s="182"/>
      <c r="AV596" s="213">
        <v>12675813</v>
      </c>
      <c r="AW596" s="181">
        <v>21.3</v>
      </c>
      <c r="AX596" s="206">
        <v>80582</v>
      </c>
      <c r="AY596" s="183"/>
    </row>
    <row r="597" spans="1:51" ht="14.4" x14ac:dyDescent="0.3">
      <c r="A597" s="179" t="s">
        <v>1079</v>
      </c>
      <c r="B597" s="179" t="s">
        <v>2927</v>
      </c>
      <c r="C597" s="212" t="s">
        <v>2144</v>
      </c>
      <c r="D597" s="181" t="s">
        <v>2844</v>
      </c>
      <c r="E597" s="181" t="s">
        <v>2834</v>
      </c>
      <c r="F597" s="182" t="s">
        <v>2929</v>
      </c>
      <c r="G597" s="181" t="s">
        <v>12</v>
      </c>
      <c r="H597" s="193">
        <v>45240</v>
      </c>
      <c r="I597" s="193"/>
      <c r="J597" s="186" t="s">
        <v>3008</v>
      </c>
      <c r="K597" s="186" t="s">
        <v>3008</v>
      </c>
      <c r="L597" s="186" t="s">
        <v>3008</v>
      </c>
      <c r="M597" s="185"/>
      <c r="N597" s="185"/>
      <c r="O597" s="186"/>
      <c r="P597" s="185"/>
      <c r="Q597" s="182" t="s">
        <v>2934</v>
      </c>
      <c r="R597" s="182" t="s">
        <v>2933</v>
      </c>
      <c r="S597" s="182" t="s">
        <v>2952</v>
      </c>
      <c r="T597" s="179" t="s">
        <v>2974</v>
      </c>
      <c r="U597" s="183" t="s">
        <v>2937</v>
      </c>
      <c r="V597" s="183">
        <v>641</v>
      </c>
      <c r="W597" s="179" t="s">
        <v>3963</v>
      </c>
      <c r="X597" s="188">
        <v>396.32</v>
      </c>
      <c r="Y597" s="188">
        <v>174.16</v>
      </c>
      <c r="Z597" s="188">
        <v>100.04</v>
      </c>
      <c r="AA597" s="192">
        <v>2164.67</v>
      </c>
      <c r="AB597" s="188">
        <v>14.82</v>
      </c>
      <c r="AC597" s="188">
        <v>50.07</v>
      </c>
      <c r="AD597" s="179" t="s">
        <v>2984</v>
      </c>
      <c r="AE597" s="188" t="s">
        <v>5241</v>
      </c>
      <c r="AF597" s="189">
        <v>0.29166666666666669</v>
      </c>
      <c r="AG597" s="189">
        <v>0.91666666666666663</v>
      </c>
      <c r="AH597" s="190" t="s">
        <v>2941</v>
      </c>
      <c r="AI597" s="190" t="s">
        <v>2942</v>
      </c>
      <c r="AJ597" s="183" t="s">
        <v>1077</v>
      </c>
      <c r="AK597" s="179" t="s">
        <v>3404</v>
      </c>
      <c r="AL597" s="183" t="s">
        <v>32</v>
      </c>
      <c r="AM597" s="183" t="s">
        <v>5258</v>
      </c>
      <c r="AN597" s="183" t="s">
        <v>2102</v>
      </c>
      <c r="AO597" s="209" t="s">
        <v>5259</v>
      </c>
      <c r="AP597" s="191">
        <v>81139009786</v>
      </c>
      <c r="AQ597" s="193">
        <v>45240</v>
      </c>
      <c r="AR597" s="183">
        <v>33</v>
      </c>
      <c r="AS597" s="183"/>
      <c r="AT597" s="182"/>
      <c r="AU597" s="182"/>
      <c r="AV597" s="213">
        <v>7606365</v>
      </c>
      <c r="AW597" s="181">
        <v>53.5</v>
      </c>
      <c r="AX597" s="206">
        <v>80652</v>
      </c>
      <c r="AY597" s="183"/>
    </row>
    <row r="598" spans="1:51" ht="14.4" x14ac:dyDescent="0.3">
      <c r="A598" s="179" t="s">
        <v>1465</v>
      </c>
      <c r="B598" s="179" t="s">
        <v>2927</v>
      </c>
      <c r="C598" s="212" t="s">
        <v>2174</v>
      </c>
      <c r="D598" s="181" t="s">
        <v>2852</v>
      </c>
      <c r="E598" s="181" t="s">
        <v>2817</v>
      </c>
      <c r="F598" s="182" t="s">
        <v>2929</v>
      </c>
      <c r="G598" s="181" t="s">
        <v>12</v>
      </c>
      <c r="H598" s="193">
        <v>45248</v>
      </c>
      <c r="I598" s="193"/>
      <c r="J598" s="179" t="s">
        <v>5260</v>
      </c>
      <c r="K598" s="186">
        <v>80</v>
      </c>
      <c r="L598" s="179" t="s">
        <v>2965</v>
      </c>
      <c r="M598" s="185"/>
      <c r="N598" s="185"/>
      <c r="O598" s="186"/>
      <c r="P598" s="185"/>
      <c r="Q598" s="182" t="s">
        <v>2933</v>
      </c>
      <c r="R598" s="182" t="s">
        <v>2934</v>
      </c>
      <c r="S598" s="182" t="s">
        <v>2952</v>
      </c>
      <c r="T598" s="179" t="s">
        <v>2974</v>
      </c>
      <c r="U598" s="183" t="s">
        <v>2937</v>
      </c>
      <c r="V598" s="183">
        <v>200</v>
      </c>
      <c r="W598" s="179" t="s">
        <v>3549</v>
      </c>
      <c r="X598" s="188">
        <v>246.25</v>
      </c>
      <c r="Y598" s="188">
        <v>276.83000000000004</v>
      </c>
      <c r="Z598" s="188">
        <v>110.55</v>
      </c>
      <c r="AA598" s="188">
        <v>115.49</v>
      </c>
      <c r="AB598" s="188">
        <v>3.08</v>
      </c>
      <c r="AC598" s="188">
        <v>76.84</v>
      </c>
      <c r="AD598" s="179" t="s">
        <v>2956</v>
      </c>
      <c r="AE598" s="188" t="s">
        <v>2957</v>
      </c>
      <c r="AF598" s="189">
        <v>0.29166666666666669</v>
      </c>
      <c r="AG598" s="189">
        <v>0.91666666666666663</v>
      </c>
      <c r="AH598" s="190" t="s">
        <v>2941</v>
      </c>
      <c r="AI598" s="190" t="s">
        <v>2985</v>
      </c>
      <c r="AJ598" s="183" t="s">
        <v>1119</v>
      </c>
      <c r="AK598" s="179" t="s">
        <v>3256</v>
      </c>
      <c r="AL598" s="183" t="s">
        <v>4</v>
      </c>
      <c r="AM598" s="183" t="s">
        <v>5261</v>
      </c>
      <c r="AN598" s="183" t="s">
        <v>2102</v>
      </c>
      <c r="AO598" s="209" t="s">
        <v>5262</v>
      </c>
      <c r="AP598" s="191">
        <v>81139009789</v>
      </c>
      <c r="AQ598" s="193">
        <v>45248</v>
      </c>
      <c r="AR598" s="183">
        <v>33</v>
      </c>
      <c r="AS598" s="183"/>
      <c r="AT598" s="182"/>
      <c r="AU598" s="182"/>
      <c r="AV598" s="213">
        <v>9899469</v>
      </c>
      <c r="AW598" s="181">
        <v>28.8</v>
      </c>
      <c r="AX598" s="206">
        <v>80224</v>
      </c>
      <c r="AY598" s="183"/>
    </row>
    <row r="599" spans="1:51" ht="14.4" x14ac:dyDescent="0.3">
      <c r="A599" s="179" t="s">
        <v>1027</v>
      </c>
      <c r="B599" s="179" t="s">
        <v>2927</v>
      </c>
      <c r="C599" s="212" t="s">
        <v>2105</v>
      </c>
      <c r="D599" s="181" t="s">
        <v>2816</v>
      </c>
      <c r="E599" s="181" t="s">
        <v>2815</v>
      </c>
      <c r="F599" s="182" t="s">
        <v>2929</v>
      </c>
      <c r="G599" s="181" t="s">
        <v>12</v>
      </c>
      <c r="H599" s="193">
        <v>45250</v>
      </c>
      <c r="I599" s="193"/>
      <c r="J599" s="186" t="s">
        <v>3008</v>
      </c>
      <c r="K599" s="186" t="s">
        <v>3008</v>
      </c>
      <c r="L599" s="186" t="s">
        <v>3008</v>
      </c>
      <c r="M599" s="185"/>
      <c r="N599" s="185"/>
      <c r="O599" s="179" t="s">
        <v>2951</v>
      </c>
      <c r="P599" s="185"/>
      <c r="Q599" s="182" t="s">
        <v>2934</v>
      </c>
      <c r="R599" s="182" t="s">
        <v>2933</v>
      </c>
      <c r="S599" s="182" t="s">
        <v>2935</v>
      </c>
      <c r="T599" s="179" t="s">
        <v>2974</v>
      </c>
      <c r="U599" s="183" t="s">
        <v>2937</v>
      </c>
      <c r="V599" s="183">
        <v>854</v>
      </c>
      <c r="W599" s="179" t="s">
        <v>4941</v>
      </c>
      <c r="X599" s="188">
        <v>476.85</v>
      </c>
      <c r="Y599" s="188">
        <v>301.82</v>
      </c>
      <c r="Z599" s="188">
        <v>131.88999999999999</v>
      </c>
      <c r="AA599" s="188">
        <v>197.43</v>
      </c>
      <c r="AB599" s="188">
        <v>28.04</v>
      </c>
      <c r="AC599" s="188">
        <v>101.8</v>
      </c>
      <c r="AD599" s="179" t="s">
        <v>2956</v>
      </c>
      <c r="AE599" s="188" t="s">
        <v>5241</v>
      </c>
      <c r="AF599" s="189">
        <v>0.29166666666666669</v>
      </c>
      <c r="AG599" s="189">
        <v>0.99930555555555556</v>
      </c>
      <c r="AH599" s="190" t="s">
        <v>2941</v>
      </c>
      <c r="AI599" s="190" t="s">
        <v>2985</v>
      </c>
      <c r="AJ599" s="183" t="s">
        <v>1025</v>
      </c>
      <c r="AK599" s="179" t="s">
        <v>3000</v>
      </c>
      <c r="AL599" s="183" t="s">
        <v>28</v>
      </c>
      <c r="AM599" s="183" t="s">
        <v>5263</v>
      </c>
      <c r="AN599" s="183" t="s">
        <v>2102</v>
      </c>
      <c r="AO599" s="209" t="s">
        <v>5264</v>
      </c>
      <c r="AP599" s="191">
        <v>81139009816</v>
      </c>
      <c r="AQ599" s="193">
        <v>45250</v>
      </c>
      <c r="AR599" s="183">
        <v>33</v>
      </c>
      <c r="AS599" s="183"/>
      <c r="AT599" s="182" t="s">
        <v>5265</v>
      </c>
      <c r="AU599" s="182" t="s">
        <v>2946</v>
      </c>
      <c r="AV599" s="213">
        <v>10676450</v>
      </c>
      <c r="AW599" s="181">
        <v>16.3</v>
      </c>
      <c r="AX599" s="206">
        <v>80571</v>
      </c>
      <c r="AY599" s="183"/>
    </row>
    <row r="600" spans="1:51" ht="14.4" x14ac:dyDescent="0.3">
      <c r="A600" s="214" t="s">
        <v>152</v>
      </c>
      <c r="B600" s="179" t="s">
        <v>2947</v>
      </c>
      <c r="C600" s="215" t="s">
        <v>2228</v>
      </c>
      <c r="D600" s="181" t="s">
        <v>2859</v>
      </c>
      <c r="E600" s="181" t="s">
        <v>2815</v>
      </c>
      <c r="F600" s="182" t="s">
        <v>2972</v>
      </c>
      <c r="G600" s="181" t="s">
        <v>17</v>
      </c>
      <c r="H600" s="216">
        <v>45899</v>
      </c>
      <c r="I600" s="193"/>
      <c r="J600" s="186" t="s">
        <v>3008</v>
      </c>
      <c r="K600" s="186" t="s">
        <v>3008</v>
      </c>
      <c r="L600" s="186" t="s">
        <v>3008</v>
      </c>
      <c r="M600" s="185"/>
      <c r="N600" s="185"/>
      <c r="O600" s="186"/>
      <c r="P600" s="185"/>
      <c r="Q600" s="182" t="s">
        <v>2934</v>
      </c>
      <c r="R600" s="182" t="s">
        <v>2933</v>
      </c>
      <c r="S600" s="182" t="s">
        <v>2935</v>
      </c>
      <c r="T600" s="179" t="s">
        <v>2974</v>
      </c>
      <c r="U600" s="183" t="s">
        <v>2954</v>
      </c>
      <c r="V600" s="183">
        <v>1016</v>
      </c>
      <c r="W600" s="179" t="s">
        <v>4941</v>
      </c>
      <c r="X600" s="188">
        <v>385.35</v>
      </c>
      <c r="Y600" s="188">
        <v>256.5</v>
      </c>
      <c r="Z600" s="188">
        <v>116.66</v>
      </c>
      <c r="AA600" s="188">
        <v>114.62</v>
      </c>
      <c r="AB600" s="188">
        <v>17.41</v>
      </c>
      <c r="AC600" s="188">
        <v>112.45</v>
      </c>
      <c r="AD600" s="179" t="s">
        <v>2956</v>
      </c>
      <c r="AE600" s="188" t="s">
        <v>5241</v>
      </c>
      <c r="AF600" s="189">
        <v>0.29166666666666669</v>
      </c>
      <c r="AG600" s="189">
        <v>0.95833333333333337</v>
      </c>
      <c r="AH600" s="190" t="s">
        <v>2941</v>
      </c>
      <c r="AI600" s="190" t="s">
        <v>2985</v>
      </c>
      <c r="AJ600" s="183" t="s">
        <v>150</v>
      </c>
      <c r="AK600" s="179" t="s">
        <v>2981</v>
      </c>
      <c r="AL600" s="183" t="s">
        <v>28</v>
      </c>
      <c r="AM600" s="183" t="s">
        <v>5266</v>
      </c>
      <c r="AN600" s="183" t="s">
        <v>2102</v>
      </c>
      <c r="AO600" s="209" t="s">
        <v>5267</v>
      </c>
      <c r="AP600" s="191">
        <v>81139009787</v>
      </c>
      <c r="AQ600" s="216">
        <v>45253</v>
      </c>
      <c r="AR600" s="183">
        <v>33</v>
      </c>
      <c r="AS600" s="183"/>
      <c r="AT600" s="182" t="s">
        <v>3324</v>
      </c>
      <c r="AU600" s="182" t="s">
        <v>2946</v>
      </c>
      <c r="AV600" s="213">
        <v>12109916</v>
      </c>
      <c r="AW600" s="181">
        <v>19</v>
      </c>
      <c r="AX600" s="206">
        <v>80582</v>
      </c>
      <c r="AY600" s="183"/>
    </row>
    <row r="601" spans="1:51" ht="14.4" x14ac:dyDescent="0.3">
      <c r="A601" s="214" t="s">
        <v>585</v>
      </c>
      <c r="B601" s="179" t="s">
        <v>2927</v>
      </c>
      <c r="C601" s="215" t="s">
        <v>2177</v>
      </c>
      <c r="D601" s="181" t="s">
        <v>2842</v>
      </c>
      <c r="E601" s="181" t="s">
        <v>2834</v>
      </c>
      <c r="F601" s="182" t="s">
        <v>2972</v>
      </c>
      <c r="G601" s="181" t="s">
        <v>17</v>
      </c>
      <c r="H601" s="216">
        <v>45255</v>
      </c>
      <c r="I601" s="193"/>
      <c r="J601" s="179" t="s">
        <v>5268</v>
      </c>
      <c r="K601" s="186">
        <v>200</v>
      </c>
      <c r="L601" s="179" t="s">
        <v>2950</v>
      </c>
      <c r="M601" s="181" t="s">
        <v>3164</v>
      </c>
      <c r="N601" s="185"/>
      <c r="O601" s="179" t="s">
        <v>2951</v>
      </c>
      <c r="P601" s="185"/>
      <c r="Q601" s="182" t="s">
        <v>2933</v>
      </c>
      <c r="R601" s="182" t="s">
        <v>2998</v>
      </c>
      <c r="S601" s="182" t="s">
        <v>2952</v>
      </c>
      <c r="T601" s="179" t="s">
        <v>2974</v>
      </c>
      <c r="U601" s="183" t="s">
        <v>2937</v>
      </c>
      <c r="V601" s="183">
        <v>228</v>
      </c>
      <c r="W601" s="179" t="s">
        <v>5269</v>
      </c>
      <c r="X601" s="188">
        <v>398.32</v>
      </c>
      <c r="Y601" s="188">
        <v>259.17</v>
      </c>
      <c r="Z601" s="188">
        <v>176.8</v>
      </c>
      <c r="AA601" s="188">
        <v>115.3</v>
      </c>
      <c r="AB601" s="188">
        <v>12.63</v>
      </c>
      <c r="AC601" s="188">
        <v>135.83000000000001</v>
      </c>
      <c r="AD601" s="179" t="s">
        <v>2956</v>
      </c>
      <c r="AE601" s="188" t="s">
        <v>5270</v>
      </c>
      <c r="AF601" s="189">
        <v>0.29166666666666669</v>
      </c>
      <c r="AG601" s="189">
        <v>0.91666666666666663</v>
      </c>
      <c r="AH601" s="190" t="s">
        <v>2941</v>
      </c>
      <c r="AI601" s="190" t="s">
        <v>2942</v>
      </c>
      <c r="AJ601" s="183" t="s">
        <v>581</v>
      </c>
      <c r="AK601" s="179" t="s">
        <v>3404</v>
      </c>
      <c r="AL601" s="183" t="s">
        <v>32</v>
      </c>
      <c r="AM601" s="183" t="s">
        <v>5271</v>
      </c>
      <c r="AN601" s="183" t="s">
        <v>2102</v>
      </c>
      <c r="AO601" s="209" t="s">
        <v>5272</v>
      </c>
      <c r="AP601" s="191">
        <v>81139009808</v>
      </c>
      <c r="AQ601" s="216">
        <v>45255</v>
      </c>
      <c r="AR601" s="183">
        <v>33</v>
      </c>
      <c r="AS601" s="183"/>
      <c r="AT601" s="182"/>
      <c r="AU601" s="182"/>
      <c r="AV601" s="213">
        <v>13945558.035330599</v>
      </c>
      <c r="AW601" s="181">
        <v>52.9</v>
      </c>
      <c r="AX601" s="206">
        <v>80256</v>
      </c>
      <c r="AY601" s="183"/>
    </row>
    <row r="602" spans="1:51" ht="14.4" x14ac:dyDescent="0.3">
      <c r="A602" s="214" t="s">
        <v>460</v>
      </c>
      <c r="B602" s="179" t="s">
        <v>2947</v>
      </c>
      <c r="C602" s="215" t="s">
        <v>2188</v>
      </c>
      <c r="D602" s="181" t="s">
        <v>2854</v>
      </c>
      <c r="E602" s="181" t="s">
        <v>2821</v>
      </c>
      <c r="F602" s="182" t="s">
        <v>2929</v>
      </c>
      <c r="G602" s="181" t="s">
        <v>12</v>
      </c>
      <c r="H602" s="193">
        <v>45267</v>
      </c>
      <c r="I602" s="193"/>
      <c r="J602" s="186" t="s">
        <v>3008</v>
      </c>
      <c r="K602" s="186" t="s">
        <v>3008</v>
      </c>
      <c r="L602" s="186" t="s">
        <v>3008</v>
      </c>
      <c r="M602" s="185"/>
      <c r="N602" s="185"/>
      <c r="O602" s="186"/>
      <c r="P602" s="185"/>
      <c r="Q602" s="182" t="s">
        <v>2933</v>
      </c>
      <c r="R602" s="182" t="s">
        <v>2934</v>
      </c>
      <c r="S602" s="182" t="s">
        <v>2935</v>
      </c>
      <c r="T602" s="179" t="s">
        <v>2974</v>
      </c>
      <c r="U602" s="183" t="s">
        <v>2954</v>
      </c>
      <c r="V602" s="183">
        <v>495</v>
      </c>
      <c r="W602" s="179" t="s">
        <v>3549</v>
      </c>
      <c r="X602" s="188">
        <v>236.21</v>
      </c>
      <c r="Y602" s="188">
        <v>305.31</v>
      </c>
      <c r="Z602" s="188">
        <v>114.94</v>
      </c>
      <c r="AA602" s="188">
        <v>72.5</v>
      </c>
      <c r="AB602" s="188">
        <v>9.6199999999999992</v>
      </c>
      <c r="AC602" s="188">
        <v>164.82</v>
      </c>
      <c r="AD602" s="179" t="s">
        <v>2956</v>
      </c>
      <c r="AE602" s="188" t="s">
        <v>5253</v>
      </c>
      <c r="AF602" s="189">
        <v>0.29166666666666669</v>
      </c>
      <c r="AG602" s="189">
        <v>0.95833333333333337</v>
      </c>
      <c r="AH602" s="190" t="s">
        <v>2941</v>
      </c>
      <c r="AI602" s="190" t="s">
        <v>2942</v>
      </c>
      <c r="AJ602" s="183" t="s">
        <v>458</v>
      </c>
      <c r="AK602" s="179" t="s">
        <v>3034</v>
      </c>
      <c r="AL602" s="183" t="s">
        <v>4</v>
      </c>
      <c r="AM602" s="183" t="s">
        <v>5273</v>
      </c>
      <c r="AN602" s="183" t="s">
        <v>2102</v>
      </c>
      <c r="AO602" s="209" t="s">
        <v>5274</v>
      </c>
      <c r="AP602" s="191">
        <v>81139009827</v>
      </c>
      <c r="AQ602" s="193">
        <v>45267</v>
      </c>
      <c r="AR602" s="183">
        <v>32</v>
      </c>
      <c r="AS602" s="183"/>
      <c r="AT602" s="182"/>
      <c r="AU602" s="182"/>
      <c r="AV602" s="213">
        <v>13299429</v>
      </c>
      <c r="AW602" s="181">
        <v>18.399999999999999</v>
      </c>
      <c r="AX602" s="206">
        <v>80112</v>
      </c>
      <c r="AY602" s="183"/>
    </row>
    <row r="603" spans="1:51" ht="14.4" x14ac:dyDescent="0.3">
      <c r="A603" s="214" t="s">
        <v>1661</v>
      </c>
      <c r="B603" s="179" t="s">
        <v>2947</v>
      </c>
      <c r="C603" s="215" t="s">
        <v>2208</v>
      </c>
      <c r="D603" s="181" t="s">
        <v>2854</v>
      </c>
      <c r="E603" s="181" t="s">
        <v>2821</v>
      </c>
      <c r="F603" s="182" t="s">
        <v>2972</v>
      </c>
      <c r="G603" s="181" t="s">
        <v>17</v>
      </c>
      <c r="H603" s="193">
        <v>45273</v>
      </c>
      <c r="I603" s="193"/>
      <c r="J603" s="186" t="s">
        <v>3008</v>
      </c>
      <c r="K603" s="186" t="s">
        <v>3008</v>
      </c>
      <c r="L603" s="186" t="s">
        <v>3008</v>
      </c>
      <c r="M603" s="185"/>
      <c r="N603" s="185"/>
      <c r="O603" s="186"/>
      <c r="P603" s="185"/>
      <c r="Q603" s="182" t="s">
        <v>2933</v>
      </c>
      <c r="R603" s="182" t="s">
        <v>2934</v>
      </c>
      <c r="S603" s="182" t="s">
        <v>2952</v>
      </c>
      <c r="T603" s="179" t="s">
        <v>2974</v>
      </c>
      <c r="U603" s="183" t="s">
        <v>2954</v>
      </c>
      <c r="V603" s="183">
        <v>384</v>
      </c>
      <c r="W603" s="179" t="s">
        <v>3470</v>
      </c>
      <c r="X603" s="188">
        <v>308.07</v>
      </c>
      <c r="Y603" s="188">
        <v>331.58000000000004</v>
      </c>
      <c r="Z603" s="188">
        <v>110.28</v>
      </c>
      <c r="AA603" s="188">
        <v>133.1</v>
      </c>
      <c r="AB603" s="188">
        <v>5.5</v>
      </c>
      <c r="AC603" s="188">
        <v>163.53</v>
      </c>
      <c r="AD603" s="179" t="s">
        <v>2956</v>
      </c>
      <c r="AE603" s="188" t="s">
        <v>5253</v>
      </c>
      <c r="AF603" s="189">
        <v>0.29166666666666669</v>
      </c>
      <c r="AG603" s="189">
        <v>0.99930555555555556</v>
      </c>
      <c r="AH603" s="190" t="s">
        <v>2941</v>
      </c>
      <c r="AI603" s="190" t="s">
        <v>2942</v>
      </c>
      <c r="AJ603" s="183" t="s">
        <v>508</v>
      </c>
      <c r="AK603" s="179" t="s">
        <v>3034</v>
      </c>
      <c r="AL603" s="183" t="s">
        <v>4</v>
      </c>
      <c r="AM603" s="183" t="s">
        <v>5275</v>
      </c>
      <c r="AN603" s="183" t="s">
        <v>2102</v>
      </c>
      <c r="AO603" s="209" t="s">
        <v>5276</v>
      </c>
      <c r="AP603" s="191">
        <v>81139009864</v>
      </c>
      <c r="AQ603" s="193">
        <v>45273</v>
      </c>
      <c r="AR603" s="183">
        <v>32</v>
      </c>
      <c r="AS603" s="183"/>
      <c r="AT603" s="182"/>
      <c r="AU603" s="182"/>
      <c r="AV603" s="213">
        <v>13121273</v>
      </c>
      <c r="AW603" s="181">
        <v>17</v>
      </c>
      <c r="AX603" s="206">
        <v>80115</v>
      </c>
      <c r="AY603" s="183"/>
    </row>
    <row r="604" spans="1:51" ht="14.4" x14ac:dyDescent="0.3">
      <c r="A604" s="214" t="s">
        <v>394</v>
      </c>
      <c r="B604" s="179" t="s">
        <v>2947</v>
      </c>
      <c r="C604" s="215" t="s">
        <v>5277</v>
      </c>
      <c r="D604" s="181" t="s">
        <v>2866</v>
      </c>
      <c r="E604" s="181" t="s">
        <v>2827</v>
      </c>
      <c r="F604" s="182" t="s">
        <v>2972</v>
      </c>
      <c r="G604" s="181" t="s">
        <v>17</v>
      </c>
      <c r="H604" s="193">
        <v>45821</v>
      </c>
      <c r="I604" s="193">
        <v>45821</v>
      </c>
      <c r="J604" s="179" t="s">
        <v>5278</v>
      </c>
      <c r="K604" s="186">
        <v>1100</v>
      </c>
      <c r="L604" s="183"/>
      <c r="M604" s="185"/>
      <c r="N604" s="185"/>
      <c r="O604" s="186"/>
      <c r="P604" s="185"/>
      <c r="Q604" s="182" t="s">
        <v>2934</v>
      </c>
      <c r="R604" s="182" t="s">
        <v>2933</v>
      </c>
      <c r="S604" s="182" t="s">
        <v>2952</v>
      </c>
      <c r="T604" s="179" t="s">
        <v>2974</v>
      </c>
      <c r="U604" s="183" t="s">
        <v>2954</v>
      </c>
      <c r="V604" s="183">
        <v>1100</v>
      </c>
      <c r="W604" s="179" t="s">
        <v>4941</v>
      </c>
      <c r="X604" s="188">
        <v>304.23</v>
      </c>
      <c r="Y604" s="188">
        <v>225.42</v>
      </c>
      <c r="Z604" s="188">
        <v>124.65</v>
      </c>
      <c r="AA604" s="188">
        <v>67.92</v>
      </c>
      <c r="AB604" s="188">
        <v>16.78</v>
      </c>
      <c r="AC604" s="188">
        <v>73.930000000000007</v>
      </c>
      <c r="AD604" s="179" t="s">
        <v>2956</v>
      </c>
      <c r="AE604" s="188" t="s">
        <v>5241</v>
      </c>
      <c r="AF604" s="189">
        <v>0.29166666666666669</v>
      </c>
      <c r="AG604" s="189">
        <v>0.99930555555555556</v>
      </c>
      <c r="AH604" s="190" t="s">
        <v>2941</v>
      </c>
      <c r="AI604" s="190" t="s">
        <v>2942</v>
      </c>
      <c r="AJ604" s="183" t="s">
        <v>392</v>
      </c>
      <c r="AK604" s="179" t="s">
        <v>3364</v>
      </c>
      <c r="AL604" s="183" t="s">
        <v>48</v>
      </c>
      <c r="AM604" s="183" t="s">
        <v>5279</v>
      </c>
      <c r="AN604" s="183" t="s">
        <v>2102</v>
      </c>
      <c r="AO604" s="209" t="s">
        <v>5280</v>
      </c>
      <c r="AP604" s="191">
        <v>81139009865</v>
      </c>
      <c r="AQ604" s="193">
        <v>45275</v>
      </c>
      <c r="AR604" s="183">
        <v>32</v>
      </c>
      <c r="AS604" s="183"/>
      <c r="AT604" s="182" t="s">
        <v>3127</v>
      </c>
      <c r="AU604" s="182" t="s">
        <v>2946</v>
      </c>
      <c r="AV604" s="213">
        <v>12622779</v>
      </c>
      <c r="AW604" s="181">
        <v>58.4</v>
      </c>
      <c r="AX604" s="206">
        <v>81119</v>
      </c>
      <c r="AY604" s="183"/>
    </row>
    <row r="605" spans="1:51" ht="14.4" x14ac:dyDescent="0.3">
      <c r="A605" s="214" t="s">
        <v>372</v>
      </c>
      <c r="B605" s="179" t="s">
        <v>2947</v>
      </c>
      <c r="C605" s="215" t="s">
        <v>2209</v>
      </c>
      <c r="D605" s="181" t="s">
        <v>2858</v>
      </c>
      <c r="E605" s="181" t="s">
        <v>2813</v>
      </c>
      <c r="F605" s="182" t="s">
        <v>2972</v>
      </c>
      <c r="G605" s="181" t="s">
        <v>17</v>
      </c>
      <c r="H605" s="193">
        <v>45821</v>
      </c>
      <c r="I605" s="193"/>
      <c r="J605" s="186" t="s">
        <v>3008</v>
      </c>
      <c r="K605" s="186" t="s">
        <v>3008</v>
      </c>
      <c r="L605" s="186" t="s">
        <v>3008</v>
      </c>
      <c r="M605" s="185"/>
      <c r="N605" s="185"/>
      <c r="O605" s="186"/>
      <c r="P605" s="185"/>
      <c r="Q605" s="182" t="s">
        <v>2934</v>
      </c>
      <c r="R605" s="182" t="s">
        <v>2933</v>
      </c>
      <c r="S605" s="182" t="s">
        <v>2952</v>
      </c>
      <c r="T605" s="179" t="s">
        <v>2974</v>
      </c>
      <c r="U605" s="183" t="s">
        <v>2954</v>
      </c>
      <c r="V605" s="183">
        <v>1016</v>
      </c>
      <c r="W605" s="179" t="s">
        <v>4941</v>
      </c>
      <c r="X605" s="188">
        <v>399.06</v>
      </c>
      <c r="Y605" s="188">
        <v>189.09</v>
      </c>
      <c r="Z605" s="188">
        <v>115.26</v>
      </c>
      <c r="AA605" s="188">
        <v>73.44</v>
      </c>
      <c r="AB605" s="188">
        <v>4.7</v>
      </c>
      <c r="AC605" s="188">
        <v>58.74</v>
      </c>
      <c r="AD605" s="179" t="s">
        <v>2984</v>
      </c>
      <c r="AE605" s="188" t="s">
        <v>5241</v>
      </c>
      <c r="AF605" s="189">
        <v>0.29166666666666669</v>
      </c>
      <c r="AG605" s="189">
        <v>0.95833333333333337</v>
      </c>
      <c r="AH605" s="190" t="s">
        <v>2941</v>
      </c>
      <c r="AI605" s="190" t="s">
        <v>2942</v>
      </c>
      <c r="AJ605" s="183" t="s">
        <v>357</v>
      </c>
      <c r="AK605" s="179" t="s">
        <v>3010</v>
      </c>
      <c r="AL605" s="183" t="s">
        <v>36</v>
      </c>
      <c r="AM605" s="183" t="s">
        <v>5281</v>
      </c>
      <c r="AN605" s="183" t="s">
        <v>2102</v>
      </c>
      <c r="AO605" s="209" t="s">
        <v>5282</v>
      </c>
      <c r="AP605" s="191">
        <v>81139009868</v>
      </c>
      <c r="AQ605" s="193">
        <v>45280</v>
      </c>
      <c r="AR605" s="183">
        <v>32</v>
      </c>
      <c r="AS605" s="183"/>
      <c r="AT605" s="182" t="s">
        <v>5283</v>
      </c>
      <c r="AU605" s="182" t="s">
        <v>2946</v>
      </c>
      <c r="AV605" s="213">
        <v>12002896</v>
      </c>
      <c r="AW605" s="181">
        <v>15</v>
      </c>
      <c r="AX605" s="206">
        <v>82121</v>
      </c>
      <c r="AY605" s="183"/>
    </row>
    <row r="606" spans="1:51" ht="14.4" x14ac:dyDescent="0.3">
      <c r="A606" s="214" t="s">
        <v>1116</v>
      </c>
      <c r="B606" s="179" t="s">
        <v>2927</v>
      </c>
      <c r="C606" s="215" t="s">
        <v>2111</v>
      </c>
      <c r="D606" s="181" t="s">
        <v>2856</v>
      </c>
      <c r="E606" s="181" t="s">
        <v>2819</v>
      </c>
      <c r="F606" s="182" t="s">
        <v>2929</v>
      </c>
      <c r="G606" s="181" t="s">
        <v>12</v>
      </c>
      <c r="H606" s="193">
        <v>45280</v>
      </c>
      <c r="I606" s="193"/>
      <c r="J606" s="179" t="s">
        <v>5284</v>
      </c>
      <c r="K606" s="186">
        <v>750</v>
      </c>
      <c r="L606" s="183" t="s">
        <v>3026</v>
      </c>
      <c r="M606" s="185"/>
      <c r="N606" s="185"/>
      <c r="O606" s="186"/>
      <c r="P606" s="185"/>
      <c r="Q606" s="182" t="s">
        <v>2934</v>
      </c>
      <c r="R606" s="182" t="s">
        <v>2933</v>
      </c>
      <c r="S606" s="182" t="s">
        <v>2952</v>
      </c>
      <c r="T606" s="179" t="s">
        <v>2974</v>
      </c>
      <c r="U606" s="183" t="s">
        <v>2937</v>
      </c>
      <c r="V606" s="183">
        <v>755</v>
      </c>
      <c r="W606" s="179" t="s">
        <v>3009</v>
      </c>
      <c r="X606" s="188">
        <v>228.8</v>
      </c>
      <c r="Y606" s="188">
        <v>167.08</v>
      </c>
      <c r="Z606" s="188">
        <v>102.41</v>
      </c>
      <c r="AA606" s="188">
        <v>58</v>
      </c>
      <c r="AB606" s="188">
        <v>10.25</v>
      </c>
      <c r="AC606" s="188">
        <v>46.56</v>
      </c>
      <c r="AD606" s="179" t="s">
        <v>2984</v>
      </c>
      <c r="AE606" s="188" t="s">
        <v>5241</v>
      </c>
      <c r="AF606" s="189">
        <v>0.29166666666666669</v>
      </c>
      <c r="AG606" s="189">
        <v>0.91666666666666663</v>
      </c>
      <c r="AH606" s="190" t="s">
        <v>2941</v>
      </c>
      <c r="AI606" s="190" t="s">
        <v>2942</v>
      </c>
      <c r="AJ606" s="183" t="s">
        <v>24</v>
      </c>
      <c r="AK606" s="179" t="s">
        <v>2977</v>
      </c>
      <c r="AL606" s="183" t="s">
        <v>9</v>
      </c>
      <c r="AM606" s="183" t="s">
        <v>5285</v>
      </c>
      <c r="AN606" s="183" t="s">
        <v>2102</v>
      </c>
      <c r="AO606" s="209" t="s">
        <v>5286</v>
      </c>
      <c r="AP606" s="191">
        <v>81139009867</v>
      </c>
      <c r="AQ606" s="193">
        <v>45280</v>
      </c>
      <c r="AR606" s="183">
        <v>32</v>
      </c>
      <c r="AS606" s="183"/>
      <c r="AT606" s="182"/>
      <c r="AU606" s="182"/>
      <c r="AV606" s="213">
        <v>10914480</v>
      </c>
      <c r="AW606" s="181">
        <v>21.2</v>
      </c>
      <c r="AX606" s="206">
        <v>80361</v>
      </c>
      <c r="AY606" s="183"/>
    </row>
    <row r="607" spans="1:51" ht="14.4" x14ac:dyDescent="0.3">
      <c r="A607" s="214" t="s">
        <v>800</v>
      </c>
      <c r="B607" s="179" t="s">
        <v>2927</v>
      </c>
      <c r="C607" s="215" t="s">
        <v>2139</v>
      </c>
      <c r="D607" s="181" t="s">
        <v>2844</v>
      </c>
      <c r="E607" s="181" t="s">
        <v>2834</v>
      </c>
      <c r="F607" s="182" t="s">
        <v>2929</v>
      </c>
      <c r="G607" s="181" t="s">
        <v>12</v>
      </c>
      <c r="H607" s="217">
        <v>45281</v>
      </c>
      <c r="I607" s="193"/>
      <c r="J607" s="186" t="s">
        <v>3008</v>
      </c>
      <c r="K607" s="186" t="s">
        <v>3008</v>
      </c>
      <c r="L607" s="186" t="s">
        <v>3008</v>
      </c>
      <c r="M607" s="185"/>
      <c r="N607" s="185"/>
      <c r="O607" s="186"/>
      <c r="P607" s="185"/>
      <c r="Q607" s="182" t="s">
        <v>2934</v>
      </c>
      <c r="R607" s="182" t="s">
        <v>2933</v>
      </c>
      <c r="S607" s="182" t="s">
        <v>2952</v>
      </c>
      <c r="T607" s="179" t="s">
        <v>2974</v>
      </c>
      <c r="U607" s="183" t="s">
        <v>2937</v>
      </c>
      <c r="V607" s="183">
        <v>390</v>
      </c>
      <c r="W607" s="179" t="s">
        <v>4941</v>
      </c>
      <c r="X607" s="188">
        <v>393.71</v>
      </c>
      <c r="Y607" s="188">
        <v>214.17</v>
      </c>
      <c r="Z607" s="188">
        <v>111.81</v>
      </c>
      <c r="AA607" s="188">
        <v>171.48</v>
      </c>
      <c r="AB607" s="188">
        <v>13.89</v>
      </c>
      <c r="AC607" s="188">
        <v>78.81</v>
      </c>
      <c r="AD607" s="179" t="s">
        <v>2956</v>
      </c>
      <c r="AE607" s="188" t="s">
        <v>5241</v>
      </c>
      <c r="AF607" s="189">
        <v>0.29166666666666669</v>
      </c>
      <c r="AG607" s="189">
        <v>0.91666666666666663</v>
      </c>
      <c r="AH607" s="190" t="s">
        <v>2941</v>
      </c>
      <c r="AI607" s="190" t="s">
        <v>2942</v>
      </c>
      <c r="AJ607" s="183" t="s">
        <v>798</v>
      </c>
      <c r="AK607" s="179" t="s">
        <v>3404</v>
      </c>
      <c r="AL607" s="183" t="s">
        <v>32</v>
      </c>
      <c r="AM607" s="183" t="s">
        <v>5287</v>
      </c>
      <c r="AN607" s="183" t="s">
        <v>2102</v>
      </c>
      <c r="AO607" s="209" t="s">
        <v>5288</v>
      </c>
      <c r="AP607" s="191">
        <v>81139009774</v>
      </c>
      <c r="AQ607" s="217">
        <v>45281</v>
      </c>
      <c r="AR607" s="183">
        <v>32</v>
      </c>
      <c r="AS607" s="183"/>
      <c r="AT607" s="182" t="s">
        <v>5289</v>
      </c>
      <c r="AU607" s="182" t="s">
        <v>2946</v>
      </c>
      <c r="AV607" s="213">
        <v>7085561</v>
      </c>
      <c r="AW607" s="181">
        <v>53.6</v>
      </c>
      <c r="AX607" s="206">
        <v>80652</v>
      </c>
      <c r="AY607" s="183"/>
    </row>
    <row r="608" spans="1:51" ht="14.4" x14ac:dyDescent="0.3">
      <c r="A608" s="214" t="s">
        <v>899</v>
      </c>
      <c r="B608" s="179" t="s">
        <v>2927</v>
      </c>
      <c r="C608" s="215" t="s">
        <v>5290</v>
      </c>
      <c r="D608" s="181" t="s">
        <v>2842</v>
      </c>
      <c r="E608" s="181" t="s">
        <v>2834</v>
      </c>
      <c r="F608" s="182" t="s">
        <v>2929</v>
      </c>
      <c r="G608" s="181" t="s">
        <v>12</v>
      </c>
      <c r="H608" s="217">
        <v>45283</v>
      </c>
      <c r="I608" s="193"/>
      <c r="J608" s="186" t="s">
        <v>5291</v>
      </c>
      <c r="K608" s="186">
        <v>1500</v>
      </c>
      <c r="L608" s="186"/>
      <c r="M608" s="185"/>
      <c r="N608" s="185"/>
      <c r="O608" s="186"/>
      <c r="P608" s="185"/>
      <c r="Q608" s="182" t="s">
        <v>2933</v>
      </c>
      <c r="R608" s="182" t="s">
        <v>2934</v>
      </c>
      <c r="S608" s="182" t="s">
        <v>2952</v>
      </c>
      <c r="T608" s="179" t="s">
        <v>2953</v>
      </c>
      <c r="U608" s="183" t="s">
        <v>2937</v>
      </c>
      <c r="V608" s="183">
        <v>706</v>
      </c>
      <c r="W608" s="179" t="s">
        <v>2975</v>
      </c>
      <c r="X608" s="188">
        <v>566.19000000000005</v>
      </c>
      <c r="Y608" s="188">
        <v>261.87</v>
      </c>
      <c r="Z608" s="188">
        <v>154.16999999999999</v>
      </c>
      <c r="AA608" s="188">
        <v>303.79000000000002</v>
      </c>
      <c r="AB608" s="188">
        <v>11.21</v>
      </c>
      <c r="AC608" s="188">
        <v>86.21</v>
      </c>
      <c r="AD608" s="179" t="s">
        <v>2956</v>
      </c>
      <c r="AE608" s="188" t="s">
        <v>5241</v>
      </c>
      <c r="AF608" s="189">
        <v>0.29166666666666669</v>
      </c>
      <c r="AG608" s="189">
        <v>0.99930555555555556</v>
      </c>
      <c r="AH608" s="190" t="s">
        <v>2941</v>
      </c>
      <c r="AI608" s="190" t="s">
        <v>2942</v>
      </c>
      <c r="AJ608" s="183" t="s">
        <v>897</v>
      </c>
      <c r="AK608" s="179" t="s">
        <v>3132</v>
      </c>
      <c r="AL608" s="183" t="s">
        <v>58</v>
      </c>
      <c r="AM608" s="183" t="s">
        <v>5292</v>
      </c>
      <c r="AN608" s="183" t="s">
        <v>2102</v>
      </c>
      <c r="AO608" s="209" t="s">
        <v>5293</v>
      </c>
      <c r="AP608" s="191"/>
      <c r="AQ608" s="217">
        <v>45283</v>
      </c>
      <c r="AR608" s="183">
        <v>32</v>
      </c>
      <c r="AS608" s="183"/>
      <c r="AT608" s="182"/>
      <c r="AU608" s="182"/>
      <c r="AV608" s="213">
        <v>10247608.5822863</v>
      </c>
      <c r="AW608" s="181">
        <v>36</v>
      </c>
      <c r="AX608" s="206">
        <v>80752</v>
      </c>
      <c r="AY608" s="183"/>
    </row>
    <row r="609" spans="1:51" ht="14.4" x14ac:dyDescent="0.3">
      <c r="A609" s="214" t="s">
        <v>1062</v>
      </c>
      <c r="B609" s="179" t="s">
        <v>2927</v>
      </c>
      <c r="C609" s="215" t="s">
        <v>2154</v>
      </c>
      <c r="D609" s="181" t="s">
        <v>2851</v>
      </c>
      <c r="E609" s="181" t="s">
        <v>2817</v>
      </c>
      <c r="F609" s="182" t="s">
        <v>2929</v>
      </c>
      <c r="G609" s="181" t="s">
        <v>12</v>
      </c>
      <c r="H609" s="217">
        <v>45283</v>
      </c>
      <c r="I609" s="193"/>
      <c r="J609" s="186" t="s">
        <v>5294</v>
      </c>
      <c r="K609" s="186">
        <v>50</v>
      </c>
      <c r="L609" s="179" t="s">
        <v>2965</v>
      </c>
      <c r="M609" s="185"/>
      <c r="N609" s="185"/>
      <c r="O609" s="186"/>
      <c r="P609" s="185"/>
      <c r="Q609" s="182" t="s">
        <v>2934</v>
      </c>
      <c r="R609" s="182" t="s">
        <v>2933</v>
      </c>
      <c r="S609" s="182" t="s">
        <v>2952</v>
      </c>
      <c r="T609" s="179" t="s">
        <v>4623</v>
      </c>
      <c r="U609" s="183" t="s">
        <v>2937</v>
      </c>
      <c r="V609" s="183">
        <v>342</v>
      </c>
      <c r="W609" s="179" t="s">
        <v>3009</v>
      </c>
      <c r="X609" s="188">
        <v>201.37</v>
      </c>
      <c r="Y609" s="188">
        <v>214.84</v>
      </c>
      <c r="Z609" s="188">
        <v>114.81</v>
      </c>
      <c r="AA609" s="188">
        <v>47.13</v>
      </c>
      <c r="AB609" s="188">
        <v>3.58</v>
      </c>
      <c r="AC609" s="188">
        <v>77.759999999999991</v>
      </c>
      <c r="AD609" s="179" t="s">
        <v>2956</v>
      </c>
      <c r="AE609" s="188" t="s">
        <v>5253</v>
      </c>
      <c r="AF609" s="189">
        <v>0</v>
      </c>
      <c r="AG609" s="189">
        <v>0.99930555555555556</v>
      </c>
      <c r="AH609" s="190" t="s">
        <v>2941</v>
      </c>
      <c r="AI609" s="190" t="s">
        <v>2985</v>
      </c>
      <c r="AJ609" s="183" t="s">
        <v>256</v>
      </c>
      <c r="AK609" s="179" t="s">
        <v>3256</v>
      </c>
      <c r="AL609" s="183" t="s">
        <v>4</v>
      </c>
      <c r="AM609" s="183" t="s">
        <v>5295</v>
      </c>
      <c r="AN609" s="183" t="s">
        <v>2102</v>
      </c>
      <c r="AO609" s="209" t="s">
        <v>5296</v>
      </c>
      <c r="AP609" s="191"/>
      <c r="AQ609" s="217">
        <v>45283</v>
      </c>
      <c r="AR609" s="183">
        <v>32</v>
      </c>
      <c r="AS609" s="183"/>
      <c r="AT609" s="182"/>
      <c r="AU609" s="182"/>
      <c r="AV609" s="213">
        <v>7548697</v>
      </c>
      <c r="AW609" s="181">
        <v>30</v>
      </c>
      <c r="AX609" s="206">
        <v>80221</v>
      </c>
      <c r="AY609" s="183"/>
    </row>
    <row r="610" spans="1:51" ht="14.4" x14ac:dyDescent="0.3">
      <c r="A610" s="214" t="s">
        <v>1659</v>
      </c>
      <c r="B610" s="179" t="s">
        <v>2927</v>
      </c>
      <c r="C610" s="215" t="s">
        <v>2121</v>
      </c>
      <c r="D610" s="181" t="s">
        <v>2847</v>
      </c>
      <c r="E610" s="181" t="s">
        <v>2830</v>
      </c>
      <c r="F610" s="182" t="s">
        <v>2929</v>
      </c>
      <c r="G610" s="181" t="s">
        <v>12</v>
      </c>
      <c r="H610" s="217">
        <v>45285</v>
      </c>
      <c r="I610" s="193"/>
      <c r="J610" s="179" t="s">
        <v>5297</v>
      </c>
      <c r="K610" s="186">
        <v>50</v>
      </c>
      <c r="L610" s="179" t="s">
        <v>2965</v>
      </c>
      <c r="M610" s="185"/>
      <c r="N610" s="185"/>
      <c r="O610" s="186"/>
      <c r="P610" s="185"/>
      <c r="Q610" s="182" t="s">
        <v>2933</v>
      </c>
      <c r="R610" s="182" t="s">
        <v>2934</v>
      </c>
      <c r="S610" s="182" t="s">
        <v>2952</v>
      </c>
      <c r="T610" s="179" t="s">
        <v>2953</v>
      </c>
      <c r="U610" s="183" t="s">
        <v>2937</v>
      </c>
      <c r="V610" s="183">
        <v>695</v>
      </c>
      <c r="W610" s="179" t="s">
        <v>4941</v>
      </c>
      <c r="X610" s="188">
        <v>242.04</v>
      </c>
      <c r="Y610" s="188">
        <v>477.09</v>
      </c>
      <c r="Z610" s="188">
        <v>107.88</v>
      </c>
      <c r="AA610" s="188">
        <v>74.47</v>
      </c>
      <c r="AB610" s="188">
        <v>14.67</v>
      </c>
      <c r="AC610" s="188">
        <v>146.38</v>
      </c>
      <c r="AD610" s="179" t="s">
        <v>2956</v>
      </c>
      <c r="AE610" s="188" t="s">
        <v>5253</v>
      </c>
      <c r="AF610" s="189">
        <v>0.29166666666666669</v>
      </c>
      <c r="AG610" s="189">
        <v>0.95833333333333337</v>
      </c>
      <c r="AH610" s="190" t="s">
        <v>2941</v>
      </c>
      <c r="AI610" s="190" t="s">
        <v>2985</v>
      </c>
      <c r="AJ610" s="183" t="s">
        <v>523</v>
      </c>
      <c r="AK610" s="179" t="s">
        <v>3387</v>
      </c>
      <c r="AL610" s="183" t="s">
        <v>4</v>
      </c>
      <c r="AM610" s="183" t="s">
        <v>5298</v>
      </c>
      <c r="AN610" s="183" t="s">
        <v>2102</v>
      </c>
      <c r="AO610" s="209" t="s">
        <v>5299</v>
      </c>
      <c r="AP610" s="191">
        <v>0</v>
      </c>
      <c r="AQ610" s="217">
        <v>45285</v>
      </c>
      <c r="AR610" s="183">
        <v>32</v>
      </c>
      <c r="AS610" s="183"/>
      <c r="AT610" s="182"/>
      <c r="AU610" s="182"/>
      <c r="AV610" s="213">
        <v>10023528</v>
      </c>
      <c r="AW610" s="181">
        <v>25.1</v>
      </c>
      <c r="AX610" s="206">
        <v>80239</v>
      </c>
      <c r="AY610" s="183"/>
    </row>
    <row r="611" spans="1:51" ht="14.4" x14ac:dyDescent="0.3">
      <c r="A611" s="214" t="s">
        <v>1041</v>
      </c>
      <c r="B611" s="179" t="s">
        <v>2927</v>
      </c>
      <c r="C611" s="215" t="s">
        <v>5300</v>
      </c>
      <c r="D611" s="181" t="s">
        <v>2826</v>
      </c>
      <c r="E611" s="181" t="s">
        <v>2825</v>
      </c>
      <c r="F611" s="182" t="s">
        <v>2929</v>
      </c>
      <c r="G611" s="181" t="s">
        <v>12</v>
      </c>
      <c r="H611" s="217">
        <v>45287</v>
      </c>
      <c r="I611" s="193"/>
      <c r="J611" s="186" t="s">
        <v>3008</v>
      </c>
      <c r="K611" s="186" t="s">
        <v>3008</v>
      </c>
      <c r="L611" s="186" t="s">
        <v>3008</v>
      </c>
      <c r="M611" s="185"/>
      <c r="N611" s="185"/>
      <c r="O611" s="186"/>
      <c r="P611" s="185"/>
      <c r="Q611" s="182" t="s">
        <v>2934</v>
      </c>
      <c r="R611" s="182" t="s">
        <v>2933</v>
      </c>
      <c r="S611" s="182" t="s">
        <v>2952</v>
      </c>
      <c r="T611" s="179" t="s">
        <v>2974</v>
      </c>
      <c r="U611" s="183" t="s">
        <v>2937</v>
      </c>
      <c r="V611" s="183">
        <v>1171</v>
      </c>
      <c r="W611" s="179" t="s">
        <v>4941</v>
      </c>
      <c r="X611" s="188">
        <v>351.2</v>
      </c>
      <c r="Y611" s="188">
        <v>245.48</v>
      </c>
      <c r="Z611" s="188">
        <v>146.4</v>
      </c>
      <c r="AA611" s="188">
        <v>117.31</v>
      </c>
      <c r="AB611" s="188">
        <v>24</v>
      </c>
      <c r="AC611" s="188">
        <v>64.900000000000006</v>
      </c>
      <c r="AD611" s="179" t="s">
        <v>2956</v>
      </c>
      <c r="AE611" s="188" t="s">
        <v>5241</v>
      </c>
      <c r="AF611" s="189">
        <v>0.29166666666666669</v>
      </c>
      <c r="AG611" s="189">
        <v>0.91666666666666663</v>
      </c>
      <c r="AH611" s="190" t="s">
        <v>2941</v>
      </c>
      <c r="AI611" s="190" t="s">
        <v>2942</v>
      </c>
      <c r="AJ611" s="183" t="s">
        <v>1039</v>
      </c>
      <c r="AK611" s="179" t="s">
        <v>3010</v>
      </c>
      <c r="AL611" s="183" t="s">
        <v>36</v>
      </c>
      <c r="AM611" s="183" t="s">
        <v>5301</v>
      </c>
      <c r="AN611" s="183" t="s">
        <v>2102</v>
      </c>
      <c r="AO611" s="209" t="s">
        <v>5302</v>
      </c>
      <c r="AP611" s="191"/>
      <c r="AQ611" s="217">
        <v>45287</v>
      </c>
      <c r="AR611" s="183">
        <v>32</v>
      </c>
      <c r="AS611" s="183"/>
      <c r="AT611" s="182"/>
      <c r="AU611" s="182"/>
      <c r="AV611" s="213">
        <v>9385905</v>
      </c>
      <c r="AW611" s="181">
        <v>11</v>
      </c>
      <c r="AX611" s="206">
        <v>80351</v>
      </c>
      <c r="AY611" s="183"/>
    </row>
    <row r="612" spans="1:51" ht="14.4" x14ac:dyDescent="0.3">
      <c r="A612" s="214" t="s">
        <v>1878</v>
      </c>
      <c r="B612" s="179" t="s">
        <v>2947</v>
      </c>
      <c r="C612" s="215" t="s">
        <v>2223</v>
      </c>
      <c r="D612" s="181" t="s">
        <v>2875</v>
      </c>
      <c r="E612" s="181" t="s">
        <v>2867</v>
      </c>
      <c r="F612" s="182" t="s">
        <v>2972</v>
      </c>
      <c r="G612" s="181" t="s">
        <v>17</v>
      </c>
      <c r="H612" s="193">
        <v>45842</v>
      </c>
      <c r="I612" s="193"/>
      <c r="J612" s="186" t="s">
        <v>5303</v>
      </c>
      <c r="K612" s="186">
        <v>160</v>
      </c>
      <c r="L612" s="179" t="s">
        <v>2950</v>
      </c>
      <c r="M612" s="185"/>
      <c r="N612" s="185"/>
      <c r="O612" s="179" t="s">
        <v>2951</v>
      </c>
      <c r="P612" s="185"/>
      <c r="Q612" s="182" t="s">
        <v>2934</v>
      </c>
      <c r="R612" s="182" t="s">
        <v>2933</v>
      </c>
      <c r="S612" s="182" t="s">
        <v>2952</v>
      </c>
      <c r="T612" s="179" t="s">
        <v>2974</v>
      </c>
      <c r="U612" s="183" t="s">
        <v>2954</v>
      </c>
      <c r="V612" s="183">
        <v>558</v>
      </c>
      <c r="W612" s="179" t="s">
        <v>4941</v>
      </c>
      <c r="X612" s="188">
        <v>504</v>
      </c>
      <c r="Y612" s="188">
        <v>265.02999999999997</v>
      </c>
      <c r="Z612" s="188">
        <v>132.35</v>
      </c>
      <c r="AA612" s="188">
        <v>154.80000000000001</v>
      </c>
      <c r="AB612" s="188">
        <v>20.64</v>
      </c>
      <c r="AC612" s="188">
        <v>101.82</v>
      </c>
      <c r="AD612" s="179" t="s">
        <v>2956</v>
      </c>
      <c r="AE612" s="188" t="s">
        <v>5241</v>
      </c>
      <c r="AF612" s="189">
        <v>0.29166666666666669</v>
      </c>
      <c r="AG612" s="189">
        <v>0.99930555555555556</v>
      </c>
      <c r="AH612" s="190" t="s">
        <v>2941</v>
      </c>
      <c r="AI612" s="190" t="s">
        <v>2985</v>
      </c>
      <c r="AJ612" s="183" t="s">
        <v>78</v>
      </c>
      <c r="AK612" s="179" t="s">
        <v>3256</v>
      </c>
      <c r="AL612" s="183" t="s">
        <v>4</v>
      </c>
      <c r="AM612" s="183" t="s">
        <v>5304</v>
      </c>
      <c r="AN612" s="183" t="s">
        <v>2102</v>
      </c>
      <c r="AO612" s="209" t="s">
        <v>5305</v>
      </c>
      <c r="AP612" s="191"/>
      <c r="AQ612" s="217">
        <v>45291</v>
      </c>
      <c r="AR612" s="183">
        <v>31</v>
      </c>
      <c r="AS612" s="183"/>
      <c r="AT612" s="182" t="s">
        <v>5077</v>
      </c>
      <c r="AU612" s="182" t="s">
        <v>2946</v>
      </c>
      <c r="AV612" s="213">
        <v>13528500</v>
      </c>
      <c r="AW612" s="181">
        <v>26.1</v>
      </c>
      <c r="AX612" s="206">
        <v>80226</v>
      </c>
      <c r="AY612" s="183"/>
    </row>
    <row r="613" spans="1:51" ht="14.4" x14ac:dyDescent="0.3">
      <c r="A613" s="179" t="s">
        <v>425</v>
      </c>
      <c r="B613" s="179" t="s">
        <v>2947</v>
      </c>
      <c r="C613" s="212" t="s">
        <v>5306</v>
      </c>
      <c r="D613" s="181" t="s">
        <v>2866</v>
      </c>
      <c r="E613" s="181" t="s">
        <v>2827</v>
      </c>
      <c r="F613" s="182" t="s">
        <v>2972</v>
      </c>
      <c r="G613" s="181" t="s">
        <v>17</v>
      </c>
      <c r="H613" s="193">
        <v>45569</v>
      </c>
      <c r="I613" s="193"/>
      <c r="J613" s="186" t="s">
        <v>5307</v>
      </c>
      <c r="K613" s="186">
        <v>250</v>
      </c>
      <c r="L613" s="179" t="s">
        <v>2950</v>
      </c>
      <c r="M613" s="185"/>
      <c r="N613" s="185"/>
      <c r="O613" s="186"/>
      <c r="P613" s="185"/>
      <c r="Q613" s="182" t="s">
        <v>2934</v>
      </c>
      <c r="R613" s="182" t="s">
        <v>2933</v>
      </c>
      <c r="S613" s="182" t="s">
        <v>2952</v>
      </c>
      <c r="T613" s="179" t="s">
        <v>2974</v>
      </c>
      <c r="U613" s="183" t="s">
        <v>2954</v>
      </c>
      <c r="V613" s="183">
        <v>490</v>
      </c>
      <c r="W613" s="183" t="s">
        <v>3151</v>
      </c>
      <c r="X613" s="188">
        <v>330</v>
      </c>
      <c r="Y613" s="188">
        <v>217.5</v>
      </c>
      <c r="Z613" s="188">
        <v>110.23</v>
      </c>
      <c r="AA613" s="188">
        <v>102.9</v>
      </c>
      <c r="AB613" s="188">
        <v>17.64</v>
      </c>
      <c r="AC613" s="188">
        <v>80.42</v>
      </c>
      <c r="AD613" s="179" t="s">
        <v>2956</v>
      </c>
      <c r="AE613" s="188" t="s">
        <v>5241</v>
      </c>
      <c r="AF613" s="189">
        <v>0.29166666666666669</v>
      </c>
      <c r="AG613" s="189">
        <v>0.91666666666666663</v>
      </c>
      <c r="AH613" s="190" t="s">
        <v>2941</v>
      </c>
      <c r="AI613" s="190" t="s">
        <v>2942</v>
      </c>
      <c r="AJ613" s="183" t="s">
        <v>423</v>
      </c>
      <c r="AK613" s="179" t="s">
        <v>48</v>
      </c>
      <c r="AL613" s="183" t="s">
        <v>48</v>
      </c>
      <c r="AM613" s="183" t="s">
        <v>5308</v>
      </c>
      <c r="AN613" s="183" t="s">
        <v>2102</v>
      </c>
      <c r="AO613" s="209" t="s">
        <v>5309</v>
      </c>
      <c r="AP613" s="191"/>
      <c r="AQ613" s="184">
        <v>45304</v>
      </c>
      <c r="AR613" s="183">
        <v>31</v>
      </c>
      <c r="AS613" s="183"/>
      <c r="AT613" s="182" t="s">
        <v>5310</v>
      </c>
      <c r="AU613" s="182" t="s">
        <v>2946</v>
      </c>
      <c r="AV613" s="218">
        <v>12546410</v>
      </c>
      <c r="AW613" s="181">
        <v>58.2</v>
      </c>
      <c r="AX613" s="206">
        <v>81116</v>
      </c>
      <c r="AY613" s="183"/>
    </row>
    <row r="614" spans="1:51" ht="14.4" x14ac:dyDescent="0.3">
      <c r="A614" s="179" t="s">
        <v>1240</v>
      </c>
      <c r="B614" s="179" t="s">
        <v>2927</v>
      </c>
      <c r="C614" s="212" t="s">
        <v>2128</v>
      </c>
      <c r="D614" s="181" t="s">
        <v>2829</v>
      </c>
      <c r="E614" s="181" t="s">
        <v>2815</v>
      </c>
      <c r="F614" s="182" t="s">
        <v>2929</v>
      </c>
      <c r="G614" s="181" t="s">
        <v>12</v>
      </c>
      <c r="H614" s="184">
        <v>45316</v>
      </c>
      <c r="I614" s="193"/>
      <c r="J614" s="186" t="s">
        <v>3008</v>
      </c>
      <c r="K614" s="186" t="s">
        <v>3008</v>
      </c>
      <c r="L614" s="186" t="s">
        <v>3008</v>
      </c>
      <c r="M614" s="185"/>
      <c r="N614" s="185"/>
      <c r="O614" s="186"/>
      <c r="P614" s="185"/>
      <c r="Q614" s="182" t="s">
        <v>2933</v>
      </c>
      <c r="R614" s="182" t="s">
        <v>2934</v>
      </c>
      <c r="S614" s="182" t="s">
        <v>2952</v>
      </c>
      <c r="T614" s="179" t="s">
        <v>2974</v>
      </c>
      <c r="U614" s="183" t="s">
        <v>2937</v>
      </c>
      <c r="V614" s="183">
        <v>151</v>
      </c>
      <c r="W614" s="183" t="s">
        <v>4941</v>
      </c>
      <c r="X614" s="188">
        <v>377.09</v>
      </c>
      <c r="Y614" s="188">
        <v>269.8</v>
      </c>
      <c r="Z614" s="188">
        <v>133.68</v>
      </c>
      <c r="AA614" s="188">
        <v>99.08</v>
      </c>
      <c r="AB614" s="188">
        <v>21.9</v>
      </c>
      <c r="AC614" s="188">
        <v>108.35</v>
      </c>
      <c r="AD614" s="179" t="s">
        <v>2956</v>
      </c>
      <c r="AE614" s="188" t="s">
        <v>5241</v>
      </c>
      <c r="AF614" s="189">
        <v>0.29166666666666669</v>
      </c>
      <c r="AG614" s="189">
        <v>0.91666666666666663</v>
      </c>
      <c r="AH614" s="190" t="s">
        <v>2941</v>
      </c>
      <c r="AI614" s="190" t="s">
        <v>2985</v>
      </c>
      <c r="AJ614" s="183" t="s">
        <v>688</v>
      </c>
      <c r="AK614" s="179" t="s">
        <v>3110</v>
      </c>
      <c r="AL614" s="183" t="s">
        <v>28</v>
      </c>
      <c r="AM614" s="183" t="s">
        <v>5311</v>
      </c>
      <c r="AN614" s="183" t="s">
        <v>2102</v>
      </c>
      <c r="AO614" s="209" t="s">
        <v>5312</v>
      </c>
      <c r="AP614" s="191"/>
      <c r="AQ614" s="184">
        <v>45316</v>
      </c>
      <c r="AR614" s="183">
        <v>31</v>
      </c>
      <c r="AS614" s="183"/>
      <c r="AT614" s="182"/>
      <c r="AU614" s="182"/>
      <c r="AV614" s="218">
        <v>8037250</v>
      </c>
      <c r="AW614" s="181">
        <v>21.9</v>
      </c>
      <c r="AX614" s="206">
        <v>80581</v>
      </c>
      <c r="AY614" s="183"/>
    </row>
    <row r="615" spans="1:51" ht="14.4" x14ac:dyDescent="0.3">
      <c r="A615" s="179" t="s">
        <v>527</v>
      </c>
      <c r="B615" s="179" t="s">
        <v>2927</v>
      </c>
      <c r="C615" s="212" t="s">
        <v>2106</v>
      </c>
      <c r="D615" s="181" t="s">
        <v>2824</v>
      </c>
      <c r="E615" s="181" t="s">
        <v>2813</v>
      </c>
      <c r="F615" s="182" t="s">
        <v>2929</v>
      </c>
      <c r="G615" s="181" t="s">
        <v>12</v>
      </c>
      <c r="H615" s="184">
        <v>45316</v>
      </c>
      <c r="I615" s="193"/>
      <c r="J615" s="179" t="s">
        <v>5313</v>
      </c>
      <c r="K615" s="186">
        <v>50</v>
      </c>
      <c r="L615" s="179" t="s">
        <v>2965</v>
      </c>
      <c r="M615" s="185"/>
      <c r="N615" s="185"/>
      <c r="O615" s="186"/>
      <c r="P615" s="185"/>
      <c r="Q615" s="182" t="s">
        <v>2934</v>
      </c>
      <c r="R615" s="182" t="s">
        <v>2933</v>
      </c>
      <c r="S615" s="182" t="s">
        <v>2952</v>
      </c>
      <c r="T615" s="179" t="s">
        <v>2974</v>
      </c>
      <c r="U615" s="183" t="s">
        <v>2937</v>
      </c>
      <c r="V615" s="183">
        <v>452</v>
      </c>
      <c r="W615" s="183" t="s">
        <v>4941</v>
      </c>
      <c r="X615" s="188">
        <v>546.02</v>
      </c>
      <c r="Y615" s="188">
        <v>374.62</v>
      </c>
      <c r="Z615" s="188">
        <v>120.31</v>
      </c>
      <c r="AA615" s="188">
        <v>105.06</v>
      </c>
      <c r="AB615" s="188">
        <v>28.05</v>
      </c>
      <c r="AC615" s="188">
        <v>106.18</v>
      </c>
      <c r="AD615" s="179" t="s">
        <v>2956</v>
      </c>
      <c r="AE615" s="188" t="s">
        <v>5241</v>
      </c>
      <c r="AF615" s="189">
        <v>0.29166666666666669</v>
      </c>
      <c r="AG615" s="189">
        <v>0.99930555555555556</v>
      </c>
      <c r="AH615" s="190" t="s">
        <v>2941</v>
      </c>
      <c r="AI615" s="190" t="s">
        <v>2985</v>
      </c>
      <c r="AJ615" s="183" t="s">
        <v>210</v>
      </c>
      <c r="AK615" s="179" t="s">
        <v>3241</v>
      </c>
      <c r="AL615" s="183" t="s">
        <v>9</v>
      </c>
      <c r="AM615" s="183" t="s">
        <v>5314</v>
      </c>
      <c r="AN615" s="183" t="s">
        <v>2102</v>
      </c>
      <c r="AO615" s="209" t="s">
        <v>5315</v>
      </c>
      <c r="AP615" s="191"/>
      <c r="AQ615" s="184">
        <v>45316</v>
      </c>
      <c r="AR615" s="183">
        <v>31</v>
      </c>
      <c r="AS615" s="183"/>
      <c r="AT615" s="182"/>
      <c r="AU615" s="182"/>
      <c r="AV615" s="218">
        <v>8135958</v>
      </c>
      <c r="AW615" s="181">
        <v>40.700000000000003</v>
      </c>
      <c r="AX615" s="206">
        <v>80362</v>
      </c>
      <c r="AY615" s="183"/>
    </row>
    <row r="616" spans="1:51" ht="14.4" x14ac:dyDescent="0.3">
      <c r="A616" s="179" t="s">
        <v>329</v>
      </c>
      <c r="B616" s="179" t="s">
        <v>2947</v>
      </c>
      <c r="C616" s="212" t="s">
        <v>2237</v>
      </c>
      <c r="D616" s="181" t="s">
        <v>2814</v>
      </c>
      <c r="E616" s="181" t="s">
        <v>2813</v>
      </c>
      <c r="F616" s="182" t="s">
        <v>2972</v>
      </c>
      <c r="G616" s="181" t="s">
        <v>17</v>
      </c>
      <c r="H616" s="193">
        <v>45596</v>
      </c>
      <c r="I616" s="193"/>
      <c r="J616" s="186" t="s">
        <v>3008</v>
      </c>
      <c r="K616" s="186" t="s">
        <v>3008</v>
      </c>
      <c r="L616" s="186" t="s">
        <v>3008</v>
      </c>
      <c r="M616" s="185"/>
      <c r="N616" s="185"/>
      <c r="O616" s="179" t="s">
        <v>2951</v>
      </c>
      <c r="P616" s="185"/>
      <c r="Q616" s="182" t="s">
        <v>2934</v>
      </c>
      <c r="R616" s="182" t="s">
        <v>2933</v>
      </c>
      <c r="S616" s="182" t="s">
        <v>2952</v>
      </c>
      <c r="T616" s="179" t="s">
        <v>4623</v>
      </c>
      <c r="U616" s="183" t="s">
        <v>2954</v>
      </c>
      <c r="V616" s="183">
        <v>828</v>
      </c>
      <c r="W616" s="183" t="s">
        <v>4532</v>
      </c>
      <c r="X616" s="188">
        <v>300.45</v>
      </c>
      <c r="Y616" s="188">
        <v>196.77</v>
      </c>
      <c r="Z616" s="188">
        <v>109.13</v>
      </c>
      <c r="AA616" s="188">
        <v>95.55</v>
      </c>
      <c r="AB616" s="188">
        <v>3.87</v>
      </c>
      <c r="AC616" s="188">
        <v>75.709999999999994</v>
      </c>
      <c r="AD616" s="179" t="s">
        <v>2956</v>
      </c>
      <c r="AE616" s="188" t="s">
        <v>5241</v>
      </c>
      <c r="AF616" s="189">
        <v>0.29166666666666669</v>
      </c>
      <c r="AG616" s="189">
        <v>0.91666666666666663</v>
      </c>
      <c r="AH616" s="190" t="s">
        <v>2941</v>
      </c>
      <c r="AI616" s="190" t="s">
        <v>2985</v>
      </c>
      <c r="AJ616" s="183" t="s">
        <v>167</v>
      </c>
      <c r="AK616" s="179" t="s">
        <v>3241</v>
      </c>
      <c r="AL616" s="183" t="s">
        <v>9</v>
      </c>
      <c r="AM616" s="183" t="s">
        <v>5316</v>
      </c>
      <c r="AN616" s="183" t="s">
        <v>2102</v>
      </c>
      <c r="AO616" s="209" t="s">
        <v>5317</v>
      </c>
      <c r="AP616" s="191"/>
      <c r="AQ616" s="184">
        <v>45321</v>
      </c>
      <c r="AR616" s="183">
        <v>30</v>
      </c>
      <c r="AS616" s="183"/>
      <c r="AT616" s="182" t="s">
        <v>5199</v>
      </c>
      <c r="AU616" s="182" t="s">
        <v>2946</v>
      </c>
      <c r="AV616" s="218">
        <v>10587573</v>
      </c>
      <c r="AW616" s="181">
        <v>42.9</v>
      </c>
      <c r="AX616" s="206">
        <v>80236</v>
      </c>
      <c r="AY616" s="183"/>
    </row>
    <row r="617" spans="1:51" ht="14.4" x14ac:dyDescent="0.3">
      <c r="A617" s="179" t="s">
        <v>457</v>
      </c>
      <c r="B617" s="179" t="s">
        <v>2927</v>
      </c>
      <c r="C617" s="212" t="s">
        <v>5318</v>
      </c>
      <c r="D617" s="181" t="s">
        <v>2857</v>
      </c>
      <c r="E617" s="181" t="s">
        <v>2815</v>
      </c>
      <c r="F617" s="182" t="s">
        <v>2929</v>
      </c>
      <c r="G617" s="181" t="s">
        <v>12</v>
      </c>
      <c r="H617" s="184">
        <v>45321</v>
      </c>
      <c r="I617" s="193"/>
      <c r="J617" s="186" t="s">
        <v>3008</v>
      </c>
      <c r="K617" s="186" t="s">
        <v>3008</v>
      </c>
      <c r="L617" s="186" t="s">
        <v>3008</v>
      </c>
      <c r="M617" s="185"/>
      <c r="N617" s="185"/>
      <c r="O617" s="186"/>
      <c r="P617" s="185"/>
      <c r="Q617" s="182" t="s">
        <v>2934</v>
      </c>
      <c r="R617" s="182" t="s">
        <v>2933</v>
      </c>
      <c r="S617" s="182" t="s">
        <v>2935</v>
      </c>
      <c r="T617" s="179" t="s">
        <v>2974</v>
      </c>
      <c r="U617" s="183" t="s">
        <v>2937</v>
      </c>
      <c r="V617" s="183">
        <v>1519</v>
      </c>
      <c r="W617" s="183" t="s">
        <v>3009</v>
      </c>
      <c r="X617" s="188">
        <v>315.44</v>
      </c>
      <c r="Y617" s="188">
        <v>454.51</v>
      </c>
      <c r="Z617" s="188">
        <v>145.07</v>
      </c>
      <c r="AA617" s="188">
        <v>88.35</v>
      </c>
      <c r="AB617" s="188">
        <v>18.93</v>
      </c>
      <c r="AC617" s="188">
        <v>121.31</v>
      </c>
      <c r="AD617" s="179" t="s">
        <v>2956</v>
      </c>
      <c r="AE617" s="188" t="s">
        <v>5319</v>
      </c>
      <c r="AF617" s="189">
        <v>0.29166666666666669</v>
      </c>
      <c r="AG617" s="189">
        <v>0.91666666666666663</v>
      </c>
      <c r="AH617" s="190" t="s">
        <v>2941</v>
      </c>
      <c r="AI617" s="190" t="s">
        <v>2985</v>
      </c>
      <c r="AJ617" s="183" t="s">
        <v>455</v>
      </c>
      <c r="AK617" s="179" t="s">
        <v>455</v>
      </c>
      <c r="AL617" s="183" t="s">
        <v>28</v>
      </c>
      <c r="AM617" s="183" t="s">
        <v>5320</v>
      </c>
      <c r="AN617" s="183" t="s">
        <v>2102</v>
      </c>
      <c r="AO617" s="209" t="s">
        <v>5321</v>
      </c>
      <c r="AP617" s="191"/>
      <c r="AQ617" s="184">
        <v>45338</v>
      </c>
      <c r="AR617" s="183">
        <v>30</v>
      </c>
      <c r="AS617" s="183"/>
      <c r="AT617" s="182"/>
      <c r="AU617" s="182"/>
      <c r="AV617" s="218">
        <v>11576508</v>
      </c>
      <c r="AW617" s="181">
        <v>20.3</v>
      </c>
      <c r="AX617" s="206">
        <v>80561</v>
      </c>
      <c r="AY617" s="183"/>
    </row>
    <row r="618" spans="1:51" ht="14.4" x14ac:dyDescent="0.3">
      <c r="A618" s="179" t="s">
        <v>73</v>
      </c>
      <c r="B618" s="179" t="s">
        <v>2927</v>
      </c>
      <c r="C618" s="212" t="s">
        <v>2114</v>
      </c>
      <c r="D618" s="181" t="s">
        <v>2844</v>
      </c>
      <c r="E618" s="181" t="s">
        <v>2834</v>
      </c>
      <c r="F618" s="182" t="s">
        <v>2929</v>
      </c>
      <c r="G618" s="181" t="s">
        <v>12</v>
      </c>
      <c r="H618" s="184">
        <v>45338</v>
      </c>
      <c r="I618" s="193"/>
      <c r="J618" s="186" t="s">
        <v>3008</v>
      </c>
      <c r="K618" s="186" t="s">
        <v>3008</v>
      </c>
      <c r="L618" s="186" t="s">
        <v>3008</v>
      </c>
      <c r="M618" s="185"/>
      <c r="N618" s="185"/>
      <c r="O618" s="186"/>
      <c r="P618" s="185"/>
      <c r="Q618" s="182" t="s">
        <v>2934</v>
      </c>
      <c r="R618" s="182" t="s">
        <v>2933</v>
      </c>
      <c r="S618" s="182" t="s">
        <v>2952</v>
      </c>
      <c r="T618" s="179" t="s">
        <v>2974</v>
      </c>
      <c r="U618" s="183" t="s">
        <v>2937</v>
      </c>
      <c r="V618" s="183">
        <v>769</v>
      </c>
      <c r="W618" s="183" t="s">
        <v>2975</v>
      </c>
      <c r="X618" s="188">
        <v>168.03</v>
      </c>
      <c r="Y618" s="188">
        <v>212.92000000000002</v>
      </c>
      <c r="Z618" s="188">
        <v>101.13</v>
      </c>
      <c r="AA618" s="188">
        <v>24.36</v>
      </c>
      <c r="AB618" s="188" t="s">
        <v>3008</v>
      </c>
      <c r="AC618" s="188">
        <v>89.88000000000001</v>
      </c>
      <c r="AD618" s="179" t="s">
        <v>2956</v>
      </c>
      <c r="AE618" s="188" t="s">
        <v>5253</v>
      </c>
      <c r="AF618" s="189">
        <v>0.29166666666666669</v>
      </c>
      <c r="AG618" s="189">
        <v>0.91666666666666663</v>
      </c>
      <c r="AH618" s="190" t="s">
        <v>2941</v>
      </c>
      <c r="AI618" s="190" t="s">
        <v>2985</v>
      </c>
      <c r="AJ618" s="183" t="s">
        <v>71</v>
      </c>
      <c r="AK618" s="179" t="s">
        <v>28</v>
      </c>
      <c r="AL618" s="183" t="s">
        <v>28</v>
      </c>
      <c r="AM618" s="183" t="s">
        <v>5322</v>
      </c>
      <c r="AN618" s="183" t="s">
        <v>2102</v>
      </c>
      <c r="AO618" s="209" t="s">
        <v>5323</v>
      </c>
      <c r="AP618" s="191"/>
      <c r="AQ618" s="184">
        <v>45338</v>
      </c>
      <c r="AR618" s="183">
        <v>30</v>
      </c>
      <c r="AS618" s="183"/>
      <c r="AT618" s="182"/>
      <c r="AU618" s="182"/>
      <c r="AV618" s="218">
        <v>8228394</v>
      </c>
      <c r="AW618" s="181">
        <v>27.1</v>
      </c>
      <c r="AX618" s="206">
        <v>80512</v>
      </c>
      <c r="AY618" s="183"/>
    </row>
    <row r="619" spans="1:51" ht="14.4" x14ac:dyDescent="0.3">
      <c r="A619" s="179" t="s">
        <v>1352</v>
      </c>
      <c r="B619" s="179" t="s">
        <v>2927</v>
      </c>
      <c r="C619" s="212" t="s">
        <v>5324</v>
      </c>
      <c r="D619" s="181" t="s">
        <v>2828</v>
      </c>
      <c r="E619" s="181" t="s">
        <v>2827</v>
      </c>
      <c r="F619" s="182" t="s">
        <v>2929</v>
      </c>
      <c r="G619" s="181" t="s">
        <v>12</v>
      </c>
      <c r="H619" s="184">
        <v>45349</v>
      </c>
      <c r="I619" s="193"/>
      <c r="J619" s="179" t="s">
        <v>5325</v>
      </c>
      <c r="K619" s="186">
        <v>565</v>
      </c>
      <c r="L619" s="179"/>
      <c r="M619" s="185"/>
      <c r="N619" s="185"/>
      <c r="O619" s="186"/>
      <c r="P619" s="185"/>
      <c r="Q619" s="182" t="s">
        <v>2934</v>
      </c>
      <c r="R619" s="182" t="s">
        <v>2933</v>
      </c>
      <c r="S619" s="182" t="s">
        <v>2952</v>
      </c>
      <c r="T619" s="179" t="s">
        <v>2974</v>
      </c>
      <c r="U619" s="183" t="s">
        <v>2937</v>
      </c>
      <c r="V619" s="183">
        <v>565</v>
      </c>
      <c r="W619" s="183" t="s">
        <v>4941</v>
      </c>
      <c r="X619" s="188">
        <v>853.94</v>
      </c>
      <c r="Y619" s="188">
        <v>292.02999999999997</v>
      </c>
      <c r="Z619" s="188">
        <v>147.16</v>
      </c>
      <c r="AA619" s="188">
        <v>420.62</v>
      </c>
      <c r="AB619" s="188">
        <v>72.709999999999994</v>
      </c>
      <c r="AC619" s="188">
        <v>106.17</v>
      </c>
      <c r="AD619" s="179" t="s">
        <v>2956</v>
      </c>
      <c r="AE619" s="188" t="s">
        <v>5241</v>
      </c>
      <c r="AF619" s="189">
        <v>0.29166666666666669</v>
      </c>
      <c r="AG619" s="189">
        <v>0.95833333333333337</v>
      </c>
      <c r="AH619" s="190" t="s">
        <v>2941</v>
      </c>
      <c r="AI619" s="190" t="s">
        <v>2942</v>
      </c>
      <c r="AJ619" s="183" t="s">
        <v>395</v>
      </c>
      <c r="AK619" s="179" t="s">
        <v>48</v>
      </c>
      <c r="AL619" s="183" t="s">
        <v>48</v>
      </c>
      <c r="AM619" s="183" t="s">
        <v>5326</v>
      </c>
      <c r="AN619" s="183" t="s">
        <v>2102</v>
      </c>
      <c r="AO619" s="209" t="s">
        <v>5327</v>
      </c>
      <c r="AP619" s="191"/>
      <c r="AQ619" s="184">
        <v>45349</v>
      </c>
      <c r="AR619" s="183">
        <v>30</v>
      </c>
      <c r="AS619" s="183"/>
      <c r="AT619" s="182"/>
      <c r="AU619" s="182"/>
      <c r="AV619" s="218">
        <v>9018270</v>
      </c>
      <c r="AW619" s="181">
        <v>56.4</v>
      </c>
      <c r="AX619" s="206">
        <v>81119</v>
      </c>
      <c r="AY619" s="183"/>
    </row>
    <row r="620" spans="1:51" ht="14.4" x14ac:dyDescent="0.3">
      <c r="A620" s="179" t="s">
        <v>313</v>
      </c>
      <c r="B620" s="179" t="s">
        <v>2927</v>
      </c>
      <c r="C620" s="212" t="s">
        <v>2141</v>
      </c>
      <c r="D620" s="181" t="s">
        <v>2853</v>
      </c>
      <c r="E620" s="181" t="s">
        <v>2825</v>
      </c>
      <c r="F620" s="182" t="s">
        <v>2929</v>
      </c>
      <c r="G620" s="181" t="s">
        <v>12</v>
      </c>
      <c r="H620" s="184">
        <v>45349</v>
      </c>
      <c r="I620" s="193"/>
      <c r="J620" s="179" t="s">
        <v>5328</v>
      </c>
      <c r="K620" s="186">
        <v>320</v>
      </c>
      <c r="L620" s="179" t="s">
        <v>2950</v>
      </c>
      <c r="M620" s="185"/>
      <c r="N620" s="185"/>
      <c r="O620" s="186"/>
      <c r="P620" s="185"/>
      <c r="Q620" s="182" t="s">
        <v>2934</v>
      </c>
      <c r="R620" s="182" t="s">
        <v>2933</v>
      </c>
      <c r="S620" s="182" t="s">
        <v>2952</v>
      </c>
      <c r="T620" s="179" t="s">
        <v>2974</v>
      </c>
      <c r="U620" s="183" t="s">
        <v>2937</v>
      </c>
      <c r="V620" s="183">
        <v>684</v>
      </c>
      <c r="W620" s="183" t="s">
        <v>3009</v>
      </c>
      <c r="X620" s="188">
        <v>385.44</v>
      </c>
      <c r="Y620" s="188">
        <v>241.61</v>
      </c>
      <c r="Z620" s="188">
        <v>125.11</v>
      </c>
      <c r="AA620" s="188">
        <v>127.75</v>
      </c>
      <c r="AB620" s="188">
        <v>25.03</v>
      </c>
      <c r="AC620" s="188">
        <v>94.44</v>
      </c>
      <c r="AD620" s="179" t="s">
        <v>2956</v>
      </c>
      <c r="AE620" s="188" t="s">
        <v>5241</v>
      </c>
      <c r="AF620" s="189">
        <v>0.29166666666666669</v>
      </c>
      <c r="AG620" s="189">
        <v>0.91666666666666663</v>
      </c>
      <c r="AH620" s="190" t="s">
        <v>2941</v>
      </c>
      <c r="AI620" s="190" t="s">
        <v>2942</v>
      </c>
      <c r="AJ620" s="183" t="s">
        <v>121</v>
      </c>
      <c r="AK620" s="179" t="s">
        <v>3302</v>
      </c>
      <c r="AL620" s="183" t="s">
        <v>9</v>
      </c>
      <c r="AM620" s="183" t="s">
        <v>5329</v>
      </c>
      <c r="AN620" s="183" t="s">
        <v>2102</v>
      </c>
      <c r="AO620" s="209" t="s">
        <v>5330</v>
      </c>
      <c r="AP620" s="191"/>
      <c r="AQ620" s="184">
        <v>45349</v>
      </c>
      <c r="AR620" s="183">
        <v>30</v>
      </c>
      <c r="AS620" s="183"/>
      <c r="AT620" s="182"/>
      <c r="AU620" s="182"/>
      <c r="AV620" s="219">
        <v>9079855</v>
      </c>
      <c r="AW620" s="181">
        <v>11.6</v>
      </c>
      <c r="AX620" s="206">
        <v>80351</v>
      </c>
      <c r="AY620" s="183"/>
    </row>
    <row r="621" spans="1:51" ht="14.4" x14ac:dyDescent="0.3">
      <c r="A621" s="179" t="s">
        <v>834</v>
      </c>
      <c r="B621" s="179" t="s">
        <v>2947</v>
      </c>
      <c r="C621" s="212" t="s">
        <v>2227</v>
      </c>
      <c r="D621" s="181" t="s">
        <v>2818</v>
      </c>
      <c r="E621" s="181" t="s">
        <v>2817</v>
      </c>
      <c r="F621" s="182" t="s">
        <v>2972</v>
      </c>
      <c r="G621" s="181" t="s">
        <v>17</v>
      </c>
      <c r="H621" s="193">
        <v>45788</v>
      </c>
      <c r="I621" s="193">
        <v>45788</v>
      </c>
      <c r="J621" s="179" t="s">
        <v>5331</v>
      </c>
      <c r="K621" s="186">
        <v>750</v>
      </c>
      <c r="L621" s="186"/>
      <c r="M621" s="185"/>
      <c r="N621" s="185"/>
      <c r="O621" s="186"/>
      <c r="P621" s="185"/>
      <c r="Q621" s="182" t="s">
        <v>2933</v>
      </c>
      <c r="R621" s="182" t="s">
        <v>2934</v>
      </c>
      <c r="S621" s="182" t="s">
        <v>2952</v>
      </c>
      <c r="T621" s="179" t="s">
        <v>2974</v>
      </c>
      <c r="U621" s="183" t="s">
        <v>2954</v>
      </c>
      <c r="V621" s="183">
        <v>355</v>
      </c>
      <c r="W621" s="183" t="s">
        <v>4578</v>
      </c>
      <c r="X621" s="188">
        <v>351.61</v>
      </c>
      <c r="Y621" s="188">
        <v>195.9</v>
      </c>
      <c r="Z621" s="188">
        <v>115.84</v>
      </c>
      <c r="AA621" s="188">
        <v>130.84</v>
      </c>
      <c r="AB621" s="188">
        <v>3.65</v>
      </c>
      <c r="AC621" s="188">
        <v>63.1</v>
      </c>
      <c r="AD621" s="179" t="s">
        <v>2956</v>
      </c>
      <c r="AE621" s="188" t="s">
        <v>5241</v>
      </c>
      <c r="AF621" s="189">
        <v>0.29166666666666669</v>
      </c>
      <c r="AG621" s="189">
        <v>0.95833333333333337</v>
      </c>
      <c r="AH621" s="190" t="s">
        <v>2941</v>
      </c>
      <c r="AI621" s="190" t="s">
        <v>2985</v>
      </c>
      <c r="AJ621" s="183" t="s">
        <v>756</v>
      </c>
      <c r="AK621" s="179" t="s">
        <v>3256</v>
      </c>
      <c r="AL621" s="183" t="s">
        <v>4</v>
      </c>
      <c r="AM621" s="183" t="s">
        <v>5332</v>
      </c>
      <c r="AN621" s="183" t="s">
        <v>2102</v>
      </c>
      <c r="AO621" s="209" t="s">
        <v>5333</v>
      </c>
      <c r="AP621" s="191"/>
      <c r="AQ621" s="184">
        <v>45351</v>
      </c>
      <c r="AR621" s="183">
        <v>29</v>
      </c>
      <c r="AS621" s="183"/>
      <c r="AT621" s="182" t="s">
        <v>3127</v>
      </c>
      <c r="AU621" s="182" t="s">
        <v>2946</v>
      </c>
      <c r="AV621" s="218">
        <v>13516484</v>
      </c>
      <c r="AW621" s="181">
        <v>28.3</v>
      </c>
      <c r="AX621" s="206">
        <v>80114</v>
      </c>
      <c r="AY621" s="183"/>
    </row>
    <row r="622" spans="1:51" ht="14.4" x14ac:dyDescent="0.3">
      <c r="A622" s="179" t="s">
        <v>158</v>
      </c>
      <c r="B622" s="179" t="s">
        <v>2927</v>
      </c>
      <c r="C622" s="212" t="s">
        <v>2094</v>
      </c>
      <c r="D622" s="181" t="s">
        <v>2839</v>
      </c>
      <c r="E622" s="181" t="s">
        <v>2834</v>
      </c>
      <c r="F622" s="182" t="s">
        <v>2929</v>
      </c>
      <c r="G622" s="181" t="s">
        <v>12</v>
      </c>
      <c r="H622" s="184">
        <v>45381</v>
      </c>
      <c r="I622" s="193"/>
      <c r="J622" s="179" t="s">
        <v>5334</v>
      </c>
      <c r="K622" s="186">
        <v>241</v>
      </c>
      <c r="L622" s="183" t="s">
        <v>2965</v>
      </c>
      <c r="M622" s="185"/>
      <c r="N622" s="185"/>
      <c r="O622" s="186"/>
      <c r="P622" s="185"/>
      <c r="Q622" s="182" t="s">
        <v>2934</v>
      </c>
      <c r="R622" s="182" t="s">
        <v>2933</v>
      </c>
      <c r="S622" s="182" t="s">
        <v>2935</v>
      </c>
      <c r="T622" s="179" t="s">
        <v>2974</v>
      </c>
      <c r="U622" s="183" t="s">
        <v>2937</v>
      </c>
      <c r="V622" s="183">
        <v>523</v>
      </c>
      <c r="W622" s="183" t="s">
        <v>4941</v>
      </c>
      <c r="X622" s="188">
        <v>437.36</v>
      </c>
      <c r="Y622" s="188">
        <v>228.15</v>
      </c>
      <c r="Z622" s="188">
        <v>156.25</v>
      </c>
      <c r="AA622" s="188">
        <v>134.71</v>
      </c>
      <c r="AB622" s="188">
        <v>35.08</v>
      </c>
      <c r="AC622" s="188">
        <v>83.86</v>
      </c>
      <c r="AD622" s="179" t="s">
        <v>2956</v>
      </c>
      <c r="AE622" s="188" t="s">
        <v>5241</v>
      </c>
      <c r="AF622" s="189">
        <v>0.29166666666666669</v>
      </c>
      <c r="AG622" s="189">
        <v>0.91666666666666663</v>
      </c>
      <c r="AH622" s="190" t="s">
        <v>2941</v>
      </c>
      <c r="AI622" s="190" t="s">
        <v>2942</v>
      </c>
      <c r="AJ622" s="183" t="s">
        <v>156</v>
      </c>
      <c r="AK622" s="179" t="s">
        <v>3404</v>
      </c>
      <c r="AL622" s="183" t="s">
        <v>32</v>
      </c>
      <c r="AM622" s="183" t="s">
        <v>5335</v>
      </c>
      <c r="AN622" s="183" t="s">
        <v>2102</v>
      </c>
      <c r="AO622" s="209" t="s">
        <v>5336</v>
      </c>
      <c r="AP622" s="191"/>
      <c r="AQ622" s="184">
        <v>45381</v>
      </c>
      <c r="AR622" s="183">
        <v>28</v>
      </c>
      <c r="AS622" s="183"/>
      <c r="AT622" s="182"/>
      <c r="AU622" s="182"/>
      <c r="AV622" s="218">
        <v>6001072</v>
      </c>
      <c r="AW622" s="181">
        <v>52.6</v>
      </c>
      <c r="AX622" s="206">
        <v>80652</v>
      </c>
      <c r="AY622" s="183"/>
    </row>
    <row r="623" spans="1:51" ht="14.4" x14ac:dyDescent="0.3">
      <c r="A623" s="179" t="s">
        <v>985</v>
      </c>
      <c r="B623" s="179" t="s">
        <v>2927</v>
      </c>
      <c r="C623" s="212" t="s">
        <v>2088</v>
      </c>
      <c r="D623" s="181" t="s">
        <v>2816</v>
      </c>
      <c r="E623" s="181" t="s">
        <v>2815</v>
      </c>
      <c r="F623" s="182" t="s">
        <v>2929</v>
      </c>
      <c r="G623" s="181" t="s">
        <v>12</v>
      </c>
      <c r="H623" s="184">
        <v>45390</v>
      </c>
      <c r="I623" s="193"/>
      <c r="J623" s="186" t="s">
        <v>3008</v>
      </c>
      <c r="K623" s="186" t="s">
        <v>3008</v>
      </c>
      <c r="L623" s="186" t="s">
        <v>3008</v>
      </c>
      <c r="M623" s="185"/>
      <c r="N623" s="185"/>
      <c r="O623" s="186"/>
      <c r="P623" s="185"/>
      <c r="Q623" s="182" t="s">
        <v>2933</v>
      </c>
      <c r="R623" s="182" t="s">
        <v>2934</v>
      </c>
      <c r="S623" s="182" t="s">
        <v>2935</v>
      </c>
      <c r="T623" s="179" t="s">
        <v>2974</v>
      </c>
      <c r="U623" s="183" t="s">
        <v>2937</v>
      </c>
      <c r="V623" s="183">
        <v>358</v>
      </c>
      <c r="W623" s="183" t="s">
        <v>3009</v>
      </c>
      <c r="X623" s="220">
        <v>334.6</v>
      </c>
      <c r="Y623" s="220">
        <v>208.45</v>
      </c>
      <c r="Z623" s="220">
        <v>118.26</v>
      </c>
      <c r="AA623" s="220">
        <v>116.95</v>
      </c>
      <c r="AB623" s="220">
        <v>27.36</v>
      </c>
      <c r="AC623" s="183">
        <v>61.34</v>
      </c>
      <c r="AD623" s="179" t="s">
        <v>2956</v>
      </c>
      <c r="AE623" s="188" t="s">
        <v>5241</v>
      </c>
      <c r="AF623" s="189">
        <v>0.29166666666666669</v>
      </c>
      <c r="AG623" s="189">
        <v>0.91666666666666663</v>
      </c>
      <c r="AH623" s="190" t="s">
        <v>2941</v>
      </c>
      <c r="AI623" s="190" t="s">
        <v>2985</v>
      </c>
      <c r="AJ623" s="183" t="s">
        <v>814</v>
      </c>
      <c r="AK623" s="179" t="s">
        <v>2981</v>
      </c>
      <c r="AL623" s="183" t="s">
        <v>28</v>
      </c>
      <c r="AM623" s="183" t="s">
        <v>5337</v>
      </c>
      <c r="AN623" s="183" t="s">
        <v>2102</v>
      </c>
      <c r="AO623" s="209" t="s">
        <v>5338</v>
      </c>
      <c r="AP623" s="191"/>
      <c r="AQ623" s="184">
        <v>45390</v>
      </c>
      <c r="AR623" s="183">
        <v>28</v>
      </c>
      <c r="AS623" s="183"/>
      <c r="AT623" s="182"/>
      <c r="AU623" s="182"/>
      <c r="AV623" s="218">
        <v>8824946</v>
      </c>
      <c r="AW623" s="181">
        <v>28.5</v>
      </c>
      <c r="AX623" s="206">
        <v>80582</v>
      </c>
      <c r="AY623" s="183"/>
    </row>
    <row r="624" spans="1:51" ht="14.4" x14ac:dyDescent="0.3">
      <c r="A624" s="179" t="s">
        <v>499</v>
      </c>
      <c r="B624" s="179" t="s">
        <v>2927</v>
      </c>
      <c r="C624" s="212" t="s">
        <v>498</v>
      </c>
      <c r="D624" s="181" t="s">
        <v>2843</v>
      </c>
      <c r="E624" s="181" t="s">
        <v>2840</v>
      </c>
      <c r="F624" s="182" t="s">
        <v>2929</v>
      </c>
      <c r="G624" s="181" t="s">
        <v>12</v>
      </c>
      <c r="H624" s="184">
        <v>45411</v>
      </c>
      <c r="I624" s="193"/>
      <c r="J624" s="186" t="s">
        <v>3008</v>
      </c>
      <c r="K624" s="186" t="s">
        <v>3008</v>
      </c>
      <c r="L624" s="186" t="s">
        <v>3008</v>
      </c>
      <c r="M624" s="185"/>
      <c r="N624" s="185"/>
      <c r="O624" s="186"/>
      <c r="P624" s="185"/>
      <c r="Q624" s="182" t="s">
        <v>2934</v>
      </c>
      <c r="R624" s="182" t="s">
        <v>2933</v>
      </c>
      <c r="S624" s="182" t="s">
        <v>2935</v>
      </c>
      <c r="T624" s="179" t="s">
        <v>2974</v>
      </c>
      <c r="U624" s="183" t="s">
        <v>2937</v>
      </c>
      <c r="V624" s="183">
        <v>671</v>
      </c>
      <c r="W624" s="183" t="s">
        <v>4941</v>
      </c>
      <c r="X624" s="220">
        <v>388.31</v>
      </c>
      <c r="Y624" s="220">
        <v>242.17</v>
      </c>
      <c r="Z624" s="220">
        <v>107.86</v>
      </c>
      <c r="AA624" s="220">
        <v>101.31</v>
      </c>
      <c r="AB624" s="220">
        <v>17.52</v>
      </c>
      <c r="AC624" s="183">
        <v>105.54</v>
      </c>
      <c r="AD624" s="179" t="s">
        <v>2956</v>
      </c>
      <c r="AE624" s="188" t="s">
        <v>5241</v>
      </c>
      <c r="AF624" s="189">
        <v>0.29166666666666669</v>
      </c>
      <c r="AG624" s="189">
        <v>0.91666666666666663</v>
      </c>
      <c r="AH624" s="190" t="s">
        <v>2941</v>
      </c>
      <c r="AI624" s="190" t="s">
        <v>2942</v>
      </c>
      <c r="AJ624" s="183" t="s">
        <v>497</v>
      </c>
      <c r="AK624" s="179" t="s">
        <v>3027</v>
      </c>
      <c r="AL624" s="183" t="s">
        <v>90</v>
      </c>
      <c r="AM624" s="183" t="s">
        <v>5339</v>
      </c>
      <c r="AN624" s="183" t="s">
        <v>2102</v>
      </c>
      <c r="AO624" s="209" t="s">
        <v>5340</v>
      </c>
      <c r="AP624" s="191"/>
      <c r="AQ624" s="184">
        <v>45411</v>
      </c>
      <c r="AR624" s="183">
        <v>27</v>
      </c>
      <c r="AS624" s="183"/>
      <c r="AT624" s="182"/>
      <c r="AU624" s="182"/>
      <c r="AV624" s="218">
        <v>9082808</v>
      </c>
      <c r="AW624" s="181">
        <v>104</v>
      </c>
      <c r="AX624" s="206">
        <v>82252</v>
      </c>
      <c r="AY624" s="183"/>
    </row>
    <row r="625" spans="1:51" ht="14.4" x14ac:dyDescent="0.3">
      <c r="A625" s="179" t="s">
        <v>1691</v>
      </c>
      <c r="B625" s="179" t="s">
        <v>2927</v>
      </c>
      <c r="C625" s="212" t="s">
        <v>5341</v>
      </c>
      <c r="D625" s="181" t="s">
        <v>2850</v>
      </c>
      <c r="E625" s="181" t="s">
        <v>2817</v>
      </c>
      <c r="F625" s="182" t="s">
        <v>2929</v>
      </c>
      <c r="G625" s="181" t="s">
        <v>12</v>
      </c>
      <c r="H625" s="184">
        <v>45412</v>
      </c>
      <c r="I625" s="193"/>
      <c r="J625" s="179" t="s">
        <v>5342</v>
      </c>
      <c r="K625" s="186">
        <v>350</v>
      </c>
      <c r="L625" s="179" t="s">
        <v>2950</v>
      </c>
      <c r="M625" s="185"/>
      <c r="N625" s="185"/>
      <c r="O625" s="186"/>
      <c r="P625" s="185"/>
      <c r="Q625" s="182" t="s">
        <v>2933</v>
      </c>
      <c r="R625" s="182" t="s">
        <v>2934</v>
      </c>
      <c r="S625" s="182" t="s">
        <v>2952</v>
      </c>
      <c r="T625" s="179" t="s">
        <v>2953</v>
      </c>
      <c r="U625" s="183" t="s">
        <v>2937</v>
      </c>
      <c r="V625" s="183">
        <v>144</v>
      </c>
      <c r="W625" s="183" t="s">
        <v>4941</v>
      </c>
      <c r="X625" s="220">
        <v>404.56</v>
      </c>
      <c r="Y625" s="220">
        <v>256.58</v>
      </c>
      <c r="Z625" s="220">
        <v>133.15</v>
      </c>
      <c r="AA625" s="221" t="s">
        <v>3008</v>
      </c>
      <c r="AB625" s="220">
        <v>22.36</v>
      </c>
      <c r="AC625" s="183">
        <v>80.25</v>
      </c>
      <c r="AD625" s="179" t="s">
        <v>2956</v>
      </c>
      <c r="AE625" s="188" t="s">
        <v>5253</v>
      </c>
      <c r="AF625" s="189">
        <v>0.29166666666666669</v>
      </c>
      <c r="AG625" s="189">
        <v>0.99930555555555556</v>
      </c>
      <c r="AH625" s="190" t="s">
        <v>2941</v>
      </c>
      <c r="AI625" s="190" t="s">
        <v>2985</v>
      </c>
      <c r="AJ625" s="183" t="s">
        <v>189</v>
      </c>
      <c r="AK625" s="179" t="s">
        <v>3387</v>
      </c>
      <c r="AL625" s="183" t="s">
        <v>4</v>
      </c>
      <c r="AM625" s="183" t="s">
        <v>5343</v>
      </c>
      <c r="AN625" s="183" t="s">
        <v>2102</v>
      </c>
      <c r="AO625" s="209" t="s">
        <v>5344</v>
      </c>
      <c r="AP625" s="191"/>
      <c r="AQ625" s="184">
        <v>45412</v>
      </c>
      <c r="AR625" s="183">
        <v>27</v>
      </c>
      <c r="AS625" s="183"/>
      <c r="AT625" s="182"/>
      <c r="AU625" s="182"/>
      <c r="AV625" s="218">
        <v>10030398</v>
      </c>
      <c r="AW625" s="181">
        <v>24.8</v>
      </c>
      <c r="AX625" s="206">
        <v>80234</v>
      </c>
      <c r="AY625" s="183"/>
    </row>
    <row r="626" spans="1:51" ht="14.4" x14ac:dyDescent="0.3">
      <c r="A626" s="179" t="s">
        <v>1144</v>
      </c>
      <c r="B626" s="179" t="s">
        <v>2927</v>
      </c>
      <c r="C626" s="212" t="s">
        <v>5345</v>
      </c>
      <c r="D626" s="181" t="s">
        <v>2869</v>
      </c>
      <c r="E626" s="181" t="s">
        <v>2834</v>
      </c>
      <c r="F626" s="182" t="s">
        <v>2929</v>
      </c>
      <c r="G626" s="181" t="s">
        <v>12</v>
      </c>
      <c r="H626" s="184">
        <v>45412</v>
      </c>
      <c r="I626" s="193"/>
      <c r="J626" s="186" t="s">
        <v>3008</v>
      </c>
      <c r="K626" s="186" t="s">
        <v>3008</v>
      </c>
      <c r="L626" s="186" t="s">
        <v>3008</v>
      </c>
      <c r="M626" s="185"/>
      <c r="N626" s="185"/>
      <c r="O626" s="186"/>
      <c r="P626" s="185"/>
      <c r="Q626" s="182" t="s">
        <v>2934</v>
      </c>
      <c r="R626" s="182" t="s">
        <v>2933</v>
      </c>
      <c r="S626" s="182" t="s">
        <v>2935</v>
      </c>
      <c r="T626" s="179" t="s">
        <v>2974</v>
      </c>
      <c r="U626" s="183" t="s">
        <v>2937</v>
      </c>
      <c r="V626" s="183">
        <v>631</v>
      </c>
      <c r="W626" s="183" t="s">
        <v>4941</v>
      </c>
      <c r="X626" s="220">
        <v>300.94</v>
      </c>
      <c r="Y626" s="220">
        <v>241.72</v>
      </c>
      <c r="Z626" s="220">
        <v>117.5</v>
      </c>
      <c r="AA626" s="220">
        <v>53.05</v>
      </c>
      <c r="AB626" s="220">
        <v>18.8</v>
      </c>
      <c r="AC626" s="183">
        <v>95.52</v>
      </c>
      <c r="AD626" s="179" t="s">
        <v>2956</v>
      </c>
      <c r="AE626" s="188" t="s">
        <v>5241</v>
      </c>
      <c r="AF626" s="189">
        <v>0.29166666666666669</v>
      </c>
      <c r="AG626" s="189">
        <v>0.95833333333333337</v>
      </c>
      <c r="AH626" s="190" t="s">
        <v>2941</v>
      </c>
      <c r="AI626" s="190" t="s">
        <v>2942</v>
      </c>
      <c r="AJ626" s="183" t="s">
        <v>1142</v>
      </c>
      <c r="AK626" s="179" t="s">
        <v>4250</v>
      </c>
      <c r="AL626" s="183" t="s">
        <v>40</v>
      </c>
      <c r="AM626" s="183" t="s">
        <v>5346</v>
      </c>
      <c r="AN626" s="183" t="s">
        <v>2102</v>
      </c>
      <c r="AO626" s="209" t="s">
        <v>5347</v>
      </c>
      <c r="AP626" s="191"/>
      <c r="AQ626" s="184">
        <v>45412</v>
      </c>
      <c r="AR626" s="183">
        <v>27</v>
      </c>
      <c r="AS626" s="183"/>
      <c r="AT626" s="182"/>
      <c r="AU626" s="182"/>
      <c r="AV626" s="218">
        <v>7903896</v>
      </c>
      <c r="AW626" s="181">
        <v>117</v>
      </c>
      <c r="AX626" s="206">
        <v>80853</v>
      </c>
      <c r="AY626" s="183"/>
    </row>
    <row r="627" spans="1:51" ht="14.4" x14ac:dyDescent="0.3">
      <c r="A627" s="179" t="s">
        <v>1800</v>
      </c>
      <c r="B627" s="179" t="s">
        <v>2927</v>
      </c>
      <c r="C627" s="212" t="s">
        <v>2172</v>
      </c>
      <c r="D627" s="181" t="s">
        <v>2844</v>
      </c>
      <c r="E627" s="181" t="s">
        <v>2834</v>
      </c>
      <c r="F627" s="182" t="s">
        <v>2929</v>
      </c>
      <c r="G627" s="181" t="s">
        <v>12</v>
      </c>
      <c r="H627" s="184">
        <v>45412</v>
      </c>
      <c r="I627" s="193"/>
      <c r="J627" s="186" t="s">
        <v>3008</v>
      </c>
      <c r="K627" s="186" t="s">
        <v>3008</v>
      </c>
      <c r="L627" s="186" t="s">
        <v>3008</v>
      </c>
      <c r="M627" s="185"/>
      <c r="N627" s="185"/>
      <c r="O627" s="186"/>
      <c r="P627" s="185"/>
      <c r="Q627" s="182" t="s">
        <v>2934</v>
      </c>
      <c r="R627" s="182" t="s">
        <v>2933</v>
      </c>
      <c r="S627" s="182" t="s">
        <v>2952</v>
      </c>
      <c r="T627" s="179" t="s">
        <v>2974</v>
      </c>
      <c r="U627" s="183" t="s">
        <v>2937</v>
      </c>
      <c r="V627" s="183">
        <v>783</v>
      </c>
      <c r="W627" s="183" t="s">
        <v>4941</v>
      </c>
      <c r="X627" s="220">
        <v>415.86</v>
      </c>
      <c r="Y627" s="220">
        <v>337.94</v>
      </c>
      <c r="Z627" s="220">
        <v>143.37</v>
      </c>
      <c r="AA627" s="220">
        <v>64.23</v>
      </c>
      <c r="AB627" s="220">
        <v>25.52</v>
      </c>
      <c r="AC627" s="183">
        <v>156.01</v>
      </c>
      <c r="AD627" s="179" t="s">
        <v>2956</v>
      </c>
      <c r="AE627" s="188" t="s">
        <v>5241</v>
      </c>
      <c r="AF627" s="189">
        <v>0.29166666666666669</v>
      </c>
      <c r="AG627" s="189">
        <v>0.95833333333333337</v>
      </c>
      <c r="AH627" s="190" t="s">
        <v>2941</v>
      </c>
      <c r="AI627" s="190" t="s">
        <v>2942</v>
      </c>
      <c r="AJ627" s="183" t="s">
        <v>1798</v>
      </c>
      <c r="AK627" s="179" t="s">
        <v>58</v>
      </c>
      <c r="AL627" s="183" t="s">
        <v>58</v>
      </c>
      <c r="AM627" s="183" t="s">
        <v>5348</v>
      </c>
      <c r="AN627" s="183" t="s">
        <v>2102</v>
      </c>
      <c r="AO627" s="209" t="s">
        <v>5349</v>
      </c>
      <c r="AP627" s="191"/>
      <c r="AQ627" s="184">
        <v>45412</v>
      </c>
      <c r="AR627" s="183">
        <v>27</v>
      </c>
      <c r="AS627" s="183"/>
      <c r="AT627" s="182"/>
      <c r="AU627" s="182"/>
      <c r="AV627" s="218">
        <v>11248736</v>
      </c>
      <c r="AW627" s="181">
        <v>36.799999999999997</v>
      </c>
      <c r="AX627" s="206">
        <v>80711</v>
      </c>
      <c r="AY627" s="183"/>
    </row>
    <row r="628" spans="1:51" ht="14.4" x14ac:dyDescent="0.3">
      <c r="A628" s="179" t="s">
        <v>1797</v>
      </c>
      <c r="B628" s="179" t="s">
        <v>2947</v>
      </c>
      <c r="C628" s="212" t="s">
        <v>2181</v>
      </c>
      <c r="D628" s="181" t="s">
        <v>2849</v>
      </c>
      <c r="E628" s="181" t="s">
        <v>2830</v>
      </c>
      <c r="F628" s="182" t="s">
        <v>2972</v>
      </c>
      <c r="G628" s="181" t="s">
        <v>17</v>
      </c>
      <c r="H628" s="222">
        <v>45821</v>
      </c>
      <c r="I628" s="222">
        <v>45821</v>
      </c>
      <c r="J628" s="186" t="s">
        <v>5350</v>
      </c>
      <c r="K628" s="186">
        <v>550</v>
      </c>
      <c r="L628" s="186"/>
      <c r="M628" s="185"/>
      <c r="N628" s="185"/>
      <c r="O628" s="186"/>
      <c r="P628" s="185"/>
      <c r="Q628" s="182" t="s">
        <v>2933</v>
      </c>
      <c r="R628" s="182" t="s">
        <v>2934</v>
      </c>
      <c r="S628" s="182" t="s">
        <v>2952</v>
      </c>
      <c r="T628" s="179" t="s">
        <v>2974</v>
      </c>
      <c r="U628" s="183" t="s">
        <v>2954</v>
      </c>
      <c r="V628" s="183">
        <v>478</v>
      </c>
      <c r="W628" s="183" t="s">
        <v>3823</v>
      </c>
      <c r="X628" s="220">
        <v>328.26</v>
      </c>
      <c r="Y628" s="220">
        <v>211.71</v>
      </c>
      <c r="Z628" s="220">
        <v>108.27</v>
      </c>
      <c r="AA628" s="220">
        <v>105.99</v>
      </c>
      <c r="AB628" s="220">
        <v>3.9</v>
      </c>
      <c r="AC628" s="183">
        <v>86.22</v>
      </c>
      <c r="AD628" s="179" t="s">
        <v>2956</v>
      </c>
      <c r="AE628" s="188" t="s">
        <v>5241</v>
      </c>
      <c r="AF628" s="189">
        <v>0.29166666666666669</v>
      </c>
      <c r="AG628" s="189">
        <v>0.91666666666666663</v>
      </c>
      <c r="AH628" s="190" t="s">
        <v>2941</v>
      </c>
      <c r="AI628" s="190" t="s">
        <v>2985</v>
      </c>
      <c r="AJ628" s="183" t="s">
        <v>384</v>
      </c>
      <c r="AK628" s="179" t="s">
        <v>3387</v>
      </c>
      <c r="AL628" s="183" t="s">
        <v>4</v>
      </c>
      <c r="AM628" s="222" t="s">
        <v>5351</v>
      </c>
      <c r="AN628" s="183" t="s">
        <v>2102</v>
      </c>
      <c r="AO628" s="209" t="s">
        <v>5352</v>
      </c>
      <c r="AP628" s="191"/>
      <c r="AQ628" s="222">
        <v>45421</v>
      </c>
      <c r="AR628" s="183">
        <v>27</v>
      </c>
      <c r="AS628" s="183"/>
      <c r="AT628" s="182" t="s">
        <v>5353</v>
      </c>
      <c r="AU628" s="182" t="s">
        <v>2946</v>
      </c>
      <c r="AV628" s="223">
        <v>12595759</v>
      </c>
      <c r="AW628" s="181">
        <v>26.1</v>
      </c>
      <c r="AX628" s="224">
        <v>80236</v>
      </c>
      <c r="AY628" s="183"/>
    </row>
    <row r="629" spans="1:51" ht="14.4" x14ac:dyDescent="0.3">
      <c r="A629" s="179" t="s">
        <v>227</v>
      </c>
      <c r="B629" s="179" t="s">
        <v>2927</v>
      </c>
      <c r="C629" s="212" t="s">
        <v>2124</v>
      </c>
      <c r="D629" s="181" t="s">
        <v>2816</v>
      </c>
      <c r="E629" s="181" t="s">
        <v>2815</v>
      </c>
      <c r="F629" s="182" t="s">
        <v>2929</v>
      </c>
      <c r="G629" s="181" t="s">
        <v>12</v>
      </c>
      <c r="H629" s="222">
        <v>45437</v>
      </c>
      <c r="I629" s="193"/>
      <c r="J629" s="186" t="s">
        <v>3008</v>
      </c>
      <c r="K629" s="186" t="s">
        <v>3008</v>
      </c>
      <c r="L629" s="186" t="s">
        <v>3008</v>
      </c>
      <c r="M629" s="185"/>
      <c r="N629" s="185"/>
      <c r="O629" s="186"/>
      <c r="P629" s="185"/>
      <c r="Q629" s="182" t="s">
        <v>2933</v>
      </c>
      <c r="R629" s="182" t="s">
        <v>2934</v>
      </c>
      <c r="S629" s="182" t="s">
        <v>2952</v>
      </c>
      <c r="T629" s="179" t="s">
        <v>2974</v>
      </c>
      <c r="U629" s="183" t="s">
        <v>2937</v>
      </c>
      <c r="V629" s="183">
        <v>651</v>
      </c>
      <c r="W629" s="183" t="s">
        <v>4941</v>
      </c>
      <c r="X629" s="220">
        <v>335.39</v>
      </c>
      <c r="Y629" s="220">
        <v>210.75</v>
      </c>
      <c r="Z629" s="220">
        <v>109.5</v>
      </c>
      <c r="AA629" s="220">
        <v>98.98</v>
      </c>
      <c r="AB629" s="220">
        <v>21.07</v>
      </c>
      <c r="AC629" s="183">
        <v>77.040000000000006</v>
      </c>
      <c r="AD629" s="179" t="s">
        <v>2956</v>
      </c>
      <c r="AE629" s="188" t="s">
        <v>5241</v>
      </c>
      <c r="AF629" s="189">
        <v>0.29166666666666669</v>
      </c>
      <c r="AG629" s="189">
        <v>0.91666666666666663</v>
      </c>
      <c r="AH629" s="190" t="s">
        <v>2941</v>
      </c>
      <c r="AI629" s="190" t="s">
        <v>2985</v>
      </c>
      <c r="AJ629" s="183" t="s">
        <v>225</v>
      </c>
      <c r="AK629" s="179" t="s">
        <v>2981</v>
      </c>
      <c r="AL629" s="183" t="s">
        <v>28</v>
      </c>
      <c r="AM629" s="222" t="s">
        <v>5354</v>
      </c>
      <c r="AN629" s="183" t="s">
        <v>2102</v>
      </c>
      <c r="AO629" s="209" t="s">
        <v>5355</v>
      </c>
      <c r="AP629" s="191"/>
      <c r="AQ629" s="222">
        <v>45437</v>
      </c>
      <c r="AR629" s="183">
        <v>27</v>
      </c>
      <c r="AS629" s="183"/>
      <c r="AT629" s="182"/>
      <c r="AU629" s="182"/>
      <c r="AV629" s="223">
        <v>10108317</v>
      </c>
      <c r="AW629" s="181">
        <v>21.3</v>
      </c>
      <c r="AX629" s="206">
        <v>80582</v>
      </c>
      <c r="AY629" s="183"/>
    </row>
    <row r="630" spans="1:51" ht="14.4" x14ac:dyDescent="0.3">
      <c r="A630" s="179" t="s">
        <v>1567</v>
      </c>
      <c r="B630" s="179" t="s">
        <v>2927</v>
      </c>
      <c r="C630" s="212" t="s">
        <v>2169</v>
      </c>
      <c r="D630" s="181" t="s">
        <v>2839</v>
      </c>
      <c r="E630" s="181" t="s">
        <v>2834</v>
      </c>
      <c r="F630" s="182" t="s">
        <v>2929</v>
      </c>
      <c r="G630" s="181" t="s">
        <v>12</v>
      </c>
      <c r="H630" s="222">
        <v>45438</v>
      </c>
      <c r="I630" s="193"/>
      <c r="J630" s="186" t="s">
        <v>3008</v>
      </c>
      <c r="K630" s="186" t="s">
        <v>3008</v>
      </c>
      <c r="L630" s="186" t="s">
        <v>3008</v>
      </c>
      <c r="M630" s="185"/>
      <c r="N630" s="185"/>
      <c r="O630" s="186"/>
      <c r="P630" s="185"/>
      <c r="Q630" s="182" t="s">
        <v>2934</v>
      </c>
      <c r="R630" s="182" t="s">
        <v>2933</v>
      </c>
      <c r="S630" s="182" t="s">
        <v>2935</v>
      </c>
      <c r="T630" s="179" t="s">
        <v>2974</v>
      </c>
      <c r="U630" s="183" t="s">
        <v>2937</v>
      </c>
      <c r="V630" s="183">
        <v>1008</v>
      </c>
      <c r="W630" s="183" t="s">
        <v>4941</v>
      </c>
      <c r="X630" s="220">
        <v>382.47</v>
      </c>
      <c r="Y630" s="220">
        <v>243.87</v>
      </c>
      <c r="Z630" s="220">
        <v>125.4</v>
      </c>
      <c r="AA630" s="220">
        <v>149.16999999999999</v>
      </c>
      <c r="AB630" s="220">
        <v>25.88</v>
      </c>
      <c r="AC630" s="183">
        <v>66.2</v>
      </c>
      <c r="AD630" s="179" t="s">
        <v>2956</v>
      </c>
      <c r="AE630" s="188" t="s">
        <v>5241</v>
      </c>
      <c r="AF630" s="189">
        <v>0.29166666666666669</v>
      </c>
      <c r="AG630" s="189">
        <v>0.91666666666666663</v>
      </c>
      <c r="AH630" s="190" t="s">
        <v>2941</v>
      </c>
      <c r="AI630" s="190" t="s">
        <v>2942</v>
      </c>
      <c r="AJ630" s="183" t="s">
        <v>1565</v>
      </c>
      <c r="AK630" s="179" t="s">
        <v>5356</v>
      </c>
      <c r="AL630" s="183" t="s">
        <v>40</v>
      </c>
      <c r="AM630" s="222" t="s">
        <v>5357</v>
      </c>
      <c r="AN630" s="183" t="s">
        <v>2102</v>
      </c>
      <c r="AO630" s="209" t="s">
        <v>5358</v>
      </c>
      <c r="AP630" s="191"/>
      <c r="AQ630" s="222">
        <v>45438</v>
      </c>
      <c r="AR630" s="183">
        <v>27</v>
      </c>
      <c r="AS630" s="183"/>
      <c r="AT630" s="182"/>
      <c r="AU630" s="182"/>
      <c r="AV630" s="223">
        <v>8187644</v>
      </c>
      <c r="AW630" s="181">
        <v>48.3</v>
      </c>
      <c r="AX630" s="206">
        <v>80863</v>
      </c>
      <c r="AY630" s="183"/>
    </row>
    <row r="631" spans="1:51" ht="14.4" x14ac:dyDescent="0.3">
      <c r="A631" s="179" t="s">
        <v>1478</v>
      </c>
      <c r="B631" s="179" t="s">
        <v>2927</v>
      </c>
      <c r="C631" s="212" t="s">
        <v>5359</v>
      </c>
      <c r="D631" s="181" t="s">
        <v>2855</v>
      </c>
      <c r="E631" s="181" t="s">
        <v>2815</v>
      </c>
      <c r="F631" s="182" t="s">
        <v>2929</v>
      </c>
      <c r="G631" s="181" t="s">
        <v>12</v>
      </c>
      <c r="H631" s="222">
        <v>45440</v>
      </c>
      <c r="I631" s="193"/>
      <c r="J631" s="186" t="s">
        <v>3008</v>
      </c>
      <c r="K631" s="186" t="s">
        <v>3008</v>
      </c>
      <c r="L631" s="186" t="s">
        <v>3008</v>
      </c>
      <c r="M631" s="185"/>
      <c r="N631" s="185"/>
      <c r="O631" s="186"/>
      <c r="P631" s="185"/>
      <c r="Q631" s="182" t="s">
        <v>2933</v>
      </c>
      <c r="R631" s="182" t="s">
        <v>2934</v>
      </c>
      <c r="S631" s="182" t="s">
        <v>2952</v>
      </c>
      <c r="T631" s="179" t="s">
        <v>2953</v>
      </c>
      <c r="U631" s="183" t="s">
        <v>2937</v>
      </c>
      <c r="V631" s="183">
        <v>22</v>
      </c>
      <c r="W631" s="183" t="s">
        <v>4941</v>
      </c>
      <c r="X631" s="220">
        <v>762.48</v>
      </c>
      <c r="Y631" s="220">
        <v>252.94</v>
      </c>
      <c r="Z631" s="220">
        <v>130.84</v>
      </c>
      <c r="AA631" s="220">
        <v>295.82</v>
      </c>
      <c r="AB631" s="220">
        <v>19.600000000000001</v>
      </c>
      <c r="AC631" s="183">
        <v>92.4</v>
      </c>
      <c r="AD631" s="179" t="s">
        <v>2956</v>
      </c>
      <c r="AE631" s="188" t="s">
        <v>5241</v>
      </c>
      <c r="AF631" s="189">
        <v>0.29166666666666669</v>
      </c>
      <c r="AG631" s="189">
        <v>0.91666666666666663</v>
      </c>
      <c r="AH631" s="190" t="s">
        <v>2941</v>
      </c>
      <c r="AI631" s="190" t="s">
        <v>2985</v>
      </c>
      <c r="AJ631" s="183" t="s">
        <v>461</v>
      </c>
      <c r="AK631" s="179" t="s">
        <v>2981</v>
      </c>
      <c r="AL631" s="183" t="s">
        <v>28</v>
      </c>
      <c r="AM631" s="222" t="s">
        <v>5360</v>
      </c>
      <c r="AN631" s="183" t="s">
        <v>2102</v>
      </c>
      <c r="AO631" s="209" t="s">
        <v>5361</v>
      </c>
      <c r="AP631" s="191"/>
      <c r="AQ631" s="222">
        <v>45440</v>
      </c>
      <c r="AR631" s="183">
        <v>27</v>
      </c>
      <c r="AS631" s="183"/>
      <c r="AT631" s="182"/>
      <c r="AU631" s="182"/>
      <c r="AV631" s="223">
        <v>8164560</v>
      </c>
      <c r="AW631" s="181">
        <v>28.4</v>
      </c>
      <c r="AX631" s="206">
        <v>80582</v>
      </c>
      <c r="AY631" s="183"/>
    </row>
    <row r="632" spans="1:51" ht="14.4" x14ac:dyDescent="0.3">
      <c r="A632" s="179" t="s">
        <v>438</v>
      </c>
      <c r="B632" s="179" t="s">
        <v>2947</v>
      </c>
      <c r="C632" s="212" t="s">
        <v>2210</v>
      </c>
      <c r="D632" s="181" t="s">
        <v>2857</v>
      </c>
      <c r="E632" s="181" t="s">
        <v>2815</v>
      </c>
      <c r="F632" s="182" t="s">
        <v>2972</v>
      </c>
      <c r="G632" s="181" t="s">
        <v>17</v>
      </c>
      <c r="H632" s="222">
        <v>45441</v>
      </c>
      <c r="I632" s="193"/>
      <c r="J632" s="186" t="s">
        <v>3008</v>
      </c>
      <c r="K632" s="186" t="s">
        <v>3008</v>
      </c>
      <c r="L632" s="186" t="s">
        <v>3008</v>
      </c>
      <c r="M632" s="185"/>
      <c r="N632" s="185"/>
      <c r="O632" s="186"/>
      <c r="P632" s="185"/>
      <c r="Q632" s="182" t="s">
        <v>2934</v>
      </c>
      <c r="R632" s="182" t="s">
        <v>2933</v>
      </c>
      <c r="S632" s="182" t="s">
        <v>2952</v>
      </c>
      <c r="T632" s="179" t="s">
        <v>2974</v>
      </c>
      <c r="U632" s="183" t="s">
        <v>2954</v>
      </c>
      <c r="V632" s="183">
        <v>1012</v>
      </c>
      <c r="W632" s="183" t="s">
        <v>4616</v>
      </c>
      <c r="X632" s="220">
        <v>428.78</v>
      </c>
      <c r="Y632" s="220">
        <v>401.43</v>
      </c>
      <c r="Z632" s="220">
        <v>125.66</v>
      </c>
      <c r="AA632" s="220">
        <v>65.38</v>
      </c>
      <c r="AB632" s="220">
        <v>20.010000000000002</v>
      </c>
      <c r="AC632" s="183">
        <v>188</v>
      </c>
      <c r="AD632" s="179" t="s">
        <v>2956</v>
      </c>
      <c r="AE632" s="188" t="s">
        <v>5253</v>
      </c>
      <c r="AF632" s="189">
        <v>0.29166666666666669</v>
      </c>
      <c r="AG632" s="189">
        <v>0.95833333333333337</v>
      </c>
      <c r="AH632" s="190" t="s">
        <v>2941</v>
      </c>
      <c r="AI632" s="190" t="s">
        <v>2985</v>
      </c>
      <c r="AJ632" s="183" t="s">
        <v>436</v>
      </c>
      <c r="AK632" s="179" t="s">
        <v>3000</v>
      </c>
      <c r="AL632" s="183" t="s">
        <v>28</v>
      </c>
      <c r="AM632" s="222" t="s">
        <v>5362</v>
      </c>
      <c r="AN632" s="183" t="s">
        <v>2102</v>
      </c>
      <c r="AO632" s="209" t="s">
        <v>5363</v>
      </c>
      <c r="AP632" s="191"/>
      <c r="AQ632" s="222">
        <v>45441</v>
      </c>
      <c r="AR632" s="183">
        <v>26</v>
      </c>
      <c r="AS632" s="183"/>
      <c r="AT632" s="182" t="s">
        <v>4774</v>
      </c>
      <c r="AU632" s="182" t="s">
        <v>2946</v>
      </c>
      <c r="AV632" s="223">
        <v>12550335</v>
      </c>
      <c r="AW632" s="181">
        <v>16.600000000000001</v>
      </c>
      <c r="AX632" s="206">
        <v>80571</v>
      </c>
      <c r="AY632" s="183"/>
    </row>
    <row r="633" spans="1:51" ht="14.4" x14ac:dyDescent="0.3">
      <c r="A633" s="179" t="s">
        <v>555</v>
      </c>
      <c r="B633" s="179" t="s">
        <v>2947</v>
      </c>
      <c r="C633" s="212" t="s">
        <v>2207</v>
      </c>
      <c r="D633" s="181" t="s">
        <v>2862</v>
      </c>
      <c r="E633" s="181" t="s">
        <v>2819</v>
      </c>
      <c r="F633" s="182" t="s">
        <v>2972</v>
      </c>
      <c r="G633" s="181" t="s">
        <v>17</v>
      </c>
      <c r="H633" s="193">
        <v>45821</v>
      </c>
      <c r="I633" s="193">
        <v>45821</v>
      </c>
      <c r="J633" s="179" t="s">
        <v>5364</v>
      </c>
      <c r="K633" s="186">
        <v>650</v>
      </c>
      <c r="L633" s="186"/>
      <c r="M633" s="185"/>
      <c r="N633" s="185"/>
      <c r="O633" s="179" t="s">
        <v>2951</v>
      </c>
      <c r="P633" s="185"/>
      <c r="Q633" s="182" t="s">
        <v>2934</v>
      </c>
      <c r="R633" s="182" t="s">
        <v>2933</v>
      </c>
      <c r="S633" s="182" t="s">
        <v>2952</v>
      </c>
      <c r="T633" s="179" t="s">
        <v>2974</v>
      </c>
      <c r="U633" s="183" t="s">
        <v>2954</v>
      </c>
      <c r="V633" s="183">
        <v>554</v>
      </c>
      <c r="W633" s="183" t="s">
        <v>3549</v>
      </c>
      <c r="X633" s="220">
        <v>413.36</v>
      </c>
      <c r="Y633" s="220">
        <v>229.26</v>
      </c>
      <c r="Z633" s="220">
        <v>128.24</v>
      </c>
      <c r="AA633" s="220">
        <v>118.25</v>
      </c>
      <c r="AB633" s="220">
        <v>6.18</v>
      </c>
      <c r="AC633" s="183">
        <v>83.55</v>
      </c>
      <c r="AD633" s="179" t="s">
        <v>2956</v>
      </c>
      <c r="AE633" s="188" t="s">
        <v>5241</v>
      </c>
      <c r="AF633" s="189">
        <v>0</v>
      </c>
      <c r="AG633" s="189">
        <v>0.99930555555555556</v>
      </c>
      <c r="AH633" s="190" t="s">
        <v>2941</v>
      </c>
      <c r="AI633" s="190" t="s">
        <v>2942</v>
      </c>
      <c r="AJ633" s="183" t="s">
        <v>5</v>
      </c>
      <c r="AK633" s="179" t="s">
        <v>2958</v>
      </c>
      <c r="AL633" s="183" t="s">
        <v>4</v>
      </c>
      <c r="AM633" s="222" t="s">
        <v>5365</v>
      </c>
      <c r="AN633" s="183" t="s">
        <v>2102</v>
      </c>
      <c r="AO633" s="209" t="s">
        <v>5366</v>
      </c>
      <c r="AP633" s="191"/>
      <c r="AQ633" s="222">
        <v>45453</v>
      </c>
      <c r="AR633" s="183">
        <v>26</v>
      </c>
      <c r="AS633" s="183"/>
      <c r="AT633" s="182" t="s">
        <v>5367</v>
      </c>
      <c r="AU633" s="182" t="s">
        <v>2946</v>
      </c>
      <c r="AV633" s="223">
        <v>11967072</v>
      </c>
      <c r="AW633" s="181">
        <v>25</v>
      </c>
      <c r="AX633" s="206">
        <v>80119</v>
      </c>
      <c r="AY633" s="183"/>
    </row>
    <row r="634" spans="1:51" ht="14.4" x14ac:dyDescent="0.3">
      <c r="A634" s="179" t="s">
        <v>1307</v>
      </c>
      <c r="B634" s="179" t="s">
        <v>2927</v>
      </c>
      <c r="C634" s="212" t="s">
        <v>2160</v>
      </c>
      <c r="D634" s="181" t="s">
        <v>2846</v>
      </c>
      <c r="E634" s="181" t="s">
        <v>2821</v>
      </c>
      <c r="F634" s="182" t="s">
        <v>2972</v>
      </c>
      <c r="G634" s="181" t="s">
        <v>17</v>
      </c>
      <c r="H634" s="222">
        <v>45473</v>
      </c>
      <c r="I634" s="193"/>
      <c r="J634" s="179" t="s">
        <v>5368</v>
      </c>
      <c r="K634" s="186">
        <v>550</v>
      </c>
      <c r="L634" s="186"/>
      <c r="M634" s="185"/>
      <c r="N634" s="185"/>
      <c r="O634" s="179" t="s">
        <v>2951</v>
      </c>
      <c r="P634" s="185"/>
      <c r="Q634" s="182" t="s">
        <v>2933</v>
      </c>
      <c r="R634" s="182" t="s">
        <v>2934</v>
      </c>
      <c r="S634" s="182" t="s">
        <v>2952</v>
      </c>
      <c r="T634" s="179" t="s">
        <v>2953</v>
      </c>
      <c r="U634" s="183" t="s">
        <v>2937</v>
      </c>
      <c r="V634" s="183">
        <v>209</v>
      </c>
      <c r="W634" s="183" t="s">
        <v>2975</v>
      </c>
      <c r="X634" s="220">
        <v>1536.03</v>
      </c>
      <c r="Y634" s="220">
        <v>315.01</v>
      </c>
      <c r="Z634" s="220">
        <v>162.38</v>
      </c>
      <c r="AA634" s="220">
        <v>247.38</v>
      </c>
      <c r="AB634" s="220">
        <v>17.62</v>
      </c>
      <c r="AC634" s="183">
        <v>109.36</v>
      </c>
      <c r="AD634" s="179" t="s">
        <v>2956</v>
      </c>
      <c r="AE634" s="188" t="s">
        <v>5241</v>
      </c>
      <c r="AF634" s="189">
        <v>0.29166666666666669</v>
      </c>
      <c r="AG634" s="189">
        <v>0.99930555555555556</v>
      </c>
      <c r="AH634" s="190" t="s">
        <v>2941</v>
      </c>
      <c r="AI634" s="190" t="s">
        <v>2942</v>
      </c>
      <c r="AJ634" s="183" t="s">
        <v>186</v>
      </c>
      <c r="AK634" s="179" t="s">
        <v>36</v>
      </c>
      <c r="AL634" s="183" t="s">
        <v>36</v>
      </c>
      <c r="AM634" s="222" t="s">
        <v>5369</v>
      </c>
      <c r="AN634" s="183" t="s">
        <v>2102</v>
      </c>
      <c r="AO634" s="209" t="s">
        <v>5370</v>
      </c>
      <c r="AP634" s="191"/>
      <c r="AQ634" s="222">
        <v>45473</v>
      </c>
      <c r="AR634" s="183">
        <v>25</v>
      </c>
      <c r="AS634" s="183"/>
      <c r="AT634" s="182"/>
      <c r="AU634" s="182"/>
      <c r="AV634" s="223">
        <v>13117633</v>
      </c>
      <c r="AW634" s="181">
        <v>15.2</v>
      </c>
      <c r="AX634" s="206">
        <v>82113</v>
      </c>
      <c r="AY634" s="183"/>
    </row>
    <row r="635" spans="1:51" ht="14.4" x14ac:dyDescent="0.3">
      <c r="A635" s="179" t="s">
        <v>303</v>
      </c>
      <c r="B635" s="179" t="s">
        <v>2927</v>
      </c>
      <c r="C635" s="212" t="s">
        <v>2170</v>
      </c>
      <c r="D635" s="181" t="s">
        <v>2869</v>
      </c>
      <c r="E635" s="181" t="s">
        <v>2834</v>
      </c>
      <c r="F635" s="182" t="s">
        <v>2929</v>
      </c>
      <c r="G635" s="181" t="s">
        <v>12</v>
      </c>
      <c r="H635" s="222">
        <v>45503</v>
      </c>
      <c r="I635" s="193"/>
      <c r="J635" s="186" t="s">
        <v>3008</v>
      </c>
      <c r="K635" s="186" t="s">
        <v>3008</v>
      </c>
      <c r="L635" s="186" t="s">
        <v>3008</v>
      </c>
      <c r="M635" s="185"/>
      <c r="N635" s="185"/>
      <c r="O635" s="186"/>
      <c r="P635" s="185"/>
      <c r="Q635" s="182" t="s">
        <v>2934</v>
      </c>
      <c r="R635" s="182" t="s">
        <v>2933</v>
      </c>
      <c r="S635" s="182" t="s">
        <v>2935</v>
      </c>
      <c r="T635" s="179" t="s">
        <v>2974</v>
      </c>
      <c r="U635" s="183" t="s">
        <v>2937</v>
      </c>
      <c r="V635" s="183">
        <v>717</v>
      </c>
      <c r="W635" s="183" t="s">
        <v>2975</v>
      </c>
      <c r="X635" s="220">
        <v>378.05</v>
      </c>
      <c r="Y635" s="220">
        <v>230.42</v>
      </c>
      <c r="Z635" s="220">
        <v>119.18</v>
      </c>
      <c r="AA635" s="220">
        <v>137.55000000000001</v>
      </c>
      <c r="AB635" s="220">
        <v>5.74</v>
      </c>
      <c r="AC635" s="183">
        <v>92.19</v>
      </c>
      <c r="AD635" s="179" t="s">
        <v>2956</v>
      </c>
      <c r="AE635" s="188" t="s">
        <v>5241</v>
      </c>
      <c r="AF635" s="189">
        <v>0.29166666666666669</v>
      </c>
      <c r="AG635" s="189">
        <v>0.91666666666666663</v>
      </c>
      <c r="AH635" s="190" t="s">
        <v>2941</v>
      </c>
      <c r="AI635" s="190" t="s">
        <v>2942</v>
      </c>
      <c r="AJ635" s="183" t="s">
        <v>301</v>
      </c>
      <c r="AK635" s="179" t="s">
        <v>4001</v>
      </c>
      <c r="AL635" s="183" t="s">
        <v>40</v>
      </c>
      <c r="AM635" s="222" t="s">
        <v>5371</v>
      </c>
      <c r="AN635" s="183" t="s">
        <v>2102</v>
      </c>
      <c r="AO635" s="209" t="s">
        <v>5372</v>
      </c>
      <c r="AP635" s="191"/>
      <c r="AQ635" s="222">
        <v>45503</v>
      </c>
      <c r="AR635" s="183">
        <v>24</v>
      </c>
      <c r="AS635" s="183"/>
      <c r="AT635" s="182"/>
      <c r="AU635" s="182"/>
      <c r="AV635" s="223">
        <v>9453636</v>
      </c>
      <c r="AW635" s="181">
        <v>83.2</v>
      </c>
      <c r="AX635" s="206">
        <v>80852</v>
      </c>
      <c r="AY635" s="183"/>
    </row>
    <row r="636" spans="1:51" ht="14.4" x14ac:dyDescent="0.3">
      <c r="A636" s="179" t="s">
        <v>400</v>
      </c>
      <c r="B636" s="179" t="s">
        <v>2927</v>
      </c>
      <c r="C636" s="212" t="s">
        <v>2150</v>
      </c>
      <c r="D636" s="181" t="s">
        <v>2844</v>
      </c>
      <c r="E636" s="181" t="s">
        <v>2834</v>
      </c>
      <c r="F636" s="182" t="s">
        <v>2929</v>
      </c>
      <c r="G636" s="181" t="s">
        <v>12</v>
      </c>
      <c r="H636" s="222">
        <v>45503</v>
      </c>
      <c r="I636" s="193"/>
      <c r="J636" s="186" t="s">
        <v>3008</v>
      </c>
      <c r="K636" s="186" t="s">
        <v>3008</v>
      </c>
      <c r="L636" s="186" t="s">
        <v>3008</v>
      </c>
      <c r="M636" s="185"/>
      <c r="N636" s="185"/>
      <c r="O636" s="186"/>
      <c r="P636" s="185"/>
      <c r="Q636" s="182" t="s">
        <v>2934</v>
      </c>
      <c r="R636" s="182" t="s">
        <v>2933</v>
      </c>
      <c r="S636" s="182" t="s">
        <v>2935</v>
      </c>
      <c r="T636" s="179" t="s">
        <v>2974</v>
      </c>
      <c r="U636" s="183" t="s">
        <v>2937</v>
      </c>
      <c r="V636" s="183">
        <v>1686</v>
      </c>
      <c r="W636" s="183" t="s">
        <v>3549</v>
      </c>
      <c r="X636" s="220">
        <v>332.54</v>
      </c>
      <c r="Y636" s="220">
        <v>212.08</v>
      </c>
      <c r="Z636" s="220">
        <v>110.89</v>
      </c>
      <c r="AA636" s="220">
        <v>134.04</v>
      </c>
      <c r="AB636" s="220">
        <v>30.39</v>
      </c>
      <c r="AC636" s="183">
        <v>86.419999999999987</v>
      </c>
      <c r="AD636" s="179" t="s">
        <v>2956</v>
      </c>
      <c r="AE636" s="188" t="s">
        <v>5253</v>
      </c>
      <c r="AF636" s="189">
        <v>0.29166666666666669</v>
      </c>
      <c r="AG636" s="189">
        <v>0.91666666666666663</v>
      </c>
      <c r="AH636" s="190" t="s">
        <v>2941</v>
      </c>
      <c r="AI636" s="190" t="s">
        <v>2942</v>
      </c>
      <c r="AJ636" s="183" t="s">
        <v>398</v>
      </c>
      <c r="AK636" s="179" t="s">
        <v>3404</v>
      </c>
      <c r="AL636" s="183" t="s">
        <v>32</v>
      </c>
      <c r="AM636" s="222" t="s">
        <v>5373</v>
      </c>
      <c r="AN636" s="183" t="s">
        <v>2102</v>
      </c>
      <c r="AO636" s="209" t="s">
        <v>5374</v>
      </c>
      <c r="AP636" s="191"/>
      <c r="AQ636" s="222">
        <v>45503</v>
      </c>
      <c r="AR636" s="183">
        <v>24</v>
      </c>
      <c r="AS636" s="183"/>
      <c r="AT636" s="182"/>
      <c r="AU636" s="182"/>
      <c r="AV636" s="223">
        <v>10768608</v>
      </c>
      <c r="AW636" s="181">
        <v>41</v>
      </c>
      <c r="AX636" s="206">
        <v>80561</v>
      </c>
      <c r="AY636" s="183"/>
    </row>
    <row r="637" spans="1:51" ht="14.4" x14ac:dyDescent="0.3">
      <c r="A637" s="179" t="s">
        <v>1548</v>
      </c>
      <c r="B637" s="179" t="s">
        <v>2927</v>
      </c>
      <c r="C637" s="212" t="s">
        <v>2158</v>
      </c>
      <c r="D637" s="181" t="s">
        <v>2831</v>
      </c>
      <c r="E637" s="181" t="s">
        <v>2830</v>
      </c>
      <c r="F637" s="182" t="s">
        <v>2929</v>
      </c>
      <c r="G637" s="181" t="s">
        <v>12</v>
      </c>
      <c r="H637" s="222">
        <v>45504</v>
      </c>
      <c r="I637" s="193"/>
      <c r="J637" s="179" t="s">
        <v>5375</v>
      </c>
      <c r="K637" s="186">
        <v>250</v>
      </c>
      <c r="L637" s="186"/>
      <c r="M637" s="185"/>
      <c r="N637" s="185"/>
      <c r="O637" s="186"/>
      <c r="P637" s="185"/>
      <c r="Q637" s="182" t="s">
        <v>2933</v>
      </c>
      <c r="R637" s="182" t="s">
        <v>2934</v>
      </c>
      <c r="S637" s="182" t="s">
        <v>2952</v>
      </c>
      <c r="T637" s="179" t="s">
        <v>2974</v>
      </c>
      <c r="U637" s="183" t="s">
        <v>2937</v>
      </c>
      <c r="V637" s="183">
        <v>350</v>
      </c>
      <c r="W637" s="183" t="s">
        <v>4457</v>
      </c>
      <c r="X637" s="220">
        <v>180</v>
      </c>
      <c r="Y637" s="220">
        <v>269.8</v>
      </c>
      <c r="Z637" s="220">
        <v>116.14</v>
      </c>
      <c r="AA637" s="220">
        <v>40.35</v>
      </c>
      <c r="AB637" s="220">
        <v>15.62</v>
      </c>
      <c r="AC637" s="183">
        <v>77.81</v>
      </c>
      <c r="AD637" s="179" t="s">
        <v>2956</v>
      </c>
      <c r="AE637" s="188" t="s">
        <v>5241</v>
      </c>
      <c r="AF637" s="189">
        <v>0.29166666666666669</v>
      </c>
      <c r="AG637" s="189">
        <v>0.95833333333333337</v>
      </c>
      <c r="AH637" s="190" t="s">
        <v>2941</v>
      </c>
      <c r="AI637" s="190" t="s">
        <v>2985</v>
      </c>
      <c r="AJ637" s="183" t="s">
        <v>65</v>
      </c>
      <c r="AK637" s="179" t="s">
        <v>3256</v>
      </c>
      <c r="AL637" s="183" t="s">
        <v>4</v>
      </c>
      <c r="AM637" s="222" t="s">
        <v>5376</v>
      </c>
      <c r="AN637" s="183" t="s">
        <v>2102</v>
      </c>
      <c r="AO637" s="209" t="s">
        <v>5377</v>
      </c>
      <c r="AP637" s="191"/>
      <c r="AQ637" s="222">
        <v>45504</v>
      </c>
      <c r="AR637" s="183">
        <v>24</v>
      </c>
      <c r="AS637" s="183"/>
      <c r="AT637" s="182"/>
      <c r="AU637" s="182"/>
      <c r="AV637" s="223">
        <v>8318246</v>
      </c>
      <c r="AW637" s="181">
        <v>28</v>
      </c>
      <c r="AX637" s="206">
        <v>80227</v>
      </c>
      <c r="AY637" s="183"/>
    </row>
    <row r="638" spans="1:51" ht="14.4" x14ac:dyDescent="0.3">
      <c r="A638" s="179" t="s">
        <v>567</v>
      </c>
      <c r="B638" s="179" t="s">
        <v>2947</v>
      </c>
      <c r="C638" s="212" t="s">
        <v>2215</v>
      </c>
      <c r="D638" s="181" t="s">
        <v>2855</v>
      </c>
      <c r="E638" s="181" t="s">
        <v>2815</v>
      </c>
      <c r="F638" s="182" t="s">
        <v>2972</v>
      </c>
      <c r="G638" s="181" t="s">
        <v>17</v>
      </c>
      <c r="H638" s="222">
        <v>45504</v>
      </c>
      <c r="I638" s="193"/>
      <c r="J638" s="179" t="s">
        <v>5378</v>
      </c>
      <c r="K638" s="186">
        <v>700</v>
      </c>
      <c r="L638" s="186"/>
      <c r="M638" s="181" t="s">
        <v>3164</v>
      </c>
      <c r="N638" s="185"/>
      <c r="O638" s="179" t="s">
        <v>2951</v>
      </c>
      <c r="P638" s="185"/>
      <c r="Q638" s="182" t="s">
        <v>2933</v>
      </c>
      <c r="R638" s="182" t="s">
        <v>2934</v>
      </c>
      <c r="S638" s="182" t="s">
        <v>2952</v>
      </c>
      <c r="T638" s="179" t="s">
        <v>2953</v>
      </c>
      <c r="U638" s="183" t="s">
        <v>2954</v>
      </c>
      <c r="V638" s="183">
        <v>1090</v>
      </c>
      <c r="W638" s="183" t="s">
        <v>4941</v>
      </c>
      <c r="X638" s="220">
        <v>663</v>
      </c>
      <c r="Y638" s="220">
        <v>388.65</v>
      </c>
      <c r="Z638" s="220">
        <v>171.91</v>
      </c>
      <c r="AA638" s="220">
        <v>252.67</v>
      </c>
      <c r="AB638" s="220">
        <v>90.22</v>
      </c>
      <c r="AC638" s="183">
        <v>430.86</v>
      </c>
      <c r="AD638" s="179" t="s">
        <v>2956</v>
      </c>
      <c r="AE638" s="188" t="s">
        <v>5253</v>
      </c>
      <c r="AF638" s="189">
        <v>0</v>
      </c>
      <c r="AG638" s="189">
        <v>0.99930555555555556</v>
      </c>
      <c r="AH638" s="190" t="s">
        <v>2941</v>
      </c>
      <c r="AI638" s="190" t="s">
        <v>2985</v>
      </c>
      <c r="AJ638" s="183" t="s">
        <v>565</v>
      </c>
      <c r="AK638" s="179" t="s">
        <v>3110</v>
      </c>
      <c r="AL638" s="183" t="s">
        <v>28</v>
      </c>
      <c r="AM638" s="222" t="s">
        <v>5379</v>
      </c>
      <c r="AN638" s="183" t="s">
        <v>2102</v>
      </c>
      <c r="AO638" s="209" t="s">
        <v>5380</v>
      </c>
      <c r="AP638" s="191"/>
      <c r="AQ638" s="222">
        <v>45504</v>
      </c>
      <c r="AR638" s="183">
        <v>24</v>
      </c>
      <c r="AS638" s="183"/>
      <c r="AT638" s="182"/>
      <c r="AU638" s="182"/>
      <c r="AV638" s="223">
        <v>16040425</v>
      </c>
      <c r="AW638" s="181">
        <v>35</v>
      </c>
      <c r="AX638" s="206">
        <v>82252</v>
      </c>
      <c r="AY638" s="183"/>
    </row>
    <row r="639" spans="1:51" ht="14.4" x14ac:dyDescent="0.3">
      <c r="A639" s="179" t="s">
        <v>704</v>
      </c>
      <c r="B639" s="179" t="s">
        <v>2947</v>
      </c>
      <c r="C639" s="212" t="s">
        <v>2236</v>
      </c>
      <c r="D639" s="181" t="s">
        <v>2818</v>
      </c>
      <c r="E639" s="181" t="s">
        <v>2817</v>
      </c>
      <c r="F639" s="182" t="s">
        <v>2972</v>
      </c>
      <c r="G639" s="181" t="s">
        <v>17</v>
      </c>
      <c r="H639" s="222">
        <v>45508</v>
      </c>
      <c r="I639" s="193"/>
      <c r="J639" s="179" t="s">
        <v>5381</v>
      </c>
      <c r="K639" s="186">
        <v>850</v>
      </c>
      <c r="L639" s="186"/>
      <c r="M639" s="185"/>
      <c r="N639" s="185"/>
      <c r="O639" s="186"/>
      <c r="P639" s="185"/>
      <c r="Q639" s="182" t="s">
        <v>2933</v>
      </c>
      <c r="R639" s="182" t="s">
        <v>2934</v>
      </c>
      <c r="S639" s="182" t="s">
        <v>2952</v>
      </c>
      <c r="T639" s="179" t="s">
        <v>2953</v>
      </c>
      <c r="U639" s="183" t="s">
        <v>2954</v>
      </c>
      <c r="V639" s="225">
        <v>450</v>
      </c>
      <c r="W639" s="225" t="s">
        <v>4532</v>
      </c>
      <c r="X639" s="226">
        <v>358.28</v>
      </c>
      <c r="Y639" s="226">
        <v>462.96</v>
      </c>
      <c r="Z639" s="226">
        <v>129.55000000000001</v>
      </c>
      <c r="AA639" s="226">
        <v>117.04</v>
      </c>
      <c r="AB639" s="226">
        <v>27.45</v>
      </c>
      <c r="AC639" s="225">
        <v>287.42</v>
      </c>
      <c r="AD639" s="179" t="s">
        <v>2956</v>
      </c>
      <c r="AE639" s="188" t="s">
        <v>5253</v>
      </c>
      <c r="AF639" s="189">
        <v>0.29166666666666669</v>
      </c>
      <c r="AG639" s="189">
        <v>0.99930555555555556</v>
      </c>
      <c r="AH639" s="190" t="s">
        <v>2941</v>
      </c>
      <c r="AI639" s="190" t="s">
        <v>2942</v>
      </c>
      <c r="AJ639" s="183" t="s">
        <v>5</v>
      </c>
      <c r="AK639" s="179" t="s">
        <v>2958</v>
      </c>
      <c r="AL639" s="183" t="s">
        <v>4</v>
      </c>
      <c r="AM639" s="222" t="s">
        <v>5382</v>
      </c>
      <c r="AN639" s="183" t="s">
        <v>2102</v>
      </c>
      <c r="AO639" s="209" t="s">
        <v>5383</v>
      </c>
      <c r="AP639" s="191"/>
      <c r="AQ639" s="222">
        <v>45508</v>
      </c>
      <c r="AR639" s="183">
        <v>24</v>
      </c>
      <c r="AS639" s="183"/>
      <c r="AT639" s="182"/>
      <c r="AU639" s="182"/>
      <c r="AV639" s="227">
        <v>14101877</v>
      </c>
      <c r="AW639" s="181">
        <v>24</v>
      </c>
      <c r="AX639" s="206">
        <v>80112</v>
      </c>
      <c r="AY639" s="183"/>
    </row>
    <row r="640" spans="1:51" ht="14.4" x14ac:dyDescent="0.3">
      <c r="A640" s="179" t="s">
        <v>944</v>
      </c>
      <c r="B640" s="179" t="s">
        <v>2927</v>
      </c>
      <c r="C640" s="212" t="s">
        <v>2147</v>
      </c>
      <c r="D640" s="181" t="s">
        <v>2818</v>
      </c>
      <c r="E640" s="181" t="s">
        <v>2817</v>
      </c>
      <c r="F640" s="182" t="s">
        <v>2929</v>
      </c>
      <c r="G640" s="181" t="s">
        <v>12</v>
      </c>
      <c r="H640" s="222">
        <v>45529</v>
      </c>
      <c r="I640" s="193"/>
      <c r="J640" s="179" t="s">
        <v>5384</v>
      </c>
      <c r="K640" s="186">
        <v>320</v>
      </c>
      <c r="L640" s="186"/>
      <c r="M640" s="185"/>
      <c r="N640" s="185"/>
      <c r="O640" s="186"/>
      <c r="P640" s="185"/>
      <c r="Q640" s="182" t="s">
        <v>2933</v>
      </c>
      <c r="R640" s="182" t="s">
        <v>2934</v>
      </c>
      <c r="S640" s="182" t="s">
        <v>2952</v>
      </c>
      <c r="T640" s="179" t="s">
        <v>2974</v>
      </c>
      <c r="U640" s="183" t="s">
        <v>2937</v>
      </c>
      <c r="V640" s="225">
        <v>260</v>
      </c>
      <c r="W640" s="225" t="s">
        <v>2975</v>
      </c>
      <c r="X640" s="226">
        <v>372.31</v>
      </c>
      <c r="Y640" s="226">
        <v>261.95</v>
      </c>
      <c r="Z640" s="226">
        <v>126.07</v>
      </c>
      <c r="AA640" s="226">
        <v>114.16</v>
      </c>
      <c r="AB640" s="226">
        <v>21.59</v>
      </c>
      <c r="AC640" s="225">
        <v>110.3</v>
      </c>
      <c r="AD640" s="179" t="s">
        <v>2956</v>
      </c>
      <c r="AE640" s="188" t="s">
        <v>5241</v>
      </c>
      <c r="AF640" s="189">
        <v>0.29166666666666669</v>
      </c>
      <c r="AG640" s="189">
        <v>0.95833333333333337</v>
      </c>
      <c r="AH640" s="190" t="s">
        <v>2941</v>
      </c>
      <c r="AI640" s="190" t="s">
        <v>2985</v>
      </c>
      <c r="AJ640" s="183" t="s">
        <v>756</v>
      </c>
      <c r="AK640" s="179" t="s">
        <v>3256</v>
      </c>
      <c r="AL640" s="183" t="s">
        <v>4</v>
      </c>
      <c r="AM640" s="222" t="s">
        <v>5385</v>
      </c>
      <c r="AN640" s="183" t="s">
        <v>2102</v>
      </c>
      <c r="AO640" s="209" t="s">
        <v>5386</v>
      </c>
      <c r="AP640" s="191"/>
      <c r="AQ640" s="222">
        <v>45529</v>
      </c>
      <c r="AR640" s="183">
        <v>24</v>
      </c>
      <c r="AS640" s="183"/>
      <c r="AT640" s="182"/>
      <c r="AU640" s="182"/>
      <c r="AV640" s="227">
        <v>9009000</v>
      </c>
      <c r="AW640" s="181">
        <v>28</v>
      </c>
      <c r="AX640" s="206">
        <v>80239</v>
      </c>
      <c r="AY640" s="183"/>
    </row>
    <row r="641" spans="1:51" ht="14.4" x14ac:dyDescent="0.3">
      <c r="A641" s="179" t="s">
        <v>750</v>
      </c>
      <c r="B641" s="179" t="s">
        <v>2927</v>
      </c>
      <c r="C641" s="212" t="s">
        <v>5387</v>
      </c>
      <c r="D641" s="181" t="s">
        <v>2866</v>
      </c>
      <c r="E641" s="181" t="s">
        <v>2827</v>
      </c>
      <c r="F641" s="182" t="s">
        <v>2929</v>
      </c>
      <c r="G641" s="181" t="s">
        <v>12</v>
      </c>
      <c r="H641" s="222">
        <v>45529</v>
      </c>
      <c r="I641" s="193"/>
      <c r="J641" s="179" t="s">
        <v>5388</v>
      </c>
      <c r="K641" s="186">
        <v>100</v>
      </c>
      <c r="L641" s="186"/>
      <c r="M641" s="185"/>
      <c r="N641" s="185"/>
      <c r="O641" s="186"/>
      <c r="P641" s="185"/>
      <c r="Q641" s="182" t="s">
        <v>2933</v>
      </c>
      <c r="R641" s="182" t="s">
        <v>2934</v>
      </c>
      <c r="S641" s="182" t="s">
        <v>2935</v>
      </c>
      <c r="T641" s="179" t="s">
        <v>2974</v>
      </c>
      <c r="U641" s="183" t="s">
        <v>2937</v>
      </c>
      <c r="V641" s="225">
        <v>258</v>
      </c>
      <c r="W641" s="225" t="s">
        <v>4941</v>
      </c>
      <c r="X641" s="226">
        <v>412.49</v>
      </c>
      <c r="Y641" s="226">
        <v>272.08999999999997</v>
      </c>
      <c r="Z641" s="226">
        <v>135.88999999999999</v>
      </c>
      <c r="AA641" s="226">
        <v>104.93</v>
      </c>
      <c r="AB641" s="226">
        <v>30.94</v>
      </c>
      <c r="AC641" s="225">
        <v>109.29</v>
      </c>
      <c r="AD641" s="179" t="s">
        <v>2956</v>
      </c>
      <c r="AE641" s="188" t="s">
        <v>5241</v>
      </c>
      <c r="AF641" s="189">
        <v>0.29166666666666669</v>
      </c>
      <c r="AG641" s="189">
        <v>0.91666666666666663</v>
      </c>
      <c r="AH641" s="190" t="s">
        <v>2941</v>
      </c>
      <c r="AI641" s="190" t="s">
        <v>2942</v>
      </c>
      <c r="AJ641" s="183" t="s">
        <v>748</v>
      </c>
      <c r="AK641" s="179" t="s">
        <v>3511</v>
      </c>
      <c r="AL641" s="183" t="s">
        <v>48</v>
      </c>
      <c r="AM641" s="222" t="s">
        <v>5389</v>
      </c>
      <c r="AN641" s="183" t="s">
        <v>2102</v>
      </c>
      <c r="AO641" s="209" t="s">
        <v>5390</v>
      </c>
      <c r="AP641" s="191"/>
      <c r="AQ641" s="222">
        <v>45529</v>
      </c>
      <c r="AR641" s="183">
        <v>24</v>
      </c>
      <c r="AS641" s="183"/>
      <c r="AT641" s="182"/>
      <c r="AU641" s="182"/>
      <c r="AV641" s="227">
        <v>10282892</v>
      </c>
      <c r="AW641" s="181">
        <v>65.7</v>
      </c>
      <c r="AX641" s="206">
        <v>81152</v>
      </c>
      <c r="AY641" s="183"/>
    </row>
    <row r="642" spans="1:51" ht="14.4" x14ac:dyDescent="0.3">
      <c r="A642" s="179" t="s">
        <v>1311</v>
      </c>
      <c r="B642" s="179" t="s">
        <v>2927</v>
      </c>
      <c r="C642" s="212" t="s">
        <v>2156</v>
      </c>
      <c r="D642" s="181" t="s">
        <v>2839</v>
      </c>
      <c r="E642" s="181" t="s">
        <v>2834</v>
      </c>
      <c r="F642" s="182" t="s">
        <v>2929</v>
      </c>
      <c r="G642" s="181" t="s">
        <v>12</v>
      </c>
      <c r="H642" s="222">
        <v>45535</v>
      </c>
      <c r="I642" s="193"/>
      <c r="J642" s="186" t="s">
        <v>3008</v>
      </c>
      <c r="K642" s="186" t="s">
        <v>3008</v>
      </c>
      <c r="L642" s="186" t="s">
        <v>3008</v>
      </c>
      <c r="M642" s="185"/>
      <c r="N642" s="185"/>
      <c r="O642" s="186"/>
      <c r="P642" s="185"/>
      <c r="Q642" s="182" t="s">
        <v>2934</v>
      </c>
      <c r="R642" s="182" t="s">
        <v>2933</v>
      </c>
      <c r="S642" s="182" t="s">
        <v>2935</v>
      </c>
      <c r="T642" s="179" t="s">
        <v>2974</v>
      </c>
      <c r="U642" s="183" t="s">
        <v>2937</v>
      </c>
      <c r="V642" s="225">
        <v>1615</v>
      </c>
      <c r="W642" s="225" t="s">
        <v>3151</v>
      </c>
      <c r="X642" s="226">
        <v>348.65</v>
      </c>
      <c r="Y642" s="226">
        <v>227.25</v>
      </c>
      <c r="Z642" s="226">
        <v>119.07</v>
      </c>
      <c r="AA642" s="226">
        <v>111.62</v>
      </c>
      <c r="AB642" s="226">
        <v>23.52</v>
      </c>
      <c r="AC642" s="225">
        <v>75.260000000000005</v>
      </c>
      <c r="AD642" s="179" t="s">
        <v>2956</v>
      </c>
      <c r="AE642" s="188" t="s">
        <v>5241</v>
      </c>
      <c r="AF642" s="189">
        <v>0.29166666666666669</v>
      </c>
      <c r="AG642" s="189">
        <v>0.91666666666666663</v>
      </c>
      <c r="AH642" s="190" t="s">
        <v>2941</v>
      </c>
      <c r="AI642" s="190" t="s">
        <v>2942</v>
      </c>
      <c r="AJ642" s="183" t="s">
        <v>333</v>
      </c>
      <c r="AK642" s="179" t="s">
        <v>4819</v>
      </c>
      <c r="AL642" s="183" t="s">
        <v>32</v>
      </c>
      <c r="AM642" s="222" t="s">
        <v>5391</v>
      </c>
      <c r="AN642" s="183" t="s">
        <v>2102</v>
      </c>
      <c r="AO642" s="209" t="s">
        <v>5392</v>
      </c>
      <c r="AP642" s="191"/>
      <c r="AQ642" s="222">
        <v>45535</v>
      </c>
      <c r="AR642" s="183">
        <v>23</v>
      </c>
      <c r="AS642" s="183"/>
      <c r="AT642" s="182"/>
      <c r="AU642" s="182"/>
      <c r="AV642" s="227">
        <v>11687868</v>
      </c>
      <c r="AW642" s="181">
        <v>48.6</v>
      </c>
      <c r="AX642" s="206">
        <v>80671</v>
      </c>
      <c r="AY642" s="183"/>
    </row>
    <row r="643" spans="1:51" ht="14.4" x14ac:dyDescent="0.3">
      <c r="A643" s="179" t="s">
        <v>681</v>
      </c>
      <c r="B643" s="179" t="s">
        <v>2927</v>
      </c>
      <c r="C643" s="212" t="s">
        <v>2140</v>
      </c>
      <c r="D643" s="181" t="s">
        <v>2842</v>
      </c>
      <c r="E643" s="181" t="s">
        <v>2834</v>
      </c>
      <c r="F643" s="182" t="s">
        <v>2972</v>
      </c>
      <c r="G643" s="181" t="s">
        <v>17</v>
      </c>
      <c r="H643" s="222">
        <v>45596</v>
      </c>
      <c r="I643" s="193"/>
      <c r="J643" s="179" t="s">
        <v>5393</v>
      </c>
      <c r="K643" s="186">
        <v>20</v>
      </c>
      <c r="L643" s="186"/>
      <c r="M643" s="185"/>
      <c r="N643" s="185"/>
      <c r="O643" s="186"/>
      <c r="P643" s="185"/>
      <c r="Q643" s="182" t="s">
        <v>2934</v>
      </c>
      <c r="R643" s="182" t="s">
        <v>2933</v>
      </c>
      <c r="S643" s="182" t="s">
        <v>2935</v>
      </c>
      <c r="T643" s="179" t="s">
        <v>2953</v>
      </c>
      <c r="U643" s="183" t="s">
        <v>2937</v>
      </c>
      <c r="V643" s="225">
        <v>609</v>
      </c>
      <c r="W643" s="225" t="s">
        <v>4941</v>
      </c>
      <c r="X643" s="226">
        <v>710.38</v>
      </c>
      <c r="Y643" s="226">
        <v>317.61</v>
      </c>
      <c r="Z643" s="226">
        <v>187.49</v>
      </c>
      <c r="AA643" s="226">
        <v>346.37799999999999</v>
      </c>
      <c r="AB643" s="226">
        <v>70.290000000000006</v>
      </c>
      <c r="AC643" s="225">
        <v>89.42</v>
      </c>
      <c r="AD643" s="179" t="s">
        <v>2956</v>
      </c>
      <c r="AE643" s="188" t="s">
        <v>5241</v>
      </c>
      <c r="AF643" s="189">
        <v>0.29166666666666669</v>
      </c>
      <c r="AG643" s="189">
        <v>0.99930555555555556</v>
      </c>
      <c r="AH643" s="190" t="s">
        <v>2941</v>
      </c>
      <c r="AI643" s="190" t="s">
        <v>2942</v>
      </c>
      <c r="AJ643" s="183" t="s">
        <v>679</v>
      </c>
      <c r="AK643" s="179" t="s">
        <v>5127</v>
      </c>
      <c r="AL643" s="183" t="s">
        <v>58</v>
      </c>
      <c r="AM643" s="222" t="s">
        <v>5394</v>
      </c>
      <c r="AN643" s="183" t="s">
        <v>2102</v>
      </c>
      <c r="AO643" s="209" t="s">
        <v>5395</v>
      </c>
      <c r="AP643" s="191"/>
      <c r="AQ643" s="222">
        <v>45565</v>
      </c>
      <c r="AR643" s="183">
        <v>22</v>
      </c>
      <c r="AS643" s="222"/>
      <c r="AT643" s="182"/>
      <c r="AU643" s="182"/>
      <c r="AV643" s="227">
        <v>13588154</v>
      </c>
      <c r="AW643" s="181">
        <v>48.6</v>
      </c>
      <c r="AX643" s="206">
        <v>80761</v>
      </c>
      <c r="AY643" s="183"/>
    </row>
    <row r="644" spans="1:51" ht="14.4" x14ac:dyDescent="0.3">
      <c r="A644" s="179" t="s">
        <v>1874</v>
      </c>
      <c r="B644" s="179" t="s">
        <v>2927</v>
      </c>
      <c r="C644" s="212" t="s">
        <v>2152</v>
      </c>
      <c r="D644" s="181" t="s">
        <v>2859</v>
      </c>
      <c r="E644" s="181" t="s">
        <v>2815</v>
      </c>
      <c r="F644" s="182" t="s">
        <v>2972</v>
      </c>
      <c r="G644" s="181" t="s">
        <v>17</v>
      </c>
      <c r="H644" s="222">
        <v>45596</v>
      </c>
      <c r="I644" s="193"/>
      <c r="J644" s="186" t="s">
        <v>3008</v>
      </c>
      <c r="K644" s="186" t="s">
        <v>3008</v>
      </c>
      <c r="L644" s="186" t="s">
        <v>3008</v>
      </c>
      <c r="M644" s="185"/>
      <c r="N644" s="185"/>
      <c r="O644" s="179" t="s">
        <v>2951</v>
      </c>
      <c r="P644" s="185"/>
      <c r="Q644" s="182" t="s">
        <v>2934</v>
      </c>
      <c r="R644" s="182" t="s">
        <v>2933</v>
      </c>
      <c r="S644" s="182" t="s">
        <v>2935</v>
      </c>
      <c r="T644" s="179" t="s">
        <v>2974</v>
      </c>
      <c r="U644" s="183" t="s">
        <v>2937</v>
      </c>
      <c r="V644" s="225">
        <v>1069</v>
      </c>
      <c r="W644" s="225" t="s">
        <v>4431</v>
      </c>
      <c r="X644" s="226">
        <v>794.53</v>
      </c>
      <c r="Y644" s="226">
        <v>363.43</v>
      </c>
      <c r="Z644" s="226">
        <v>170.95</v>
      </c>
      <c r="AA644" s="226">
        <v>391.27</v>
      </c>
      <c r="AB644" s="226">
        <v>31.62</v>
      </c>
      <c r="AC644" s="225">
        <v>149.03</v>
      </c>
      <c r="AD644" s="179" t="s">
        <v>2956</v>
      </c>
      <c r="AE644" s="188" t="s">
        <v>5241</v>
      </c>
      <c r="AF644" s="189">
        <v>0.29166666666666669</v>
      </c>
      <c r="AG644" s="189">
        <v>0.91666666666666663</v>
      </c>
      <c r="AH644" s="190" t="s">
        <v>2941</v>
      </c>
      <c r="AI644" s="190" t="s">
        <v>2985</v>
      </c>
      <c r="AJ644" s="183" t="s">
        <v>1866</v>
      </c>
      <c r="AK644" s="179" t="s">
        <v>3182</v>
      </c>
      <c r="AL644" s="183" t="s">
        <v>28</v>
      </c>
      <c r="AM644" s="222" t="s">
        <v>5396</v>
      </c>
      <c r="AN644" s="183" t="s">
        <v>2102</v>
      </c>
      <c r="AO644" s="209" t="s">
        <v>5397</v>
      </c>
      <c r="AP644" s="191"/>
      <c r="AQ644" s="222">
        <v>45565</v>
      </c>
      <c r="AR644" s="183">
        <v>22</v>
      </c>
      <c r="AS644" s="222"/>
      <c r="AT644" s="182"/>
      <c r="AU644" s="182"/>
      <c r="AV644" s="227">
        <v>13338526.728397399</v>
      </c>
      <c r="AW644" s="181">
        <v>34.5</v>
      </c>
      <c r="AX644" s="206">
        <v>80552</v>
      </c>
      <c r="AY644" s="183"/>
    </row>
    <row r="645" spans="1:51" ht="14.4" x14ac:dyDescent="0.3">
      <c r="A645" s="179" t="s">
        <v>1699</v>
      </c>
      <c r="B645" s="179" t="s">
        <v>2947</v>
      </c>
      <c r="C645" s="212" t="s">
        <v>2211</v>
      </c>
      <c r="D645" s="181" t="s">
        <v>2868</v>
      </c>
      <c r="E645" s="181" t="s">
        <v>2867</v>
      </c>
      <c r="F645" s="182" t="s">
        <v>3086</v>
      </c>
      <c r="G645" s="181" t="s">
        <v>535</v>
      </c>
      <c r="H645" s="222">
        <v>45596</v>
      </c>
      <c r="I645" s="193"/>
      <c r="J645" s="186" t="s">
        <v>3008</v>
      </c>
      <c r="K645" s="186" t="s">
        <v>3008</v>
      </c>
      <c r="L645" s="186" t="s">
        <v>3008</v>
      </c>
      <c r="M645" s="185"/>
      <c r="N645" s="185"/>
      <c r="O645" s="179" t="s">
        <v>2951</v>
      </c>
      <c r="P645" s="185" t="s">
        <v>2951</v>
      </c>
      <c r="Q645" s="182" t="s">
        <v>2933</v>
      </c>
      <c r="R645" s="182" t="s">
        <v>2934</v>
      </c>
      <c r="S645" s="182" t="s">
        <v>2952</v>
      </c>
      <c r="T645" s="179" t="s">
        <v>2974</v>
      </c>
      <c r="U645" s="183" t="s">
        <v>2954</v>
      </c>
      <c r="V645" s="225">
        <v>626</v>
      </c>
      <c r="W645" s="225" t="s">
        <v>2975</v>
      </c>
      <c r="X645" s="226">
        <v>344.46</v>
      </c>
      <c r="Y645" s="226">
        <v>213.69</v>
      </c>
      <c r="Z645" s="226">
        <v>145.84</v>
      </c>
      <c r="AA645" s="226">
        <v>119.66</v>
      </c>
      <c r="AB645" s="226">
        <v>30</v>
      </c>
      <c r="AC645" s="225">
        <v>37.229999999999997</v>
      </c>
      <c r="AD645" s="179" t="s">
        <v>2984</v>
      </c>
      <c r="AE645" s="188" t="s">
        <v>5241</v>
      </c>
      <c r="AF645" s="189">
        <v>0</v>
      </c>
      <c r="AG645" s="189">
        <v>0.99930555555555556</v>
      </c>
      <c r="AH645" s="190" t="s">
        <v>2941</v>
      </c>
      <c r="AI645" s="190" t="s">
        <v>2942</v>
      </c>
      <c r="AJ645" s="183" t="s">
        <v>1456</v>
      </c>
      <c r="AK645" s="179" t="s">
        <v>2958</v>
      </c>
      <c r="AL645" s="183" t="s">
        <v>4</v>
      </c>
      <c r="AM645" s="222" t="s">
        <v>5398</v>
      </c>
      <c r="AN645" s="183" t="s">
        <v>2102</v>
      </c>
      <c r="AO645" s="209" t="s">
        <v>5399</v>
      </c>
      <c r="AP645" s="191"/>
      <c r="AQ645" s="222">
        <v>45565</v>
      </c>
      <c r="AR645" s="183">
        <v>22</v>
      </c>
      <c r="AS645" s="222"/>
      <c r="AT645" s="182" t="s">
        <v>5400</v>
      </c>
      <c r="AU645" s="182" t="s">
        <v>5401</v>
      </c>
      <c r="AV645" s="227">
        <v>32628815</v>
      </c>
      <c r="AW645" s="181">
        <v>22</v>
      </c>
      <c r="AX645" s="206">
        <v>80117</v>
      </c>
      <c r="AY645" s="183"/>
    </row>
    <row r="646" spans="1:51" ht="14.4" x14ac:dyDescent="0.3">
      <c r="A646" s="179" t="s">
        <v>258</v>
      </c>
      <c r="B646" s="179" t="s">
        <v>2947</v>
      </c>
      <c r="C646" s="212" t="s">
        <v>2191</v>
      </c>
      <c r="D646" s="181" t="s">
        <v>2851</v>
      </c>
      <c r="E646" s="181" t="s">
        <v>2817</v>
      </c>
      <c r="F646" s="182" t="s">
        <v>2972</v>
      </c>
      <c r="G646" s="181" t="s">
        <v>17</v>
      </c>
      <c r="H646" s="222">
        <v>45584</v>
      </c>
      <c r="I646" s="193"/>
      <c r="J646" s="179" t="s">
        <v>5402</v>
      </c>
      <c r="K646" s="186">
        <v>800</v>
      </c>
      <c r="L646" s="186"/>
      <c r="M646" s="185"/>
      <c r="N646" s="185"/>
      <c r="O646" s="179" t="s">
        <v>2951</v>
      </c>
      <c r="P646" s="185"/>
      <c r="Q646" s="182" t="s">
        <v>2933</v>
      </c>
      <c r="R646" s="182" t="s">
        <v>2934</v>
      </c>
      <c r="S646" s="182" t="s">
        <v>2952</v>
      </c>
      <c r="T646" s="179" t="s">
        <v>2953</v>
      </c>
      <c r="U646" s="183" t="s">
        <v>2954</v>
      </c>
      <c r="V646" s="225">
        <v>203</v>
      </c>
      <c r="W646" s="225" t="s">
        <v>2975</v>
      </c>
      <c r="X646" s="226">
        <v>663.78</v>
      </c>
      <c r="Y646" s="226">
        <v>339.7</v>
      </c>
      <c r="Z646" s="226">
        <v>174.63</v>
      </c>
      <c r="AA646" s="226">
        <v>312.24</v>
      </c>
      <c r="AB646" s="226">
        <v>45.98</v>
      </c>
      <c r="AC646" s="225">
        <v>125.85</v>
      </c>
      <c r="AD646" s="179" t="s">
        <v>2956</v>
      </c>
      <c r="AE646" s="188" t="s">
        <v>5241</v>
      </c>
      <c r="AF646" s="189">
        <v>0.29166666666666669</v>
      </c>
      <c r="AG646" s="189">
        <v>0.99930555555555556</v>
      </c>
      <c r="AH646" s="190" t="s">
        <v>2941</v>
      </c>
      <c r="AI646" s="190" t="s">
        <v>2985</v>
      </c>
      <c r="AJ646" s="183" t="s">
        <v>256</v>
      </c>
      <c r="AK646" s="179" t="s">
        <v>3256</v>
      </c>
      <c r="AL646" s="183" t="s">
        <v>4</v>
      </c>
      <c r="AM646" s="222" t="s">
        <v>5403</v>
      </c>
      <c r="AN646" s="183" t="s">
        <v>2102</v>
      </c>
      <c r="AO646" s="209" t="s">
        <v>5404</v>
      </c>
      <c r="AP646" s="191"/>
      <c r="AQ646" s="222">
        <v>45584</v>
      </c>
      <c r="AR646" s="183">
        <v>22</v>
      </c>
      <c r="AS646" s="183"/>
      <c r="AT646" s="182"/>
      <c r="AU646" s="182"/>
      <c r="AV646" s="227">
        <v>16433237</v>
      </c>
      <c r="AW646" s="181">
        <v>25</v>
      </c>
      <c r="AX646" s="206">
        <v>80221</v>
      </c>
      <c r="AY646" s="183"/>
    </row>
    <row r="647" spans="1:51" ht="14.4" x14ac:dyDescent="0.3">
      <c r="A647" s="179" t="s">
        <v>1861</v>
      </c>
      <c r="B647" s="179" t="s">
        <v>2927</v>
      </c>
      <c r="C647" s="212" t="s">
        <v>2137</v>
      </c>
      <c r="D647" s="181" t="s">
        <v>2850</v>
      </c>
      <c r="E647" s="181" t="s">
        <v>2817</v>
      </c>
      <c r="F647" s="182" t="s">
        <v>2929</v>
      </c>
      <c r="G647" s="181" t="s">
        <v>12</v>
      </c>
      <c r="H647" s="222">
        <v>45592</v>
      </c>
      <c r="I647" s="193"/>
      <c r="J647" s="179" t="s">
        <v>5405</v>
      </c>
      <c r="K647" s="186">
        <v>1200</v>
      </c>
      <c r="L647" s="186"/>
      <c r="M647" s="185"/>
      <c r="N647" s="185"/>
      <c r="O647" s="186"/>
      <c r="P647" s="185"/>
      <c r="Q647" s="182" t="s">
        <v>2933</v>
      </c>
      <c r="R647" s="182" t="s">
        <v>2934</v>
      </c>
      <c r="S647" s="182" t="s">
        <v>2952</v>
      </c>
      <c r="T647" s="179" t="s">
        <v>2974</v>
      </c>
      <c r="U647" s="183" t="s">
        <v>2937</v>
      </c>
      <c r="V647" s="225">
        <v>429</v>
      </c>
      <c r="W647" s="225" t="s">
        <v>3009</v>
      </c>
      <c r="X647" s="226">
        <v>278.06</v>
      </c>
      <c r="Y647" s="226">
        <v>191.65</v>
      </c>
      <c r="Z647" s="226">
        <v>120.19</v>
      </c>
      <c r="AA647" s="226">
        <v>84.26</v>
      </c>
      <c r="AB647" s="226">
        <v>19.739999999999998</v>
      </c>
      <c r="AC647" s="225">
        <v>50.67</v>
      </c>
      <c r="AD647" s="179" t="s">
        <v>2984</v>
      </c>
      <c r="AE647" s="188" t="s">
        <v>5241</v>
      </c>
      <c r="AF647" s="189">
        <v>0.29166666666666669</v>
      </c>
      <c r="AG647" s="189">
        <v>0.95833333333333337</v>
      </c>
      <c r="AH647" s="190" t="s">
        <v>2941</v>
      </c>
      <c r="AI647" s="190" t="s">
        <v>2985</v>
      </c>
      <c r="AJ647" s="183" t="s">
        <v>1292</v>
      </c>
      <c r="AK647" s="179" t="s">
        <v>3387</v>
      </c>
      <c r="AL647" s="183" t="s">
        <v>4</v>
      </c>
      <c r="AM647" s="222" t="s">
        <v>5406</v>
      </c>
      <c r="AN647" s="183" t="s">
        <v>2102</v>
      </c>
      <c r="AO647" s="209" t="s">
        <v>5407</v>
      </c>
      <c r="AP647" s="191"/>
      <c r="AQ647" s="222">
        <v>45592</v>
      </c>
      <c r="AR647" s="183">
        <v>22</v>
      </c>
      <c r="AS647" s="183"/>
      <c r="AT647" s="182"/>
      <c r="AU647" s="182"/>
      <c r="AV647" s="227">
        <v>10425406</v>
      </c>
      <c r="AW647" s="181">
        <v>19</v>
      </c>
      <c r="AX647" s="206">
        <v>80237</v>
      </c>
      <c r="AY647" s="183"/>
    </row>
    <row r="648" spans="1:51" ht="14.4" x14ac:dyDescent="0.3">
      <c r="A648" s="179" t="s">
        <v>311</v>
      </c>
      <c r="B648" s="179" t="s">
        <v>2927</v>
      </c>
      <c r="C648" s="212" t="s">
        <v>2110</v>
      </c>
      <c r="D648" s="181" t="s">
        <v>2831</v>
      </c>
      <c r="E648" s="181" t="s">
        <v>2830</v>
      </c>
      <c r="F648" s="182" t="s">
        <v>2929</v>
      </c>
      <c r="G648" s="181" t="s">
        <v>12</v>
      </c>
      <c r="H648" s="222">
        <v>45592</v>
      </c>
      <c r="I648" s="193"/>
      <c r="J648" s="179" t="s">
        <v>5408</v>
      </c>
      <c r="K648" s="186">
        <v>450</v>
      </c>
      <c r="L648" s="186"/>
      <c r="M648" s="185"/>
      <c r="N648" s="185"/>
      <c r="O648" s="186"/>
      <c r="P648" s="185"/>
      <c r="Q648" s="182" t="s">
        <v>2934</v>
      </c>
      <c r="R648" s="182" t="s">
        <v>2933</v>
      </c>
      <c r="S648" s="182" t="s">
        <v>2952</v>
      </c>
      <c r="T648" s="179" t="s">
        <v>4623</v>
      </c>
      <c r="U648" s="183" t="s">
        <v>2937</v>
      </c>
      <c r="V648" s="225">
        <v>468</v>
      </c>
      <c r="W648" s="225" t="s">
        <v>3151</v>
      </c>
      <c r="X648" s="226">
        <v>368.18</v>
      </c>
      <c r="Y648" s="226">
        <v>257.69</v>
      </c>
      <c r="Z648" s="226">
        <v>123.91</v>
      </c>
      <c r="AA648" s="226">
        <v>95.08</v>
      </c>
      <c r="AB648" s="226">
        <v>28.38</v>
      </c>
      <c r="AC648" s="225">
        <v>108.58</v>
      </c>
      <c r="AD648" s="179" t="s">
        <v>2956</v>
      </c>
      <c r="AE648" s="188" t="s">
        <v>5241</v>
      </c>
      <c r="AF648" s="189">
        <v>0.29166666666666669</v>
      </c>
      <c r="AG648" s="189">
        <v>0.91666666666666663</v>
      </c>
      <c r="AH648" s="190" t="s">
        <v>2941</v>
      </c>
      <c r="AI648" s="190" t="s">
        <v>2985</v>
      </c>
      <c r="AJ648" s="183" t="s">
        <v>309</v>
      </c>
      <c r="AK648" s="179" t="s">
        <v>3256</v>
      </c>
      <c r="AL648" s="183" t="s">
        <v>4</v>
      </c>
      <c r="AM648" s="222" t="s">
        <v>5409</v>
      </c>
      <c r="AN648" s="183" t="s">
        <v>2102</v>
      </c>
      <c r="AO648" s="209" t="s">
        <v>5410</v>
      </c>
      <c r="AP648" s="191"/>
      <c r="AQ648" s="222">
        <v>45592</v>
      </c>
      <c r="AR648" s="183">
        <v>22</v>
      </c>
      <c r="AS648" s="183"/>
      <c r="AT648" s="182"/>
      <c r="AU648" s="182"/>
      <c r="AV648" s="227">
        <v>10265434</v>
      </c>
      <c r="AW648" s="181">
        <v>27</v>
      </c>
      <c r="AX648" s="206">
        <v>80227</v>
      </c>
      <c r="AY648" s="183"/>
    </row>
    <row r="649" spans="1:51" ht="14.4" x14ac:dyDescent="0.3">
      <c r="A649" s="179" t="s">
        <v>397</v>
      </c>
      <c r="B649" s="179" t="s">
        <v>2947</v>
      </c>
      <c r="C649" s="212" t="s">
        <v>5411</v>
      </c>
      <c r="D649" s="181" t="s">
        <v>2872</v>
      </c>
      <c r="E649" s="181" t="s">
        <v>2840</v>
      </c>
      <c r="F649" s="182" t="s">
        <v>2972</v>
      </c>
      <c r="G649" s="181" t="s">
        <v>17</v>
      </c>
      <c r="H649" s="222">
        <v>45632</v>
      </c>
      <c r="I649" s="193"/>
      <c r="J649" s="179" t="s">
        <v>5412</v>
      </c>
      <c r="K649" s="186">
        <v>212</v>
      </c>
      <c r="L649" s="186"/>
      <c r="M649" s="185"/>
      <c r="N649" s="185"/>
      <c r="O649" s="179" t="s">
        <v>2951</v>
      </c>
      <c r="P649" s="185"/>
      <c r="Q649" s="182" t="s">
        <v>2934</v>
      </c>
      <c r="R649" s="182" t="s">
        <v>2933</v>
      </c>
      <c r="S649" s="182" t="s">
        <v>2952</v>
      </c>
      <c r="T649" s="179" t="s">
        <v>2974</v>
      </c>
      <c r="U649" s="183" t="s">
        <v>2954</v>
      </c>
      <c r="V649" s="225">
        <v>652</v>
      </c>
      <c r="W649" s="225" t="s">
        <v>3009</v>
      </c>
      <c r="X649" s="226">
        <v>558.89</v>
      </c>
      <c r="Y649" s="226">
        <v>739.64</v>
      </c>
      <c r="Z649" s="226">
        <v>206.85</v>
      </c>
      <c r="AA649" s="226">
        <v>181.71</v>
      </c>
      <c r="AB649" s="226">
        <v>30.76</v>
      </c>
      <c r="AC649" s="225">
        <v>476.52</v>
      </c>
      <c r="AD649" s="179" t="s">
        <v>2956</v>
      </c>
      <c r="AE649" s="188" t="s">
        <v>5253</v>
      </c>
      <c r="AF649" s="189">
        <v>0.29166666666666669</v>
      </c>
      <c r="AG649" s="189">
        <v>0.99930555555555556</v>
      </c>
      <c r="AH649" s="190" t="s">
        <v>2941</v>
      </c>
      <c r="AI649" s="190" t="s">
        <v>2942</v>
      </c>
      <c r="AJ649" s="183" t="s">
        <v>395</v>
      </c>
      <c r="AK649" s="179" t="s">
        <v>48</v>
      </c>
      <c r="AL649" s="183" t="s">
        <v>48</v>
      </c>
      <c r="AM649" s="222" t="s">
        <v>5413</v>
      </c>
      <c r="AN649" s="183" t="s">
        <v>2102</v>
      </c>
      <c r="AO649" s="209" t="s">
        <v>5414</v>
      </c>
      <c r="AP649" s="191"/>
      <c r="AQ649" s="222">
        <v>45595</v>
      </c>
      <c r="AR649" s="183">
        <v>21</v>
      </c>
      <c r="AS649" s="183"/>
      <c r="AT649" s="182"/>
      <c r="AU649" s="182"/>
      <c r="AV649" s="227">
        <v>15499761.5</v>
      </c>
      <c r="AW649" s="181">
        <v>59</v>
      </c>
      <c r="AX649" s="206">
        <v>81119</v>
      </c>
      <c r="AY649" s="183"/>
    </row>
    <row r="650" spans="1:51" ht="14.4" x14ac:dyDescent="0.3">
      <c r="A650" s="179" t="s">
        <v>667</v>
      </c>
      <c r="B650" s="179" t="s">
        <v>2947</v>
      </c>
      <c r="C650" s="212" t="s">
        <v>2180</v>
      </c>
      <c r="D650" s="181" t="s">
        <v>2842</v>
      </c>
      <c r="E650" s="181" t="s">
        <v>2834</v>
      </c>
      <c r="F650" s="182" t="s">
        <v>2972</v>
      </c>
      <c r="G650" s="181" t="s">
        <v>17</v>
      </c>
      <c r="H650" s="222">
        <v>45842</v>
      </c>
      <c r="I650" s="193"/>
      <c r="J650" s="186" t="s">
        <v>3008</v>
      </c>
      <c r="K650" s="186" t="s">
        <v>3008</v>
      </c>
      <c r="L650" s="186"/>
      <c r="M650" s="185"/>
      <c r="N650" s="185"/>
      <c r="O650" s="186"/>
      <c r="P650" s="185"/>
      <c r="Q650" s="182" t="s">
        <v>2934</v>
      </c>
      <c r="R650" s="182" t="s">
        <v>2933</v>
      </c>
      <c r="S650" s="182" t="s">
        <v>2935</v>
      </c>
      <c r="T650" s="179" t="s">
        <v>2974</v>
      </c>
      <c r="U650" s="183" t="s">
        <v>2954</v>
      </c>
      <c r="V650" s="225">
        <v>491</v>
      </c>
      <c r="W650" s="225" t="s">
        <v>3151</v>
      </c>
      <c r="X650" s="226">
        <v>340.2</v>
      </c>
      <c r="Y650" s="226">
        <v>245.7</v>
      </c>
      <c r="Z650" s="226">
        <v>130.53</v>
      </c>
      <c r="AA650" s="226">
        <v>79.94</v>
      </c>
      <c r="AB650" s="226">
        <v>5.14</v>
      </c>
      <c r="AC650" s="225">
        <v>98.34</v>
      </c>
      <c r="AD650" s="179" t="s">
        <v>2956</v>
      </c>
      <c r="AE650" s="188" t="s">
        <v>5241</v>
      </c>
      <c r="AF650" s="189">
        <v>0.29166666666666669</v>
      </c>
      <c r="AG650" s="189">
        <v>0.91666666666666663</v>
      </c>
      <c r="AH650" s="190" t="s">
        <v>2941</v>
      </c>
      <c r="AI650" s="190" t="s">
        <v>2942</v>
      </c>
      <c r="AJ650" s="183" t="s">
        <v>568</v>
      </c>
      <c r="AK650" s="179" t="s">
        <v>3404</v>
      </c>
      <c r="AL650" s="183" t="s">
        <v>32</v>
      </c>
      <c r="AM650" s="222" t="s">
        <v>5415</v>
      </c>
      <c r="AN650" s="183" t="s">
        <v>2102</v>
      </c>
      <c r="AO650" s="209" t="s">
        <v>5416</v>
      </c>
      <c r="AP650" s="191"/>
      <c r="AQ650" s="222">
        <v>45595</v>
      </c>
      <c r="AR650" s="183">
        <v>21</v>
      </c>
      <c r="AS650" s="183"/>
      <c r="AT650" s="182"/>
      <c r="AU650" s="182"/>
      <c r="AV650" s="227">
        <v>12748874</v>
      </c>
      <c r="AW650" s="181">
        <v>39</v>
      </c>
      <c r="AX650" s="206">
        <v>80652</v>
      </c>
      <c r="AY650" s="183"/>
    </row>
    <row r="651" spans="1:51" ht="14.4" x14ac:dyDescent="0.3">
      <c r="A651" s="179" t="s">
        <v>1269</v>
      </c>
      <c r="B651" s="179" t="s">
        <v>2947</v>
      </c>
      <c r="C651" s="212" t="s">
        <v>2220</v>
      </c>
      <c r="D651" s="181" t="s">
        <v>2869</v>
      </c>
      <c r="E651" s="181" t="s">
        <v>2834</v>
      </c>
      <c r="F651" s="182" t="s">
        <v>2972</v>
      </c>
      <c r="G651" s="181" t="s">
        <v>17</v>
      </c>
      <c r="H651" s="222">
        <v>45596</v>
      </c>
      <c r="I651" s="193"/>
      <c r="J651" s="186" t="s">
        <v>3008</v>
      </c>
      <c r="K651" s="186" t="s">
        <v>3008</v>
      </c>
      <c r="L651" s="186"/>
      <c r="M651" s="185"/>
      <c r="N651" s="185"/>
      <c r="O651" s="179" t="s">
        <v>2951</v>
      </c>
      <c r="P651" s="185"/>
      <c r="Q651" s="182" t="s">
        <v>2934</v>
      </c>
      <c r="R651" s="182" t="s">
        <v>2933</v>
      </c>
      <c r="S651" s="182" t="s">
        <v>2935</v>
      </c>
      <c r="T651" s="179" t="s">
        <v>2974</v>
      </c>
      <c r="U651" s="183" t="s">
        <v>2954</v>
      </c>
      <c r="V651" s="225">
        <v>1495</v>
      </c>
      <c r="W651" s="225" t="s">
        <v>3009</v>
      </c>
      <c r="X651" s="226">
        <v>480.38</v>
      </c>
      <c r="Y651" s="226">
        <v>321.92</v>
      </c>
      <c r="Z651" s="226">
        <v>141.44999999999999</v>
      </c>
      <c r="AA651" s="226">
        <v>204.93</v>
      </c>
      <c r="AB651" s="226">
        <v>53.39</v>
      </c>
      <c r="AC651" s="225">
        <v>67.42</v>
      </c>
      <c r="AD651" s="179" t="s">
        <v>2956</v>
      </c>
      <c r="AE651" s="188" t="s">
        <v>5241</v>
      </c>
      <c r="AF651" s="189">
        <v>0.29166666666666669</v>
      </c>
      <c r="AG651" s="189">
        <v>0.91666666666666663</v>
      </c>
      <c r="AH651" s="190" t="s">
        <v>2941</v>
      </c>
      <c r="AI651" s="190" t="s">
        <v>2942</v>
      </c>
      <c r="AJ651" s="183" t="s">
        <v>575</v>
      </c>
      <c r="AK651" s="179" t="s">
        <v>4250</v>
      </c>
      <c r="AL651" s="183" t="s">
        <v>40</v>
      </c>
      <c r="AM651" s="222" t="s">
        <v>5417</v>
      </c>
      <c r="AN651" s="183" t="s">
        <v>2102</v>
      </c>
      <c r="AO651" s="209" t="s">
        <v>5418</v>
      </c>
      <c r="AP651" s="191"/>
      <c r="AQ651" s="222">
        <v>45596</v>
      </c>
      <c r="AR651" s="183">
        <v>21</v>
      </c>
      <c r="AS651" s="183"/>
      <c r="AT651" s="182" t="s">
        <v>4243</v>
      </c>
      <c r="AU651" s="182" t="s">
        <v>2946</v>
      </c>
      <c r="AV651" s="227">
        <v>13757030</v>
      </c>
      <c r="AW651" s="181">
        <v>95</v>
      </c>
      <c r="AX651" s="206">
        <v>80853</v>
      </c>
      <c r="AY651" s="183"/>
    </row>
    <row r="652" spans="1:51" ht="14.4" x14ac:dyDescent="0.3">
      <c r="A652" s="179" t="s">
        <v>1795</v>
      </c>
      <c r="B652" s="179" t="s">
        <v>2927</v>
      </c>
      <c r="C652" s="212" t="s">
        <v>2153</v>
      </c>
      <c r="D652" s="181" t="s">
        <v>2833</v>
      </c>
      <c r="E652" s="181" t="s">
        <v>2821</v>
      </c>
      <c r="F652" s="182" t="s">
        <v>2929</v>
      </c>
      <c r="G652" s="181" t="s">
        <v>12</v>
      </c>
      <c r="H652" s="222">
        <v>45596</v>
      </c>
      <c r="I652" s="193"/>
      <c r="J652" s="186" t="s">
        <v>3008</v>
      </c>
      <c r="K652" s="186" t="s">
        <v>3008</v>
      </c>
      <c r="L652" s="186"/>
      <c r="M652" s="185"/>
      <c r="N652" s="185"/>
      <c r="O652" s="186"/>
      <c r="P652" s="185"/>
      <c r="Q652" s="182" t="s">
        <v>2934</v>
      </c>
      <c r="R652" s="182" t="s">
        <v>2933</v>
      </c>
      <c r="S652" s="182" t="s">
        <v>2935</v>
      </c>
      <c r="T652" s="179" t="s">
        <v>2974</v>
      </c>
      <c r="U652" s="183" t="s">
        <v>2937</v>
      </c>
      <c r="V652" s="225">
        <v>1270</v>
      </c>
      <c r="W652" s="225" t="s">
        <v>3009</v>
      </c>
      <c r="X652" s="226">
        <v>362.07</v>
      </c>
      <c r="Y652" s="226">
        <v>251.63</v>
      </c>
      <c r="Z652" s="226">
        <v>120.31</v>
      </c>
      <c r="AA652" s="226">
        <v>101.01</v>
      </c>
      <c r="AB652" s="226">
        <v>29.89</v>
      </c>
      <c r="AC652" s="225">
        <v>98.54</v>
      </c>
      <c r="AD652" s="179" t="s">
        <v>2956</v>
      </c>
      <c r="AE652" s="188" t="s">
        <v>5241</v>
      </c>
      <c r="AF652" s="189">
        <v>0.29166666666666669</v>
      </c>
      <c r="AG652" s="189">
        <v>0.91666666666666663</v>
      </c>
      <c r="AH652" s="190" t="s">
        <v>2941</v>
      </c>
      <c r="AI652" s="190" t="s">
        <v>2942</v>
      </c>
      <c r="AJ652" s="183" t="s">
        <v>1793</v>
      </c>
      <c r="AK652" s="179" t="s">
        <v>4217</v>
      </c>
      <c r="AL652" s="183" t="s">
        <v>36</v>
      </c>
      <c r="AM652" s="222" t="s">
        <v>5419</v>
      </c>
      <c r="AN652" s="183" t="s">
        <v>2102</v>
      </c>
      <c r="AO652" s="209" t="s">
        <v>5420</v>
      </c>
      <c r="AP652" s="191"/>
      <c r="AQ652" s="222">
        <v>45596</v>
      </c>
      <c r="AR652" s="183">
        <v>21</v>
      </c>
      <c r="AS652" s="183"/>
      <c r="AT652" s="182"/>
      <c r="AU652" s="182"/>
      <c r="AV652" s="227">
        <v>8562688</v>
      </c>
      <c r="AW652" s="181">
        <v>19.2</v>
      </c>
      <c r="AX652" s="206">
        <v>82181</v>
      </c>
      <c r="AY652" s="183"/>
    </row>
    <row r="653" spans="1:51" ht="14.4" x14ac:dyDescent="0.3">
      <c r="A653" s="179" t="s">
        <v>856</v>
      </c>
      <c r="B653" s="179" t="s">
        <v>2947</v>
      </c>
      <c r="C653" s="212" t="s">
        <v>2232</v>
      </c>
      <c r="D653" s="181" t="s">
        <v>2855</v>
      </c>
      <c r="E653" s="181" t="s">
        <v>2815</v>
      </c>
      <c r="F653" s="182" t="s">
        <v>2972</v>
      </c>
      <c r="G653" s="181" t="s">
        <v>17</v>
      </c>
      <c r="H653" s="222">
        <v>45632</v>
      </c>
      <c r="I653" s="193"/>
      <c r="J653" s="179" t="s">
        <v>5421</v>
      </c>
      <c r="K653" s="186">
        <v>2200</v>
      </c>
      <c r="L653" s="186"/>
      <c r="M653" s="185"/>
      <c r="N653" s="185"/>
      <c r="O653" s="179" t="s">
        <v>2951</v>
      </c>
      <c r="P653" s="185"/>
      <c r="Q653" s="182" t="s">
        <v>2933</v>
      </c>
      <c r="R653" s="182" t="s">
        <v>2934</v>
      </c>
      <c r="S653" s="182" t="s">
        <v>2952</v>
      </c>
      <c r="T653" s="179" t="s">
        <v>2953</v>
      </c>
      <c r="U653" s="183" t="s">
        <v>2954</v>
      </c>
      <c r="V653" s="225">
        <v>755</v>
      </c>
      <c r="W653" s="225" t="s">
        <v>3009</v>
      </c>
      <c r="X653" s="226">
        <v>406.8</v>
      </c>
      <c r="Y653" s="226">
        <v>233.03</v>
      </c>
      <c r="Z653" s="226">
        <v>142.33000000000001</v>
      </c>
      <c r="AA653" s="226">
        <v>105.33</v>
      </c>
      <c r="AB653" s="226">
        <v>30.64</v>
      </c>
      <c r="AC653" s="225">
        <v>66.22</v>
      </c>
      <c r="AD653" s="179" t="s">
        <v>2956</v>
      </c>
      <c r="AE653" s="188" t="s">
        <v>5241</v>
      </c>
      <c r="AF653" s="189">
        <v>0.29166666666666669</v>
      </c>
      <c r="AG653" s="189">
        <v>0.95833333333333337</v>
      </c>
      <c r="AH653" s="190" t="s">
        <v>2941</v>
      </c>
      <c r="AI653" s="190" t="s">
        <v>2985</v>
      </c>
      <c r="AJ653" s="183" t="s">
        <v>854</v>
      </c>
      <c r="AK653" s="179" t="s">
        <v>3387</v>
      </c>
      <c r="AL653" s="183" t="s">
        <v>4</v>
      </c>
      <c r="AM653" s="222" t="s">
        <v>5422</v>
      </c>
      <c r="AN653" s="183" t="s">
        <v>2102</v>
      </c>
      <c r="AO653" s="209" t="s">
        <v>5423</v>
      </c>
      <c r="AP653" s="191"/>
      <c r="AQ653" s="222">
        <v>45598</v>
      </c>
      <c r="AR653" s="183">
        <v>21</v>
      </c>
      <c r="AS653" s="183"/>
      <c r="AT653" s="182"/>
      <c r="AU653" s="182"/>
      <c r="AV653" s="227">
        <v>13910439</v>
      </c>
      <c r="AW653" s="181">
        <v>27</v>
      </c>
      <c r="AX653" s="206">
        <v>80237</v>
      </c>
      <c r="AY653" s="183"/>
    </row>
    <row r="654" spans="1:51" ht="14.4" x14ac:dyDescent="0.3">
      <c r="A654" s="179" t="s">
        <v>1070</v>
      </c>
      <c r="B654" s="179" t="s">
        <v>2927</v>
      </c>
      <c r="C654" s="212" t="s">
        <v>2142</v>
      </c>
      <c r="D654" s="181" t="s">
        <v>2851</v>
      </c>
      <c r="E654" s="181" t="s">
        <v>2817</v>
      </c>
      <c r="F654" s="182" t="s">
        <v>2929</v>
      </c>
      <c r="G654" s="181" t="s">
        <v>12</v>
      </c>
      <c r="H654" s="222">
        <v>45596</v>
      </c>
      <c r="I654" s="193"/>
      <c r="J654" s="179" t="s">
        <v>5424</v>
      </c>
      <c r="K654" s="186">
        <v>380</v>
      </c>
      <c r="L654" s="186"/>
      <c r="M654" s="185"/>
      <c r="N654" s="185"/>
      <c r="O654" s="186"/>
      <c r="P654" s="185"/>
      <c r="Q654" s="182" t="s">
        <v>2933</v>
      </c>
      <c r="R654" s="182" t="s">
        <v>2934</v>
      </c>
      <c r="S654" s="182" t="s">
        <v>2952</v>
      </c>
      <c r="T654" s="179" t="s">
        <v>2974</v>
      </c>
      <c r="U654" s="183" t="s">
        <v>2937</v>
      </c>
      <c r="V654" s="225">
        <v>443</v>
      </c>
      <c r="W654" s="225" t="s">
        <v>4532</v>
      </c>
      <c r="X654" s="226">
        <v>228.28</v>
      </c>
      <c r="Y654" s="226">
        <v>232.92000000000002</v>
      </c>
      <c r="Z654" s="226">
        <v>119.81</v>
      </c>
      <c r="AA654" s="226">
        <v>49.68</v>
      </c>
      <c r="AB654" s="226">
        <v>13.82</v>
      </c>
      <c r="AC654" s="225">
        <v>86.11</v>
      </c>
      <c r="AD654" s="179" t="s">
        <v>2956</v>
      </c>
      <c r="AE654" s="188" t="s">
        <v>5253</v>
      </c>
      <c r="AF654" s="189">
        <v>0.29166666666666669</v>
      </c>
      <c r="AG654" s="189">
        <v>0.95833333333333337</v>
      </c>
      <c r="AH654" s="190" t="s">
        <v>2941</v>
      </c>
      <c r="AI654" s="190" t="s">
        <v>2985</v>
      </c>
      <c r="AJ654" s="183" t="s">
        <v>256</v>
      </c>
      <c r="AK654" s="179" t="s">
        <v>3256</v>
      </c>
      <c r="AL654" s="183" t="s">
        <v>4</v>
      </c>
      <c r="AM654" s="222" t="s">
        <v>5425</v>
      </c>
      <c r="AN654" s="183" t="s">
        <v>2102</v>
      </c>
      <c r="AO654" s="209" t="s">
        <v>5426</v>
      </c>
      <c r="AP654" s="191"/>
      <c r="AQ654" s="222">
        <v>45600</v>
      </c>
      <c r="AR654" s="183">
        <v>21</v>
      </c>
      <c r="AS654" s="183"/>
      <c r="AT654" s="182"/>
      <c r="AU654" s="182"/>
      <c r="AV654" s="227">
        <v>11126820</v>
      </c>
      <c r="AW654" s="181">
        <v>24</v>
      </c>
      <c r="AX654" s="206">
        <v>80221</v>
      </c>
      <c r="AY654" s="183"/>
    </row>
    <row r="655" spans="1:51" ht="14.4" x14ac:dyDescent="0.3">
      <c r="A655" s="179" t="s">
        <v>730</v>
      </c>
      <c r="B655" s="179" t="s">
        <v>2947</v>
      </c>
      <c r="C655" s="212" t="s">
        <v>2205</v>
      </c>
      <c r="D655" s="181" t="s">
        <v>2869</v>
      </c>
      <c r="E655" s="181" t="s">
        <v>2834</v>
      </c>
      <c r="F655" s="182" t="s">
        <v>2972</v>
      </c>
      <c r="G655" s="181" t="s">
        <v>17</v>
      </c>
      <c r="H655" s="222">
        <v>45619</v>
      </c>
      <c r="I655" s="193"/>
      <c r="J655" s="186" t="s">
        <v>3008</v>
      </c>
      <c r="K655" s="186" t="s">
        <v>3008</v>
      </c>
      <c r="L655" s="186"/>
      <c r="M655" s="185"/>
      <c r="N655" s="185"/>
      <c r="O655" s="186"/>
      <c r="P655" s="185"/>
      <c r="Q655" s="182" t="s">
        <v>2934</v>
      </c>
      <c r="R655" s="182" t="s">
        <v>2933</v>
      </c>
      <c r="S655" s="182" t="s">
        <v>2952</v>
      </c>
      <c r="T655" s="179" t="s">
        <v>2974</v>
      </c>
      <c r="U655" s="183" t="s">
        <v>2954</v>
      </c>
      <c r="V655" s="225">
        <v>1715</v>
      </c>
      <c r="W655" s="225" t="s">
        <v>3549</v>
      </c>
      <c r="X655" s="226">
        <v>336.72</v>
      </c>
      <c r="Y655" s="226">
        <v>254.71</v>
      </c>
      <c r="Z655" s="226">
        <v>130.01</v>
      </c>
      <c r="AA655" s="226">
        <v>110.89</v>
      </c>
      <c r="AB655" s="226">
        <v>26.94</v>
      </c>
      <c r="AC655" s="225">
        <v>63.06</v>
      </c>
      <c r="AD655" s="179" t="s">
        <v>2956</v>
      </c>
      <c r="AE655" s="188" t="s">
        <v>5241</v>
      </c>
      <c r="AF655" s="189">
        <v>0.29166666666666669</v>
      </c>
      <c r="AG655" s="189">
        <v>0.95833333333333337</v>
      </c>
      <c r="AH655" s="190" t="s">
        <v>2941</v>
      </c>
      <c r="AI655" s="190" t="s">
        <v>2942</v>
      </c>
      <c r="AJ655" s="183" t="s">
        <v>728</v>
      </c>
      <c r="AK655" s="179" t="s">
        <v>40</v>
      </c>
      <c r="AL655" s="183" t="s">
        <v>40</v>
      </c>
      <c r="AM655" s="222" t="s">
        <v>5427</v>
      </c>
      <c r="AN655" s="183" t="s">
        <v>2102</v>
      </c>
      <c r="AO655" s="209" t="s">
        <v>5428</v>
      </c>
      <c r="AP655" s="191"/>
      <c r="AQ655" s="222">
        <v>45619</v>
      </c>
      <c r="AR655" s="183">
        <v>21</v>
      </c>
      <c r="AS655" s="183"/>
      <c r="AT655" s="182"/>
      <c r="AU655" s="182"/>
      <c r="AV655" s="227">
        <v>12882345</v>
      </c>
      <c r="AW655" s="181">
        <v>79</v>
      </c>
      <c r="AX655" s="206">
        <v>80853</v>
      </c>
      <c r="AY655" s="183"/>
    </row>
    <row r="656" spans="1:51" ht="14.4" x14ac:dyDescent="0.3">
      <c r="A656" s="179" t="s">
        <v>1736</v>
      </c>
      <c r="B656" s="179" t="s">
        <v>2927</v>
      </c>
      <c r="C656" s="212" t="s">
        <v>2167</v>
      </c>
      <c r="D656" s="181" t="s">
        <v>2833</v>
      </c>
      <c r="E656" s="181" t="s">
        <v>2821</v>
      </c>
      <c r="F656" s="182" t="s">
        <v>2929</v>
      </c>
      <c r="G656" s="181" t="s">
        <v>12</v>
      </c>
      <c r="H656" s="222">
        <v>45619</v>
      </c>
      <c r="I656" s="193"/>
      <c r="J656" s="179" t="s">
        <v>5429</v>
      </c>
      <c r="K656" s="186">
        <v>37</v>
      </c>
      <c r="L656" s="186"/>
      <c r="M656" s="185"/>
      <c r="N656" s="185"/>
      <c r="O656" s="186"/>
      <c r="P656" s="185"/>
      <c r="Q656" s="182" t="s">
        <v>2934</v>
      </c>
      <c r="R656" s="182" t="s">
        <v>2933</v>
      </c>
      <c r="S656" s="182" t="s">
        <v>2935</v>
      </c>
      <c r="T656" s="179" t="s">
        <v>2974</v>
      </c>
      <c r="U656" s="183" t="s">
        <v>2937</v>
      </c>
      <c r="V656" s="225">
        <v>1069</v>
      </c>
      <c r="W656" s="225" t="s">
        <v>3151</v>
      </c>
      <c r="X656" s="226">
        <v>335.29</v>
      </c>
      <c r="Y656" s="226">
        <v>203.37</v>
      </c>
      <c r="Z656" s="226">
        <v>120.88</v>
      </c>
      <c r="AA656" s="226">
        <v>115.54</v>
      </c>
      <c r="AB656" s="226">
        <v>25.94</v>
      </c>
      <c r="AC656" s="225">
        <v>60.98</v>
      </c>
      <c r="AD656" s="179" t="s">
        <v>2956</v>
      </c>
      <c r="AE656" s="188" t="s">
        <v>5241</v>
      </c>
      <c r="AF656" s="189">
        <v>0.29166666666666669</v>
      </c>
      <c r="AG656" s="189">
        <v>0.91666666666666663</v>
      </c>
      <c r="AH656" s="190" t="s">
        <v>2941</v>
      </c>
      <c r="AI656" s="190" t="s">
        <v>2942</v>
      </c>
      <c r="AJ656" s="183" t="s">
        <v>586</v>
      </c>
      <c r="AK656" s="179" t="s">
        <v>36</v>
      </c>
      <c r="AL656" s="183" t="s">
        <v>36</v>
      </c>
      <c r="AM656" s="222" t="s">
        <v>5430</v>
      </c>
      <c r="AN656" s="183" t="s">
        <v>2102</v>
      </c>
      <c r="AO656" s="209" t="s">
        <v>5431</v>
      </c>
      <c r="AP656" s="191"/>
      <c r="AQ656" s="222">
        <v>45619</v>
      </c>
      <c r="AR656" s="183">
        <v>21</v>
      </c>
      <c r="AS656" s="183"/>
      <c r="AT656" s="182"/>
      <c r="AU656" s="182"/>
      <c r="AV656" s="227">
        <v>6700737</v>
      </c>
      <c r="AW656" s="181">
        <v>14</v>
      </c>
      <c r="AX656" s="206">
        <v>82115</v>
      </c>
      <c r="AY656" s="183"/>
    </row>
    <row r="657" spans="1:51" ht="14.4" x14ac:dyDescent="0.3">
      <c r="A657" s="179" t="s">
        <v>622</v>
      </c>
      <c r="B657" s="179" t="s">
        <v>2947</v>
      </c>
      <c r="C657" s="212" t="s">
        <v>621</v>
      </c>
      <c r="D657" s="181" t="s">
        <v>2864</v>
      </c>
      <c r="E657" s="181" t="s">
        <v>2827</v>
      </c>
      <c r="F657" s="182" t="s">
        <v>2972</v>
      </c>
      <c r="G657" s="181" t="s">
        <v>17</v>
      </c>
      <c r="H657" s="222">
        <v>45626</v>
      </c>
      <c r="I657" s="193"/>
      <c r="J657" s="186" t="s">
        <v>3008</v>
      </c>
      <c r="K657" s="186" t="s">
        <v>3008</v>
      </c>
      <c r="L657" s="186"/>
      <c r="M657" s="185"/>
      <c r="N657" s="185"/>
      <c r="O657" s="186"/>
      <c r="P657" s="185"/>
      <c r="Q657" s="182" t="s">
        <v>2934</v>
      </c>
      <c r="R657" s="182" t="s">
        <v>2933</v>
      </c>
      <c r="S657" s="182" t="s">
        <v>2935</v>
      </c>
      <c r="T657" s="179" t="s">
        <v>2974</v>
      </c>
      <c r="U657" s="183" t="s">
        <v>2954</v>
      </c>
      <c r="V657" s="225">
        <v>1300</v>
      </c>
      <c r="W657" s="225" t="s">
        <v>3151</v>
      </c>
      <c r="X657" s="226">
        <v>290.5</v>
      </c>
      <c r="Y657" s="226">
        <v>221.61</v>
      </c>
      <c r="Z657" s="226">
        <v>122.98</v>
      </c>
      <c r="AA657" s="226">
        <v>107.16</v>
      </c>
      <c r="AB657" s="226">
        <v>19.739999999999998</v>
      </c>
      <c r="AC657" s="225">
        <v>75.05</v>
      </c>
      <c r="AD657" s="179" t="s">
        <v>2956</v>
      </c>
      <c r="AE657" s="188" t="s">
        <v>5241</v>
      </c>
      <c r="AF657" s="189">
        <v>0.29166666666666669</v>
      </c>
      <c r="AG657" s="189">
        <v>0.91666666666666663</v>
      </c>
      <c r="AH657" s="190" t="s">
        <v>2941</v>
      </c>
      <c r="AI657" s="190" t="s">
        <v>2942</v>
      </c>
      <c r="AJ657" s="183" t="s">
        <v>620</v>
      </c>
      <c r="AK657" s="179" t="s">
        <v>4430</v>
      </c>
      <c r="AL657" s="183" t="s">
        <v>48</v>
      </c>
      <c r="AM657" s="222" t="s">
        <v>5432</v>
      </c>
      <c r="AN657" s="183" t="s">
        <v>2102</v>
      </c>
      <c r="AO657" s="209" t="s">
        <v>5433</v>
      </c>
      <c r="AP657" s="191"/>
      <c r="AQ657" s="222">
        <v>45626</v>
      </c>
      <c r="AR657" s="183">
        <v>20</v>
      </c>
      <c r="AS657" s="183"/>
      <c r="AT657" s="182"/>
      <c r="AU657" s="182"/>
      <c r="AV657" s="227">
        <v>12975000</v>
      </c>
      <c r="AW657" s="181">
        <v>30</v>
      </c>
      <c r="AX657" s="206">
        <v>81173</v>
      </c>
      <c r="AY657" s="183"/>
    </row>
    <row r="658" spans="1:51" ht="14.4" x14ac:dyDescent="0.3">
      <c r="A658" s="179" t="s">
        <v>675</v>
      </c>
      <c r="B658" s="179" t="s">
        <v>2947</v>
      </c>
      <c r="C658" s="212" t="s">
        <v>5434</v>
      </c>
      <c r="D658" s="181" t="s">
        <v>2858</v>
      </c>
      <c r="E658" s="181" t="s">
        <v>2813</v>
      </c>
      <c r="F658" s="182" t="s">
        <v>2972</v>
      </c>
      <c r="G658" s="181" t="s">
        <v>17</v>
      </c>
      <c r="H658" s="222">
        <v>45667</v>
      </c>
      <c r="I658" s="193"/>
      <c r="J658" s="179" t="s">
        <v>5435</v>
      </c>
      <c r="K658" s="186">
        <v>50</v>
      </c>
      <c r="L658" s="186"/>
      <c r="M658" s="185"/>
      <c r="N658" s="185"/>
      <c r="O658" s="179" t="s">
        <v>2951</v>
      </c>
      <c r="P658" s="185"/>
      <c r="Q658" s="182" t="s">
        <v>2933</v>
      </c>
      <c r="R658" s="182" t="s">
        <v>2934</v>
      </c>
      <c r="S658" s="182" t="s">
        <v>2952</v>
      </c>
      <c r="T658" s="179" t="s">
        <v>2974</v>
      </c>
      <c r="U658" s="183" t="s">
        <v>2954</v>
      </c>
      <c r="V658" s="225">
        <v>806</v>
      </c>
      <c r="W658" s="225" t="s">
        <v>4550</v>
      </c>
      <c r="X658" s="226">
        <v>280.01</v>
      </c>
      <c r="Y658" s="226">
        <v>188.82</v>
      </c>
      <c r="Z658" s="226">
        <v>113.24</v>
      </c>
      <c r="AA658" s="226">
        <v>78.09</v>
      </c>
      <c r="AB658" s="226">
        <v>24.25</v>
      </c>
      <c r="AC658" s="225">
        <v>49.77</v>
      </c>
      <c r="AD658" s="179" t="s">
        <v>2984</v>
      </c>
      <c r="AE658" s="188" t="s">
        <v>5241</v>
      </c>
      <c r="AF658" s="189">
        <v>0.29166666666666669</v>
      </c>
      <c r="AG658" s="189">
        <v>0.95833333333333337</v>
      </c>
      <c r="AH658" s="190" t="s">
        <v>2941</v>
      </c>
      <c r="AI658" s="190" t="s">
        <v>2942</v>
      </c>
      <c r="AJ658" s="183" t="s">
        <v>673</v>
      </c>
      <c r="AK658" s="179" t="s">
        <v>3302</v>
      </c>
      <c r="AL658" s="183" t="s">
        <v>9</v>
      </c>
      <c r="AM658" s="222" t="s">
        <v>5436</v>
      </c>
      <c r="AN658" s="183" t="s">
        <v>2102</v>
      </c>
      <c r="AO658" s="209" t="s">
        <v>5437</v>
      </c>
      <c r="AP658" s="191"/>
      <c r="AQ658" s="222">
        <v>45631</v>
      </c>
      <c r="AR658" s="183">
        <v>20</v>
      </c>
      <c r="AS658" s="183"/>
      <c r="AT658" s="182"/>
      <c r="AU658" s="182"/>
      <c r="AV658" s="227">
        <v>15503038</v>
      </c>
      <c r="AW658" s="181">
        <v>19</v>
      </c>
      <c r="AX658" s="206">
        <v>80351</v>
      </c>
      <c r="AY658" s="183"/>
    </row>
    <row r="659" spans="1:51" ht="14.4" x14ac:dyDescent="0.3">
      <c r="A659" s="179" t="s">
        <v>588</v>
      </c>
      <c r="B659" s="179" t="s">
        <v>2947</v>
      </c>
      <c r="C659" s="212" t="s">
        <v>2201</v>
      </c>
      <c r="D659" s="181" t="s">
        <v>2846</v>
      </c>
      <c r="E659" s="181" t="s">
        <v>2821</v>
      </c>
      <c r="F659" s="182" t="s">
        <v>2972</v>
      </c>
      <c r="G659" s="181" t="s">
        <v>17</v>
      </c>
      <c r="H659" s="222">
        <v>45667</v>
      </c>
      <c r="I659" s="193"/>
      <c r="J659" s="186" t="s">
        <v>5438</v>
      </c>
      <c r="K659" s="186">
        <v>600</v>
      </c>
      <c r="L659" s="186"/>
      <c r="M659" s="185"/>
      <c r="N659" s="185"/>
      <c r="O659" s="179" t="s">
        <v>2951</v>
      </c>
      <c r="P659" s="185"/>
      <c r="Q659" s="182" t="s">
        <v>2934</v>
      </c>
      <c r="R659" s="182" t="s">
        <v>2933</v>
      </c>
      <c r="S659" s="182" t="s">
        <v>2935</v>
      </c>
      <c r="T659" s="179" t="s">
        <v>2974</v>
      </c>
      <c r="U659" s="183" t="s">
        <v>2954</v>
      </c>
      <c r="V659" s="225">
        <v>1268</v>
      </c>
      <c r="W659" s="225" t="s">
        <v>2975</v>
      </c>
      <c r="X659" s="226">
        <v>376.04</v>
      </c>
      <c r="Y659" s="226">
        <v>213.12</v>
      </c>
      <c r="Z659" s="226">
        <v>127.22</v>
      </c>
      <c r="AA659" s="226">
        <v>122.3</v>
      </c>
      <c r="AB659" s="226">
        <v>8.8699999999999992</v>
      </c>
      <c r="AC659" s="225">
        <v>67.2</v>
      </c>
      <c r="AD659" s="179" t="s">
        <v>2956</v>
      </c>
      <c r="AE659" s="188" t="s">
        <v>5241</v>
      </c>
      <c r="AF659" s="189">
        <v>0.29166666666666669</v>
      </c>
      <c r="AG659" s="189">
        <v>0.95833333333333337</v>
      </c>
      <c r="AH659" s="190" t="s">
        <v>2941</v>
      </c>
      <c r="AI659" s="190" t="s">
        <v>2942</v>
      </c>
      <c r="AJ659" s="183" t="s">
        <v>586</v>
      </c>
      <c r="AK659" s="179" t="s">
        <v>36</v>
      </c>
      <c r="AL659" s="183" t="s">
        <v>36</v>
      </c>
      <c r="AM659" s="222" t="s">
        <v>5439</v>
      </c>
      <c r="AN659" s="183" t="s">
        <v>2102</v>
      </c>
      <c r="AO659" s="209" t="s">
        <v>5440</v>
      </c>
      <c r="AP659" s="191"/>
      <c r="AQ659" s="222">
        <v>45639</v>
      </c>
      <c r="AR659" s="183">
        <v>20</v>
      </c>
      <c r="AS659" s="183"/>
      <c r="AT659" s="182" t="s">
        <v>5441</v>
      </c>
      <c r="AU659" s="182" t="s">
        <v>2946</v>
      </c>
      <c r="AV659" s="227">
        <v>13129844</v>
      </c>
      <c r="AW659" s="181">
        <v>6.3</v>
      </c>
      <c r="AX659" s="206">
        <v>82123</v>
      </c>
      <c r="AY659" s="183"/>
    </row>
    <row r="660" spans="1:51" ht="14.4" x14ac:dyDescent="0.3">
      <c r="A660" s="179" t="s">
        <v>1531</v>
      </c>
      <c r="B660" s="179" t="s">
        <v>2927</v>
      </c>
      <c r="C660" s="212" t="s">
        <v>2115</v>
      </c>
      <c r="D660" s="181" t="s">
        <v>2842</v>
      </c>
      <c r="E660" s="181" t="s">
        <v>2834</v>
      </c>
      <c r="F660" s="182" t="s">
        <v>2929</v>
      </c>
      <c r="G660" s="181" t="s">
        <v>12</v>
      </c>
      <c r="H660" s="222">
        <v>45641</v>
      </c>
      <c r="I660" s="193"/>
      <c r="J660" s="186" t="s">
        <v>3008</v>
      </c>
      <c r="K660" s="186" t="s">
        <v>3008</v>
      </c>
      <c r="L660" s="186"/>
      <c r="M660" s="185"/>
      <c r="N660" s="185"/>
      <c r="O660" s="186"/>
      <c r="P660" s="185"/>
      <c r="Q660" s="182" t="s">
        <v>2934</v>
      </c>
      <c r="R660" s="182" t="s">
        <v>2933</v>
      </c>
      <c r="S660" s="182" t="s">
        <v>2935</v>
      </c>
      <c r="T660" s="179" t="s">
        <v>2974</v>
      </c>
      <c r="U660" s="183" t="s">
        <v>2937</v>
      </c>
      <c r="V660" s="225">
        <v>1770</v>
      </c>
      <c r="W660" s="225" t="s">
        <v>3549</v>
      </c>
      <c r="X660" s="226">
        <v>328.52</v>
      </c>
      <c r="Y660" s="226">
        <v>240</v>
      </c>
      <c r="Z660" s="226">
        <v>120.37</v>
      </c>
      <c r="AA660" s="226">
        <v>80.5</v>
      </c>
      <c r="AB660" s="226">
        <v>24.15</v>
      </c>
      <c r="AC660" s="225">
        <v>91.25</v>
      </c>
      <c r="AD660" s="179" t="s">
        <v>2956</v>
      </c>
      <c r="AE660" s="188" t="s">
        <v>5241</v>
      </c>
      <c r="AF660" s="189">
        <v>0.29166666666666669</v>
      </c>
      <c r="AG660" s="189">
        <v>0.91666666666666663</v>
      </c>
      <c r="AH660" s="190" t="s">
        <v>2941</v>
      </c>
      <c r="AI660" s="190" t="s">
        <v>2942</v>
      </c>
      <c r="AJ660" s="183" t="s">
        <v>1529</v>
      </c>
      <c r="AK660" s="179" t="s">
        <v>5442</v>
      </c>
      <c r="AL660" s="183" t="s">
        <v>40</v>
      </c>
      <c r="AM660" s="222" t="s">
        <v>5443</v>
      </c>
      <c r="AN660" s="183" t="s">
        <v>2102</v>
      </c>
      <c r="AO660" s="209" t="s">
        <v>5444</v>
      </c>
      <c r="AP660" s="191"/>
      <c r="AQ660" s="222">
        <v>45641</v>
      </c>
      <c r="AR660" s="183">
        <v>20</v>
      </c>
      <c r="AS660" s="183"/>
      <c r="AT660" s="182"/>
      <c r="AU660" s="182"/>
      <c r="AV660" s="227">
        <v>13757030</v>
      </c>
      <c r="AW660" s="181">
        <v>46</v>
      </c>
      <c r="AX660" s="206">
        <v>80864</v>
      </c>
      <c r="AY660" s="183"/>
    </row>
    <row r="661" spans="1:51" ht="14.4" x14ac:dyDescent="0.3">
      <c r="A661" s="179" t="s">
        <v>404</v>
      </c>
      <c r="B661" s="179" t="s">
        <v>2927</v>
      </c>
      <c r="C661" s="212" t="s">
        <v>2157</v>
      </c>
      <c r="D661" s="181" t="s">
        <v>2818</v>
      </c>
      <c r="E661" s="181" t="s">
        <v>2817</v>
      </c>
      <c r="F661" s="182" t="s">
        <v>2929</v>
      </c>
      <c r="G661" s="181" t="s">
        <v>12</v>
      </c>
      <c r="H661" s="222">
        <v>45642</v>
      </c>
      <c r="I661" s="193"/>
      <c r="J661" s="186" t="s">
        <v>5445</v>
      </c>
      <c r="K661" s="186">
        <v>966</v>
      </c>
      <c r="L661" s="186"/>
      <c r="M661" s="185"/>
      <c r="N661" s="185"/>
      <c r="O661" s="186"/>
      <c r="P661" s="185"/>
      <c r="Q661" s="182" t="s">
        <v>2933</v>
      </c>
      <c r="R661" s="182" t="s">
        <v>2934</v>
      </c>
      <c r="S661" s="182" t="s">
        <v>2952</v>
      </c>
      <c r="T661" s="179" t="s">
        <v>2953</v>
      </c>
      <c r="U661" s="183" t="s">
        <v>2937</v>
      </c>
      <c r="V661" s="225">
        <v>462</v>
      </c>
      <c r="W661" s="225" t="s">
        <v>4616</v>
      </c>
      <c r="X661" s="226">
        <v>235.56</v>
      </c>
      <c r="Y661" s="226">
        <v>159.68</v>
      </c>
      <c r="Z661" s="226">
        <v>115.59</v>
      </c>
      <c r="AA661" s="226">
        <v>96.48</v>
      </c>
      <c r="AB661" s="226">
        <v>23.12</v>
      </c>
      <c r="AC661" s="225">
        <v>170.04000000000002</v>
      </c>
      <c r="AD661" s="179" t="s">
        <v>2956</v>
      </c>
      <c r="AE661" s="188" t="s">
        <v>5253</v>
      </c>
      <c r="AF661" s="189">
        <v>0.29166666666666669</v>
      </c>
      <c r="AG661" s="189">
        <v>0.91666666666666663</v>
      </c>
      <c r="AH661" s="190" t="s">
        <v>2941</v>
      </c>
      <c r="AI661" s="190" t="s">
        <v>2985</v>
      </c>
      <c r="AJ661" s="183" t="s">
        <v>373</v>
      </c>
      <c r="AK661" s="179" t="s">
        <v>3256</v>
      </c>
      <c r="AL661" s="183" t="s">
        <v>4</v>
      </c>
      <c r="AM661" s="222" t="s">
        <v>5446</v>
      </c>
      <c r="AN661" s="183" t="s">
        <v>2102</v>
      </c>
      <c r="AO661" s="209" t="s">
        <v>5447</v>
      </c>
      <c r="AP661" s="191"/>
      <c r="AQ661" s="222">
        <v>45642</v>
      </c>
      <c r="AR661" s="183">
        <v>20</v>
      </c>
      <c r="AS661" s="183"/>
      <c r="AT661" s="182"/>
      <c r="AU661" s="182"/>
      <c r="AV661" s="227">
        <v>10580796</v>
      </c>
      <c r="AW661" s="181">
        <v>28</v>
      </c>
      <c r="AX661" s="206">
        <v>80223</v>
      </c>
      <c r="AY661" s="183"/>
    </row>
    <row r="662" spans="1:51" ht="14.4" x14ac:dyDescent="0.3">
      <c r="A662" s="179" t="s">
        <v>1274</v>
      </c>
      <c r="B662" s="179" t="s">
        <v>2947</v>
      </c>
      <c r="C662" s="212" t="s">
        <v>2226</v>
      </c>
      <c r="D662" s="181" t="s">
        <v>2847</v>
      </c>
      <c r="E662" s="181" t="s">
        <v>2830</v>
      </c>
      <c r="F662" s="182" t="s">
        <v>2972</v>
      </c>
      <c r="G662" s="181" t="s">
        <v>17</v>
      </c>
      <c r="H662" s="222">
        <v>45667</v>
      </c>
      <c r="I662" s="193"/>
      <c r="J662" s="186" t="s">
        <v>5448</v>
      </c>
      <c r="K662" s="186">
        <v>600</v>
      </c>
      <c r="L662" s="186"/>
      <c r="M662" s="185"/>
      <c r="N662" s="185"/>
      <c r="O662" s="179" t="s">
        <v>2951</v>
      </c>
      <c r="P662" s="185"/>
      <c r="Q662" s="182" t="s">
        <v>2933</v>
      </c>
      <c r="R662" s="182" t="s">
        <v>2934</v>
      </c>
      <c r="S662" s="182" t="s">
        <v>2952</v>
      </c>
      <c r="T662" s="179" t="s">
        <v>2974</v>
      </c>
      <c r="U662" s="183" t="s">
        <v>2954</v>
      </c>
      <c r="V662" s="225">
        <v>258</v>
      </c>
      <c r="W662" s="225" t="s">
        <v>2975</v>
      </c>
      <c r="X662" s="226">
        <v>527.57000000000005</v>
      </c>
      <c r="Y662" s="226">
        <v>320.51</v>
      </c>
      <c r="Z662" s="226">
        <v>161.63</v>
      </c>
      <c r="AA662" s="226">
        <v>107.8</v>
      </c>
      <c r="AB662" s="226">
        <v>63.05</v>
      </c>
      <c r="AC662" s="225">
        <v>118.81</v>
      </c>
      <c r="AD662" s="179" t="s">
        <v>2956</v>
      </c>
      <c r="AE662" s="188" t="s">
        <v>5241</v>
      </c>
      <c r="AF662" s="189">
        <v>0.29166666666666669</v>
      </c>
      <c r="AG662" s="189">
        <v>0.99930555555555556</v>
      </c>
      <c r="AH662" s="190" t="s">
        <v>2941</v>
      </c>
      <c r="AI662" s="190" t="s">
        <v>2942</v>
      </c>
      <c r="AJ662" s="183" t="s">
        <v>879</v>
      </c>
      <c r="AK662" s="179" t="s">
        <v>2958</v>
      </c>
      <c r="AL662" s="183" t="s">
        <v>4</v>
      </c>
      <c r="AM662" s="222" t="s">
        <v>5449</v>
      </c>
      <c r="AN662" s="183" t="s">
        <v>2102</v>
      </c>
      <c r="AO662" s="209" t="s">
        <v>5450</v>
      </c>
      <c r="AP662" s="191"/>
      <c r="AQ662" s="222">
        <v>45646</v>
      </c>
      <c r="AR662" s="183">
        <v>20</v>
      </c>
      <c r="AS662" s="183"/>
      <c r="AT662" s="182"/>
      <c r="AU662" s="182"/>
      <c r="AV662" s="227">
        <v>16854758</v>
      </c>
      <c r="AW662" s="181">
        <v>21</v>
      </c>
      <c r="AX662" s="206">
        <v>80113</v>
      </c>
      <c r="AY662" s="183"/>
    </row>
    <row r="663" spans="1:51" ht="14.4" x14ac:dyDescent="0.3">
      <c r="A663" s="179" t="s">
        <v>67</v>
      </c>
      <c r="B663" s="179" t="s">
        <v>2927</v>
      </c>
      <c r="C663" s="212" t="s">
        <v>2131</v>
      </c>
      <c r="D663" s="181" t="s">
        <v>2831</v>
      </c>
      <c r="E663" s="181" t="s">
        <v>2830</v>
      </c>
      <c r="F663" s="182" t="s">
        <v>2929</v>
      </c>
      <c r="G663" s="181" t="s">
        <v>12</v>
      </c>
      <c r="H663" s="222">
        <v>45646</v>
      </c>
      <c r="I663" s="193"/>
      <c r="J663" s="186" t="s">
        <v>5451</v>
      </c>
      <c r="K663" s="186">
        <v>2300</v>
      </c>
      <c r="L663" s="186"/>
      <c r="M663" s="185"/>
      <c r="N663" s="185"/>
      <c r="O663" s="186"/>
      <c r="P663" s="185"/>
      <c r="Q663" s="182" t="s">
        <v>2934</v>
      </c>
      <c r="R663" s="182" t="s">
        <v>2933</v>
      </c>
      <c r="S663" s="182" t="s">
        <v>2952</v>
      </c>
      <c r="T663" s="179" t="s">
        <v>2974</v>
      </c>
      <c r="U663" s="183" t="s">
        <v>2937</v>
      </c>
      <c r="V663" s="225">
        <v>599</v>
      </c>
      <c r="W663" s="225" t="s">
        <v>3549</v>
      </c>
      <c r="X663" s="226">
        <v>444.3</v>
      </c>
      <c r="Y663" s="226">
        <v>274.99</v>
      </c>
      <c r="Z663" s="226">
        <v>124.74</v>
      </c>
      <c r="AA663" s="226">
        <v>162.33000000000001</v>
      </c>
      <c r="AB663" s="226">
        <v>61.23</v>
      </c>
      <c r="AC663" s="225">
        <v>78.52</v>
      </c>
      <c r="AD663" s="179" t="s">
        <v>2956</v>
      </c>
      <c r="AE663" s="188" t="s">
        <v>5241</v>
      </c>
      <c r="AF663" s="189">
        <v>0.29166666666666669</v>
      </c>
      <c r="AG663" s="189">
        <v>0.91666666666666663</v>
      </c>
      <c r="AH663" s="190" t="s">
        <v>2941</v>
      </c>
      <c r="AI663" s="190" t="s">
        <v>2985</v>
      </c>
      <c r="AJ663" s="183" t="s">
        <v>65</v>
      </c>
      <c r="AK663" s="179" t="s">
        <v>3256</v>
      </c>
      <c r="AL663" s="183" t="s">
        <v>4</v>
      </c>
      <c r="AM663" s="222" t="s">
        <v>5376</v>
      </c>
      <c r="AN663" s="183" t="s">
        <v>2102</v>
      </c>
      <c r="AO663" s="209" t="s">
        <v>5452</v>
      </c>
      <c r="AP663" s="191"/>
      <c r="AQ663" s="222">
        <v>45646</v>
      </c>
      <c r="AR663" s="183">
        <v>20</v>
      </c>
      <c r="AS663" s="183"/>
      <c r="AT663" s="182"/>
      <c r="AU663" s="182"/>
      <c r="AV663" s="227">
        <v>11469313.61010859</v>
      </c>
      <c r="AW663" s="181">
        <v>29</v>
      </c>
      <c r="AX663" s="206">
        <v>80227</v>
      </c>
      <c r="AY663" s="183"/>
    </row>
    <row r="664" spans="1:51" ht="14.4" x14ac:dyDescent="0.3">
      <c r="A664" s="179" t="s">
        <v>221</v>
      </c>
      <c r="B664" s="179" t="s">
        <v>2927</v>
      </c>
      <c r="C664" s="212" t="s">
        <v>2155</v>
      </c>
      <c r="D664" s="181" t="s">
        <v>2855</v>
      </c>
      <c r="E664" s="181" t="s">
        <v>2815</v>
      </c>
      <c r="F664" s="182" t="s">
        <v>2929</v>
      </c>
      <c r="G664" s="181" t="s">
        <v>12</v>
      </c>
      <c r="H664" s="222">
        <v>45646</v>
      </c>
      <c r="I664" s="193"/>
      <c r="J664" s="186" t="s">
        <v>5453</v>
      </c>
      <c r="K664" s="186">
        <v>700</v>
      </c>
      <c r="L664" s="186"/>
      <c r="M664" s="185"/>
      <c r="N664" s="185"/>
      <c r="O664" s="186"/>
      <c r="P664" s="185"/>
      <c r="Q664" s="182" t="s">
        <v>2934</v>
      </c>
      <c r="R664" s="182" t="s">
        <v>2933</v>
      </c>
      <c r="S664" s="182" t="s">
        <v>2935</v>
      </c>
      <c r="T664" s="179" t="s">
        <v>2974</v>
      </c>
      <c r="U664" s="183" t="s">
        <v>2937</v>
      </c>
      <c r="V664" s="225">
        <v>856</v>
      </c>
      <c r="W664" s="225" t="s">
        <v>3823</v>
      </c>
      <c r="X664" s="226">
        <v>273.23</v>
      </c>
      <c r="Y664" s="226">
        <v>183.89</v>
      </c>
      <c r="Z664" s="226">
        <v>107.13</v>
      </c>
      <c r="AA664" s="226">
        <v>81.28</v>
      </c>
      <c r="AB664" s="226">
        <v>18.48</v>
      </c>
      <c r="AC664" s="225">
        <v>58.73</v>
      </c>
      <c r="AD664" s="179" t="s">
        <v>2984</v>
      </c>
      <c r="AE664" s="188" t="s">
        <v>5241</v>
      </c>
      <c r="AF664" s="189">
        <v>0.29166666666666669</v>
      </c>
      <c r="AG664" s="189">
        <v>0.99930555555555556</v>
      </c>
      <c r="AH664" s="190" t="s">
        <v>2941</v>
      </c>
      <c r="AI664" s="190" t="s">
        <v>2985</v>
      </c>
      <c r="AJ664" s="183" t="s">
        <v>219</v>
      </c>
      <c r="AK664" s="179" t="s">
        <v>2981</v>
      </c>
      <c r="AL664" s="183" t="s">
        <v>28</v>
      </c>
      <c r="AM664" s="222" t="s">
        <v>5454</v>
      </c>
      <c r="AN664" s="183" t="s">
        <v>2102</v>
      </c>
      <c r="AO664" s="209" t="s">
        <v>5455</v>
      </c>
      <c r="AP664" s="191"/>
      <c r="AQ664" s="222">
        <v>45646</v>
      </c>
      <c r="AR664" s="183">
        <v>20</v>
      </c>
      <c r="AS664" s="183"/>
      <c r="AT664" s="182"/>
      <c r="AU664" s="182"/>
      <c r="AV664" s="227">
        <v>9383917</v>
      </c>
      <c r="AW664" s="181">
        <v>16</v>
      </c>
      <c r="AX664" s="206">
        <v>80237</v>
      </c>
      <c r="AY664" s="183"/>
    </row>
    <row r="665" spans="1:51" ht="14.4" x14ac:dyDescent="0.3">
      <c r="A665" s="179" t="s">
        <v>1526</v>
      </c>
      <c r="B665" s="179" t="s">
        <v>2927</v>
      </c>
      <c r="C665" s="212" t="s">
        <v>5456</v>
      </c>
      <c r="D665" s="181" t="s">
        <v>2870</v>
      </c>
      <c r="E665" s="181" t="s">
        <v>2867</v>
      </c>
      <c r="F665" s="182" t="s">
        <v>4988</v>
      </c>
      <c r="G665" s="181" t="s">
        <v>259</v>
      </c>
      <c r="H665" s="222">
        <v>45651</v>
      </c>
      <c r="I665" s="193"/>
      <c r="J665" s="186" t="s">
        <v>3008</v>
      </c>
      <c r="K665" s="186" t="s">
        <v>3008</v>
      </c>
      <c r="L665" s="186"/>
      <c r="M665" s="181" t="s">
        <v>3164</v>
      </c>
      <c r="N665" s="185"/>
      <c r="O665" s="186"/>
      <c r="P665" s="185"/>
      <c r="Q665" s="182" t="s">
        <v>4990</v>
      </c>
      <c r="R665" s="182" t="s">
        <v>4990</v>
      </c>
      <c r="S665" s="182" t="s">
        <v>2952</v>
      </c>
      <c r="T665" s="179" t="s">
        <v>2974</v>
      </c>
      <c r="U665" s="183" t="s">
        <v>2937</v>
      </c>
      <c r="V665" s="225">
        <v>0</v>
      </c>
      <c r="W665" s="225" t="s">
        <v>5457</v>
      </c>
      <c r="X665" s="228" t="s">
        <v>3008</v>
      </c>
      <c r="Y665" s="226">
        <v>46.21</v>
      </c>
      <c r="Z665" s="226">
        <v>36.1</v>
      </c>
      <c r="AA665" s="228" t="s">
        <v>3008</v>
      </c>
      <c r="AB665" s="228" t="s">
        <v>3008</v>
      </c>
      <c r="AC665" s="225">
        <v>3.85</v>
      </c>
      <c r="AD665" s="179" t="s">
        <v>2939</v>
      </c>
      <c r="AE665" s="188" t="s">
        <v>5241</v>
      </c>
      <c r="AF665" s="189">
        <v>0.33333333333333331</v>
      </c>
      <c r="AG665" s="189">
        <v>0.99930555555555556</v>
      </c>
      <c r="AH665" s="190" t="s">
        <v>2976</v>
      </c>
      <c r="AI665" s="190" t="s">
        <v>2942</v>
      </c>
      <c r="AJ665" s="183" t="s">
        <v>260</v>
      </c>
      <c r="AK665" s="179" t="s">
        <v>3293</v>
      </c>
      <c r="AL665" s="183" t="s">
        <v>9</v>
      </c>
      <c r="AM665" s="222" t="s">
        <v>5458</v>
      </c>
      <c r="AN665" s="183" t="s">
        <v>2102</v>
      </c>
      <c r="AO665" s="209" t="s">
        <v>5459</v>
      </c>
      <c r="AP665" s="191"/>
      <c r="AQ665" s="222">
        <v>45651</v>
      </c>
      <c r="AR665" s="183">
        <v>20</v>
      </c>
      <c r="AS665" s="183"/>
      <c r="AT665" s="182"/>
      <c r="AU665" s="182"/>
      <c r="AV665" s="227">
        <v>10840000</v>
      </c>
      <c r="AW665" s="181">
        <v>40</v>
      </c>
      <c r="AX665" s="206">
        <v>80361</v>
      </c>
      <c r="AY665" s="183"/>
    </row>
    <row r="666" spans="1:51" ht="14.4" x14ac:dyDescent="0.3">
      <c r="A666" s="179" t="s">
        <v>657</v>
      </c>
      <c r="B666" s="179" t="s">
        <v>2927</v>
      </c>
      <c r="C666" s="212" t="s">
        <v>5460</v>
      </c>
      <c r="D666" s="181" t="s">
        <v>2864</v>
      </c>
      <c r="E666" s="181" t="s">
        <v>2827</v>
      </c>
      <c r="F666" s="182" t="s">
        <v>2972</v>
      </c>
      <c r="G666" s="181" t="s">
        <v>17</v>
      </c>
      <c r="H666" s="222">
        <v>45667</v>
      </c>
      <c r="I666" s="193"/>
      <c r="J666" s="186" t="s">
        <v>3008</v>
      </c>
      <c r="K666" s="186" t="s">
        <v>3008</v>
      </c>
      <c r="L666" s="186"/>
      <c r="M666" s="181" t="s">
        <v>3164</v>
      </c>
      <c r="N666" s="185"/>
      <c r="O666" s="179" t="s">
        <v>2951</v>
      </c>
      <c r="P666" s="185"/>
      <c r="Q666" s="182" t="s">
        <v>2934</v>
      </c>
      <c r="R666" s="182" t="s">
        <v>2933</v>
      </c>
      <c r="S666" s="182" t="s">
        <v>2935</v>
      </c>
      <c r="T666" s="179" t="s">
        <v>2974</v>
      </c>
      <c r="U666" s="183" t="s">
        <v>2937</v>
      </c>
      <c r="V666" s="225">
        <v>1248</v>
      </c>
      <c r="W666" s="225" t="s">
        <v>4616</v>
      </c>
      <c r="X666" s="226">
        <v>494.91</v>
      </c>
      <c r="Y666" s="226">
        <v>269.91000000000003</v>
      </c>
      <c r="Z666" s="226">
        <v>151.26</v>
      </c>
      <c r="AA666" s="226">
        <v>177</v>
      </c>
      <c r="AB666" s="226">
        <v>30.09</v>
      </c>
      <c r="AC666" s="225">
        <v>59.34</v>
      </c>
      <c r="AD666" s="179" t="s">
        <v>2984</v>
      </c>
      <c r="AE666" s="188" t="s">
        <v>5241</v>
      </c>
      <c r="AF666" s="189">
        <v>0.29166666666666669</v>
      </c>
      <c r="AG666" s="189">
        <v>0.91666666666666663</v>
      </c>
      <c r="AH666" s="190" t="s">
        <v>2941</v>
      </c>
      <c r="AI666" s="190" t="s">
        <v>2942</v>
      </c>
      <c r="AJ666" s="183" t="s">
        <v>306</v>
      </c>
      <c r="AK666" s="179" t="s">
        <v>3073</v>
      </c>
      <c r="AL666" s="183" t="s">
        <v>48</v>
      </c>
      <c r="AM666" s="222" t="s">
        <v>5461</v>
      </c>
      <c r="AN666" s="183" t="s">
        <v>2102</v>
      </c>
      <c r="AO666" s="209" t="s">
        <v>5462</v>
      </c>
      <c r="AP666" s="191"/>
      <c r="AQ666" s="222">
        <v>45653</v>
      </c>
      <c r="AR666" s="183">
        <v>20</v>
      </c>
      <c r="AS666" s="183"/>
      <c r="AT666" s="182"/>
      <c r="AU666" s="182"/>
      <c r="AV666" s="227">
        <v>12200496</v>
      </c>
      <c r="AW666" s="181">
        <v>46</v>
      </c>
      <c r="AX666" s="206">
        <v>81172</v>
      </c>
      <c r="AY666" s="183"/>
    </row>
    <row r="667" spans="1:51" ht="14.4" x14ac:dyDescent="0.3">
      <c r="A667" s="179" t="s">
        <v>177</v>
      </c>
      <c r="B667" s="179" t="s">
        <v>2927</v>
      </c>
      <c r="C667" s="212" t="s">
        <v>2173</v>
      </c>
      <c r="D667" s="181" t="s">
        <v>2843</v>
      </c>
      <c r="E667" s="181" t="s">
        <v>2840</v>
      </c>
      <c r="F667" s="182" t="s">
        <v>2972</v>
      </c>
      <c r="G667" s="181" t="s">
        <v>17</v>
      </c>
      <c r="H667" s="222">
        <v>45702</v>
      </c>
      <c r="I667" s="193"/>
      <c r="J667" s="186" t="s">
        <v>5463</v>
      </c>
      <c r="K667" s="186">
        <v>350</v>
      </c>
      <c r="L667" s="186"/>
      <c r="M667" s="181" t="s">
        <v>3164</v>
      </c>
      <c r="N667" s="185"/>
      <c r="O667" s="179" t="s">
        <v>2951</v>
      </c>
      <c r="P667" s="185"/>
      <c r="Q667" s="182" t="s">
        <v>2934</v>
      </c>
      <c r="R667" s="182" t="s">
        <v>2933</v>
      </c>
      <c r="S667" s="182" t="s">
        <v>2935</v>
      </c>
      <c r="T667" s="179" t="s">
        <v>2974</v>
      </c>
      <c r="U667" s="183" t="s">
        <v>2937</v>
      </c>
      <c r="V667" s="225">
        <v>971</v>
      </c>
      <c r="W667" s="225" t="s">
        <v>4532</v>
      </c>
      <c r="X667" s="226">
        <v>565.88</v>
      </c>
      <c r="Y667" s="226">
        <v>247.72</v>
      </c>
      <c r="Z667" s="226">
        <v>135.62</v>
      </c>
      <c r="AA667" s="226">
        <v>144.01</v>
      </c>
      <c r="AB667" s="226">
        <v>34.92</v>
      </c>
      <c r="AC667" s="225">
        <v>86.46</v>
      </c>
      <c r="AD667" s="179" t="s">
        <v>2956</v>
      </c>
      <c r="AE667" s="188" t="s">
        <v>5241</v>
      </c>
      <c r="AF667" s="189">
        <v>0.29166666666666669</v>
      </c>
      <c r="AG667" s="189">
        <v>0.99930555555555556</v>
      </c>
      <c r="AH667" s="190" t="s">
        <v>2941</v>
      </c>
      <c r="AI667" s="190" t="s">
        <v>2942</v>
      </c>
      <c r="AJ667" s="183" t="s">
        <v>175</v>
      </c>
      <c r="AK667" s="179" t="s">
        <v>3027</v>
      </c>
      <c r="AL667" s="183" t="s">
        <v>90</v>
      </c>
      <c r="AM667" s="222" t="s">
        <v>5464</v>
      </c>
      <c r="AN667" s="183" t="s">
        <v>2102</v>
      </c>
      <c r="AO667" s="209" t="s">
        <v>5465</v>
      </c>
      <c r="AP667" s="191"/>
      <c r="AQ667" s="222">
        <v>45654</v>
      </c>
      <c r="AR667" s="183">
        <v>20</v>
      </c>
      <c r="AS667" s="183"/>
      <c r="AT667" s="182"/>
      <c r="AU667" s="182"/>
      <c r="AV667" s="227">
        <v>13802411</v>
      </c>
      <c r="AW667" s="181">
        <v>120.5</v>
      </c>
      <c r="AX667" s="206">
        <v>82252</v>
      </c>
      <c r="AY667" s="183"/>
    </row>
    <row r="668" spans="1:51" ht="14.4" x14ac:dyDescent="0.3">
      <c r="A668" s="179" t="s">
        <v>191</v>
      </c>
      <c r="B668" s="179" t="s">
        <v>2927</v>
      </c>
      <c r="C668" s="212" t="s">
        <v>2135</v>
      </c>
      <c r="D668" s="181" t="s">
        <v>2850</v>
      </c>
      <c r="E668" s="181" t="s">
        <v>2817</v>
      </c>
      <c r="F668" s="182" t="s">
        <v>2929</v>
      </c>
      <c r="G668" s="181" t="s">
        <v>12</v>
      </c>
      <c r="H668" s="222">
        <v>45654</v>
      </c>
      <c r="I668" s="193"/>
      <c r="J668" s="186" t="s">
        <v>5466</v>
      </c>
      <c r="K668" s="186">
        <v>700</v>
      </c>
      <c r="L668" s="186"/>
      <c r="M668" s="185"/>
      <c r="N668" s="185"/>
      <c r="O668" s="186"/>
      <c r="P668" s="185"/>
      <c r="Q668" s="182" t="s">
        <v>2933</v>
      </c>
      <c r="R668" s="182" t="s">
        <v>2934</v>
      </c>
      <c r="S668" s="182" t="s">
        <v>2952</v>
      </c>
      <c r="T668" s="179" t="s">
        <v>2974</v>
      </c>
      <c r="U668" s="183" t="s">
        <v>2937</v>
      </c>
      <c r="V668" s="225">
        <v>41</v>
      </c>
      <c r="W668" s="225" t="s">
        <v>3823</v>
      </c>
      <c r="X668" s="226">
        <v>222.87</v>
      </c>
      <c r="Y668" s="226">
        <v>178.22</v>
      </c>
      <c r="Z668" s="226">
        <v>104.01</v>
      </c>
      <c r="AA668" s="226">
        <v>40.35</v>
      </c>
      <c r="AB668" s="226">
        <v>17.62</v>
      </c>
      <c r="AC668" s="225">
        <v>36.5</v>
      </c>
      <c r="AD668" s="179" t="s">
        <v>2984</v>
      </c>
      <c r="AE668" s="188" t="s">
        <v>5241</v>
      </c>
      <c r="AF668" s="189">
        <v>0.29166666666666669</v>
      </c>
      <c r="AG668" s="189">
        <v>0.91666666666666663</v>
      </c>
      <c r="AH668" s="190" t="s">
        <v>2941</v>
      </c>
      <c r="AI668" s="190" t="s">
        <v>2985</v>
      </c>
      <c r="AJ668" s="183" t="s">
        <v>189</v>
      </c>
      <c r="AK668" s="179" t="s">
        <v>3387</v>
      </c>
      <c r="AL668" s="183" t="s">
        <v>4</v>
      </c>
      <c r="AM668" s="222" t="s">
        <v>5467</v>
      </c>
      <c r="AN668" s="183" t="s">
        <v>2102</v>
      </c>
      <c r="AO668" s="209" t="s">
        <v>5468</v>
      </c>
      <c r="AP668" s="191"/>
      <c r="AQ668" s="222">
        <v>45654</v>
      </c>
      <c r="AR668" s="183">
        <v>20</v>
      </c>
      <c r="AS668" s="183"/>
      <c r="AT668" s="182"/>
      <c r="AU668" s="182"/>
      <c r="AV668" s="227">
        <v>9625406</v>
      </c>
      <c r="AW668" s="181">
        <v>20</v>
      </c>
      <c r="AX668" s="206">
        <v>80232</v>
      </c>
      <c r="AY668" s="183"/>
    </row>
    <row r="669" spans="1:51" ht="14.4" x14ac:dyDescent="0.3">
      <c r="A669" s="179" t="s">
        <v>1123</v>
      </c>
      <c r="B669" s="179" t="s">
        <v>2947</v>
      </c>
      <c r="C669" s="212" t="s">
        <v>5469</v>
      </c>
      <c r="D669" s="181" t="s">
        <v>2831</v>
      </c>
      <c r="E669" s="181" t="s">
        <v>2830</v>
      </c>
      <c r="F669" s="182" t="s">
        <v>2972</v>
      </c>
      <c r="G669" s="181" t="s">
        <v>17</v>
      </c>
      <c r="H669" s="222">
        <v>45655</v>
      </c>
      <c r="I669" s="193"/>
      <c r="J669" s="186" t="s">
        <v>5470</v>
      </c>
      <c r="K669" s="186">
        <v>450</v>
      </c>
      <c r="L669" s="186"/>
      <c r="M669" s="185"/>
      <c r="N669" s="185"/>
      <c r="O669" s="179" t="s">
        <v>2951</v>
      </c>
      <c r="P669" s="185"/>
      <c r="Q669" s="182" t="s">
        <v>2933</v>
      </c>
      <c r="R669" s="182" t="s">
        <v>2934</v>
      </c>
      <c r="S669" s="182" t="s">
        <v>2952</v>
      </c>
      <c r="T669" s="179" t="s">
        <v>2953</v>
      </c>
      <c r="U669" s="183" t="s">
        <v>2954</v>
      </c>
      <c r="V669" s="225"/>
      <c r="W669" s="225" t="s">
        <v>3151</v>
      </c>
      <c r="X669" s="226">
        <v>462.82</v>
      </c>
      <c r="Y669" s="226">
        <v>240.37</v>
      </c>
      <c r="Z669" s="226">
        <v>157.13</v>
      </c>
      <c r="AA669" s="226">
        <v>198.07</v>
      </c>
      <c r="AB669" s="226">
        <v>10.76</v>
      </c>
      <c r="AC669" s="225">
        <v>57</v>
      </c>
      <c r="AD669" s="179" t="s">
        <v>2984</v>
      </c>
      <c r="AE669" s="188" t="s">
        <v>5241</v>
      </c>
      <c r="AF669" s="189">
        <v>0.29166666666666669</v>
      </c>
      <c r="AG669" s="189">
        <v>0.95833333333333337</v>
      </c>
      <c r="AH669" s="190" t="s">
        <v>2941</v>
      </c>
      <c r="AI669" s="190" t="s">
        <v>2985</v>
      </c>
      <c r="AJ669" s="183" t="s">
        <v>379</v>
      </c>
      <c r="AK669" s="179" t="s">
        <v>3256</v>
      </c>
      <c r="AL669" s="183" t="s">
        <v>4</v>
      </c>
      <c r="AM669" s="222" t="s">
        <v>5471</v>
      </c>
      <c r="AN669" s="183" t="s">
        <v>2102</v>
      </c>
      <c r="AO669" s="209" t="s">
        <v>5472</v>
      </c>
      <c r="AP669" s="191"/>
      <c r="AQ669" s="222">
        <v>45655</v>
      </c>
      <c r="AR669" s="183">
        <v>19</v>
      </c>
      <c r="AS669" s="183"/>
      <c r="AT669" s="182"/>
      <c r="AU669" s="182"/>
      <c r="AV669" s="227">
        <v>16912083</v>
      </c>
      <c r="AW669" s="181">
        <v>24</v>
      </c>
      <c r="AX669" s="206">
        <v>80228</v>
      </c>
      <c r="AY669" s="183"/>
    </row>
    <row r="670" spans="1:51" ht="14.4" x14ac:dyDescent="0.3">
      <c r="A670" s="179" t="s">
        <v>1586</v>
      </c>
      <c r="B670" s="179" t="s">
        <v>2947</v>
      </c>
      <c r="C670" s="212" t="s">
        <v>2185</v>
      </c>
      <c r="D670" s="181" t="s">
        <v>2833</v>
      </c>
      <c r="E670" s="181" t="s">
        <v>2821</v>
      </c>
      <c r="F670" s="182" t="s">
        <v>2929</v>
      </c>
      <c r="G670" s="181" t="s">
        <v>12</v>
      </c>
      <c r="H670" s="222">
        <v>45655</v>
      </c>
      <c r="I670" s="193"/>
      <c r="J670" s="186" t="s">
        <v>3008</v>
      </c>
      <c r="K670" s="186" t="s">
        <v>3008</v>
      </c>
      <c r="L670" s="186"/>
      <c r="M670" s="185"/>
      <c r="N670" s="185"/>
      <c r="O670" s="186"/>
      <c r="P670" s="185"/>
      <c r="Q670" s="182" t="s">
        <v>2934</v>
      </c>
      <c r="R670" s="182" t="s">
        <v>2933</v>
      </c>
      <c r="S670" s="182" t="s">
        <v>2935</v>
      </c>
      <c r="T670" s="179" t="s">
        <v>2974</v>
      </c>
      <c r="U670" s="183" t="s">
        <v>2954</v>
      </c>
      <c r="V670" s="225">
        <v>1356</v>
      </c>
      <c r="W670" s="225" t="s">
        <v>3151</v>
      </c>
      <c r="X670" s="226">
        <v>362.25</v>
      </c>
      <c r="Y670" s="226">
        <v>241.6</v>
      </c>
      <c r="Z670" s="226">
        <v>120.54</v>
      </c>
      <c r="AA670" s="226">
        <v>97.02</v>
      </c>
      <c r="AB670" s="226">
        <v>27.93</v>
      </c>
      <c r="AC670" s="225">
        <v>91.34</v>
      </c>
      <c r="AD670" s="179" t="s">
        <v>2956</v>
      </c>
      <c r="AE670" s="188" t="s">
        <v>5241</v>
      </c>
      <c r="AF670" s="189">
        <v>0.29166666666666669</v>
      </c>
      <c r="AG670" s="189">
        <v>0.91666666666666663</v>
      </c>
      <c r="AH670" s="190" t="s">
        <v>2941</v>
      </c>
      <c r="AI670" s="190" t="s">
        <v>2942</v>
      </c>
      <c r="AJ670" s="183" t="s">
        <v>1584</v>
      </c>
      <c r="AK670" s="179" t="s">
        <v>36</v>
      </c>
      <c r="AL670" s="183" t="s">
        <v>36</v>
      </c>
      <c r="AM670" s="222" t="s">
        <v>5473</v>
      </c>
      <c r="AN670" s="183" t="s">
        <v>2102</v>
      </c>
      <c r="AO670" s="209" t="s">
        <v>5474</v>
      </c>
      <c r="AP670" s="191"/>
      <c r="AQ670" s="222">
        <v>45655</v>
      </c>
      <c r="AR670" s="183">
        <v>19</v>
      </c>
      <c r="AS670" s="183"/>
      <c r="AT670" s="182"/>
      <c r="AU670" s="182"/>
      <c r="AV670" s="227">
        <v>10995600</v>
      </c>
      <c r="AW670" s="181">
        <v>5</v>
      </c>
      <c r="AX670" s="206">
        <v>82115</v>
      </c>
      <c r="AY670" s="183"/>
    </row>
    <row r="671" spans="1:51" ht="14.4" x14ac:dyDescent="0.3">
      <c r="A671" s="179" t="s">
        <v>1814</v>
      </c>
      <c r="B671" s="179" t="s">
        <v>2927</v>
      </c>
      <c r="C671" s="212" t="s">
        <v>2148</v>
      </c>
      <c r="D671" s="181" t="s">
        <v>2849</v>
      </c>
      <c r="E671" s="181" t="s">
        <v>2830</v>
      </c>
      <c r="F671" s="182" t="s">
        <v>2929</v>
      </c>
      <c r="G671" s="181" t="s">
        <v>12</v>
      </c>
      <c r="H671" s="222">
        <v>45656</v>
      </c>
      <c r="I671" s="193"/>
      <c r="J671" s="186" t="s">
        <v>5475</v>
      </c>
      <c r="K671" s="186">
        <v>300</v>
      </c>
      <c r="L671" s="186"/>
      <c r="M671" s="185"/>
      <c r="N671" s="185"/>
      <c r="O671" s="186"/>
      <c r="P671" s="185"/>
      <c r="Q671" s="182" t="s">
        <v>2933</v>
      </c>
      <c r="R671" s="182" t="s">
        <v>2934</v>
      </c>
      <c r="S671" s="182" t="s">
        <v>2952</v>
      </c>
      <c r="T671" s="179" t="s">
        <v>2974</v>
      </c>
      <c r="U671" s="183" t="s">
        <v>2937</v>
      </c>
      <c r="V671" s="225">
        <v>529</v>
      </c>
      <c r="W671" s="225" t="s">
        <v>3151</v>
      </c>
      <c r="X671" s="226">
        <v>439.1</v>
      </c>
      <c r="Y671" s="226">
        <v>93.4</v>
      </c>
      <c r="Z671" s="226">
        <v>124.3</v>
      </c>
      <c r="AA671" s="226">
        <v>153.94999999999999</v>
      </c>
      <c r="AB671" s="226">
        <v>19.48</v>
      </c>
      <c r="AC671" s="225">
        <v>93.4</v>
      </c>
      <c r="AD671" s="179" t="s">
        <v>2956</v>
      </c>
      <c r="AE671" s="188" t="s">
        <v>5241</v>
      </c>
      <c r="AF671" s="189">
        <v>0.29166666666666669</v>
      </c>
      <c r="AG671" s="189">
        <v>0.91666666666666663</v>
      </c>
      <c r="AH671" s="190" t="s">
        <v>2941</v>
      </c>
      <c r="AI671" s="190" t="s">
        <v>2985</v>
      </c>
      <c r="AJ671" s="183" t="s">
        <v>1292</v>
      </c>
      <c r="AK671" s="179" t="s">
        <v>3387</v>
      </c>
      <c r="AL671" s="183" t="s">
        <v>4</v>
      </c>
      <c r="AM671" s="222" t="s">
        <v>5476</v>
      </c>
      <c r="AN671" s="183" t="s">
        <v>2102</v>
      </c>
      <c r="AO671" s="209" t="s">
        <v>5477</v>
      </c>
      <c r="AP671" s="191"/>
      <c r="AQ671" s="222">
        <v>45656</v>
      </c>
      <c r="AR671" s="183">
        <v>19</v>
      </c>
      <c r="AS671" s="183"/>
      <c r="AT671" s="182"/>
      <c r="AU671" s="182"/>
      <c r="AV671" s="227">
        <v>10892280</v>
      </c>
      <c r="AW671" s="181">
        <v>22</v>
      </c>
      <c r="AX671" s="206">
        <v>80237</v>
      </c>
      <c r="AY671" s="183"/>
    </row>
    <row r="672" spans="1:51" ht="14.4" x14ac:dyDescent="0.3">
      <c r="A672" s="179" t="s">
        <v>1163</v>
      </c>
      <c r="B672" s="179" t="s">
        <v>2947</v>
      </c>
      <c r="C672" s="212" t="s">
        <v>2219</v>
      </c>
      <c r="D672" s="181" t="s">
        <v>2850</v>
      </c>
      <c r="E672" s="181" t="s">
        <v>2817</v>
      </c>
      <c r="F672" s="182" t="s">
        <v>2972</v>
      </c>
      <c r="G672" s="181" t="s">
        <v>17</v>
      </c>
      <c r="H672" s="222">
        <v>45667</v>
      </c>
      <c r="I672" s="193"/>
      <c r="J672" s="179" t="s">
        <v>5470</v>
      </c>
      <c r="K672" s="186">
        <v>700</v>
      </c>
      <c r="L672" s="186"/>
      <c r="M672" s="185"/>
      <c r="N672" s="185"/>
      <c r="O672" s="179" t="s">
        <v>2951</v>
      </c>
      <c r="P672" s="185"/>
      <c r="Q672" s="182" t="s">
        <v>2933</v>
      </c>
      <c r="R672" s="182" t="s">
        <v>2934</v>
      </c>
      <c r="S672" s="182" t="s">
        <v>2952</v>
      </c>
      <c r="T672" s="179" t="s">
        <v>2953</v>
      </c>
      <c r="U672" s="183" t="s">
        <v>2954</v>
      </c>
      <c r="V672" s="225">
        <v>165</v>
      </c>
      <c r="W672" s="225" t="s">
        <v>4616</v>
      </c>
      <c r="X672" s="226">
        <v>464.72</v>
      </c>
      <c r="Y672" s="226">
        <v>274.36</v>
      </c>
      <c r="Z672" s="226">
        <v>131.38999999999999</v>
      </c>
      <c r="AA672" s="226">
        <v>88.81</v>
      </c>
      <c r="AB672" s="226">
        <v>21.45</v>
      </c>
      <c r="AC672" s="225">
        <v>90.47</v>
      </c>
      <c r="AD672" s="179" t="s">
        <v>2956</v>
      </c>
      <c r="AE672" s="188" t="s">
        <v>5241</v>
      </c>
      <c r="AF672" s="189">
        <v>0.29166666666666669</v>
      </c>
      <c r="AG672" s="189">
        <v>0.95833333333333337</v>
      </c>
      <c r="AH672" s="190" t="s">
        <v>2941</v>
      </c>
      <c r="AI672" s="190" t="s">
        <v>2985</v>
      </c>
      <c r="AJ672" s="183" t="s">
        <v>854</v>
      </c>
      <c r="AK672" s="179" t="s">
        <v>3387</v>
      </c>
      <c r="AL672" s="183" t="s">
        <v>4</v>
      </c>
      <c r="AM672" s="222" t="s">
        <v>5478</v>
      </c>
      <c r="AN672" s="183" t="s">
        <v>2102</v>
      </c>
      <c r="AO672" s="209" t="s">
        <v>5479</v>
      </c>
      <c r="AP672" s="191"/>
      <c r="AQ672" s="222">
        <v>45656</v>
      </c>
      <c r="AR672" s="183">
        <v>19</v>
      </c>
      <c r="AS672" s="183"/>
      <c r="AT672" s="182"/>
      <c r="AU672" s="182"/>
      <c r="AV672" s="227">
        <v>14840572</v>
      </c>
      <c r="AW672" s="181">
        <v>24.5</v>
      </c>
      <c r="AX672" s="206">
        <v>80237</v>
      </c>
      <c r="AY672" s="183"/>
    </row>
    <row r="673" spans="1:51" ht="14.4" x14ac:dyDescent="0.3">
      <c r="A673" s="179" t="s">
        <v>169</v>
      </c>
      <c r="B673" s="179" t="s">
        <v>2927</v>
      </c>
      <c r="C673" s="212" t="s">
        <v>2171</v>
      </c>
      <c r="D673" s="181" t="s">
        <v>2814</v>
      </c>
      <c r="E673" s="181" t="s">
        <v>2813</v>
      </c>
      <c r="F673" s="182" t="s">
        <v>2929</v>
      </c>
      <c r="G673" s="181" t="s">
        <v>12</v>
      </c>
      <c r="H673" s="222">
        <v>45657</v>
      </c>
      <c r="I673" s="193"/>
      <c r="J673" s="186" t="s">
        <v>3008</v>
      </c>
      <c r="K673" s="186" t="s">
        <v>3008</v>
      </c>
      <c r="L673" s="186"/>
      <c r="M673" s="185"/>
      <c r="N673" s="185"/>
      <c r="O673" s="186"/>
      <c r="P673" s="185"/>
      <c r="Q673" s="182" t="s">
        <v>2934</v>
      </c>
      <c r="R673" s="182" t="s">
        <v>2933</v>
      </c>
      <c r="S673" s="182" t="s">
        <v>2952</v>
      </c>
      <c r="T673" s="179" t="s">
        <v>2974</v>
      </c>
      <c r="U673" s="183" t="s">
        <v>2937</v>
      </c>
      <c r="V673" s="225">
        <v>324</v>
      </c>
      <c r="W673" s="225" t="s">
        <v>5480</v>
      </c>
      <c r="X673" s="226">
        <v>135.71</v>
      </c>
      <c r="Y673" s="226">
        <v>99.89</v>
      </c>
      <c r="Z673" s="226">
        <v>58.02</v>
      </c>
      <c r="AA673" s="226">
        <v>0</v>
      </c>
      <c r="AB673" s="226">
        <v>35.82</v>
      </c>
      <c r="AC673" s="225">
        <v>18.489999999999998</v>
      </c>
      <c r="AD673" s="179" t="s">
        <v>2939</v>
      </c>
      <c r="AE673" s="188" t="s">
        <v>5241</v>
      </c>
      <c r="AF673" s="189">
        <v>0.29166666666666669</v>
      </c>
      <c r="AG673" s="189">
        <v>0.91666666666666663</v>
      </c>
      <c r="AH673" s="190" t="s">
        <v>2941</v>
      </c>
      <c r="AI673" s="190" t="s">
        <v>2985</v>
      </c>
      <c r="AJ673" s="183" t="s">
        <v>167</v>
      </c>
      <c r="AK673" s="179" t="s">
        <v>3241</v>
      </c>
      <c r="AL673" s="183" t="s">
        <v>9</v>
      </c>
      <c r="AM673" s="222" t="s">
        <v>5316</v>
      </c>
      <c r="AN673" s="183" t="s">
        <v>2102</v>
      </c>
      <c r="AO673" s="209" t="s">
        <v>5481</v>
      </c>
      <c r="AP673" s="191"/>
      <c r="AQ673" s="222">
        <v>45657</v>
      </c>
      <c r="AR673" s="183">
        <v>19</v>
      </c>
      <c r="AS673" s="183"/>
      <c r="AT673" s="182"/>
      <c r="AU673" s="182"/>
      <c r="AV673" s="227">
        <v>6749789</v>
      </c>
      <c r="AW673" s="181">
        <v>43</v>
      </c>
      <c r="AX673" s="206">
        <v>80361</v>
      </c>
      <c r="AY673" s="183"/>
    </row>
    <row r="674" spans="1:51" ht="14.4" x14ac:dyDescent="0.3">
      <c r="A674" s="179" t="s">
        <v>431</v>
      </c>
      <c r="B674" s="179" t="s">
        <v>2947</v>
      </c>
      <c r="C674" s="212" t="s">
        <v>2197</v>
      </c>
      <c r="D674" s="181" t="s">
        <v>2846</v>
      </c>
      <c r="E674" s="181" t="s">
        <v>2821</v>
      </c>
      <c r="F674" s="182" t="s">
        <v>2929</v>
      </c>
      <c r="G674" s="181" t="s">
        <v>12</v>
      </c>
      <c r="H674" s="222">
        <v>45676</v>
      </c>
      <c r="I674" s="193"/>
      <c r="J674" s="186" t="s">
        <v>3008</v>
      </c>
      <c r="K674" s="186" t="s">
        <v>3008</v>
      </c>
      <c r="L674" s="186"/>
      <c r="M674" s="185"/>
      <c r="N674" s="185"/>
      <c r="O674" s="186"/>
      <c r="P674" s="185"/>
      <c r="Q674" s="182" t="s">
        <v>2934</v>
      </c>
      <c r="R674" s="182" t="s">
        <v>2933</v>
      </c>
      <c r="S674" s="182" t="s">
        <v>2935</v>
      </c>
      <c r="T674" s="179" t="s">
        <v>5482</v>
      </c>
      <c r="U674" s="183" t="s">
        <v>2954</v>
      </c>
      <c r="V674" s="225"/>
      <c r="W674" s="225" t="s">
        <v>3549</v>
      </c>
      <c r="X674" s="226">
        <v>349.95</v>
      </c>
      <c r="Y674" s="226">
        <v>204.85</v>
      </c>
      <c r="Z674" s="226">
        <v>120.66</v>
      </c>
      <c r="AA674" s="226">
        <v>123.41</v>
      </c>
      <c r="AB674" s="226">
        <v>38.65</v>
      </c>
      <c r="AC674" s="225">
        <v>55.38</v>
      </c>
      <c r="AD674" s="179" t="s">
        <v>2984</v>
      </c>
      <c r="AE674" s="188" t="s">
        <v>5241</v>
      </c>
      <c r="AF674" s="189">
        <v>0.29166666666666669</v>
      </c>
      <c r="AG674" s="189">
        <v>0.91666666666666663</v>
      </c>
      <c r="AH674" s="190" t="s">
        <v>2941</v>
      </c>
      <c r="AI674" s="190" t="s">
        <v>2942</v>
      </c>
      <c r="AJ674" s="183" t="s">
        <v>429</v>
      </c>
      <c r="AK674" s="179" t="s">
        <v>4910</v>
      </c>
      <c r="AL674" s="183" t="s">
        <v>36</v>
      </c>
      <c r="AM674" s="183" t="s">
        <v>5483</v>
      </c>
      <c r="AN674" s="183" t="s">
        <v>2102</v>
      </c>
      <c r="AO674" s="209" t="s">
        <v>5484</v>
      </c>
      <c r="AP674" s="191"/>
      <c r="AQ674" s="222">
        <v>45676</v>
      </c>
      <c r="AR674" s="183">
        <v>19</v>
      </c>
      <c r="AS674" s="183"/>
      <c r="AT674" s="182"/>
      <c r="AU674" s="182"/>
      <c r="AV674" s="227">
        <v>11357332</v>
      </c>
      <c r="AW674" s="181">
        <v>15.2</v>
      </c>
      <c r="AX674" s="206">
        <v>82181</v>
      </c>
      <c r="AY674" s="183"/>
    </row>
    <row r="675" spans="1:51" ht="14.4" x14ac:dyDescent="0.3">
      <c r="A675" s="179" t="s">
        <v>787</v>
      </c>
      <c r="B675" s="179" t="s">
        <v>2947</v>
      </c>
      <c r="C675" s="212" t="s">
        <v>2204</v>
      </c>
      <c r="D675" s="181" t="s">
        <v>2838</v>
      </c>
      <c r="E675" s="181" t="s">
        <v>2830</v>
      </c>
      <c r="F675" s="182" t="s">
        <v>2972</v>
      </c>
      <c r="G675" s="181" t="s">
        <v>17</v>
      </c>
      <c r="H675" s="222">
        <v>45716</v>
      </c>
      <c r="I675" s="193"/>
      <c r="J675" s="179" t="s">
        <v>5485</v>
      </c>
      <c r="K675" s="186">
        <v>400</v>
      </c>
      <c r="L675" s="186"/>
      <c r="M675" s="185"/>
      <c r="N675" s="185"/>
      <c r="O675" s="186"/>
      <c r="P675" s="185"/>
      <c r="Q675" s="182" t="s">
        <v>2933</v>
      </c>
      <c r="R675" s="182" t="s">
        <v>2934</v>
      </c>
      <c r="S675" s="182" t="s">
        <v>2952</v>
      </c>
      <c r="T675" s="179" t="s">
        <v>2974</v>
      </c>
      <c r="U675" s="183" t="s">
        <v>2954</v>
      </c>
      <c r="V675" s="225">
        <v>367</v>
      </c>
      <c r="W675" s="225" t="s">
        <v>4941</v>
      </c>
      <c r="X675" s="226">
        <v>395.64</v>
      </c>
      <c r="Y675" s="226">
        <v>233.34</v>
      </c>
      <c r="Z675" s="226">
        <v>129.13</v>
      </c>
      <c r="AA675" s="226">
        <v>142.5</v>
      </c>
      <c r="AB675" s="226">
        <v>28.53</v>
      </c>
      <c r="AC675" s="225">
        <v>72.17</v>
      </c>
      <c r="AD675" s="179" t="s">
        <v>2956</v>
      </c>
      <c r="AE675" s="188" t="s">
        <v>5241</v>
      </c>
      <c r="AF675" s="189">
        <v>0.29166666666666669</v>
      </c>
      <c r="AG675" s="189">
        <v>0.95833333333333337</v>
      </c>
      <c r="AH675" s="190" t="s">
        <v>2941</v>
      </c>
      <c r="AI675" s="190" t="s">
        <v>2942</v>
      </c>
      <c r="AJ675" s="183" t="s">
        <v>663</v>
      </c>
      <c r="AK675" s="179" t="s">
        <v>3229</v>
      </c>
      <c r="AL675" s="183" t="s">
        <v>9</v>
      </c>
      <c r="AM675" s="222" t="s">
        <v>5486</v>
      </c>
      <c r="AN675" s="183" t="s">
        <v>2102</v>
      </c>
      <c r="AO675" s="209" t="s">
        <v>5487</v>
      </c>
      <c r="AP675" s="191"/>
      <c r="AQ675" s="222">
        <v>45716</v>
      </c>
      <c r="AR675" s="183">
        <v>18</v>
      </c>
      <c r="AS675" s="183"/>
      <c r="AT675" s="182"/>
      <c r="AU675" s="182"/>
      <c r="AV675" s="227">
        <v>13195059</v>
      </c>
      <c r="AW675" s="181">
        <v>13.2</v>
      </c>
      <c r="AX675" s="206">
        <v>80351</v>
      </c>
      <c r="AY675" s="183"/>
    </row>
    <row r="676" spans="1:51" ht="14.4" x14ac:dyDescent="0.3">
      <c r="A676" s="179" t="s">
        <v>365</v>
      </c>
      <c r="B676" s="179" t="s">
        <v>2947</v>
      </c>
      <c r="C676" s="212" t="s">
        <v>5488</v>
      </c>
      <c r="D676" s="181" t="s">
        <v>2864</v>
      </c>
      <c r="E676" s="181" t="s">
        <v>2827</v>
      </c>
      <c r="F676" s="182" t="s">
        <v>2929</v>
      </c>
      <c r="G676" s="181" t="s">
        <v>12</v>
      </c>
      <c r="H676" s="222">
        <v>45720</v>
      </c>
      <c r="I676" s="193"/>
      <c r="J676" s="179" t="s">
        <v>5489</v>
      </c>
      <c r="K676" s="186">
        <v>141</v>
      </c>
      <c r="L676" s="186"/>
      <c r="M676" s="185"/>
      <c r="N676" s="185"/>
      <c r="O676" s="186"/>
      <c r="P676" s="185"/>
      <c r="Q676" s="182" t="s">
        <v>2934</v>
      </c>
      <c r="R676" s="182" t="s">
        <v>2933</v>
      </c>
      <c r="S676" s="225" t="s">
        <v>2935</v>
      </c>
      <c r="T676" s="179" t="s">
        <v>2974</v>
      </c>
      <c r="U676" s="183" t="s">
        <v>2954</v>
      </c>
      <c r="V676" s="225">
        <v>1280</v>
      </c>
      <c r="W676" s="225" t="s">
        <v>3549</v>
      </c>
      <c r="X676" s="226">
        <v>581.22</v>
      </c>
      <c r="Y676" s="226">
        <v>269.38</v>
      </c>
      <c r="Z676" s="226">
        <v>138.16999999999999</v>
      </c>
      <c r="AA676" s="226">
        <v>140.49</v>
      </c>
      <c r="AB676" s="226">
        <v>16.440000000000001</v>
      </c>
      <c r="AC676" s="225">
        <v>104.28</v>
      </c>
      <c r="AD676" s="179" t="s">
        <v>2956</v>
      </c>
      <c r="AE676" s="188" t="s">
        <v>5241</v>
      </c>
      <c r="AF676" s="189">
        <v>0.29166666666666669</v>
      </c>
      <c r="AG676" s="189">
        <v>0.91666666666666663</v>
      </c>
      <c r="AH676" s="190" t="s">
        <v>2941</v>
      </c>
      <c r="AI676" s="190" t="s">
        <v>2942</v>
      </c>
      <c r="AJ676" s="183" t="s">
        <v>363</v>
      </c>
      <c r="AK676" s="179" t="s">
        <v>4430</v>
      </c>
      <c r="AL676" s="183" t="s">
        <v>48</v>
      </c>
      <c r="AM676" s="222" t="s">
        <v>5490</v>
      </c>
      <c r="AN676" s="183" t="s">
        <v>2102</v>
      </c>
      <c r="AO676" s="209" t="s">
        <v>5491</v>
      </c>
      <c r="AP676" s="191"/>
      <c r="AQ676" s="222">
        <v>45720</v>
      </c>
      <c r="AR676" s="183">
        <v>17</v>
      </c>
      <c r="AS676" s="183"/>
      <c r="AT676" s="182"/>
      <c r="AU676" s="182"/>
      <c r="AV676" s="227">
        <v>12358500</v>
      </c>
      <c r="AW676" s="181">
        <v>81</v>
      </c>
      <c r="AX676" s="206">
        <v>81173</v>
      </c>
      <c r="AY676" s="183"/>
    </row>
    <row r="677" spans="1:51" ht="14.4" x14ac:dyDescent="0.3">
      <c r="A677" s="179" t="s">
        <v>572</v>
      </c>
      <c r="B677" s="179" t="s">
        <v>2927</v>
      </c>
      <c r="C677" s="212" t="s">
        <v>5492</v>
      </c>
      <c r="D677" s="181" t="s">
        <v>2862</v>
      </c>
      <c r="E677" s="181" t="s">
        <v>2819</v>
      </c>
      <c r="F677" s="182" t="s">
        <v>2972</v>
      </c>
      <c r="G677" s="181" t="s">
        <v>17</v>
      </c>
      <c r="H677" s="222">
        <v>45736</v>
      </c>
      <c r="I677" s="193"/>
      <c r="J677" s="179" t="s">
        <v>5493</v>
      </c>
      <c r="K677" s="186">
        <v>650</v>
      </c>
      <c r="L677" s="186"/>
      <c r="M677" s="185"/>
      <c r="N677" s="185"/>
      <c r="O677" s="179" t="s">
        <v>2951</v>
      </c>
      <c r="P677" s="185"/>
      <c r="Q677" s="182" t="s">
        <v>2933</v>
      </c>
      <c r="R677" s="182" t="s">
        <v>2934</v>
      </c>
      <c r="S677" s="182" t="s">
        <v>2952</v>
      </c>
      <c r="T677" s="179" t="s">
        <v>2953</v>
      </c>
      <c r="U677" s="183" t="s">
        <v>2937</v>
      </c>
      <c r="V677" s="225">
        <v>106</v>
      </c>
      <c r="W677" s="225" t="s">
        <v>3009</v>
      </c>
      <c r="X677" s="226">
        <v>1006.77</v>
      </c>
      <c r="Y677" s="226">
        <v>399.59</v>
      </c>
      <c r="Z677" s="226">
        <v>194.18</v>
      </c>
      <c r="AA677" s="226">
        <v>407.77</v>
      </c>
      <c r="AB677" s="226">
        <v>22.19</v>
      </c>
      <c r="AC677" s="225">
        <v>87.24</v>
      </c>
      <c r="AD677" s="179" t="s">
        <v>2956</v>
      </c>
      <c r="AE677" s="188" t="s">
        <v>5241</v>
      </c>
      <c r="AF677" s="189">
        <v>0</v>
      </c>
      <c r="AG677" s="189">
        <v>0.99930555555555556</v>
      </c>
      <c r="AH677" s="190" t="s">
        <v>2941</v>
      </c>
      <c r="AI677" s="190" t="s">
        <v>2942</v>
      </c>
      <c r="AJ677" s="183" t="s">
        <v>268</v>
      </c>
      <c r="AK677" s="179" t="s">
        <v>2958</v>
      </c>
      <c r="AL677" s="183" t="s">
        <v>4</v>
      </c>
      <c r="AM677" s="222" t="s">
        <v>5494</v>
      </c>
      <c r="AN677" s="183" t="s">
        <v>2102</v>
      </c>
      <c r="AO677" s="209" t="s">
        <v>5495</v>
      </c>
      <c r="AP677" s="191"/>
      <c r="AQ677" s="222">
        <v>45736</v>
      </c>
      <c r="AR677" s="183">
        <v>17</v>
      </c>
      <c r="AS677" s="183"/>
      <c r="AT677" s="182"/>
      <c r="AU677" s="182"/>
      <c r="AV677" s="227">
        <v>13014592</v>
      </c>
      <c r="AW677" s="181">
        <v>22.8</v>
      </c>
      <c r="AX677" s="206">
        <v>80117</v>
      </c>
      <c r="AY677" s="183"/>
    </row>
    <row r="678" spans="1:51" ht="14.4" x14ac:dyDescent="0.3">
      <c r="A678" s="179" t="s">
        <v>23</v>
      </c>
      <c r="B678" s="179" t="s">
        <v>2927</v>
      </c>
      <c r="C678" s="212" t="s">
        <v>2113</v>
      </c>
      <c r="D678" s="181" t="s">
        <v>2858</v>
      </c>
      <c r="E678" s="181" t="s">
        <v>2813</v>
      </c>
      <c r="F678" s="182" t="s">
        <v>2929</v>
      </c>
      <c r="G678" s="181" t="s">
        <v>12</v>
      </c>
      <c r="H678" s="222">
        <v>45772</v>
      </c>
      <c r="I678" s="193"/>
      <c r="J678" s="179" t="s">
        <v>5496</v>
      </c>
      <c r="K678" s="186">
        <v>2000</v>
      </c>
      <c r="L678" s="186"/>
      <c r="M678" s="185"/>
      <c r="N678" s="185"/>
      <c r="O678" s="186"/>
      <c r="P678" s="185"/>
      <c r="Q678" s="225" t="s">
        <v>2934</v>
      </c>
      <c r="R678" s="225" t="s">
        <v>2933</v>
      </c>
      <c r="S678" s="182" t="s">
        <v>2952</v>
      </c>
      <c r="T678" s="179" t="s">
        <v>4623</v>
      </c>
      <c r="U678" s="183" t="s">
        <v>2937</v>
      </c>
      <c r="V678" s="225">
        <v>1263</v>
      </c>
      <c r="W678" s="225" t="s">
        <v>3151</v>
      </c>
      <c r="X678" s="226">
        <v>549.73</v>
      </c>
      <c r="Y678" s="226">
        <v>345.94</v>
      </c>
      <c r="Z678" s="226">
        <v>147.27000000000001</v>
      </c>
      <c r="AA678" s="226">
        <v>181.07</v>
      </c>
      <c r="AB678" s="226">
        <v>61.08</v>
      </c>
      <c r="AC678" s="225">
        <v>113.77</v>
      </c>
      <c r="AD678" s="179" t="s">
        <v>2956</v>
      </c>
      <c r="AE678" s="188" t="s">
        <v>5241</v>
      </c>
      <c r="AF678" s="189">
        <v>0.29166666666666669</v>
      </c>
      <c r="AG678" s="189">
        <v>0.95833333333333337</v>
      </c>
      <c r="AH678" s="190" t="s">
        <v>2941</v>
      </c>
      <c r="AI678" s="190" t="s">
        <v>2942</v>
      </c>
      <c r="AJ678" s="225" t="s">
        <v>21</v>
      </c>
      <c r="AK678" s="179" t="s">
        <v>3302</v>
      </c>
      <c r="AL678" s="225" t="s">
        <v>9</v>
      </c>
      <c r="AM678" s="183" t="s">
        <v>5497</v>
      </c>
      <c r="AN678" s="183" t="s">
        <v>2102</v>
      </c>
      <c r="AO678" s="209" t="s">
        <v>5498</v>
      </c>
      <c r="AP678" s="191"/>
      <c r="AQ678" s="222">
        <v>45772</v>
      </c>
      <c r="AR678" s="183">
        <v>16</v>
      </c>
      <c r="AS678" s="183"/>
      <c r="AT678" s="182"/>
      <c r="AU678" s="182"/>
      <c r="AV678" s="227">
        <v>10610155</v>
      </c>
      <c r="AW678" s="225">
        <v>30.2</v>
      </c>
      <c r="AX678" s="229">
        <v>80351</v>
      </c>
      <c r="AY678" s="183"/>
    </row>
    <row r="679" spans="1:51" ht="14.4" x14ac:dyDescent="0.3">
      <c r="A679" s="179" t="s">
        <v>1474</v>
      </c>
      <c r="B679" s="179" t="s">
        <v>2927</v>
      </c>
      <c r="C679" s="212" t="s">
        <v>2161</v>
      </c>
      <c r="D679" s="181" t="s">
        <v>2847</v>
      </c>
      <c r="E679" s="181" t="s">
        <v>2830</v>
      </c>
      <c r="F679" s="182" t="s">
        <v>2972</v>
      </c>
      <c r="G679" s="181" t="s">
        <v>17</v>
      </c>
      <c r="H679" s="222">
        <v>45821</v>
      </c>
      <c r="I679" s="193"/>
      <c r="J679" s="179" t="s">
        <v>5499</v>
      </c>
      <c r="K679" s="186">
        <v>450</v>
      </c>
      <c r="L679" s="186"/>
      <c r="M679" s="185"/>
      <c r="N679" s="185"/>
      <c r="O679" s="186"/>
      <c r="P679" s="185"/>
      <c r="Q679" s="182" t="s">
        <v>2933</v>
      </c>
      <c r="R679" s="182" t="s">
        <v>2934</v>
      </c>
      <c r="S679" s="182" t="s">
        <v>2952</v>
      </c>
      <c r="T679" s="179" t="s">
        <v>2974</v>
      </c>
      <c r="U679" s="183" t="s">
        <v>2937</v>
      </c>
      <c r="V679" s="225">
        <v>464</v>
      </c>
      <c r="W679" s="225" t="s">
        <v>3549</v>
      </c>
      <c r="X679" s="226">
        <v>371.34</v>
      </c>
      <c r="Y679" s="226">
        <v>221.89</v>
      </c>
      <c r="Z679" s="226">
        <v>181.26</v>
      </c>
      <c r="AA679" s="226">
        <v>131.08000000000001</v>
      </c>
      <c r="AB679" s="226">
        <v>16.43</v>
      </c>
      <c r="AC679" s="225">
        <v>138.66999999999999</v>
      </c>
      <c r="AD679" s="179" t="s">
        <v>2956</v>
      </c>
      <c r="AE679" s="225" t="s">
        <v>5500</v>
      </c>
      <c r="AF679" s="189">
        <v>0.29166666666666669</v>
      </c>
      <c r="AG679" s="189">
        <v>0.95833333333333337</v>
      </c>
      <c r="AH679" s="190" t="s">
        <v>2941</v>
      </c>
      <c r="AI679" s="190" t="s">
        <v>2985</v>
      </c>
      <c r="AJ679" s="225" t="s">
        <v>536</v>
      </c>
      <c r="AK679" s="179" t="s">
        <v>3256</v>
      </c>
      <c r="AL679" s="183" t="s">
        <v>4</v>
      </c>
      <c r="AM679" s="183" t="s">
        <v>5501</v>
      </c>
      <c r="AN679" s="183" t="s">
        <v>2102</v>
      </c>
      <c r="AO679" s="209" t="s">
        <v>5502</v>
      </c>
      <c r="AP679" s="191"/>
      <c r="AQ679" s="222">
        <v>45777</v>
      </c>
      <c r="AR679" s="183">
        <v>15</v>
      </c>
      <c r="AS679" s="183"/>
      <c r="AT679" s="182"/>
      <c r="AU679" s="182"/>
      <c r="AV679" s="227">
        <v>10659384</v>
      </c>
      <c r="AW679" s="225">
        <v>26.3</v>
      </c>
      <c r="AX679" s="229">
        <v>80234</v>
      </c>
      <c r="AY679" s="183"/>
    </row>
    <row r="680" spans="1:51" ht="14.4" x14ac:dyDescent="0.3">
      <c r="A680" s="179" t="s">
        <v>444</v>
      </c>
      <c r="B680" s="179" t="s">
        <v>2927</v>
      </c>
      <c r="C680" s="212" t="s">
        <v>2178</v>
      </c>
      <c r="D680" s="181" t="s">
        <v>2829</v>
      </c>
      <c r="E680" s="181" t="s">
        <v>2815</v>
      </c>
      <c r="F680" s="182" t="s">
        <v>2929</v>
      </c>
      <c r="G680" s="181" t="s">
        <v>12</v>
      </c>
      <c r="H680" s="222">
        <v>45805</v>
      </c>
      <c r="I680" s="193"/>
      <c r="J680" s="179"/>
      <c r="K680" s="186"/>
      <c r="L680" s="186"/>
      <c r="M680" s="185"/>
      <c r="N680" s="185"/>
      <c r="O680" s="186"/>
      <c r="P680" s="185"/>
      <c r="Q680" s="225" t="s">
        <v>2934</v>
      </c>
      <c r="R680" s="225" t="s">
        <v>2933</v>
      </c>
      <c r="S680" s="225" t="s">
        <v>2935</v>
      </c>
      <c r="T680" s="179" t="s">
        <v>2974</v>
      </c>
      <c r="U680" s="183" t="s">
        <v>2937</v>
      </c>
      <c r="V680" s="225">
        <v>1316</v>
      </c>
      <c r="W680" s="225" t="s">
        <v>3009</v>
      </c>
      <c r="X680" s="226">
        <v>406</v>
      </c>
      <c r="Y680" s="226">
        <v>245.33</v>
      </c>
      <c r="Z680" s="226">
        <v>118.96</v>
      </c>
      <c r="AA680" s="226">
        <v>92.98</v>
      </c>
      <c r="AB680" s="226">
        <v>15.96</v>
      </c>
      <c r="AC680" s="225">
        <v>100.39</v>
      </c>
      <c r="AD680" s="179" t="s">
        <v>2956</v>
      </c>
      <c r="AE680" s="188" t="s">
        <v>5241</v>
      </c>
      <c r="AF680" s="189">
        <v>0.29166666666666669</v>
      </c>
      <c r="AG680" s="189">
        <v>0.91666666666666663</v>
      </c>
      <c r="AH680" s="190" t="s">
        <v>2941</v>
      </c>
      <c r="AI680" s="190" t="s">
        <v>2985</v>
      </c>
      <c r="AJ680" s="183" t="s">
        <v>290</v>
      </c>
      <c r="AK680" s="179" t="s">
        <v>3110</v>
      </c>
      <c r="AL680" s="183" t="s">
        <v>28</v>
      </c>
      <c r="AM680" s="222" t="s">
        <v>5503</v>
      </c>
      <c r="AN680" s="183" t="s">
        <v>2102</v>
      </c>
      <c r="AO680" s="209" t="s">
        <v>5504</v>
      </c>
      <c r="AP680" s="191"/>
      <c r="AQ680" s="222">
        <v>45805</v>
      </c>
      <c r="AR680" s="183">
        <v>15</v>
      </c>
      <c r="AS680" s="183"/>
      <c r="AT680" s="182"/>
      <c r="AU680" s="182"/>
      <c r="AV680" s="227">
        <v>11687310</v>
      </c>
      <c r="AW680" s="181">
        <v>21.5</v>
      </c>
      <c r="AX680" s="206">
        <v>80581</v>
      </c>
      <c r="AY680" s="183"/>
    </row>
    <row r="681" spans="1:51" ht="14.4" x14ac:dyDescent="0.3">
      <c r="A681" s="179" t="s">
        <v>1533</v>
      </c>
      <c r="B681" s="179" t="s">
        <v>2947</v>
      </c>
      <c r="C681" s="212" t="s">
        <v>5505</v>
      </c>
      <c r="D681" s="181" t="s">
        <v>2856</v>
      </c>
      <c r="E681" s="181" t="s">
        <v>2819</v>
      </c>
      <c r="F681" s="182" t="s">
        <v>2972</v>
      </c>
      <c r="G681" s="181" t="s">
        <v>17</v>
      </c>
      <c r="H681" s="222">
        <v>45808</v>
      </c>
      <c r="I681" s="193"/>
      <c r="J681" s="179" t="s">
        <v>5506</v>
      </c>
      <c r="K681" s="186">
        <v>550</v>
      </c>
      <c r="L681" s="186"/>
      <c r="M681" s="185"/>
      <c r="N681" s="185"/>
      <c r="O681" s="186"/>
      <c r="P681" s="185"/>
      <c r="Q681" s="182" t="s">
        <v>2933</v>
      </c>
      <c r="R681" s="182" t="s">
        <v>2934</v>
      </c>
      <c r="S681" s="182" t="s">
        <v>2952</v>
      </c>
      <c r="T681" s="179" t="s">
        <v>4623</v>
      </c>
      <c r="U681" s="183" t="s">
        <v>2954</v>
      </c>
      <c r="V681" s="225"/>
      <c r="W681" s="225" t="s">
        <v>3151</v>
      </c>
      <c r="X681" s="226">
        <v>475.59</v>
      </c>
      <c r="Y681" s="226">
        <v>269.04000000000002</v>
      </c>
      <c r="Z681" s="226">
        <v>122.23</v>
      </c>
      <c r="AA681" s="226">
        <v>173.34</v>
      </c>
      <c r="AB681" s="226">
        <v>17.66</v>
      </c>
      <c r="AC681" s="225">
        <v>85.8</v>
      </c>
      <c r="AD681" s="179" t="s">
        <v>2956</v>
      </c>
      <c r="AE681" s="188" t="s">
        <v>5241</v>
      </c>
      <c r="AF681" s="189">
        <v>0.29166666666666669</v>
      </c>
      <c r="AG681" s="189">
        <v>0.95833333333333337</v>
      </c>
      <c r="AH681" s="190" t="s">
        <v>2941</v>
      </c>
      <c r="AI681" s="190" t="s">
        <v>2942</v>
      </c>
      <c r="AJ681" s="183" t="s">
        <v>691</v>
      </c>
      <c r="AK681" s="179" t="s">
        <v>3034</v>
      </c>
      <c r="AL681" s="183" t="s">
        <v>4</v>
      </c>
      <c r="AM681" s="222" t="s">
        <v>5507</v>
      </c>
      <c r="AN681" s="183" t="s">
        <v>2102</v>
      </c>
      <c r="AO681" s="209" t="s">
        <v>5508</v>
      </c>
      <c r="AP681" s="191"/>
      <c r="AQ681" s="222">
        <v>45808</v>
      </c>
      <c r="AR681" s="183">
        <v>14</v>
      </c>
      <c r="AS681" s="183"/>
      <c r="AT681" s="182" t="s">
        <v>5509</v>
      </c>
      <c r="AU681" s="182" t="s">
        <v>2946</v>
      </c>
      <c r="AV681" s="227">
        <v>13339728</v>
      </c>
      <c r="AW681" s="181">
        <v>15</v>
      </c>
      <c r="AX681" s="206">
        <v>80118</v>
      </c>
      <c r="AY681" s="183"/>
    </row>
    <row r="682" spans="1:51" ht="14.4" x14ac:dyDescent="0.3">
      <c r="A682" s="179" t="s">
        <v>270</v>
      </c>
      <c r="B682" s="179" t="s">
        <v>2947</v>
      </c>
      <c r="C682" s="212" t="s">
        <v>5510</v>
      </c>
      <c r="D682" s="181" t="s">
        <v>2823</v>
      </c>
      <c r="E682" s="181" t="s">
        <v>2819</v>
      </c>
      <c r="F682" s="182" t="s">
        <v>2972</v>
      </c>
      <c r="G682" s="181" t="s">
        <v>17</v>
      </c>
      <c r="H682" s="222">
        <v>45808</v>
      </c>
      <c r="I682" s="193"/>
      <c r="J682" s="179" t="s">
        <v>5511</v>
      </c>
      <c r="K682" s="186">
        <v>200</v>
      </c>
      <c r="L682" s="186"/>
      <c r="M682" s="185"/>
      <c r="N682" s="185"/>
      <c r="O682" s="186"/>
      <c r="P682" s="185"/>
      <c r="Q682" s="182" t="s">
        <v>2933</v>
      </c>
      <c r="R682" s="182" t="s">
        <v>2934</v>
      </c>
      <c r="S682" s="182" t="s">
        <v>2952</v>
      </c>
      <c r="T682" s="179" t="s">
        <v>2974</v>
      </c>
      <c r="U682" s="183" t="s">
        <v>2954</v>
      </c>
      <c r="V682" s="225"/>
      <c r="W682" s="225" t="s">
        <v>4550</v>
      </c>
      <c r="X682" s="226">
        <v>284.91000000000003</v>
      </c>
      <c r="Y682" s="226">
        <v>302.87</v>
      </c>
      <c r="Z682" s="226">
        <v>135.83000000000001</v>
      </c>
      <c r="AA682" s="226">
        <v>118.75</v>
      </c>
      <c r="AB682" s="226">
        <v>35.67</v>
      </c>
      <c r="AC682" s="225">
        <v>137.06</v>
      </c>
      <c r="AD682" s="179" t="s">
        <v>2956</v>
      </c>
      <c r="AE682" s="225" t="s">
        <v>5500</v>
      </c>
      <c r="AF682" s="189">
        <v>0.29166666666666669</v>
      </c>
      <c r="AG682" s="189">
        <v>0.99930555555555556</v>
      </c>
      <c r="AH682" s="190" t="s">
        <v>2941</v>
      </c>
      <c r="AI682" s="190" t="s">
        <v>2942</v>
      </c>
      <c r="AJ682" s="183" t="s">
        <v>268</v>
      </c>
      <c r="AK682" s="179" t="s">
        <v>2958</v>
      </c>
      <c r="AL682" s="183" t="s">
        <v>4</v>
      </c>
      <c r="AM682" s="222" t="s">
        <v>5512</v>
      </c>
      <c r="AN682" s="183" t="s">
        <v>2102</v>
      </c>
      <c r="AO682" s="209" t="s">
        <v>5513</v>
      </c>
      <c r="AP682" s="191"/>
      <c r="AQ682" s="222">
        <v>45808</v>
      </c>
      <c r="AR682" s="183">
        <v>14</v>
      </c>
      <c r="AS682" s="183"/>
      <c r="AT682" s="182"/>
      <c r="AU682" s="182"/>
      <c r="AV682" s="227">
        <v>15586896</v>
      </c>
      <c r="AW682" s="181">
        <v>20</v>
      </c>
      <c r="AX682" s="206">
        <v>80117</v>
      </c>
      <c r="AY682" s="183"/>
    </row>
    <row r="683" spans="1:51" ht="14.4" x14ac:dyDescent="0.3">
      <c r="A683" s="179" t="s">
        <v>332</v>
      </c>
      <c r="B683" s="179" t="s">
        <v>2947</v>
      </c>
      <c r="C683" s="212" t="s">
        <v>5514</v>
      </c>
      <c r="D683" s="181" t="s">
        <v>2864</v>
      </c>
      <c r="E683" s="181" t="s">
        <v>2827</v>
      </c>
      <c r="F683" s="182" t="s">
        <v>2929</v>
      </c>
      <c r="G683" s="181" t="s">
        <v>12</v>
      </c>
      <c r="H683" s="222">
        <v>45823</v>
      </c>
      <c r="I683" s="193"/>
      <c r="J683" s="179"/>
      <c r="K683" s="186"/>
      <c r="L683" s="186"/>
      <c r="M683" s="185"/>
      <c r="N683" s="185"/>
      <c r="O683" s="186"/>
      <c r="P683" s="185"/>
      <c r="Q683" s="225" t="s">
        <v>2934</v>
      </c>
      <c r="R683" s="225" t="s">
        <v>2933</v>
      </c>
      <c r="S683" s="225" t="s">
        <v>2935</v>
      </c>
      <c r="T683" s="179" t="s">
        <v>2974</v>
      </c>
      <c r="U683" s="183" t="s">
        <v>2954</v>
      </c>
      <c r="V683" s="225">
        <v>1373</v>
      </c>
      <c r="W683" s="225" t="s">
        <v>3549</v>
      </c>
      <c r="X683" s="226">
        <v>415.12</v>
      </c>
      <c r="Y683" s="226">
        <v>229.62</v>
      </c>
      <c r="Z683" s="226">
        <v>116.41</v>
      </c>
      <c r="AA683" s="226">
        <v>174.13</v>
      </c>
      <c r="AB683" s="226">
        <v>19.309999999999999</v>
      </c>
      <c r="AC683" s="225">
        <v>82.78</v>
      </c>
      <c r="AD683" s="179" t="s">
        <v>2956</v>
      </c>
      <c r="AE683" s="188" t="s">
        <v>5241</v>
      </c>
      <c r="AF683" s="189">
        <v>0.29166666666666669</v>
      </c>
      <c r="AG683" s="189">
        <v>0.91666666666666663</v>
      </c>
      <c r="AH683" s="190" t="s">
        <v>2941</v>
      </c>
      <c r="AI683" s="190" t="s">
        <v>2942</v>
      </c>
      <c r="AJ683" s="225" t="s">
        <v>330</v>
      </c>
      <c r="AK683" s="179" t="s">
        <v>3073</v>
      </c>
      <c r="AL683" s="225" t="s">
        <v>48</v>
      </c>
      <c r="AM683" s="183" t="s">
        <v>5515</v>
      </c>
      <c r="AN683" s="183" t="s">
        <v>2102</v>
      </c>
      <c r="AO683" s="209" t="s">
        <v>5516</v>
      </c>
      <c r="AP683" s="191"/>
      <c r="AQ683" s="222">
        <v>45823</v>
      </c>
      <c r="AR683" s="183">
        <v>14</v>
      </c>
      <c r="AS683" s="183"/>
      <c r="AT683" s="182"/>
      <c r="AU683" s="182"/>
      <c r="AV683" s="227">
        <v>11586330</v>
      </c>
      <c r="AW683" s="225">
        <v>70.2</v>
      </c>
      <c r="AX683" s="229">
        <v>81172</v>
      </c>
      <c r="AY683" s="183"/>
    </row>
    <row r="684" spans="1:51" ht="14.4" x14ac:dyDescent="0.3">
      <c r="A684" s="179" t="s">
        <v>149</v>
      </c>
      <c r="B684" s="179" t="s">
        <v>2947</v>
      </c>
      <c r="C684" s="212" t="s">
        <v>2216</v>
      </c>
      <c r="D684" s="181" t="s">
        <v>2846</v>
      </c>
      <c r="E684" s="181" t="s">
        <v>2821</v>
      </c>
      <c r="F684" s="182" t="s">
        <v>2929</v>
      </c>
      <c r="G684" s="181" t="s">
        <v>12</v>
      </c>
      <c r="H684" s="222">
        <v>45823</v>
      </c>
      <c r="I684" s="193"/>
      <c r="J684" s="179"/>
      <c r="K684" s="186"/>
      <c r="L684" s="186"/>
      <c r="M684" s="185"/>
      <c r="N684" s="185"/>
      <c r="O684" s="186"/>
      <c r="P684" s="185"/>
      <c r="Q684" s="225" t="s">
        <v>2934</v>
      </c>
      <c r="R684" s="225" t="s">
        <v>2933</v>
      </c>
      <c r="S684" s="225" t="s">
        <v>2935</v>
      </c>
      <c r="T684" s="179" t="s">
        <v>2974</v>
      </c>
      <c r="U684" s="183" t="s">
        <v>2954</v>
      </c>
      <c r="V684" s="225">
        <v>1558</v>
      </c>
      <c r="W684" s="225" t="s">
        <v>3549</v>
      </c>
      <c r="X684" s="226">
        <v>440.29</v>
      </c>
      <c r="Y684" s="226">
        <v>257.2</v>
      </c>
      <c r="Z684" s="226">
        <v>118.56</v>
      </c>
      <c r="AA684" s="226">
        <v>92.74</v>
      </c>
      <c r="AB684" s="226">
        <v>15.46</v>
      </c>
      <c r="AC684" s="225">
        <v>108.12</v>
      </c>
      <c r="AD684" s="179" t="s">
        <v>2956</v>
      </c>
      <c r="AE684" s="188" t="s">
        <v>5241</v>
      </c>
      <c r="AF684" s="189">
        <v>0.29166666666666669</v>
      </c>
      <c r="AG684" s="189">
        <v>0.91666666666666663</v>
      </c>
      <c r="AH684" s="190" t="s">
        <v>2941</v>
      </c>
      <c r="AI684" s="190" t="s">
        <v>2942</v>
      </c>
      <c r="AJ684" s="225" t="s">
        <v>147</v>
      </c>
      <c r="AK684" s="179" t="s">
        <v>3281</v>
      </c>
      <c r="AL684" s="225" t="s">
        <v>36</v>
      </c>
      <c r="AM684" s="183" t="s">
        <v>5517</v>
      </c>
      <c r="AN684" s="183" t="s">
        <v>2102</v>
      </c>
      <c r="AO684" s="209" t="s">
        <v>5518</v>
      </c>
      <c r="AP684" s="191"/>
      <c r="AQ684" s="222">
        <v>45823</v>
      </c>
      <c r="AR684" s="183">
        <v>14</v>
      </c>
      <c r="AS684" s="183"/>
      <c r="AT684" s="182"/>
      <c r="AU684" s="182"/>
      <c r="AV684" s="227">
        <v>12260808</v>
      </c>
      <c r="AW684" s="225">
        <v>20.399999999999999</v>
      </c>
      <c r="AX684" s="229">
        <v>82161</v>
      </c>
      <c r="AY684" s="183"/>
    </row>
    <row r="685" spans="1:51" ht="14.4" x14ac:dyDescent="0.3">
      <c r="A685" s="179" t="s">
        <v>1074</v>
      </c>
      <c r="B685" s="179" t="s">
        <v>2947</v>
      </c>
      <c r="C685" s="212" t="s">
        <v>2231</v>
      </c>
      <c r="D685" s="181" t="s">
        <v>2816</v>
      </c>
      <c r="E685" s="181" t="s">
        <v>2815</v>
      </c>
      <c r="F685" s="182" t="s">
        <v>2972</v>
      </c>
      <c r="G685" s="181" t="s">
        <v>17</v>
      </c>
      <c r="H685" s="222">
        <v>45842</v>
      </c>
      <c r="I685" s="193"/>
      <c r="J685" s="179"/>
      <c r="K685" s="186"/>
      <c r="L685" s="186"/>
      <c r="M685" s="185"/>
      <c r="N685" s="185"/>
      <c r="O685" s="186"/>
      <c r="P685" s="185"/>
      <c r="Q685" s="225" t="s">
        <v>2934</v>
      </c>
      <c r="R685" s="225" t="s">
        <v>2933</v>
      </c>
      <c r="S685" s="225" t="s">
        <v>2935</v>
      </c>
      <c r="T685" s="179" t="s">
        <v>2974</v>
      </c>
      <c r="U685" s="183" t="s">
        <v>2954</v>
      </c>
      <c r="V685" s="225">
        <v>1359</v>
      </c>
      <c r="W685" s="225" t="s">
        <v>3009</v>
      </c>
      <c r="X685" s="226">
        <v>469.09</v>
      </c>
      <c r="Y685" s="226">
        <v>288.72000000000003</v>
      </c>
      <c r="Z685" s="226">
        <v>123.81</v>
      </c>
      <c r="AA685" s="226">
        <v>165.59</v>
      </c>
      <c r="AB685" s="226">
        <v>33.17</v>
      </c>
      <c r="AC685" s="225">
        <v>134.65</v>
      </c>
      <c r="AD685" s="179" t="s">
        <v>2956</v>
      </c>
      <c r="AE685" s="188" t="s">
        <v>5241</v>
      </c>
      <c r="AF685" s="189">
        <v>0.29166666666666669</v>
      </c>
      <c r="AG685" s="189">
        <v>0.95833333333333337</v>
      </c>
      <c r="AH685" s="190" t="s">
        <v>2941</v>
      </c>
      <c r="AI685" s="190" t="s">
        <v>2985</v>
      </c>
      <c r="AJ685" s="225" t="s">
        <v>150</v>
      </c>
      <c r="AK685" s="179" t="s">
        <v>2981</v>
      </c>
      <c r="AL685" s="225" t="s">
        <v>28</v>
      </c>
      <c r="AM685" s="183" t="s">
        <v>5519</v>
      </c>
      <c r="AN685" s="183" t="s">
        <v>2102</v>
      </c>
      <c r="AO685" s="209" t="s">
        <v>5520</v>
      </c>
      <c r="AP685" s="191"/>
      <c r="AQ685" s="222">
        <v>45829</v>
      </c>
      <c r="AR685" s="183">
        <v>14</v>
      </c>
      <c r="AS685" s="183"/>
      <c r="AT685" s="182" t="s">
        <v>5016</v>
      </c>
      <c r="AU685" s="182" t="s">
        <v>2946</v>
      </c>
      <c r="AV685" s="227">
        <v>12747750</v>
      </c>
      <c r="AW685" s="225">
        <v>21.9</v>
      </c>
      <c r="AX685" s="229">
        <v>80582</v>
      </c>
      <c r="AY685" s="183"/>
    </row>
    <row r="686" spans="1:51" ht="14.4" x14ac:dyDescent="0.3">
      <c r="A686" s="179" t="s">
        <v>1669</v>
      </c>
      <c r="B686" s="179" t="s">
        <v>2927</v>
      </c>
      <c r="C686" s="212" t="s">
        <v>5521</v>
      </c>
      <c r="D686" s="181" t="s">
        <v>2826</v>
      </c>
      <c r="E686" s="181" t="s">
        <v>2825</v>
      </c>
      <c r="F686" s="182" t="s">
        <v>2929</v>
      </c>
      <c r="G686" s="181" t="s">
        <v>12</v>
      </c>
      <c r="H686" s="222">
        <v>45835</v>
      </c>
      <c r="I686" s="193"/>
      <c r="J686" s="179" t="s">
        <v>5522</v>
      </c>
      <c r="K686" s="186">
        <v>1400</v>
      </c>
      <c r="L686" s="186"/>
      <c r="M686" s="185"/>
      <c r="N686" s="185"/>
      <c r="O686" s="186"/>
      <c r="P686" s="185"/>
      <c r="Q686" s="182" t="s">
        <v>2933</v>
      </c>
      <c r="R686" s="182" t="s">
        <v>2934</v>
      </c>
      <c r="S686" s="182" t="s">
        <v>2952</v>
      </c>
      <c r="T686" s="179" t="s">
        <v>2974</v>
      </c>
      <c r="U686" s="183" t="s">
        <v>2937</v>
      </c>
      <c r="V686" s="225">
        <v>763</v>
      </c>
      <c r="W686" s="225" t="s">
        <v>3823</v>
      </c>
      <c r="X686" s="226">
        <v>430.37</v>
      </c>
      <c r="Y686" s="226">
        <v>210.88</v>
      </c>
      <c r="Z686" s="226">
        <v>107.7</v>
      </c>
      <c r="AA686" s="226">
        <v>173.51</v>
      </c>
      <c r="AB686" s="226">
        <v>75.09</v>
      </c>
      <c r="AC686" s="225">
        <v>72.5</v>
      </c>
      <c r="AD686" s="179" t="s">
        <v>2956</v>
      </c>
      <c r="AE686" s="188" t="s">
        <v>5241</v>
      </c>
      <c r="AF686" s="189">
        <v>0.29166666666666669</v>
      </c>
      <c r="AG686" s="189">
        <v>0.91666666666666663</v>
      </c>
      <c r="AH686" s="190" t="s">
        <v>2941</v>
      </c>
      <c r="AI686" s="190" t="s">
        <v>2942</v>
      </c>
      <c r="AJ686" s="225" t="s">
        <v>1500</v>
      </c>
      <c r="AK686" s="179" t="s">
        <v>3302</v>
      </c>
      <c r="AL686" s="225" t="s">
        <v>9</v>
      </c>
      <c r="AM686" s="183" t="s">
        <v>5523</v>
      </c>
      <c r="AN686" s="183" t="s">
        <v>2102</v>
      </c>
      <c r="AO686" s="209" t="s">
        <v>5524</v>
      </c>
      <c r="AP686" s="191"/>
      <c r="AQ686" s="222">
        <v>45835</v>
      </c>
      <c r="AR686" s="183">
        <v>14</v>
      </c>
      <c r="AS686" s="183"/>
      <c r="AT686" s="182"/>
      <c r="AU686" s="182"/>
      <c r="AV686" s="227">
        <v>10841225</v>
      </c>
      <c r="AW686" s="225">
        <v>23.3</v>
      </c>
      <c r="AX686" s="229">
        <v>80351</v>
      </c>
      <c r="AY686" s="183"/>
    </row>
    <row r="687" spans="1:51" ht="14.4" x14ac:dyDescent="0.3">
      <c r="A687" s="179" t="s">
        <v>1177</v>
      </c>
      <c r="B687" s="179" t="s">
        <v>2927</v>
      </c>
      <c r="C687" s="212" t="s">
        <v>5525</v>
      </c>
      <c r="D687" s="181" t="s">
        <v>2838</v>
      </c>
      <c r="E687" s="181" t="s">
        <v>2830</v>
      </c>
      <c r="F687" s="182" t="s">
        <v>2929</v>
      </c>
      <c r="G687" s="181" t="s">
        <v>12</v>
      </c>
      <c r="H687" s="222">
        <v>45838</v>
      </c>
      <c r="I687" s="193"/>
      <c r="J687" s="179" t="s">
        <v>5526</v>
      </c>
      <c r="K687" s="186">
        <v>50</v>
      </c>
      <c r="L687" s="186"/>
      <c r="M687" s="185"/>
      <c r="N687" s="185"/>
      <c r="O687" s="186"/>
      <c r="P687" s="185"/>
      <c r="Q687" s="182" t="s">
        <v>2933</v>
      </c>
      <c r="R687" s="182" t="s">
        <v>2934</v>
      </c>
      <c r="S687" s="182" t="s">
        <v>2952</v>
      </c>
      <c r="T687" s="179" t="s">
        <v>4623</v>
      </c>
      <c r="U687" s="183" t="s">
        <v>2937</v>
      </c>
      <c r="V687" s="225">
        <v>644</v>
      </c>
      <c r="W687" s="225" t="s">
        <v>3823</v>
      </c>
      <c r="X687" s="226">
        <v>230.86</v>
      </c>
      <c r="Y687" s="226">
        <v>337.04999999999995</v>
      </c>
      <c r="Z687" s="226">
        <v>122.73</v>
      </c>
      <c r="AA687" s="226">
        <v>39.74</v>
      </c>
      <c r="AB687" s="226">
        <v>32.159999999999997</v>
      </c>
      <c r="AC687" s="225">
        <v>116.05</v>
      </c>
      <c r="AD687" s="179" t="s">
        <v>2956</v>
      </c>
      <c r="AE687" s="225" t="s">
        <v>5500</v>
      </c>
      <c r="AF687" s="189">
        <v>0.29166666666666669</v>
      </c>
      <c r="AG687" s="189">
        <v>0.95833333333333337</v>
      </c>
      <c r="AH687" s="190" t="s">
        <v>2941</v>
      </c>
      <c r="AI687" s="190" t="s">
        <v>2942</v>
      </c>
      <c r="AJ687" s="225" t="s">
        <v>508</v>
      </c>
      <c r="AK687" s="179" t="s">
        <v>3034</v>
      </c>
      <c r="AL687" s="225" t="s">
        <v>4</v>
      </c>
      <c r="AM687" s="183" t="s">
        <v>5527</v>
      </c>
      <c r="AN687" s="183" t="s">
        <v>2102</v>
      </c>
      <c r="AO687" s="209" t="s">
        <v>5528</v>
      </c>
      <c r="AP687" s="191"/>
      <c r="AQ687" s="222">
        <v>45838</v>
      </c>
      <c r="AR687" s="183">
        <v>13</v>
      </c>
      <c r="AS687" s="183"/>
      <c r="AT687" s="182"/>
      <c r="AU687" s="182"/>
      <c r="AV687" s="227">
        <v>7215884</v>
      </c>
      <c r="AW687" s="225">
        <v>14</v>
      </c>
      <c r="AX687" s="229">
        <v>80116</v>
      </c>
      <c r="AY687" s="183"/>
    </row>
    <row r="688" spans="1:51" ht="14.4" x14ac:dyDescent="0.3">
      <c r="A688" s="179" t="s">
        <v>992</v>
      </c>
      <c r="B688" s="179" t="s">
        <v>2947</v>
      </c>
      <c r="C688" s="212" t="s">
        <v>2224</v>
      </c>
      <c r="D688" s="181" t="s">
        <v>2842</v>
      </c>
      <c r="E688" s="181" t="s">
        <v>2834</v>
      </c>
      <c r="F688" s="182" t="s">
        <v>2972</v>
      </c>
      <c r="G688" s="181" t="s">
        <v>17</v>
      </c>
      <c r="H688" s="222">
        <v>45867</v>
      </c>
      <c r="I688" s="193">
        <v>45867</v>
      </c>
      <c r="J688" s="179" t="s">
        <v>5529</v>
      </c>
      <c r="K688" s="186">
        <v>600</v>
      </c>
      <c r="L688" s="186"/>
      <c r="M688" s="181" t="s">
        <v>3164</v>
      </c>
      <c r="N688" s="185"/>
      <c r="O688" s="179" t="s">
        <v>2951</v>
      </c>
      <c r="P688" s="185"/>
      <c r="Q688" s="225" t="s">
        <v>2998</v>
      </c>
      <c r="R688" s="225" t="s">
        <v>2933</v>
      </c>
      <c r="S688" s="182" t="s">
        <v>2952</v>
      </c>
      <c r="T688" s="179" t="s">
        <v>2974</v>
      </c>
      <c r="U688" s="183" t="s">
        <v>2954</v>
      </c>
      <c r="V688" s="225"/>
      <c r="W688" s="225" t="s">
        <v>5530</v>
      </c>
      <c r="X688" s="226">
        <v>252.57</v>
      </c>
      <c r="Y688" s="226">
        <v>399.64</v>
      </c>
      <c r="Z688" s="226">
        <v>110.12</v>
      </c>
      <c r="AA688" s="226">
        <v>130.38</v>
      </c>
      <c r="AB688" s="226">
        <v>72.75</v>
      </c>
      <c r="AC688" s="225">
        <v>104.52</v>
      </c>
      <c r="AD688" s="179" t="s">
        <v>2956</v>
      </c>
      <c r="AE688" s="188" t="s">
        <v>5319</v>
      </c>
      <c r="AF688" s="189">
        <v>0.29166666666666669</v>
      </c>
      <c r="AG688" s="189">
        <v>0.91666666666666663</v>
      </c>
      <c r="AH688" s="190" t="s">
        <v>2941</v>
      </c>
      <c r="AI688" s="190" t="s">
        <v>2942</v>
      </c>
      <c r="AJ688" s="183" t="s">
        <v>581</v>
      </c>
      <c r="AK688" s="179" t="s">
        <v>3404</v>
      </c>
      <c r="AL688" s="183" t="s">
        <v>32</v>
      </c>
      <c r="AM688" s="222" t="s">
        <v>5271</v>
      </c>
      <c r="AN688" s="183" t="s">
        <v>2102</v>
      </c>
      <c r="AO688" s="209" t="s">
        <v>5531</v>
      </c>
      <c r="AP688" s="191"/>
      <c r="AQ688" s="222">
        <v>45858</v>
      </c>
      <c r="AR688" s="183">
        <v>13</v>
      </c>
      <c r="AS688" s="183"/>
      <c r="AT688" s="182"/>
      <c r="AU688" s="182"/>
      <c r="AV688" s="227">
        <v>17226615</v>
      </c>
      <c r="AW688" s="181">
        <v>52.8</v>
      </c>
      <c r="AX688" s="206">
        <v>80652</v>
      </c>
      <c r="AY688" s="183"/>
    </row>
    <row r="689" spans="1:51" ht="14.4" x14ac:dyDescent="0.3">
      <c r="A689" s="179" t="s">
        <v>662</v>
      </c>
      <c r="B689" s="179" t="s">
        <v>2927</v>
      </c>
      <c r="C689" s="212" t="s">
        <v>2149</v>
      </c>
      <c r="D689" s="181" t="s">
        <v>2839</v>
      </c>
      <c r="E689" s="181" t="s">
        <v>2834</v>
      </c>
      <c r="F689" s="182" t="s">
        <v>2929</v>
      </c>
      <c r="G689" s="181" t="s">
        <v>12</v>
      </c>
      <c r="H689" s="222">
        <v>45866</v>
      </c>
      <c r="I689" s="193"/>
      <c r="J689" s="179"/>
      <c r="K689" s="186"/>
      <c r="L689" s="186"/>
      <c r="M689" s="185"/>
      <c r="N689" s="185"/>
      <c r="O689" s="186"/>
      <c r="P689" s="185"/>
      <c r="Q689" s="225" t="s">
        <v>2934</v>
      </c>
      <c r="R689" s="225" t="s">
        <v>2933</v>
      </c>
      <c r="S689" s="225" t="s">
        <v>2935</v>
      </c>
      <c r="T689" s="179" t="s">
        <v>2974</v>
      </c>
      <c r="U689" s="183" t="s">
        <v>2937</v>
      </c>
      <c r="V689" s="225">
        <v>1096</v>
      </c>
      <c r="W689" s="225" t="s">
        <v>3151</v>
      </c>
      <c r="X689" s="226">
        <v>225.51</v>
      </c>
      <c r="Y689" s="226">
        <v>200.26</v>
      </c>
      <c r="Z689" s="226">
        <v>130.83000000000001</v>
      </c>
      <c r="AA689" s="228" t="s">
        <v>3008</v>
      </c>
      <c r="AB689" s="226">
        <v>7.65</v>
      </c>
      <c r="AC689" s="225">
        <v>48.11</v>
      </c>
      <c r="AD689" s="179" t="s">
        <v>2984</v>
      </c>
      <c r="AE689" s="188" t="s">
        <v>5241</v>
      </c>
      <c r="AF689" s="189">
        <v>0.29166666666666669</v>
      </c>
      <c r="AG689" s="189">
        <v>0.91666666666666663</v>
      </c>
      <c r="AH689" s="190" t="s">
        <v>2941</v>
      </c>
      <c r="AI689" s="190" t="s">
        <v>2942</v>
      </c>
      <c r="AJ689" s="183" t="s">
        <v>660</v>
      </c>
      <c r="AK689" s="179" t="s">
        <v>5356</v>
      </c>
      <c r="AL689" s="183" t="s">
        <v>40</v>
      </c>
      <c r="AM689" s="222" t="s">
        <v>5532</v>
      </c>
      <c r="AN689" s="183" t="s">
        <v>2102</v>
      </c>
      <c r="AO689" s="209" t="s">
        <v>5533</v>
      </c>
      <c r="AP689" s="191"/>
      <c r="AQ689" s="222">
        <v>45866</v>
      </c>
      <c r="AR689" s="183">
        <v>13</v>
      </c>
      <c r="AS689" s="183"/>
      <c r="AT689" s="182"/>
      <c r="AU689" s="182"/>
      <c r="AV689" s="227">
        <v>10640952</v>
      </c>
      <c r="AW689" s="181">
        <v>48.4</v>
      </c>
      <c r="AX689" s="206">
        <v>80862</v>
      </c>
      <c r="AY689" s="183"/>
    </row>
    <row r="690" spans="1:51" ht="14.4" x14ac:dyDescent="0.3">
      <c r="A690" s="179" t="s">
        <v>1043</v>
      </c>
      <c r="B690" s="179" t="s">
        <v>2927</v>
      </c>
      <c r="C690" s="212" t="s">
        <v>2136</v>
      </c>
      <c r="D690" s="181" t="s">
        <v>2856</v>
      </c>
      <c r="E690" s="181" t="s">
        <v>2819</v>
      </c>
      <c r="F690" s="182" t="s">
        <v>2972</v>
      </c>
      <c r="G690" s="181" t="s">
        <v>17</v>
      </c>
      <c r="H690" s="222">
        <v>45867</v>
      </c>
      <c r="I690" s="193"/>
      <c r="J690" s="179" t="s">
        <v>5534</v>
      </c>
      <c r="K690" s="186">
        <v>850</v>
      </c>
      <c r="L690" s="186"/>
      <c r="M690" s="185"/>
      <c r="N690" s="185"/>
      <c r="O690" s="186"/>
      <c r="P690" s="185"/>
      <c r="Q690" s="182" t="s">
        <v>2933</v>
      </c>
      <c r="R690" s="182" t="s">
        <v>2934</v>
      </c>
      <c r="S690" s="182" t="s">
        <v>2952</v>
      </c>
      <c r="T690" s="179" t="s">
        <v>4623</v>
      </c>
      <c r="U690" s="183" t="s">
        <v>2937</v>
      </c>
      <c r="V690" s="225">
        <v>593</v>
      </c>
      <c r="W690" s="225" t="s">
        <v>2975</v>
      </c>
      <c r="X690" s="226">
        <v>342.84</v>
      </c>
      <c r="Y690" s="226">
        <v>234</v>
      </c>
      <c r="Z690" s="226">
        <v>121.47</v>
      </c>
      <c r="AA690" s="226">
        <v>94.24</v>
      </c>
      <c r="AB690" s="226">
        <v>37.22</v>
      </c>
      <c r="AC690" s="225">
        <v>78.150000000000006</v>
      </c>
      <c r="AD690" s="179" t="s">
        <v>2956</v>
      </c>
      <c r="AE690" s="188" t="s">
        <v>5241</v>
      </c>
      <c r="AF690" s="189">
        <v>0.29166666666666669</v>
      </c>
      <c r="AG690" s="189">
        <v>0.91666666666666663</v>
      </c>
      <c r="AH690" s="190" t="s">
        <v>2941</v>
      </c>
      <c r="AI690" s="190" t="s">
        <v>2942</v>
      </c>
      <c r="AJ690" s="183" t="s">
        <v>192</v>
      </c>
      <c r="AK690" s="179" t="s">
        <v>2977</v>
      </c>
      <c r="AL690" s="183" t="s">
        <v>9</v>
      </c>
      <c r="AM690" s="222" t="s">
        <v>5535</v>
      </c>
      <c r="AN690" s="183" t="s">
        <v>2102</v>
      </c>
      <c r="AO690" s="209" t="s">
        <v>5536</v>
      </c>
      <c r="AP690" s="191"/>
      <c r="AQ690" s="222">
        <v>45867</v>
      </c>
      <c r="AR690" s="183">
        <v>12</v>
      </c>
      <c r="AS690" s="183"/>
      <c r="AT690" s="182"/>
      <c r="AU690" s="182"/>
      <c r="AV690" s="227">
        <v>11983715</v>
      </c>
      <c r="AW690" s="181">
        <v>22.7</v>
      </c>
      <c r="AX690" s="206">
        <v>80351</v>
      </c>
      <c r="AY690" s="183"/>
    </row>
    <row r="691" spans="1:51" ht="14.4" x14ac:dyDescent="0.3">
      <c r="A691" s="179" t="s">
        <v>351</v>
      </c>
      <c r="B691" s="179" t="s">
        <v>2947</v>
      </c>
      <c r="C691" s="212" t="s">
        <v>2184</v>
      </c>
      <c r="D691" s="181" t="s">
        <v>2858</v>
      </c>
      <c r="E691" s="181" t="s">
        <v>2813</v>
      </c>
      <c r="F691" s="182" t="s">
        <v>2929</v>
      </c>
      <c r="G691" s="181" t="s">
        <v>12</v>
      </c>
      <c r="H691" s="222">
        <v>45868</v>
      </c>
      <c r="I691" s="193"/>
      <c r="J691" s="179"/>
      <c r="K691" s="186"/>
      <c r="L691" s="186"/>
      <c r="M691" s="185"/>
      <c r="N691" s="185"/>
      <c r="O691" s="186"/>
      <c r="P691" s="185"/>
      <c r="Q691" s="225" t="s">
        <v>2934</v>
      </c>
      <c r="R691" s="225" t="s">
        <v>2933</v>
      </c>
      <c r="S691" s="225" t="s">
        <v>2935</v>
      </c>
      <c r="T691" s="179" t="s">
        <v>2974</v>
      </c>
      <c r="U691" s="183" t="s">
        <v>2954</v>
      </c>
      <c r="V691" s="225">
        <v>641</v>
      </c>
      <c r="W691" s="225" t="s">
        <v>3549</v>
      </c>
      <c r="X691" s="226">
        <v>344.49</v>
      </c>
      <c r="Y691" s="226">
        <v>182.7</v>
      </c>
      <c r="Z691" s="226">
        <v>132.47999999999999</v>
      </c>
      <c r="AA691" s="226">
        <v>91.86</v>
      </c>
      <c r="AB691" s="226">
        <v>22.4</v>
      </c>
      <c r="AC691" s="225">
        <v>68.099999999999994</v>
      </c>
      <c r="AD691" s="179" t="s">
        <v>2956</v>
      </c>
      <c r="AE691" s="188" t="s">
        <v>5241</v>
      </c>
      <c r="AF691" s="189">
        <v>0.29166666666666669</v>
      </c>
      <c r="AG691" s="189">
        <v>0.91666666666666663</v>
      </c>
      <c r="AH691" s="190" t="s">
        <v>2941</v>
      </c>
      <c r="AI691" s="190" t="s">
        <v>2942</v>
      </c>
      <c r="AJ691" s="183" t="s">
        <v>349</v>
      </c>
      <c r="AK691" s="179" t="s">
        <v>3010</v>
      </c>
      <c r="AL691" s="183" t="s">
        <v>36</v>
      </c>
      <c r="AM691" s="222" t="s">
        <v>5537</v>
      </c>
      <c r="AN691" s="183" t="s">
        <v>2102</v>
      </c>
      <c r="AO691" s="209" t="s">
        <v>5538</v>
      </c>
      <c r="AP691" s="191"/>
      <c r="AQ691" s="222">
        <v>45868</v>
      </c>
      <c r="AR691" s="183">
        <v>12</v>
      </c>
      <c r="AS691" s="183"/>
      <c r="AT691" s="182" t="s">
        <v>5539</v>
      </c>
      <c r="AU691" s="182" t="s">
        <v>2946</v>
      </c>
      <c r="AV691" s="227">
        <v>11299288</v>
      </c>
      <c r="AW691" s="181">
        <v>13</v>
      </c>
      <c r="AX691" s="206">
        <v>82121</v>
      </c>
      <c r="AY691" s="183"/>
    </row>
    <row r="692" spans="1:51" ht="14.4" x14ac:dyDescent="0.3">
      <c r="A692" s="183" t="s">
        <v>163</v>
      </c>
      <c r="B692" s="183" t="s">
        <v>2927</v>
      </c>
      <c r="C692" s="230" t="s">
        <v>2165</v>
      </c>
      <c r="D692" s="181" t="s">
        <v>2835</v>
      </c>
      <c r="E692" s="181" t="s">
        <v>2834</v>
      </c>
      <c r="F692" s="182" t="s">
        <v>2929</v>
      </c>
      <c r="G692" s="181" t="s">
        <v>12</v>
      </c>
      <c r="H692" s="222">
        <v>45869</v>
      </c>
      <c r="I692" s="193"/>
      <c r="J692" s="179" t="s">
        <v>5540</v>
      </c>
      <c r="K692" s="186">
        <v>150</v>
      </c>
      <c r="L692" s="186"/>
      <c r="M692" s="185"/>
      <c r="N692" s="185"/>
      <c r="O692" s="186"/>
      <c r="P692" s="185"/>
      <c r="Q692" s="182" t="s">
        <v>2933</v>
      </c>
      <c r="R692" s="182" t="s">
        <v>2934</v>
      </c>
      <c r="S692" s="182" t="s">
        <v>2952</v>
      </c>
      <c r="T692" s="179" t="s">
        <v>2974</v>
      </c>
      <c r="U692" s="183" t="s">
        <v>2937</v>
      </c>
      <c r="V692" s="225">
        <v>181</v>
      </c>
      <c r="W692" s="225" t="s">
        <v>3151</v>
      </c>
      <c r="X692" s="226">
        <v>681.8</v>
      </c>
      <c r="Y692" s="226">
        <v>303.06</v>
      </c>
      <c r="Z692" s="226">
        <v>141.33000000000001</v>
      </c>
      <c r="AA692" s="226">
        <v>113.56</v>
      </c>
      <c r="AB692" s="226">
        <v>11.64</v>
      </c>
      <c r="AC692" s="225">
        <v>153.21</v>
      </c>
      <c r="AD692" s="179" t="s">
        <v>2956</v>
      </c>
      <c r="AE692" s="188" t="s">
        <v>5319</v>
      </c>
      <c r="AF692" s="189">
        <v>0.29166666666666669</v>
      </c>
      <c r="AG692" s="189">
        <v>0.95833333333333337</v>
      </c>
      <c r="AH692" s="190" t="s">
        <v>2941</v>
      </c>
      <c r="AI692" s="190" t="s">
        <v>2942</v>
      </c>
      <c r="AJ692" s="183" t="s">
        <v>159</v>
      </c>
      <c r="AK692" s="179" t="s">
        <v>32</v>
      </c>
      <c r="AL692" s="183" t="s">
        <v>32</v>
      </c>
      <c r="AM692" s="222" t="s">
        <v>5541</v>
      </c>
      <c r="AN692" s="183" t="s">
        <v>2102</v>
      </c>
      <c r="AO692" s="209" t="s">
        <v>5542</v>
      </c>
      <c r="AP692" s="191"/>
      <c r="AQ692" s="222">
        <v>45869</v>
      </c>
      <c r="AR692" s="183">
        <v>12</v>
      </c>
      <c r="AS692" s="183"/>
      <c r="AT692" s="182"/>
      <c r="AU692" s="182"/>
      <c r="AV692" s="227">
        <v>9901266</v>
      </c>
      <c r="AW692" s="181">
        <v>41.4</v>
      </c>
      <c r="AX692" s="206">
        <v>80613</v>
      </c>
      <c r="AY692" s="183"/>
    </row>
    <row r="693" spans="1:51" ht="14.4" x14ac:dyDescent="0.3">
      <c r="A693" s="179" t="s">
        <v>640</v>
      </c>
      <c r="B693" s="179" t="s">
        <v>2927</v>
      </c>
      <c r="C693" s="212" t="s">
        <v>2151</v>
      </c>
      <c r="D693" s="181" t="s">
        <v>2839</v>
      </c>
      <c r="E693" s="181" t="s">
        <v>2834</v>
      </c>
      <c r="F693" s="182" t="s">
        <v>4501</v>
      </c>
      <c r="G693" s="181" t="s">
        <v>342</v>
      </c>
      <c r="H693" s="222">
        <v>45869</v>
      </c>
      <c r="I693" s="193"/>
      <c r="J693" s="179"/>
      <c r="K693" s="186"/>
      <c r="L693" s="186"/>
      <c r="M693" s="181" t="s">
        <v>3164</v>
      </c>
      <c r="N693" s="185"/>
      <c r="O693" s="179" t="s">
        <v>2951</v>
      </c>
      <c r="P693" s="185"/>
      <c r="Q693" s="225" t="s">
        <v>2933</v>
      </c>
      <c r="R693" s="225" t="s">
        <v>2998</v>
      </c>
      <c r="S693" s="182" t="s">
        <v>2952</v>
      </c>
      <c r="T693" s="179" t="s">
        <v>2974</v>
      </c>
      <c r="U693" s="183" t="s">
        <v>2937</v>
      </c>
      <c r="V693" s="225"/>
      <c r="W693" s="225" t="s">
        <v>5543</v>
      </c>
      <c r="X693" s="226">
        <v>167.75</v>
      </c>
      <c r="Y693" s="226">
        <v>151.37</v>
      </c>
      <c r="Z693" s="226">
        <v>74.099999999999994</v>
      </c>
      <c r="AA693" s="226">
        <v>63.22</v>
      </c>
      <c r="AB693" s="226">
        <v>85.12</v>
      </c>
      <c r="AC693" s="225">
        <v>47.85</v>
      </c>
      <c r="AD693" s="179" t="s">
        <v>2984</v>
      </c>
      <c r="AE693" s="188" t="s">
        <v>5319</v>
      </c>
      <c r="AF693" s="189">
        <v>0.29166666666666669</v>
      </c>
      <c r="AG693" s="189">
        <v>0.91666666666666663</v>
      </c>
      <c r="AH693" s="190" t="s">
        <v>2941</v>
      </c>
      <c r="AI693" s="190" t="s">
        <v>2942</v>
      </c>
      <c r="AJ693" s="183" t="s">
        <v>581</v>
      </c>
      <c r="AK693" s="179" t="s">
        <v>3404</v>
      </c>
      <c r="AL693" s="183" t="s">
        <v>32</v>
      </c>
      <c r="AM693" s="222" t="s">
        <v>5271</v>
      </c>
      <c r="AN693" s="183" t="s">
        <v>2102</v>
      </c>
      <c r="AO693" s="209" t="s">
        <v>5544</v>
      </c>
      <c r="AP693" s="191"/>
      <c r="AQ693" s="222">
        <v>45869</v>
      </c>
      <c r="AR693" s="183">
        <v>12</v>
      </c>
      <c r="AS693" s="183"/>
      <c r="AT693" s="182"/>
      <c r="AU693" s="182"/>
      <c r="AV693" s="227">
        <v>14111960</v>
      </c>
      <c r="AW693" s="181">
        <v>48</v>
      </c>
      <c r="AX693" s="206">
        <v>80652</v>
      </c>
      <c r="AY693" s="183"/>
    </row>
    <row r="694" spans="1:51" ht="14.4" x14ac:dyDescent="0.3">
      <c r="A694" s="179" t="s">
        <v>1161</v>
      </c>
      <c r="B694" s="179" t="s">
        <v>2947</v>
      </c>
      <c r="C694" s="212" t="s">
        <v>5545</v>
      </c>
      <c r="D694" s="181" t="s">
        <v>2833</v>
      </c>
      <c r="E694" s="181" t="s">
        <v>2821</v>
      </c>
      <c r="F694" s="182" t="s">
        <v>2972</v>
      </c>
      <c r="G694" s="181" t="s">
        <v>17</v>
      </c>
      <c r="H694" s="222">
        <v>45869</v>
      </c>
      <c r="I694" s="193"/>
      <c r="J694" s="179"/>
      <c r="K694" s="186"/>
      <c r="L694" s="186"/>
      <c r="M694" s="185"/>
      <c r="N694" s="185"/>
      <c r="O694" s="186"/>
      <c r="P694" s="185"/>
      <c r="Q694" s="225" t="s">
        <v>2934</v>
      </c>
      <c r="R694" s="225" t="s">
        <v>2933</v>
      </c>
      <c r="S694" s="225" t="s">
        <v>2935</v>
      </c>
      <c r="T694" s="179" t="s">
        <v>2974</v>
      </c>
      <c r="U694" s="183" t="s">
        <v>2954</v>
      </c>
      <c r="V694" s="225">
        <v>999</v>
      </c>
      <c r="W694" s="225" t="s">
        <v>4431</v>
      </c>
      <c r="X694" s="226">
        <v>486.25</v>
      </c>
      <c r="Y694" s="226">
        <v>244.15</v>
      </c>
      <c r="Z694" s="226">
        <v>120.48</v>
      </c>
      <c r="AA694" s="226">
        <v>233.64</v>
      </c>
      <c r="AB694" s="226">
        <v>38.33</v>
      </c>
      <c r="AC694" s="225">
        <v>100.02</v>
      </c>
      <c r="AD694" s="179" t="s">
        <v>2956</v>
      </c>
      <c r="AE694" s="188" t="s">
        <v>5241</v>
      </c>
      <c r="AF694" s="189">
        <v>0.29166666666666669</v>
      </c>
      <c r="AG694" s="189">
        <v>0.91666666666666663</v>
      </c>
      <c r="AH694" s="190" t="s">
        <v>2941</v>
      </c>
      <c r="AI694" s="190" t="s">
        <v>2942</v>
      </c>
      <c r="AJ694" s="183" t="s">
        <v>1159</v>
      </c>
      <c r="AK694" s="179" t="s">
        <v>4217</v>
      </c>
      <c r="AL694" s="183" t="s">
        <v>36</v>
      </c>
      <c r="AM694" s="222" t="s">
        <v>5546</v>
      </c>
      <c r="AN694" s="183" t="s">
        <v>2102</v>
      </c>
      <c r="AO694" s="209" t="s">
        <v>5547</v>
      </c>
      <c r="AP694" s="191"/>
      <c r="AQ694" s="222">
        <v>45869</v>
      </c>
      <c r="AR694" s="183">
        <v>12</v>
      </c>
      <c r="AS694" s="183"/>
      <c r="AT694" s="182" t="s">
        <v>5548</v>
      </c>
      <c r="AU694" s="182" t="s">
        <v>2946</v>
      </c>
      <c r="AV694" s="227">
        <v>11895345</v>
      </c>
      <c r="AW694" s="181">
        <v>5</v>
      </c>
      <c r="AX694" s="206">
        <v>82181</v>
      </c>
      <c r="AY694" s="183"/>
    </row>
    <row r="695" spans="1:51" ht="14.4" x14ac:dyDescent="0.3">
      <c r="A695" s="179" t="s">
        <v>1300</v>
      </c>
      <c r="B695" s="179" t="s">
        <v>2947</v>
      </c>
      <c r="C695" s="212" t="s">
        <v>2225</v>
      </c>
      <c r="D695" s="181" t="s">
        <v>2871</v>
      </c>
      <c r="E695" s="181" t="s">
        <v>2813</v>
      </c>
      <c r="F695" s="182" t="s">
        <v>2972</v>
      </c>
      <c r="G695" s="181" t="s">
        <v>17</v>
      </c>
      <c r="H695" s="222">
        <v>45899</v>
      </c>
      <c r="I695" s="193"/>
      <c r="J695" s="179" t="s">
        <v>5549</v>
      </c>
      <c r="K695" s="186">
        <v>80</v>
      </c>
      <c r="L695" s="186"/>
      <c r="M695" s="185"/>
      <c r="N695" s="185"/>
      <c r="O695" s="179" t="s">
        <v>2951</v>
      </c>
      <c r="P695" s="185"/>
      <c r="Q695" s="182" t="s">
        <v>2933</v>
      </c>
      <c r="R695" s="182" t="s">
        <v>2934</v>
      </c>
      <c r="S695" s="182" t="s">
        <v>2952</v>
      </c>
      <c r="T695" s="179" t="s">
        <v>2974</v>
      </c>
      <c r="U695" s="183" t="s">
        <v>2954</v>
      </c>
      <c r="V695" s="225">
        <v>369</v>
      </c>
      <c r="W695" s="225" t="s">
        <v>4451</v>
      </c>
      <c r="X695" s="226">
        <v>379.79</v>
      </c>
      <c r="Y695" s="226">
        <v>226.58</v>
      </c>
      <c r="Z695" s="226">
        <v>134.13999999999999</v>
      </c>
      <c r="AA695" s="226">
        <v>152.55000000000001</v>
      </c>
      <c r="AB695" s="226">
        <v>32.19</v>
      </c>
      <c r="AC695" s="225">
        <v>60.19</v>
      </c>
      <c r="AD695" s="179" t="s">
        <v>2956</v>
      </c>
      <c r="AE695" s="188" t="s">
        <v>5241</v>
      </c>
      <c r="AF695" s="189">
        <v>0</v>
      </c>
      <c r="AG695" s="189">
        <v>0.99930555555555556</v>
      </c>
      <c r="AH695" s="190" t="s">
        <v>2941</v>
      </c>
      <c r="AI695" s="190" t="s">
        <v>2942</v>
      </c>
      <c r="AJ695" s="183" t="s">
        <v>260</v>
      </c>
      <c r="AK695" s="179" t="s">
        <v>131</v>
      </c>
      <c r="AL695" s="183" t="s">
        <v>9</v>
      </c>
      <c r="AM695" s="222" t="s">
        <v>5550</v>
      </c>
      <c r="AN695" s="183" t="s">
        <v>2102</v>
      </c>
      <c r="AO695" s="209" t="s">
        <v>5551</v>
      </c>
      <c r="AP695" s="191"/>
      <c r="AQ695" s="222">
        <v>45885</v>
      </c>
      <c r="AR695" s="183">
        <v>12</v>
      </c>
      <c r="AS695" s="183"/>
      <c r="AT695" s="182"/>
      <c r="AU695" s="182"/>
      <c r="AV695" s="227">
        <v>21089456</v>
      </c>
      <c r="AW695" s="181">
        <v>33</v>
      </c>
      <c r="AX695" s="206">
        <v>80361</v>
      </c>
      <c r="AY695" s="183"/>
    </row>
    <row r="696" spans="1:51" ht="14.4" x14ac:dyDescent="0.3">
      <c r="A696" s="179" t="s">
        <v>646</v>
      </c>
      <c r="B696" s="179" t="s">
        <v>2947</v>
      </c>
      <c r="C696" s="212" t="s">
        <v>2199</v>
      </c>
      <c r="D696" s="181" t="s">
        <v>2833</v>
      </c>
      <c r="E696" s="181" t="s">
        <v>2821</v>
      </c>
      <c r="F696" s="182" t="s">
        <v>2929</v>
      </c>
      <c r="G696" s="181" t="s">
        <v>12</v>
      </c>
      <c r="H696" s="222">
        <v>45891</v>
      </c>
      <c r="I696" s="193"/>
      <c r="J696" s="179"/>
      <c r="K696" s="186"/>
      <c r="L696" s="186"/>
      <c r="M696" s="185"/>
      <c r="N696" s="185"/>
      <c r="O696" s="186"/>
      <c r="P696" s="185"/>
      <c r="Q696" s="225" t="s">
        <v>2934</v>
      </c>
      <c r="R696" s="225" t="s">
        <v>2933</v>
      </c>
      <c r="S696" s="225" t="s">
        <v>2935</v>
      </c>
      <c r="T696" s="179" t="s">
        <v>2974</v>
      </c>
      <c r="U696" s="183" t="s">
        <v>2954</v>
      </c>
      <c r="V696" s="225">
        <v>1614</v>
      </c>
      <c r="W696" s="225" t="s">
        <v>4843</v>
      </c>
      <c r="X696" s="226">
        <v>245.89</v>
      </c>
      <c r="Y696" s="226">
        <v>165.2</v>
      </c>
      <c r="Z696" s="226">
        <v>84.25</v>
      </c>
      <c r="AA696" s="226">
        <v>87.67</v>
      </c>
      <c r="AB696" s="226">
        <v>17.649999999999999</v>
      </c>
      <c r="AC696" s="225">
        <v>61.87</v>
      </c>
      <c r="AD696" s="179" t="s">
        <v>2956</v>
      </c>
      <c r="AE696" s="188" t="s">
        <v>5241</v>
      </c>
      <c r="AF696" s="189">
        <v>0.29166666666666669</v>
      </c>
      <c r="AG696" s="189">
        <v>0.91666666666666663</v>
      </c>
      <c r="AH696" s="190" t="s">
        <v>2941</v>
      </c>
      <c r="AI696" s="190" t="s">
        <v>2942</v>
      </c>
      <c r="AJ696" s="183" t="s">
        <v>644</v>
      </c>
      <c r="AK696" s="179" t="s">
        <v>626</v>
      </c>
      <c r="AL696" s="183" t="s">
        <v>36</v>
      </c>
      <c r="AM696" s="222" t="s">
        <v>5552</v>
      </c>
      <c r="AN696" s="183" t="s">
        <v>2102</v>
      </c>
      <c r="AO696" s="209" t="s">
        <v>5553</v>
      </c>
      <c r="AP696" s="191"/>
      <c r="AQ696" s="222">
        <v>45891</v>
      </c>
      <c r="AR696" s="183">
        <v>12</v>
      </c>
      <c r="AS696" s="183"/>
      <c r="AT696" s="182"/>
      <c r="AU696" s="182"/>
      <c r="AV696" s="227">
        <v>11594010</v>
      </c>
      <c r="AW696" s="181">
        <v>16</v>
      </c>
      <c r="AX696" s="206">
        <v>82191</v>
      </c>
      <c r="AY696" s="183"/>
    </row>
    <row r="697" spans="1:51" ht="14.4" x14ac:dyDescent="0.3">
      <c r="A697" s="179" t="s">
        <v>670</v>
      </c>
      <c r="B697" s="179" t="s">
        <v>2947</v>
      </c>
      <c r="C697" s="212" t="s">
        <v>2202</v>
      </c>
      <c r="D697" s="181" t="s">
        <v>2844</v>
      </c>
      <c r="E697" s="181" t="s">
        <v>2834</v>
      </c>
      <c r="F697" s="182" t="s">
        <v>2929</v>
      </c>
      <c r="G697" s="181" t="s">
        <v>12</v>
      </c>
      <c r="H697" s="222">
        <v>45891</v>
      </c>
      <c r="I697" s="193"/>
      <c r="J697" s="179"/>
      <c r="K697" s="186"/>
      <c r="L697" s="186"/>
      <c r="M697" s="185"/>
      <c r="N697" s="185"/>
      <c r="O697" s="186"/>
      <c r="P697" s="185"/>
      <c r="Q697" s="225" t="s">
        <v>2934</v>
      </c>
      <c r="R697" s="225" t="s">
        <v>2933</v>
      </c>
      <c r="S697" s="225" t="s">
        <v>2935</v>
      </c>
      <c r="T697" s="179" t="s">
        <v>2974</v>
      </c>
      <c r="U697" s="183" t="s">
        <v>2954</v>
      </c>
      <c r="V697" s="225">
        <v>1468</v>
      </c>
      <c r="W697" s="225" t="s">
        <v>4578</v>
      </c>
      <c r="X697" s="226">
        <v>360</v>
      </c>
      <c r="Y697" s="226">
        <v>199.71</v>
      </c>
      <c r="Z697" s="226">
        <v>117.72</v>
      </c>
      <c r="AA697" s="226">
        <v>126.1</v>
      </c>
      <c r="AB697" s="226">
        <v>24.92</v>
      </c>
      <c r="AC697" s="225">
        <v>49.64</v>
      </c>
      <c r="AD697" s="179" t="s">
        <v>2984</v>
      </c>
      <c r="AE697" s="188" t="s">
        <v>5241</v>
      </c>
      <c r="AF697" s="189">
        <v>0.29166666666666669</v>
      </c>
      <c r="AG697" s="189">
        <v>0.91666666666666663</v>
      </c>
      <c r="AH697" s="190" t="s">
        <v>2941</v>
      </c>
      <c r="AI697" s="190" t="s">
        <v>2942</v>
      </c>
      <c r="AJ697" s="183" t="s">
        <v>668</v>
      </c>
      <c r="AK697" s="179" t="s">
        <v>568</v>
      </c>
      <c r="AL697" s="183" t="s">
        <v>32</v>
      </c>
      <c r="AM697" s="222" t="s">
        <v>5554</v>
      </c>
      <c r="AN697" s="183" t="s">
        <v>2102</v>
      </c>
      <c r="AO697" s="209" t="s">
        <v>5555</v>
      </c>
      <c r="AP697" s="191"/>
      <c r="AQ697" s="222">
        <v>45891</v>
      </c>
      <c r="AR697" s="183">
        <v>12</v>
      </c>
      <c r="AS697" s="183"/>
      <c r="AT697" s="182"/>
      <c r="AU697" s="182"/>
      <c r="AV697" s="227">
        <v>10322832</v>
      </c>
      <c r="AW697" s="181">
        <v>39</v>
      </c>
      <c r="AX697" s="206">
        <v>80652</v>
      </c>
      <c r="AY697" s="183"/>
    </row>
    <row r="698" spans="1:51" ht="14.4" x14ac:dyDescent="0.3">
      <c r="A698" s="179" t="s">
        <v>1129</v>
      </c>
      <c r="B698" s="183" t="s">
        <v>2927</v>
      </c>
      <c r="C698" s="212" t="s">
        <v>2118</v>
      </c>
      <c r="D698" s="181" t="s">
        <v>2823</v>
      </c>
      <c r="E698" s="181" t="s">
        <v>2819</v>
      </c>
      <c r="F698" s="182" t="s">
        <v>2929</v>
      </c>
      <c r="G698" s="181" t="s">
        <v>12</v>
      </c>
      <c r="H698" s="222">
        <v>45892</v>
      </c>
      <c r="I698" s="193"/>
      <c r="J698" s="179" t="s">
        <v>5556</v>
      </c>
      <c r="K698" s="186">
        <v>280</v>
      </c>
      <c r="L698" s="186"/>
      <c r="M698" s="185"/>
      <c r="N698" s="185"/>
      <c r="O698" s="186"/>
      <c r="P698" s="185"/>
      <c r="Q698" s="182" t="s">
        <v>2933</v>
      </c>
      <c r="R698" s="182" t="s">
        <v>2934</v>
      </c>
      <c r="S698" s="182" t="s">
        <v>2952</v>
      </c>
      <c r="T698" s="179" t="s">
        <v>4623</v>
      </c>
      <c r="U698" s="183" t="s">
        <v>2937</v>
      </c>
      <c r="V698" s="225">
        <v>433</v>
      </c>
      <c r="W698" s="225" t="s">
        <v>3151</v>
      </c>
      <c r="X698" s="226">
        <v>355.01</v>
      </c>
      <c r="Y698" s="226">
        <v>243.39</v>
      </c>
      <c r="Z698" s="226">
        <v>121.43</v>
      </c>
      <c r="AA698" s="226">
        <v>111.62</v>
      </c>
      <c r="AB698" s="226">
        <v>30.71</v>
      </c>
      <c r="AC698" s="225">
        <v>89.22</v>
      </c>
      <c r="AD698" s="179" t="s">
        <v>2956</v>
      </c>
      <c r="AE698" s="188" t="s">
        <v>5241</v>
      </c>
      <c r="AF698" s="189">
        <v>0.29166666666666669</v>
      </c>
      <c r="AG698" s="189">
        <v>0.91666666666666663</v>
      </c>
      <c r="AH698" s="190" t="s">
        <v>2941</v>
      </c>
      <c r="AI698" s="190" t="s">
        <v>2942</v>
      </c>
      <c r="AJ698" s="183" t="s">
        <v>316</v>
      </c>
      <c r="AK698" s="179" t="s">
        <v>5557</v>
      </c>
      <c r="AL698" s="183" t="s">
        <v>9</v>
      </c>
      <c r="AM698" s="222" t="s">
        <v>5558</v>
      </c>
      <c r="AN698" s="183" t="s">
        <v>2102</v>
      </c>
      <c r="AO698" s="209" t="s">
        <v>5559</v>
      </c>
      <c r="AP698" s="191"/>
      <c r="AQ698" s="222">
        <v>45892</v>
      </c>
      <c r="AR698" s="183">
        <v>12</v>
      </c>
      <c r="AS698" s="183"/>
      <c r="AT698" s="182"/>
      <c r="AU698" s="182"/>
      <c r="AV698" s="227">
        <v>8936225</v>
      </c>
      <c r="AW698" s="181">
        <v>20</v>
      </c>
      <c r="AX698" s="206">
        <v>80351</v>
      </c>
      <c r="AY698" s="183"/>
    </row>
    <row r="699" spans="1:51" ht="14.4" x14ac:dyDescent="0.3">
      <c r="A699" s="179" t="s">
        <v>1256</v>
      </c>
      <c r="B699" s="183" t="s">
        <v>2927</v>
      </c>
      <c r="C699" s="212" t="s">
        <v>2109</v>
      </c>
      <c r="D699" s="181" t="s">
        <v>2832</v>
      </c>
      <c r="E699" s="181" t="s">
        <v>2813</v>
      </c>
      <c r="F699" s="182" t="s">
        <v>2929</v>
      </c>
      <c r="G699" s="181" t="s">
        <v>12</v>
      </c>
      <c r="H699" s="222">
        <v>45898</v>
      </c>
      <c r="I699" s="193"/>
      <c r="J699" s="179" t="s">
        <v>5560</v>
      </c>
      <c r="K699" s="186">
        <v>910</v>
      </c>
      <c r="L699" s="186"/>
      <c r="M699" s="185"/>
      <c r="N699" s="185"/>
      <c r="O699" s="186"/>
      <c r="P699" s="185"/>
      <c r="Q699" s="225" t="s">
        <v>2934</v>
      </c>
      <c r="R699" s="225" t="s">
        <v>2933</v>
      </c>
      <c r="S699" s="225" t="s">
        <v>2935</v>
      </c>
      <c r="T699" s="179" t="s">
        <v>4623</v>
      </c>
      <c r="U699" s="183" t="s">
        <v>2937</v>
      </c>
      <c r="V699" s="225">
        <v>580</v>
      </c>
      <c r="W699" s="225" t="s">
        <v>3549</v>
      </c>
      <c r="X699" s="226">
        <v>347.57</v>
      </c>
      <c r="Y699" s="226">
        <v>785.35</v>
      </c>
      <c r="Z699" s="226">
        <v>152.11000000000001</v>
      </c>
      <c r="AA699" s="226">
        <v>76.62</v>
      </c>
      <c r="AB699" s="226">
        <v>43.62</v>
      </c>
      <c r="AC699" s="225">
        <v>185.63</v>
      </c>
      <c r="AD699" s="179" t="s">
        <v>2956</v>
      </c>
      <c r="AE699" s="225" t="s">
        <v>5500</v>
      </c>
      <c r="AF699" s="189">
        <v>0.29166666666666669</v>
      </c>
      <c r="AG699" s="189">
        <v>0.95833333333333337</v>
      </c>
      <c r="AH699" s="190" t="s">
        <v>2941</v>
      </c>
      <c r="AI699" s="190" t="s">
        <v>2942</v>
      </c>
      <c r="AJ699" s="183" t="s">
        <v>1254</v>
      </c>
      <c r="AK699" s="179" t="s">
        <v>3241</v>
      </c>
      <c r="AL699" s="183" t="s">
        <v>9</v>
      </c>
      <c r="AM699" s="222" t="s">
        <v>5561</v>
      </c>
      <c r="AN699" s="183" t="s">
        <v>2102</v>
      </c>
      <c r="AO699" s="209" t="s">
        <v>5562</v>
      </c>
      <c r="AP699" s="191"/>
      <c r="AQ699" s="222">
        <v>45898</v>
      </c>
      <c r="AR699" s="183">
        <v>11</v>
      </c>
      <c r="AS699" s="183"/>
      <c r="AT699" s="182"/>
      <c r="AU699" s="182"/>
      <c r="AV699" s="227">
        <v>9094008</v>
      </c>
      <c r="AW699" s="181">
        <v>40</v>
      </c>
      <c r="AX699" s="206">
        <v>80361</v>
      </c>
      <c r="AY699" s="183"/>
    </row>
    <row r="700" spans="1:51" ht="14.4" x14ac:dyDescent="0.3">
      <c r="A700" s="179" t="s">
        <v>315</v>
      </c>
      <c r="B700" s="179" t="s">
        <v>2947</v>
      </c>
      <c r="C700" s="212" t="s">
        <v>2200</v>
      </c>
      <c r="D700" s="181" t="s">
        <v>2871</v>
      </c>
      <c r="E700" s="181" t="s">
        <v>2813</v>
      </c>
      <c r="F700" s="182" t="s">
        <v>2972</v>
      </c>
      <c r="G700" s="181" t="s">
        <v>17</v>
      </c>
      <c r="H700" s="222">
        <v>45931</v>
      </c>
      <c r="I700" s="222">
        <v>45931</v>
      </c>
      <c r="J700" s="179" t="s">
        <v>5563</v>
      </c>
      <c r="K700" s="179">
        <v>400</v>
      </c>
      <c r="L700" s="186"/>
      <c r="M700" s="185"/>
      <c r="N700" s="185"/>
      <c r="O700" s="179" t="s">
        <v>2951</v>
      </c>
      <c r="P700" s="185"/>
      <c r="Q700" s="182" t="s">
        <v>2933</v>
      </c>
      <c r="R700" s="182" t="s">
        <v>2934</v>
      </c>
      <c r="S700" s="182" t="s">
        <v>2952</v>
      </c>
      <c r="T700" s="179" t="s">
        <v>2953</v>
      </c>
      <c r="U700" s="183" t="s">
        <v>2954</v>
      </c>
      <c r="V700" s="225">
        <v>54</v>
      </c>
      <c r="W700" s="225" t="s">
        <v>3549</v>
      </c>
      <c r="X700" s="226">
        <v>774.46</v>
      </c>
      <c r="Y700" s="226">
        <v>225.28</v>
      </c>
      <c r="Z700" s="226">
        <v>144.18</v>
      </c>
      <c r="AA700" s="226">
        <v>226.5</v>
      </c>
      <c r="AB700" s="226">
        <v>8.17</v>
      </c>
      <c r="AC700" s="225">
        <v>51.48</v>
      </c>
      <c r="AD700" s="179" t="s">
        <v>2984</v>
      </c>
      <c r="AE700" s="188" t="s">
        <v>5241</v>
      </c>
      <c r="AF700" s="189">
        <v>0.29166666666666669</v>
      </c>
      <c r="AG700" s="189">
        <v>0.95833333333333337</v>
      </c>
      <c r="AH700" s="190" t="s">
        <v>2941</v>
      </c>
      <c r="AI700" s="190" t="s">
        <v>2942</v>
      </c>
      <c r="AJ700" s="183" t="s">
        <v>260</v>
      </c>
      <c r="AK700" s="179" t="s">
        <v>131</v>
      </c>
      <c r="AL700" s="183" t="s">
        <v>9</v>
      </c>
      <c r="AM700" s="222" t="s">
        <v>5564</v>
      </c>
      <c r="AN700" s="183" t="s">
        <v>2102</v>
      </c>
      <c r="AO700" s="209" t="s">
        <v>5565</v>
      </c>
      <c r="AP700" s="191"/>
      <c r="AQ700" s="222">
        <v>45910</v>
      </c>
      <c r="AR700" s="183">
        <v>11</v>
      </c>
      <c r="AS700" s="183"/>
      <c r="AT700" s="182"/>
      <c r="AU700" s="182"/>
      <c r="AV700" s="227">
        <v>13787928</v>
      </c>
      <c r="AW700" s="181">
        <v>34</v>
      </c>
      <c r="AX700" s="206">
        <v>80361</v>
      </c>
      <c r="AY700" s="183"/>
    </row>
    <row r="701" spans="1:51" ht="14.4" x14ac:dyDescent="0.3">
      <c r="A701" s="179" t="s">
        <v>335</v>
      </c>
      <c r="B701" s="183" t="s">
        <v>2927</v>
      </c>
      <c r="C701" s="212" t="s">
        <v>5566</v>
      </c>
      <c r="D701" s="181" t="s">
        <v>2839</v>
      </c>
      <c r="E701" s="181" t="s">
        <v>2834</v>
      </c>
      <c r="F701" s="182" t="s">
        <v>2929</v>
      </c>
      <c r="G701" s="181" t="s">
        <v>12</v>
      </c>
      <c r="H701" s="222">
        <v>45924</v>
      </c>
      <c r="I701" s="193"/>
      <c r="J701" s="179"/>
      <c r="K701" s="179"/>
      <c r="L701" s="186"/>
      <c r="M701" s="185"/>
      <c r="N701" s="185"/>
      <c r="O701" s="186"/>
      <c r="P701" s="185"/>
      <c r="Q701" s="225" t="s">
        <v>2934</v>
      </c>
      <c r="R701" s="225" t="s">
        <v>2933</v>
      </c>
      <c r="S701" s="225" t="s">
        <v>2935</v>
      </c>
      <c r="T701" s="179" t="s">
        <v>2974</v>
      </c>
      <c r="U701" s="183" t="s">
        <v>2937</v>
      </c>
      <c r="V701" s="225">
        <v>1.42</v>
      </c>
      <c r="W701" s="225" t="s">
        <v>4941</v>
      </c>
      <c r="X701" s="226">
        <v>301.98</v>
      </c>
      <c r="Y701" s="226">
        <v>204.27</v>
      </c>
      <c r="Z701" s="226">
        <v>120.62</v>
      </c>
      <c r="AA701" s="226">
        <v>87.74</v>
      </c>
      <c r="AB701" s="226">
        <v>16.52</v>
      </c>
      <c r="AC701" s="225">
        <v>68.48</v>
      </c>
      <c r="AD701" s="179" t="s">
        <v>2956</v>
      </c>
      <c r="AE701" s="188" t="s">
        <v>5241</v>
      </c>
      <c r="AF701" s="189">
        <v>0.29166666666666669</v>
      </c>
      <c r="AG701" s="189">
        <v>0.91666666666666663</v>
      </c>
      <c r="AH701" s="190" t="s">
        <v>2941</v>
      </c>
      <c r="AI701" s="190" t="s">
        <v>2942</v>
      </c>
      <c r="AJ701" s="183" t="s">
        <v>333</v>
      </c>
      <c r="AK701" s="179" t="s">
        <v>5567</v>
      </c>
      <c r="AL701" s="183" t="s">
        <v>32</v>
      </c>
      <c r="AM701" s="222" t="s">
        <v>5568</v>
      </c>
      <c r="AN701" s="183" t="s">
        <v>2102</v>
      </c>
      <c r="AO701" s="209" t="s">
        <v>5569</v>
      </c>
      <c r="AP701" s="191"/>
      <c r="AQ701" s="222">
        <v>45924</v>
      </c>
      <c r="AR701" s="183">
        <v>11</v>
      </c>
      <c r="AS701" s="183"/>
      <c r="AT701" s="182"/>
      <c r="AU701" s="182"/>
      <c r="AV701" s="227">
        <v>10678136</v>
      </c>
      <c r="AW701" s="181">
        <v>41</v>
      </c>
      <c r="AX701" s="206">
        <v>80671</v>
      </c>
      <c r="AY701" s="183"/>
    </row>
    <row r="702" spans="1:51" ht="14.4" x14ac:dyDescent="0.3">
      <c r="A702" s="179" t="s">
        <v>819</v>
      </c>
      <c r="B702" s="183" t="s">
        <v>2927</v>
      </c>
      <c r="C702" s="212" t="s">
        <v>2134</v>
      </c>
      <c r="D702" s="181" t="s">
        <v>2844</v>
      </c>
      <c r="E702" s="181" t="s">
        <v>2834</v>
      </c>
      <c r="F702" s="182" t="s">
        <v>2929</v>
      </c>
      <c r="G702" s="181" t="s">
        <v>12</v>
      </c>
      <c r="H702" s="222">
        <v>45927</v>
      </c>
      <c r="I702" s="193"/>
      <c r="J702" s="179"/>
      <c r="K702" s="179"/>
      <c r="L702" s="186"/>
      <c r="M702" s="185"/>
      <c r="N702" s="185"/>
      <c r="O702" s="186"/>
      <c r="P702" s="185"/>
      <c r="Q702" s="225" t="s">
        <v>2934</v>
      </c>
      <c r="R702" s="225" t="s">
        <v>2933</v>
      </c>
      <c r="S702" s="182" t="s">
        <v>2952</v>
      </c>
      <c r="T702" s="179" t="s">
        <v>4623</v>
      </c>
      <c r="U702" s="183" t="s">
        <v>2937</v>
      </c>
      <c r="V702" s="225">
        <v>787</v>
      </c>
      <c r="W702" s="225" t="s">
        <v>3823</v>
      </c>
      <c r="X702" s="226">
        <v>253.91</v>
      </c>
      <c r="Y702" s="226">
        <v>161.77000000000001</v>
      </c>
      <c r="Z702" s="226">
        <v>101.51</v>
      </c>
      <c r="AA702" s="226">
        <v>62.81</v>
      </c>
      <c r="AB702" s="226">
        <v>13.06</v>
      </c>
      <c r="AC702" s="225">
        <v>46.32</v>
      </c>
      <c r="AD702" s="179" t="s">
        <v>2984</v>
      </c>
      <c r="AE702" s="188" t="s">
        <v>5241</v>
      </c>
      <c r="AF702" s="189">
        <v>0.29166666666666669</v>
      </c>
      <c r="AG702" s="189">
        <v>0.91666666666666663</v>
      </c>
      <c r="AH702" s="190" t="s">
        <v>2941</v>
      </c>
      <c r="AI702" s="190" t="s">
        <v>2942</v>
      </c>
      <c r="AJ702" s="183" t="s">
        <v>817</v>
      </c>
      <c r="AK702" s="179" t="s">
        <v>455</v>
      </c>
      <c r="AL702" s="183" t="s">
        <v>28</v>
      </c>
      <c r="AM702" s="222" t="s">
        <v>5570</v>
      </c>
      <c r="AN702" s="183" t="s">
        <v>2102</v>
      </c>
      <c r="AO702" s="209" t="s">
        <v>5571</v>
      </c>
      <c r="AP702" s="191"/>
      <c r="AQ702" s="222">
        <v>45927</v>
      </c>
      <c r="AR702" s="183">
        <v>11</v>
      </c>
      <c r="AS702" s="183"/>
      <c r="AT702" s="182"/>
      <c r="AU702" s="182"/>
      <c r="AV702" s="227">
        <v>10621134</v>
      </c>
      <c r="AW702" s="181">
        <v>20.2</v>
      </c>
      <c r="AX702" s="206">
        <v>80572</v>
      </c>
      <c r="AY702" s="183"/>
    </row>
    <row r="703" spans="1:51" ht="14.4" x14ac:dyDescent="0.3">
      <c r="A703" s="179" t="s">
        <v>1551</v>
      </c>
      <c r="B703" s="183" t="s">
        <v>2927</v>
      </c>
      <c r="C703" s="212" t="s">
        <v>2146</v>
      </c>
      <c r="D703" s="181" t="s">
        <v>2853</v>
      </c>
      <c r="E703" s="181" t="s">
        <v>2825</v>
      </c>
      <c r="F703" s="182" t="s">
        <v>2972</v>
      </c>
      <c r="G703" s="181" t="s">
        <v>17</v>
      </c>
      <c r="H703" s="222">
        <v>45928</v>
      </c>
      <c r="I703" s="193"/>
      <c r="J703" s="179"/>
      <c r="K703" s="179"/>
      <c r="L703" s="186"/>
      <c r="M703" s="185"/>
      <c r="N703" s="185"/>
      <c r="O703" s="179" t="s">
        <v>2951</v>
      </c>
      <c r="P703" s="185"/>
      <c r="Q703" s="225" t="s">
        <v>2934</v>
      </c>
      <c r="R703" s="225" t="s">
        <v>2933</v>
      </c>
      <c r="S703" s="225" t="s">
        <v>2935</v>
      </c>
      <c r="T703" s="179" t="s">
        <v>2974</v>
      </c>
      <c r="U703" s="183" t="s">
        <v>2937</v>
      </c>
      <c r="V703" s="225">
        <v>797</v>
      </c>
      <c r="W703" s="225" t="s">
        <v>2975</v>
      </c>
      <c r="X703" s="226">
        <v>464.6</v>
      </c>
      <c r="Y703" s="226">
        <v>307.04000000000002</v>
      </c>
      <c r="Z703" s="226">
        <v>192.05</v>
      </c>
      <c r="AA703" s="226">
        <v>130.38</v>
      </c>
      <c r="AB703" s="226">
        <v>11.82</v>
      </c>
      <c r="AC703" s="225">
        <v>89.1</v>
      </c>
      <c r="AD703" s="179" t="s">
        <v>2956</v>
      </c>
      <c r="AE703" s="188" t="s">
        <v>5241</v>
      </c>
      <c r="AF703" s="189">
        <v>0.29166666666666669</v>
      </c>
      <c r="AG703" s="189">
        <v>0.91666666666666663</v>
      </c>
      <c r="AH703" s="190" t="s">
        <v>2941</v>
      </c>
      <c r="AI703" s="190" t="s">
        <v>2942</v>
      </c>
      <c r="AJ703" s="183" t="s">
        <v>1549</v>
      </c>
      <c r="AK703" s="179" t="s">
        <v>1803</v>
      </c>
      <c r="AL703" s="183" t="s">
        <v>36</v>
      </c>
      <c r="AM703" s="222" t="s">
        <v>5572</v>
      </c>
      <c r="AN703" s="183" t="s">
        <v>2102</v>
      </c>
      <c r="AO703" s="209" t="s">
        <v>5573</v>
      </c>
      <c r="AP703" s="191"/>
      <c r="AQ703" s="222">
        <v>45928</v>
      </c>
      <c r="AR703" s="183">
        <v>11</v>
      </c>
      <c r="AS703" s="183"/>
      <c r="AT703" s="182"/>
      <c r="AU703" s="182"/>
      <c r="AV703" s="227">
        <v>11758640</v>
      </c>
      <c r="AW703" s="181">
        <v>3.9</v>
      </c>
      <c r="AX703" s="206">
        <v>82181</v>
      </c>
      <c r="AY703" s="183"/>
    </row>
    <row r="704" spans="1:51" ht="14.4" x14ac:dyDescent="0.3">
      <c r="A704" s="179" t="s">
        <v>89</v>
      </c>
      <c r="B704" s="183" t="s">
        <v>2927</v>
      </c>
      <c r="C704" s="212" t="s">
        <v>5574</v>
      </c>
      <c r="D704" s="181" t="s">
        <v>2836</v>
      </c>
      <c r="E704" s="181" t="s">
        <v>2825</v>
      </c>
      <c r="F704" s="182" t="s">
        <v>2972</v>
      </c>
      <c r="G704" s="181" t="s">
        <v>17</v>
      </c>
      <c r="H704" s="222">
        <v>45929</v>
      </c>
      <c r="I704" s="193"/>
      <c r="J704" s="179"/>
      <c r="K704" s="179"/>
      <c r="L704" s="186"/>
      <c r="M704" s="181" t="s">
        <v>3164</v>
      </c>
      <c r="N704" s="185"/>
      <c r="O704" s="179" t="s">
        <v>2951</v>
      </c>
      <c r="P704" s="185"/>
      <c r="Q704" s="225" t="s">
        <v>2934</v>
      </c>
      <c r="R704" s="225" t="s">
        <v>2933</v>
      </c>
      <c r="S704" s="225" t="s">
        <v>2935</v>
      </c>
      <c r="T704" s="179" t="s">
        <v>2974</v>
      </c>
      <c r="U704" s="183" t="s">
        <v>2937</v>
      </c>
      <c r="V704" s="225">
        <v>63</v>
      </c>
      <c r="W704" s="225" t="s">
        <v>3823</v>
      </c>
      <c r="X704" s="226">
        <v>393.63</v>
      </c>
      <c r="Y704" s="226">
        <v>207.42</v>
      </c>
      <c r="Z704" s="226">
        <v>153.54</v>
      </c>
      <c r="AA704" s="226">
        <v>86.76</v>
      </c>
      <c r="AB704" s="226">
        <v>13.66</v>
      </c>
      <c r="AC704" s="225">
        <v>67.92</v>
      </c>
      <c r="AD704" s="179" t="s">
        <v>2956</v>
      </c>
      <c r="AE704" s="188" t="s">
        <v>5241</v>
      </c>
      <c r="AF704" s="189">
        <v>0.29166666666666669</v>
      </c>
      <c r="AG704" s="189">
        <v>0.91666666666666663</v>
      </c>
      <c r="AH704" s="190" t="s">
        <v>2941</v>
      </c>
      <c r="AI704" s="190" t="s">
        <v>2942</v>
      </c>
      <c r="AJ704" s="183" t="s">
        <v>87</v>
      </c>
      <c r="AK704" s="179" t="s">
        <v>863</v>
      </c>
      <c r="AL704" s="225" t="s">
        <v>48</v>
      </c>
      <c r="AM704" s="222" t="s">
        <v>5575</v>
      </c>
      <c r="AN704" s="183" t="s">
        <v>2102</v>
      </c>
      <c r="AO704" s="209" t="s">
        <v>5576</v>
      </c>
      <c r="AP704" s="191"/>
      <c r="AQ704" s="222">
        <v>45929</v>
      </c>
      <c r="AR704" s="183">
        <v>10</v>
      </c>
      <c r="AS704" s="183"/>
      <c r="AT704" s="182"/>
      <c r="AU704" s="182"/>
      <c r="AV704" s="227">
        <v>10930210</v>
      </c>
      <c r="AW704" s="181">
        <v>37</v>
      </c>
      <c r="AX704" s="206">
        <v>81161</v>
      </c>
      <c r="AY704" s="183"/>
    </row>
    <row r="705" spans="1:51" ht="14.4" x14ac:dyDescent="0.3">
      <c r="A705" s="179" t="s">
        <v>39</v>
      </c>
      <c r="B705" s="179" t="s">
        <v>2947</v>
      </c>
      <c r="C705" s="212" t="s">
        <v>2093</v>
      </c>
      <c r="D705" s="181" t="s">
        <v>2822</v>
      </c>
      <c r="E705" s="181" t="s">
        <v>2821</v>
      </c>
      <c r="F705" s="182" t="s">
        <v>2929</v>
      </c>
      <c r="G705" s="181" t="s">
        <v>12</v>
      </c>
      <c r="H705" s="222">
        <v>45930</v>
      </c>
      <c r="I705" s="193"/>
      <c r="J705" s="179"/>
      <c r="K705" s="179"/>
      <c r="L705" s="186"/>
      <c r="M705" s="185"/>
      <c r="N705" s="185"/>
      <c r="O705" s="186"/>
      <c r="P705" s="185"/>
      <c r="Q705" s="225" t="s">
        <v>2934</v>
      </c>
      <c r="R705" s="225" t="s">
        <v>2933</v>
      </c>
      <c r="S705" s="225" t="s">
        <v>2935</v>
      </c>
      <c r="T705" s="179" t="s">
        <v>4623</v>
      </c>
      <c r="U705" s="183" t="s">
        <v>2954</v>
      </c>
      <c r="V705" s="225">
        <v>1.4670000000000001</v>
      </c>
      <c r="W705" s="225" t="s">
        <v>3549</v>
      </c>
      <c r="X705" s="226">
        <v>790.79</v>
      </c>
      <c r="Y705" s="226">
        <v>225.72</v>
      </c>
      <c r="Z705" s="226">
        <v>112.32</v>
      </c>
      <c r="AA705" s="226">
        <v>138.35</v>
      </c>
      <c r="AB705" s="226">
        <v>24.73</v>
      </c>
      <c r="AC705" s="225">
        <v>79.19</v>
      </c>
      <c r="AD705" s="179" t="s">
        <v>2956</v>
      </c>
      <c r="AE705" s="188" t="s">
        <v>5241</v>
      </c>
      <c r="AF705" s="189">
        <v>0.29166666666666669</v>
      </c>
      <c r="AG705" s="189">
        <v>0.91666666666666663</v>
      </c>
      <c r="AH705" s="190" t="s">
        <v>2941</v>
      </c>
      <c r="AI705" s="190" t="s">
        <v>2942</v>
      </c>
      <c r="AJ705" s="183" t="s">
        <v>37</v>
      </c>
      <c r="AK705" s="179" t="s">
        <v>5577</v>
      </c>
      <c r="AL705" s="183" t="s">
        <v>36</v>
      </c>
      <c r="AM705" s="222" t="s">
        <v>5578</v>
      </c>
      <c r="AN705" s="183" t="s">
        <v>2102</v>
      </c>
      <c r="AO705" s="209" t="s">
        <v>5579</v>
      </c>
      <c r="AP705" s="191"/>
      <c r="AQ705" s="222">
        <v>45930</v>
      </c>
      <c r="AR705" s="183">
        <v>10</v>
      </c>
      <c r="AS705" s="183"/>
      <c r="AT705" s="182"/>
      <c r="AU705" s="182"/>
      <c r="AV705" s="227">
        <v>10953728</v>
      </c>
      <c r="AW705" s="181">
        <v>14.5</v>
      </c>
      <c r="AX705" s="206">
        <v>82115</v>
      </c>
      <c r="AY705" s="183"/>
    </row>
    <row r="706" spans="1:51" ht="14.4" x14ac:dyDescent="0.3">
      <c r="A706" s="179" t="s">
        <v>1445</v>
      </c>
      <c r="B706" s="179" t="s">
        <v>2947</v>
      </c>
      <c r="C706" s="212" t="s">
        <v>1444</v>
      </c>
      <c r="D706" s="181" t="s">
        <v>2835</v>
      </c>
      <c r="E706" s="181" t="s">
        <v>2834</v>
      </c>
      <c r="F706" s="182" t="s">
        <v>2929</v>
      </c>
      <c r="G706" s="181" t="s">
        <v>12</v>
      </c>
      <c r="H706" s="222">
        <v>45940</v>
      </c>
      <c r="I706" s="193"/>
      <c r="J706" s="179"/>
      <c r="K706" s="179"/>
      <c r="L706" s="186"/>
      <c r="M706" s="185"/>
      <c r="N706" s="185"/>
      <c r="O706" s="186"/>
      <c r="P706" s="185"/>
      <c r="Q706" s="225" t="s">
        <v>2934</v>
      </c>
      <c r="R706" s="225" t="s">
        <v>2933</v>
      </c>
      <c r="S706" s="225" t="s">
        <v>2935</v>
      </c>
      <c r="T706" s="179" t="s">
        <v>4623</v>
      </c>
      <c r="U706" s="183" t="s">
        <v>2954</v>
      </c>
      <c r="V706" s="225">
        <v>1410</v>
      </c>
      <c r="W706" s="225" t="s">
        <v>3009</v>
      </c>
      <c r="X706" s="226">
        <v>391.5</v>
      </c>
      <c r="Y706" s="226">
        <v>250</v>
      </c>
      <c r="Z706" s="226">
        <v>143.26</v>
      </c>
      <c r="AA706" s="226">
        <v>110.57</v>
      </c>
      <c r="AB706" s="226">
        <v>17.82</v>
      </c>
      <c r="AC706" s="225">
        <v>78.349999999999994</v>
      </c>
      <c r="AD706" s="179" t="s">
        <v>2956</v>
      </c>
      <c r="AE706" s="188" t="s">
        <v>5241</v>
      </c>
      <c r="AF706" s="189">
        <v>0.29166666666666669</v>
      </c>
      <c r="AG706" s="189">
        <v>0.91666666666666663</v>
      </c>
      <c r="AH706" s="190" t="s">
        <v>2941</v>
      </c>
      <c r="AI706" s="190" t="s">
        <v>2942</v>
      </c>
      <c r="AJ706" s="183" t="s">
        <v>1443</v>
      </c>
      <c r="AK706" s="179" t="s">
        <v>33</v>
      </c>
      <c r="AL706" s="183" t="s">
        <v>32</v>
      </c>
      <c r="AM706" s="222" t="s">
        <v>5580</v>
      </c>
      <c r="AN706" s="183" t="s">
        <v>2102</v>
      </c>
      <c r="AO706" s="209" t="s">
        <v>5581</v>
      </c>
      <c r="AP706" s="191"/>
      <c r="AQ706" s="222">
        <v>45940</v>
      </c>
      <c r="AR706" s="183">
        <v>10</v>
      </c>
      <c r="AS706" s="183"/>
      <c r="AT706" s="182"/>
      <c r="AU706" s="182"/>
      <c r="AV706" s="227">
        <v>11727492</v>
      </c>
      <c r="AW706" s="181">
        <v>34</v>
      </c>
      <c r="AX706" s="206">
        <v>80661</v>
      </c>
      <c r="AY706" s="183"/>
    </row>
    <row r="707" spans="1:51" ht="14.4" x14ac:dyDescent="0.3">
      <c r="A707" s="179" t="s">
        <v>1738</v>
      </c>
      <c r="B707" s="183" t="s">
        <v>2927</v>
      </c>
      <c r="C707" s="212" t="s">
        <v>2089</v>
      </c>
      <c r="D707" s="181" t="s">
        <v>2864</v>
      </c>
      <c r="E707" s="181" t="s">
        <v>2827</v>
      </c>
      <c r="F707" s="182" t="s">
        <v>2929</v>
      </c>
      <c r="G707" s="181" t="s">
        <v>12</v>
      </c>
      <c r="H707" s="222">
        <v>45945</v>
      </c>
      <c r="I707" s="193"/>
      <c r="J707" s="179"/>
      <c r="K707" s="179"/>
      <c r="L707" s="186"/>
      <c r="M707" s="185"/>
      <c r="N707" s="185"/>
      <c r="O707" s="186"/>
      <c r="P707" s="185"/>
      <c r="Q707" s="225" t="s">
        <v>2934</v>
      </c>
      <c r="R707" s="225" t="s">
        <v>2933</v>
      </c>
      <c r="S707" s="225" t="s">
        <v>2935</v>
      </c>
      <c r="T707" s="179" t="s">
        <v>2974</v>
      </c>
      <c r="U707" s="183" t="s">
        <v>2937</v>
      </c>
      <c r="V707" s="225">
        <v>432</v>
      </c>
      <c r="W707" s="225" t="s">
        <v>3009</v>
      </c>
      <c r="X707" s="226">
        <v>617.6</v>
      </c>
      <c r="Y707" s="226">
        <v>359.54</v>
      </c>
      <c r="Z707" s="226">
        <v>142.38999999999999</v>
      </c>
      <c r="AA707" s="226">
        <v>3395.8</v>
      </c>
      <c r="AB707" s="226">
        <v>85.91</v>
      </c>
      <c r="AC707" s="225">
        <v>118.26</v>
      </c>
      <c r="AD707" s="179" t="s">
        <v>2956</v>
      </c>
      <c r="AE707" s="188" t="s">
        <v>5241</v>
      </c>
      <c r="AF707" s="189">
        <v>0.29166666666666669</v>
      </c>
      <c r="AG707" s="189">
        <v>0.91666666666666663</v>
      </c>
      <c r="AH707" s="190" t="s">
        <v>2941</v>
      </c>
      <c r="AI707" s="190" t="s">
        <v>2942</v>
      </c>
      <c r="AJ707" s="183" t="s">
        <v>330</v>
      </c>
      <c r="AK707" s="179" t="s">
        <v>306</v>
      </c>
      <c r="AL707" s="183" t="s">
        <v>48</v>
      </c>
      <c r="AM707" s="222" t="s">
        <v>5515</v>
      </c>
      <c r="AN707" s="183" t="s">
        <v>2102</v>
      </c>
      <c r="AO707" s="209" t="s">
        <v>5582</v>
      </c>
      <c r="AP707" s="191"/>
      <c r="AQ707" s="222">
        <v>45945</v>
      </c>
      <c r="AR707" s="183">
        <v>10</v>
      </c>
      <c r="AS707" s="183"/>
      <c r="AT707" s="182"/>
      <c r="AU707" s="182"/>
      <c r="AV707" s="227">
        <v>7965151</v>
      </c>
      <c r="AW707" s="181">
        <v>65</v>
      </c>
      <c r="AX707" s="206">
        <v>81171</v>
      </c>
      <c r="AY707" s="183"/>
    </row>
    <row r="708" spans="1:51" ht="14.4" x14ac:dyDescent="0.3">
      <c r="A708" s="179" t="s">
        <v>1279</v>
      </c>
      <c r="B708" s="183" t="s">
        <v>2927</v>
      </c>
      <c r="C708" s="212" t="s">
        <v>2092</v>
      </c>
      <c r="D708" s="181" t="s">
        <v>2838</v>
      </c>
      <c r="E708" s="181" t="s">
        <v>2830</v>
      </c>
      <c r="F708" s="182" t="s">
        <v>2929</v>
      </c>
      <c r="G708" s="181" t="s">
        <v>12</v>
      </c>
      <c r="H708" s="222">
        <v>45951</v>
      </c>
      <c r="I708" s="193"/>
      <c r="J708" s="179"/>
      <c r="K708" s="179"/>
      <c r="L708" s="186"/>
      <c r="M708" s="185"/>
      <c r="N708" s="185"/>
      <c r="O708" s="186"/>
      <c r="P708" s="185"/>
      <c r="Q708" s="182" t="s">
        <v>2933</v>
      </c>
      <c r="R708" s="182" t="s">
        <v>2934</v>
      </c>
      <c r="S708" s="182" t="s">
        <v>2952</v>
      </c>
      <c r="T708" s="179" t="s">
        <v>2974</v>
      </c>
      <c r="U708" s="183" t="s">
        <v>2937</v>
      </c>
      <c r="V708" s="225">
        <v>845</v>
      </c>
      <c r="W708" s="225" t="s">
        <v>3549</v>
      </c>
      <c r="X708" s="226">
        <v>303.87</v>
      </c>
      <c r="Y708" s="226">
        <v>213.09</v>
      </c>
      <c r="Z708" s="226">
        <v>120.61</v>
      </c>
      <c r="AA708" s="226">
        <v>74.91</v>
      </c>
      <c r="AB708" s="226">
        <v>17.29</v>
      </c>
      <c r="AC708" s="225">
        <v>78.38</v>
      </c>
      <c r="AD708" s="179" t="s">
        <v>2956</v>
      </c>
      <c r="AE708" s="188" t="s">
        <v>5241</v>
      </c>
      <c r="AF708" s="189">
        <v>0.29166666666666669</v>
      </c>
      <c r="AG708" s="189">
        <v>0.91666666666666663</v>
      </c>
      <c r="AH708" s="190" t="s">
        <v>2941</v>
      </c>
      <c r="AI708" s="190" t="s">
        <v>2942</v>
      </c>
      <c r="AJ708" s="183" t="s">
        <v>1277</v>
      </c>
      <c r="AK708" s="179" t="s">
        <v>5583</v>
      </c>
      <c r="AL708" s="183" t="s">
        <v>4</v>
      </c>
      <c r="AM708" s="222" t="s">
        <v>5584</v>
      </c>
      <c r="AN708" s="183" t="s">
        <v>2102</v>
      </c>
      <c r="AO708" s="209" t="s">
        <v>5585</v>
      </c>
      <c r="AP708" s="191"/>
      <c r="AQ708" s="222">
        <v>45951</v>
      </c>
      <c r="AR708" s="183">
        <v>10</v>
      </c>
      <c r="AS708" s="183"/>
      <c r="AT708" s="182"/>
      <c r="AU708" s="182"/>
      <c r="AV708" s="227">
        <v>10040419</v>
      </c>
      <c r="AW708" s="181">
        <v>14</v>
      </c>
      <c r="AX708" s="206">
        <v>80115</v>
      </c>
      <c r="AY708" s="183"/>
    </row>
    <row r="709" spans="1:51" ht="14.4" x14ac:dyDescent="0.3">
      <c r="A709" s="179" t="s">
        <v>1833</v>
      </c>
      <c r="B709" s="183" t="s">
        <v>2927</v>
      </c>
      <c r="C709" s="212" t="s">
        <v>2117</v>
      </c>
      <c r="D709" s="181" t="s">
        <v>2849</v>
      </c>
      <c r="E709" s="181" t="s">
        <v>2830</v>
      </c>
      <c r="F709" s="182" t="s">
        <v>2929</v>
      </c>
      <c r="G709" s="181" t="s">
        <v>12</v>
      </c>
      <c r="H709" s="222">
        <v>45957</v>
      </c>
      <c r="I709" s="193"/>
      <c r="J709" s="179"/>
      <c r="K709" s="179"/>
      <c r="L709" s="186"/>
      <c r="M709" s="185"/>
      <c r="N709" s="185"/>
      <c r="O709" s="186"/>
      <c r="P709" s="185"/>
      <c r="Q709" s="225" t="s">
        <v>2934</v>
      </c>
      <c r="R709" s="225" t="s">
        <v>2933</v>
      </c>
      <c r="S709" s="182" t="s">
        <v>2952</v>
      </c>
      <c r="T709" s="179" t="s">
        <v>2974</v>
      </c>
      <c r="U709" s="183" t="s">
        <v>2937</v>
      </c>
      <c r="V709" s="225">
        <v>463</v>
      </c>
      <c r="W709" s="225" t="s">
        <v>4578</v>
      </c>
      <c r="X709" s="226">
        <v>201.5</v>
      </c>
      <c r="Y709" s="226">
        <v>215.8</v>
      </c>
      <c r="Z709" s="226">
        <v>116.84</v>
      </c>
      <c r="AA709" s="226">
        <v>50.8</v>
      </c>
      <c r="AB709" s="226">
        <v>15.25</v>
      </c>
      <c r="AC709" s="225">
        <v>78.45</v>
      </c>
      <c r="AD709" s="179" t="s">
        <v>2956</v>
      </c>
      <c r="AE709" s="225" t="s">
        <v>5500</v>
      </c>
      <c r="AF709" s="189">
        <v>0.29166666666666669</v>
      </c>
      <c r="AG709" s="189">
        <v>0.91666666666666663</v>
      </c>
      <c r="AH709" s="190" t="s">
        <v>2941</v>
      </c>
      <c r="AI709" s="190" t="s">
        <v>2985</v>
      </c>
      <c r="AJ709" s="183" t="s">
        <v>384</v>
      </c>
      <c r="AK709" s="179" t="s">
        <v>5586</v>
      </c>
      <c r="AL709" s="183" t="s">
        <v>4</v>
      </c>
      <c r="AM709" s="222" t="s">
        <v>5587</v>
      </c>
      <c r="AN709" s="183" t="s">
        <v>2102</v>
      </c>
      <c r="AO709" s="209" t="s">
        <v>5588</v>
      </c>
      <c r="AP709" s="191"/>
      <c r="AQ709" s="222">
        <v>45957</v>
      </c>
      <c r="AR709" s="183">
        <v>10</v>
      </c>
      <c r="AS709" s="183"/>
      <c r="AT709" s="182"/>
      <c r="AU709" s="182"/>
      <c r="AV709" s="227">
        <v>9051036</v>
      </c>
      <c r="AW709" s="181">
        <v>19</v>
      </c>
      <c r="AX709" s="206">
        <v>80236</v>
      </c>
      <c r="AY709" s="183"/>
    </row>
    <row r="710" spans="1:51" ht="14.4" x14ac:dyDescent="0.3">
      <c r="A710" s="179" t="s">
        <v>1172</v>
      </c>
      <c r="B710" s="183" t="s">
        <v>2927</v>
      </c>
      <c r="C710" s="212" t="s">
        <v>5589</v>
      </c>
      <c r="D710" s="181" t="s">
        <v>2859</v>
      </c>
      <c r="E710" s="181" t="s">
        <v>2815</v>
      </c>
      <c r="F710" s="182" t="s">
        <v>2929</v>
      </c>
      <c r="G710" s="181" t="s">
        <v>12</v>
      </c>
      <c r="H710" s="222">
        <v>45957</v>
      </c>
      <c r="I710" s="193"/>
      <c r="J710" s="179"/>
      <c r="K710" s="179"/>
      <c r="L710" s="186"/>
      <c r="M710" s="185"/>
      <c r="N710" s="185"/>
      <c r="O710" s="186"/>
      <c r="P710" s="185"/>
      <c r="Q710" s="225" t="s">
        <v>2934</v>
      </c>
      <c r="R710" s="225" t="s">
        <v>2933</v>
      </c>
      <c r="S710" s="225" t="s">
        <v>2935</v>
      </c>
      <c r="T710" s="179" t="s">
        <v>2974</v>
      </c>
      <c r="U710" s="183" t="s">
        <v>2937</v>
      </c>
      <c r="V710" s="225">
        <v>854</v>
      </c>
      <c r="W710" s="225" t="s">
        <v>4532</v>
      </c>
      <c r="X710" s="226">
        <v>284.77999999999997</v>
      </c>
      <c r="Y710" s="226">
        <v>198</v>
      </c>
      <c r="Z710" s="226">
        <v>114.7</v>
      </c>
      <c r="AA710" s="226">
        <v>55.02</v>
      </c>
      <c r="AB710" s="226">
        <v>12.84</v>
      </c>
      <c r="AC710" s="225">
        <v>60.99</v>
      </c>
      <c r="AD710" s="179" t="s">
        <v>2956</v>
      </c>
      <c r="AE710" s="188" t="s">
        <v>5241</v>
      </c>
      <c r="AF710" s="189">
        <v>0.29166666666666669</v>
      </c>
      <c r="AG710" s="189">
        <v>0.91666666666666663</v>
      </c>
      <c r="AH710" s="190" t="s">
        <v>2941</v>
      </c>
      <c r="AI710" s="190" t="s">
        <v>2985</v>
      </c>
      <c r="AJ710" s="183" t="s">
        <v>156</v>
      </c>
      <c r="AK710" s="179" t="s">
        <v>455</v>
      </c>
      <c r="AL710" s="183" t="s">
        <v>28</v>
      </c>
      <c r="AM710" s="222" t="s">
        <v>5590</v>
      </c>
      <c r="AN710" s="183" t="s">
        <v>2102</v>
      </c>
      <c r="AO710" s="209" t="s">
        <v>5591</v>
      </c>
      <c r="AP710" s="191"/>
      <c r="AQ710" s="222">
        <v>45957</v>
      </c>
      <c r="AR710" s="183">
        <v>10</v>
      </c>
      <c r="AS710" s="183"/>
      <c r="AT710" s="182"/>
      <c r="AU710" s="182"/>
      <c r="AV710" s="227">
        <v>8393943</v>
      </c>
      <c r="AW710" s="181">
        <v>30</v>
      </c>
      <c r="AX710" s="206">
        <v>80561</v>
      </c>
      <c r="AY710" s="183"/>
    </row>
    <row r="711" spans="1:51" ht="14.4" x14ac:dyDescent="0.3">
      <c r="A711" s="179" t="s">
        <v>1431</v>
      </c>
      <c r="B711" s="183" t="s">
        <v>2927</v>
      </c>
      <c r="C711" s="212" t="s">
        <v>2085</v>
      </c>
      <c r="D711" s="181" t="s">
        <v>2836</v>
      </c>
      <c r="E711" s="181" t="s">
        <v>2825</v>
      </c>
      <c r="F711" s="182" t="s">
        <v>2972</v>
      </c>
      <c r="G711" s="181" t="s">
        <v>17</v>
      </c>
      <c r="H711" s="222">
        <v>45984</v>
      </c>
      <c r="I711" s="193"/>
      <c r="J711" s="179" t="s">
        <v>5592</v>
      </c>
      <c r="K711" s="179">
        <v>180</v>
      </c>
      <c r="L711" s="186"/>
      <c r="M711" s="185"/>
      <c r="N711" s="185"/>
      <c r="O711" s="186"/>
      <c r="P711" s="185"/>
      <c r="Q711" s="182" t="s">
        <v>2933</v>
      </c>
      <c r="R711" s="182" t="s">
        <v>2934</v>
      </c>
      <c r="S711" s="225" t="s">
        <v>2935</v>
      </c>
      <c r="T711" s="179" t="s">
        <v>2974</v>
      </c>
      <c r="U711" s="183" t="s">
        <v>2937</v>
      </c>
      <c r="V711" s="225">
        <v>213</v>
      </c>
      <c r="W711" s="225" t="s">
        <v>3151</v>
      </c>
      <c r="X711" s="226">
        <v>336.04</v>
      </c>
      <c r="Y711" s="226">
        <v>163.88</v>
      </c>
      <c r="Z711" s="226">
        <v>128.4</v>
      </c>
      <c r="AA711" s="226">
        <v>106.83</v>
      </c>
      <c r="AB711" s="226">
        <v>13.09</v>
      </c>
      <c r="AC711" s="225">
        <v>64.52</v>
      </c>
      <c r="AD711" s="179" t="s">
        <v>2956</v>
      </c>
      <c r="AE711" s="188" t="s">
        <v>5319</v>
      </c>
      <c r="AF711" s="189">
        <v>0.29166666666666669</v>
      </c>
      <c r="AG711" s="189">
        <v>0.91666666666666663</v>
      </c>
      <c r="AH711" s="190"/>
      <c r="AI711" s="190" t="s">
        <v>2942</v>
      </c>
      <c r="AJ711" s="183" t="s">
        <v>1429</v>
      </c>
      <c r="AK711" s="179" t="s">
        <v>863</v>
      </c>
      <c r="AL711" s="183" t="s">
        <v>48</v>
      </c>
      <c r="AM711" s="222" t="s">
        <v>5593</v>
      </c>
      <c r="AN711" s="183" t="s">
        <v>2102</v>
      </c>
      <c r="AO711" s="209" t="s">
        <v>5594</v>
      </c>
      <c r="AP711" s="191"/>
      <c r="AQ711" s="222">
        <v>45984</v>
      </c>
      <c r="AR711" s="183">
        <v>9</v>
      </c>
      <c r="AS711" s="183"/>
      <c r="AT711" s="182"/>
      <c r="AU711" s="182"/>
      <c r="AV711" s="227">
        <v>11545872</v>
      </c>
      <c r="AW711" s="181">
        <v>42</v>
      </c>
      <c r="AX711" s="206">
        <v>81161</v>
      </c>
      <c r="AY711" s="183"/>
    </row>
    <row r="712" spans="1:51" ht="14.4" x14ac:dyDescent="0.3">
      <c r="A712" s="179" t="s">
        <v>54</v>
      </c>
      <c r="B712" s="183" t="s">
        <v>2927</v>
      </c>
      <c r="C712" s="212" t="s">
        <v>5595</v>
      </c>
      <c r="D712" s="181" t="s">
        <v>2869</v>
      </c>
      <c r="E712" s="181" t="s">
        <v>2834</v>
      </c>
      <c r="F712" s="182" t="s">
        <v>2929</v>
      </c>
      <c r="G712" s="181" t="s">
        <v>12</v>
      </c>
      <c r="H712" s="222">
        <v>45986</v>
      </c>
      <c r="I712" s="193"/>
      <c r="J712" s="179"/>
      <c r="K712" s="179"/>
      <c r="L712" s="186"/>
      <c r="M712" s="185"/>
      <c r="N712" s="185"/>
      <c r="O712" s="186"/>
      <c r="P712" s="185"/>
      <c r="Q712" s="225" t="s">
        <v>2934</v>
      </c>
      <c r="R712" s="225" t="s">
        <v>2933</v>
      </c>
      <c r="S712" s="225" t="s">
        <v>2935</v>
      </c>
      <c r="T712" s="179" t="s">
        <v>2974</v>
      </c>
      <c r="U712" s="183" t="s">
        <v>2937</v>
      </c>
      <c r="V712" s="225">
        <v>840</v>
      </c>
      <c r="W712" s="225" t="s">
        <v>3151</v>
      </c>
      <c r="X712" s="226">
        <v>361.5</v>
      </c>
      <c r="Y712" s="226">
        <v>256.5</v>
      </c>
      <c r="Z712" s="226">
        <v>120.06</v>
      </c>
      <c r="AA712" s="226">
        <v>102.9</v>
      </c>
      <c r="AB712" s="226">
        <v>24.99</v>
      </c>
      <c r="AC712" s="225">
        <v>109.29</v>
      </c>
      <c r="AD712" s="179" t="s">
        <v>2956</v>
      </c>
      <c r="AE712" s="188" t="s">
        <v>5241</v>
      </c>
      <c r="AF712" s="189">
        <v>0.29166666666666669</v>
      </c>
      <c r="AG712" s="189">
        <v>0.91666666666666663</v>
      </c>
      <c r="AH712" s="190"/>
      <c r="AI712" s="190" t="s">
        <v>2942</v>
      </c>
      <c r="AJ712" s="183" t="s">
        <v>52</v>
      </c>
      <c r="AK712" s="179" t="s">
        <v>1522</v>
      </c>
      <c r="AL712" s="183" t="s">
        <v>40</v>
      </c>
      <c r="AM712" s="222" t="s">
        <v>5596</v>
      </c>
      <c r="AN712" s="183" t="s">
        <v>2102</v>
      </c>
      <c r="AO712" s="209" t="s">
        <v>5597</v>
      </c>
      <c r="AP712" s="191"/>
      <c r="AQ712" s="222">
        <v>45986</v>
      </c>
      <c r="AR712" s="183">
        <v>9</v>
      </c>
      <c r="AS712" s="183"/>
      <c r="AT712" s="182"/>
      <c r="AU712" s="182"/>
      <c r="AV712" s="227">
        <v>11673496</v>
      </c>
      <c r="AW712" s="181">
        <v>62.5</v>
      </c>
      <c r="AX712" s="206">
        <v>80871</v>
      </c>
      <c r="AY712" s="183"/>
    </row>
    <row r="713" spans="1:51" ht="14.4" x14ac:dyDescent="0.3">
      <c r="A713" s="179" t="s">
        <v>120</v>
      </c>
      <c r="B713" s="183" t="s">
        <v>2927</v>
      </c>
      <c r="C713" s="212" t="s">
        <v>2162</v>
      </c>
      <c r="D713" s="181" t="s">
        <v>2839</v>
      </c>
      <c r="E713" s="181" t="s">
        <v>2834</v>
      </c>
      <c r="F713" s="182" t="s">
        <v>2972</v>
      </c>
      <c r="G713" s="181" t="s">
        <v>17</v>
      </c>
      <c r="H713" s="222">
        <v>45990</v>
      </c>
      <c r="I713" s="193"/>
      <c r="J713" s="186" t="s">
        <v>5598</v>
      </c>
      <c r="K713" s="179">
        <v>1500</v>
      </c>
      <c r="L713" s="186"/>
      <c r="M713" s="185"/>
      <c r="N713" s="185"/>
      <c r="O713" s="186"/>
      <c r="P713" s="185"/>
      <c r="Q713" s="225" t="s">
        <v>2934</v>
      </c>
      <c r="R713" s="225" t="s">
        <v>2933</v>
      </c>
      <c r="S713" s="225" t="s">
        <v>2935</v>
      </c>
      <c r="T713" s="179" t="s">
        <v>2974</v>
      </c>
      <c r="U713" s="183" t="s">
        <v>2937</v>
      </c>
      <c r="V713" s="225">
        <v>718</v>
      </c>
      <c r="W713" s="225" t="s">
        <v>3151</v>
      </c>
      <c r="X713" s="226">
        <v>432.73</v>
      </c>
      <c r="Y713" s="226">
        <v>234.24</v>
      </c>
      <c r="Z713" s="226">
        <v>147.27000000000001</v>
      </c>
      <c r="AA713" s="226">
        <v>189.64</v>
      </c>
      <c r="AB713" s="226">
        <v>27.29</v>
      </c>
      <c r="AC713" s="225">
        <v>55.69</v>
      </c>
      <c r="AD713" s="179" t="s">
        <v>2984</v>
      </c>
      <c r="AE713" s="188" t="s">
        <v>5241</v>
      </c>
      <c r="AF713" s="189">
        <v>0.29166666666666669</v>
      </c>
      <c r="AG713" s="189">
        <v>0.91666666666666663</v>
      </c>
      <c r="AH713" s="190"/>
      <c r="AI713" s="190" t="s">
        <v>2942</v>
      </c>
      <c r="AJ713" s="183" t="s">
        <v>118</v>
      </c>
      <c r="AK713" s="179" t="s">
        <v>653</v>
      </c>
      <c r="AL713" s="183" t="s">
        <v>40</v>
      </c>
      <c r="AM713" s="222" t="s">
        <v>5599</v>
      </c>
      <c r="AN713" s="183" t="s">
        <v>2102</v>
      </c>
      <c r="AO713" s="209" t="s">
        <v>5600</v>
      </c>
      <c r="AP713" s="191"/>
      <c r="AQ713" s="222">
        <v>45990</v>
      </c>
      <c r="AR713" s="183">
        <v>8</v>
      </c>
      <c r="AS713" s="183"/>
      <c r="AT713" s="182"/>
      <c r="AU713" s="182"/>
      <c r="AV713" s="227">
        <v>10213688</v>
      </c>
      <c r="AW713" s="181">
        <v>50</v>
      </c>
      <c r="AX713" s="206">
        <v>80863</v>
      </c>
      <c r="AY713" s="183"/>
    </row>
    <row r="714" spans="1:51" ht="14.4" x14ac:dyDescent="0.3">
      <c r="A714" s="179" t="s">
        <v>735</v>
      </c>
      <c r="B714" s="183" t="s">
        <v>2927</v>
      </c>
      <c r="C714" s="212" t="s">
        <v>2145</v>
      </c>
      <c r="D714" s="181" t="s">
        <v>2849</v>
      </c>
      <c r="E714" s="181" t="s">
        <v>2830</v>
      </c>
      <c r="F714" s="182" t="s">
        <v>2972</v>
      </c>
      <c r="G714" s="181" t="s">
        <v>17</v>
      </c>
      <c r="H714" s="222">
        <v>45991</v>
      </c>
      <c r="I714" s="193"/>
      <c r="J714" s="179" t="s">
        <v>5601</v>
      </c>
      <c r="K714" s="179">
        <v>250</v>
      </c>
      <c r="L714" s="186"/>
      <c r="M714" s="185"/>
      <c r="N714" s="185"/>
      <c r="O714" s="179" t="s">
        <v>2951</v>
      </c>
      <c r="P714" s="185"/>
      <c r="Q714" s="182" t="s">
        <v>2933</v>
      </c>
      <c r="R714" s="182" t="s">
        <v>2934</v>
      </c>
      <c r="S714" s="182" t="s">
        <v>2952</v>
      </c>
      <c r="T714" s="179" t="s">
        <v>4623</v>
      </c>
      <c r="U714" s="183" t="s">
        <v>2937</v>
      </c>
      <c r="V714" s="225">
        <v>343</v>
      </c>
      <c r="W714" s="225" t="s">
        <v>4550</v>
      </c>
      <c r="X714" s="226">
        <v>353.6</v>
      </c>
      <c r="Y714" s="226">
        <v>271.88</v>
      </c>
      <c r="Z714" s="226">
        <v>128.44999999999999</v>
      </c>
      <c r="AA714" s="226">
        <v>129.4</v>
      </c>
      <c r="AB714" s="226">
        <v>29.57</v>
      </c>
      <c r="AC714" s="225">
        <v>114.6</v>
      </c>
      <c r="AD714" s="179" t="s">
        <v>2956</v>
      </c>
      <c r="AE714" s="225" t="s">
        <v>5500</v>
      </c>
      <c r="AF714" s="189">
        <v>0.29166666666666669</v>
      </c>
      <c r="AG714" s="189">
        <v>0.91666666666666663</v>
      </c>
      <c r="AH714" s="190"/>
      <c r="AI714" s="190" t="s">
        <v>2985</v>
      </c>
      <c r="AJ714" s="183" t="s">
        <v>733</v>
      </c>
      <c r="AK714" s="179" t="s">
        <v>5586</v>
      </c>
      <c r="AL714" s="183" t="s">
        <v>4</v>
      </c>
      <c r="AM714" s="183" t="s">
        <v>5602</v>
      </c>
      <c r="AN714" s="183" t="s">
        <v>2102</v>
      </c>
      <c r="AO714" s="209" t="s">
        <v>5603</v>
      </c>
      <c r="AP714" s="191"/>
      <c r="AQ714" s="222">
        <v>45991</v>
      </c>
      <c r="AR714" s="183">
        <v>8</v>
      </c>
      <c r="AS714" s="183"/>
      <c r="AT714" s="182"/>
      <c r="AU714" s="182"/>
      <c r="AV714" s="227">
        <v>12382239</v>
      </c>
      <c r="AW714" s="231">
        <v>0</v>
      </c>
      <c r="AX714" s="206">
        <v>80235</v>
      </c>
      <c r="AY714" s="183"/>
    </row>
    <row r="715" spans="1:51" ht="14.4" x14ac:dyDescent="0.3">
      <c r="A715" s="232" t="s">
        <v>758</v>
      </c>
      <c r="B715" s="183" t="s">
        <v>2947</v>
      </c>
      <c r="C715" s="180" t="s">
        <v>2229</v>
      </c>
      <c r="D715" s="181" t="s">
        <v>2818</v>
      </c>
      <c r="E715" s="181" t="s">
        <v>2817</v>
      </c>
      <c r="F715" s="182" t="s">
        <v>2972</v>
      </c>
      <c r="G715" s="181" t="s">
        <v>17</v>
      </c>
      <c r="H715" s="222">
        <v>45991</v>
      </c>
      <c r="I715" s="193"/>
      <c r="J715" s="179" t="s">
        <v>5604</v>
      </c>
      <c r="K715" s="179">
        <v>700</v>
      </c>
      <c r="L715" s="186"/>
      <c r="M715" s="185"/>
      <c r="N715" s="185"/>
      <c r="O715" s="186"/>
      <c r="P715" s="185"/>
      <c r="Q715" s="182" t="s">
        <v>2933</v>
      </c>
      <c r="R715" s="182" t="s">
        <v>2934</v>
      </c>
      <c r="S715" s="182" t="s">
        <v>2952</v>
      </c>
      <c r="T715" s="179" t="s">
        <v>4623</v>
      </c>
      <c r="U715" s="183" t="s">
        <v>2954</v>
      </c>
      <c r="V715" s="225">
        <v>378</v>
      </c>
      <c r="W715" s="225" t="s">
        <v>3470</v>
      </c>
      <c r="X715" s="226">
        <v>306.86</v>
      </c>
      <c r="Y715" s="226">
        <v>183.67</v>
      </c>
      <c r="Z715" s="226">
        <v>107.67</v>
      </c>
      <c r="AA715" s="226">
        <v>72.31</v>
      </c>
      <c r="AB715" s="226">
        <v>11.48</v>
      </c>
      <c r="AC715" s="225">
        <v>55.8</v>
      </c>
      <c r="AD715" s="179" t="s">
        <v>2984</v>
      </c>
      <c r="AE715" s="188" t="s">
        <v>5241</v>
      </c>
      <c r="AF715" s="189">
        <v>0.29166666666666669</v>
      </c>
      <c r="AG715" s="189">
        <v>0.91666666666666663</v>
      </c>
      <c r="AH715" s="190"/>
      <c r="AI715" s="190" t="s">
        <v>2985</v>
      </c>
      <c r="AJ715" s="183" t="s">
        <v>756</v>
      </c>
      <c r="AK715" s="179" t="s">
        <v>3256</v>
      </c>
      <c r="AL715" s="183" t="s">
        <v>4</v>
      </c>
      <c r="AM715" s="222" t="s">
        <v>5605</v>
      </c>
      <c r="AN715" s="183" t="s">
        <v>2102</v>
      </c>
      <c r="AO715" s="209" t="s">
        <v>5606</v>
      </c>
      <c r="AP715" s="191"/>
      <c r="AQ715" s="222">
        <v>45991</v>
      </c>
      <c r="AR715" s="183">
        <v>8</v>
      </c>
      <c r="AS715" s="183"/>
      <c r="AT715" s="182"/>
      <c r="AU715" s="182"/>
      <c r="AV715" s="227">
        <v>14458128</v>
      </c>
      <c r="AW715" s="231">
        <v>0</v>
      </c>
      <c r="AX715" s="206">
        <v>80221</v>
      </c>
      <c r="AY715" s="183"/>
    </row>
    <row r="716" spans="1:51" ht="14.4" x14ac:dyDescent="0.3">
      <c r="A716" s="179" t="s">
        <v>1156</v>
      </c>
      <c r="B716" s="183" t="s">
        <v>2927</v>
      </c>
      <c r="C716" s="212" t="s">
        <v>2116</v>
      </c>
      <c r="D716" s="181" t="s">
        <v>2836</v>
      </c>
      <c r="E716" s="181" t="s">
        <v>2825</v>
      </c>
      <c r="F716" s="182" t="s">
        <v>2972</v>
      </c>
      <c r="G716" s="181" t="s">
        <v>17</v>
      </c>
      <c r="H716" s="222">
        <v>45991</v>
      </c>
      <c r="I716" s="193"/>
      <c r="J716" s="179"/>
      <c r="K716" s="179"/>
      <c r="L716" s="186"/>
      <c r="M716" s="185"/>
      <c r="N716" s="185"/>
      <c r="O716" s="179" t="s">
        <v>2951</v>
      </c>
      <c r="P716" s="185"/>
      <c r="Q716" s="182" t="s">
        <v>2933</v>
      </c>
      <c r="R716" s="182" t="s">
        <v>2934</v>
      </c>
      <c r="S716" s="225" t="s">
        <v>2935</v>
      </c>
      <c r="T716" s="179" t="s">
        <v>2974</v>
      </c>
      <c r="U716" s="183" t="s">
        <v>2937</v>
      </c>
      <c r="V716" s="225">
        <v>806</v>
      </c>
      <c r="W716" s="225" t="s">
        <v>3151</v>
      </c>
      <c r="X716" s="226">
        <v>582.91</v>
      </c>
      <c r="Y716" s="226">
        <v>376.23</v>
      </c>
      <c r="Z716" s="226">
        <v>214.77</v>
      </c>
      <c r="AA716" s="226">
        <v>153.83000000000001</v>
      </c>
      <c r="AB716" s="226">
        <v>28.26</v>
      </c>
      <c r="AC716" s="225">
        <v>120.69</v>
      </c>
      <c r="AD716" s="179" t="s">
        <v>2956</v>
      </c>
      <c r="AE716" s="188" t="s">
        <v>5241</v>
      </c>
      <c r="AF716" s="189">
        <v>0.29166666666666669</v>
      </c>
      <c r="AG716" s="189">
        <v>0.91666666666666663</v>
      </c>
      <c r="AH716" s="190"/>
      <c r="AI716" s="190" t="s">
        <v>2942</v>
      </c>
      <c r="AJ716" s="183" t="s">
        <v>1145</v>
      </c>
      <c r="AK716" s="179" t="s">
        <v>626</v>
      </c>
      <c r="AL716" s="183" t="s">
        <v>36</v>
      </c>
      <c r="AM716" s="222" t="s">
        <v>5607</v>
      </c>
      <c r="AN716" s="183" t="s">
        <v>2102</v>
      </c>
      <c r="AO716" s="209" t="s">
        <v>5608</v>
      </c>
      <c r="AP716" s="191"/>
      <c r="AQ716" s="222">
        <v>45991</v>
      </c>
      <c r="AR716" s="183">
        <v>8</v>
      </c>
      <c r="AS716" s="183"/>
      <c r="AT716" s="182"/>
      <c r="AU716" s="182"/>
      <c r="AV716" s="227">
        <v>13171984</v>
      </c>
      <c r="AW716" s="181">
        <v>10</v>
      </c>
      <c r="AX716" s="206">
        <v>82191</v>
      </c>
      <c r="AY716" s="183"/>
    </row>
    <row r="717" spans="1:51" ht="14.4" x14ac:dyDescent="0.3">
      <c r="A717" s="179" t="s">
        <v>1334</v>
      </c>
      <c r="B717" s="183" t="s">
        <v>2927</v>
      </c>
      <c r="C717" s="212" t="s">
        <v>2127</v>
      </c>
      <c r="D717" s="181" t="s">
        <v>2854</v>
      </c>
      <c r="E717" s="181" t="s">
        <v>2821</v>
      </c>
      <c r="F717" s="182" t="s">
        <v>2972</v>
      </c>
      <c r="G717" s="181" t="s">
        <v>17</v>
      </c>
      <c r="H717" s="222">
        <v>46015</v>
      </c>
      <c r="I717" s="193"/>
      <c r="J717" s="179" t="s">
        <v>5609</v>
      </c>
      <c r="K717" s="179">
        <v>220</v>
      </c>
      <c r="L717" s="186"/>
      <c r="M717" s="185"/>
      <c r="N717" s="185"/>
      <c r="O717" s="179" t="s">
        <v>2951</v>
      </c>
      <c r="P717" s="185"/>
      <c r="Q717" s="225" t="s">
        <v>2934</v>
      </c>
      <c r="R717" s="225" t="s">
        <v>2933</v>
      </c>
      <c r="S717" s="225" t="s">
        <v>2935</v>
      </c>
      <c r="T717" s="179" t="s">
        <v>2974</v>
      </c>
      <c r="U717" s="183" t="s">
        <v>2937</v>
      </c>
      <c r="V717" s="225">
        <v>218</v>
      </c>
      <c r="W717" s="225" t="s">
        <v>3009</v>
      </c>
      <c r="X717" s="226">
        <v>530.77</v>
      </c>
      <c r="Y717" s="226">
        <v>279.44</v>
      </c>
      <c r="Z717" s="226">
        <v>150.38</v>
      </c>
      <c r="AA717" s="226">
        <v>127.04</v>
      </c>
      <c r="AB717" s="226">
        <v>28.04</v>
      </c>
      <c r="AC717" s="225">
        <v>99.63</v>
      </c>
      <c r="AD717" s="179" t="s">
        <v>2956</v>
      </c>
      <c r="AE717" s="188" t="s">
        <v>5241</v>
      </c>
      <c r="AF717" s="189">
        <v>0.29166666666666669</v>
      </c>
      <c r="AG717" s="189">
        <v>0.91666666666666663</v>
      </c>
      <c r="AH717" s="190"/>
      <c r="AI717" s="190" t="s">
        <v>2942</v>
      </c>
      <c r="AJ717" s="183" t="s">
        <v>1187</v>
      </c>
      <c r="AK717" s="179" t="s">
        <v>820</v>
      </c>
      <c r="AL717" s="183" t="s">
        <v>9</v>
      </c>
      <c r="AM717" s="222" t="s">
        <v>5610</v>
      </c>
      <c r="AN717" s="183" t="s">
        <v>2102</v>
      </c>
      <c r="AO717" s="209" t="s">
        <v>5611</v>
      </c>
      <c r="AP717" s="191"/>
      <c r="AQ717" s="222">
        <v>46015</v>
      </c>
      <c r="AR717" s="183">
        <v>8</v>
      </c>
      <c r="AS717" s="183"/>
      <c r="AT717" s="182"/>
      <c r="AU717" s="182"/>
      <c r="AV717" s="227">
        <v>12345360</v>
      </c>
      <c r="AW717" s="181">
        <v>16</v>
      </c>
      <c r="AX717" s="206">
        <v>80351</v>
      </c>
      <c r="AY717" s="183"/>
    </row>
    <row r="718" spans="1:51" ht="14.4" x14ac:dyDescent="0.3">
      <c r="A718" s="179" t="s">
        <v>948</v>
      </c>
      <c r="B718" s="183" t="s">
        <v>2947</v>
      </c>
      <c r="C718" s="212" t="s">
        <v>2090</v>
      </c>
      <c r="D718" s="181" t="s">
        <v>2868</v>
      </c>
      <c r="E718" s="181" t="s">
        <v>2867</v>
      </c>
      <c r="F718" s="182" t="s">
        <v>2972</v>
      </c>
      <c r="G718" s="181" t="s">
        <v>17</v>
      </c>
      <c r="H718" s="222">
        <v>46015</v>
      </c>
      <c r="I718" s="193"/>
      <c r="J718" s="179" t="s">
        <v>5612</v>
      </c>
      <c r="K718" s="179">
        <v>450</v>
      </c>
      <c r="L718" s="186"/>
      <c r="M718" s="185"/>
      <c r="N718" s="185"/>
      <c r="O718" s="179" t="s">
        <v>2951</v>
      </c>
      <c r="P718" s="185"/>
      <c r="Q718" s="182" t="s">
        <v>2933</v>
      </c>
      <c r="R718" s="182" t="s">
        <v>2934</v>
      </c>
      <c r="S718" s="182" t="s">
        <v>2952</v>
      </c>
      <c r="T718" s="179" t="s">
        <v>2953</v>
      </c>
      <c r="U718" s="183" t="s">
        <v>2954</v>
      </c>
      <c r="V718" s="225">
        <v>546</v>
      </c>
      <c r="W718" s="225" t="s">
        <v>4451</v>
      </c>
      <c r="X718" s="226">
        <v>580.24</v>
      </c>
      <c r="Y718" s="226">
        <v>397.18</v>
      </c>
      <c r="Z718" s="226">
        <v>164.69</v>
      </c>
      <c r="AA718" s="226">
        <v>162.38999999999999</v>
      </c>
      <c r="AB718" s="226">
        <v>51.04</v>
      </c>
      <c r="AC718" s="225">
        <v>126.39</v>
      </c>
      <c r="AD718" s="179" t="s">
        <v>2956</v>
      </c>
      <c r="AE718" s="188" t="s">
        <v>5241</v>
      </c>
      <c r="AF718" s="189">
        <v>0.29166666666666669</v>
      </c>
      <c r="AG718" s="189">
        <v>0.99930555555555556</v>
      </c>
      <c r="AH718" s="190"/>
      <c r="AI718" s="190" t="s">
        <v>2942</v>
      </c>
      <c r="AJ718" s="183" t="s">
        <v>837</v>
      </c>
      <c r="AK718" s="179" t="s">
        <v>5613</v>
      </c>
      <c r="AL718" s="183" t="s">
        <v>4</v>
      </c>
      <c r="AM718" s="222" t="s">
        <v>5614</v>
      </c>
      <c r="AN718" s="183" t="s">
        <v>2102</v>
      </c>
      <c r="AO718" s="209" t="s">
        <v>5615</v>
      </c>
      <c r="AP718" s="191"/>
      <c r="AQ718" s="222">
        <v>46015</v>
      </c>
      <c r="AR718" s="183">
        <v>8</v>
      </c>
      <c r="AS718" s="183"/>
      <c r="AT718" s="182"/>
      <c r="AU718" s="182"/>
      <c r="AV718" s="227">
        <v>19157560</v>
      </c>
      <c r="AW718" s="181">
        <v>23.3</v>
      </c>
      <c r="AX718" s="206">
        <v>80119</v>
      </c>
      <c r="AY718" s="183"/>
    </row>
    <row r="719" spans="1:51" ht="14.4" x14ac:dyDescent="0.3">
      <c r="A719" s="179" t="s">
        <v>515</v>
      </c>
      <c r="B719" s="183" t="s">
        <v>2927</v>
      </c>
      <c r="C719" s="212" t="s">
        <v>5616</v>
      </c>
      <c r="D719" s="181" t="s">
        <v>2859</v>
      </c>
      <c r="E719" s="181" t="s">
        <v>2815</v>
      </c>
      <c r="F719" s="182" t="s">
        <v>2972</v>
      </c>
      <c r="G719" s="181" t="s">
        <v>17</v>
      </c>
      <c r="H719" s="222">
        <v>46022</v>
      </c>
      <c r="I719" s="193"/>
      <c r="J719" s="179" t="s">
        <v>5617</v>
      </c>
      <c r="K719" s="179">
        <v>400</v>
      </c>
      <c r="L719" s="186"/>
      <c r="M719" s="181" t="s">
        <v>3164</v>
      </c>
      <c r="N719" s="185"/>
      <c r="O719" s="179" t="s">
        <v>2951</v>
      </c>
      <c r="P719" s="185"/>
      <c r="Q719" s="182" t="s">
        <v>2933</v>
      </c>
      <c r="R719" s="182" t="s">
        <v>2934</v>
      </c>
      <c r="S719" s="225" t="s">
        <v>2935</v>
      </c>
      <c r="T719" s="179" t="s">
        <v>2974</v>
      </c>
      <c r="U719" s="183" t="s">
        <v>2937</v>
      </c>
      <c r="V719" s="225">
        <v>264</v>
      </c>
      <c r="W719" s="225" t="s">
        <v>5618</v>
      </c>
      <c r="X719" s="226">
        <v>246.3</v>
      </c>
      <c r="Y719" s="226">
        <v>322.32</v>
      </c>
      <c r="Z719" s="226">
        <v>137.94</v>
      </c>
      <c r="AA719" s="226">
        <v>67.73</v>
      </c>
      <c r="AB719" s="226">
        <v>20.83</v>
      </c>
      <c r="AC719" s="225">
        <v>156.47999999999999</v>
      </c>
      <c r="AD719" s="179" t="s">
        <v>2956</v>
      </c>
      <c r="AE719" s="225" t="s">
        <v>5500</v>
      </c>
      <c r="AF719" s="189">
        <v>0.29166666666666669</v>
      </c>
      <c r="AG719" s="189">
        <v>0.91666666666666663</v>
      </c>
      <c r="AH719" s="190"/>
      <c r="AI719" s="190" t="s">
        <v>2985</v>
      </c>
      <c r="AJ719" s="183" t="s">
        <v>103</v>
      </c>
      <c r="AK719" s="179" t="s">
        <v>823</v>
      </c>
      <c r="AL719" s="183" t="s">
        <v>28</v>
      </c>
      <c r="AM719" s="222" t="s">
        <v>5619</v>
      </c>
      <c r="AN719" s="183" t="s">
        <v>2102</v>
      </c>
      <c r="AO719" s="209" t="s">
        <v>5620</v>
      </c>
      <c r="AP719" s="191"/>
      <c r="AQ719" s="222">
        <v>46022</v>
      </c>
      <c r="AR719" s="183">
        <v>7</v>
      </c>
      <c r="AS719" s="183"/>
      <c r="AT719" s="182"/>
      <c r="AU719" s="182"/>
      <c r="AV719" s="227">
        <v>11547472</v>
      </c>
      <c r="AW719" s="231">
        <v>0</v>
      </c>
      <c r="AX719" s="206">
        <v>80571</v>
      </c>
      <c r="AY719" s="183"/>
    </row>
    <row r="720" spans="1:51" ht="14.4" x14ac:dyDescent="0.3">
      <c r="A720" s="179" t="s">
        <v>755</v>
      </c>
      <c r="B720" s="183" t="s">
        <v>2927</v>
      </c>
      <c r="C720" s="212" t="s">
        <v>2143</v>
      </c>
      <c r="D720" s="181" t="s">
        <v>2839</v>
      </c>
      <c r="E720" s="181" t="s">
        <v>2834</v>
      </c>
      <c r="F720" s="182" t="s">
        <v>2929</v>
      </c>
      <c r="G720" s="181" t="s">
        <v>12</v>
      </c>
      <c r="H720" s="222">
        <v>46022</v>
      </c>
      <c r="I720" s="193"/>
      <c r="J720" s="179" t="s">
        <v>5621</v>
      </c>
      <c r="K720" s="179">
        <v>300</v>
      </c>
      <c r="L720" s="186"/>
      <c r="M720" s="185"/>
      <c r="N720" s="185"/>
      <c r="O720" s="186"/>
      <c r="P720" s="185"/>
      <c r="Q720" s="182" t="s">
        <v>2933</v>
      </c>
      <c r="R720" s="182" t="s">
        <v>2934</v>
      </c>
      <c r="S720" s="182" t="s">
        <v>2952</v>
      </c>
      <c r="T720" s="179" t="s">
        <v>2974</v>
      </c>
      <c r="U720" s="183" t="s">
        <v>2937</v>
      </c>
      <c r="V720" s="225">
        <v>439</v>
      </c>
      <c r="W720" s="225" t="s">
        <v>3009</v>
      </c>
      <c r="X720" s="226">
        <v>449.04</v>
      </c>
      <c r="Y720" s="226">
        <v>305.49</v>
      </c>
      <c r="Z720" s="226">
        <v>150.80000000000001</v>
      </c>
      <c r="AA720" s="226">
        <v>134.80000000000001</v>
      </c>
      <c r="AB720" s="226">
        <v>26.67</v>
      </c>
      <c r="AC720" s="225">
        <v>124.84</v>
      </c>
      <c r="AD720" s="179" t="s">
        <v>2956</v>
      </c>
      <c r="AE720" s="188" t="s">
        <v>5241</v>
      </c>
      <c r="AF720" s="189">
        <v>0.29166666666666669</v>
      </c>
      <c r="AG720" s="189">
        <v>0.91666666666666663</v>
      </c>
      <c r="AH720" s="190"/>
      <c r="AI720" s="190" t="s">
        <v>2942</v>
      </c>
      <c r="AJ720" s="183" t="s">
        <v>641</v>
      </c>
      <c r="AK720" s="179" t="s">
        <v>5622</v>
      </c>
      <c r="AL720" s="183" t="s">
        <v>40</v>
      </c>
      <c r="AM720" s="222" t="s">
        <v>5623</v>
      </c>
      <c r="AN720" s="183" t="s">
        <v>2102</v>
      </c>
      <c r="AO720" s="209" t="s">
        <v>5624</v>
      </c>
      <c r="AP720" s="191"/>
      <c r="AQ720" s="222">
        <v>46022</v>
      </c>
      <c r="AR720" s="183">
        <v>7</v>
      </c>
      <c r="AS720" s="183"/>
      <c r="AT720" s="182"/>
      <c r="AU720" s="182"/>
      <c r="AV720" s="227">
        <v>8232630</v>
      </c>
      <c r="AW720" s="181">
        <v>73.7</v>
      </c>
      <c r="AX720" s="206">
        <v>80861</v>
      </c>
      <c r="AY720" s="183"/>
    </row>
    <row r="721" spans="1:51" ht="14.4" x14ac:dyDescent="0.3">
      <c r="A721" s="179" t="s">
        <v>518</v>
      </c>
      <c r="B721" s="183" t="s">
        <v>2927</v>
      </c>
      <c r="C721" s="212" t="s">
        <v>2086</v>
      </c>
      <c r="D721" s="181" t="s">
        <v>2842</v>
      </c>
      <c r="E721" s="181" t="s">
        <v>2834</v>
      </c>
      <c r="F721" s="182" t="s">
        <v>2972</v>
      </c>
      <c r="G721" s="181" t="s">
        <v>17</v>
      </c>
      <c r="H721" s="222">
        <v>46052</v>
      </c>
      <c r="I721" s="193"/>
      <c r="J721" s="179"/>
      <c r="K721" s="179"/>
      <c r="L721" s="186"/>
      <c r="M721" s="181" t="s">
        <v>3164</v>
      </c>
      <c r="N721" s="185"/>
      <c r="O721" s="179" t="s">
        <v>2951</v>
      </c>
      <c r="P721" s="185"/>
      <c r="Q721" s="182" t="s">
        <v>2933</v>
      </c>
      <c r="R721" s="182" t="s">
        <v>2934</v>
      </c>
      <c r="S721" s="182" t="s">
        <v>2935</v>
      </c>
      <c r="T721" s="179" t="s">
        <v>2974</v>
      </c>
      <c r="U721" s="183" t="s">
        <v>2937</v>
      </c>
      <c r="V721" s="225">
        <v>613</v>
      </c>
      <c r="W721" s="225" t="s">
        <v>3151</v>
      </c>
      <c r="X721" s="226">
        <v>521.54999999999995</v>
      </c>
      <c r="Y721" s="226">
        <v>255.14</v>
      </c>
      <c r="Z721" s="226">
        <v>153.66999999999999</v>
      </c>
      <c r="AA721" s="226">
        <v>194.39</v>
      </c>
      <c r="AB721" s="226">
        <v>33.380000000000003</v>
      </c>
      <c r="AC721" s="225">
        <v>58.83</v>
      </c>
      <c r="AD721" s="179" t="s">
        <v>2984</v>
      </c>
      <c r="AE721" s="188" t="s">
        <v>5241</v>
      </c>
      <c r="AF721" s="189">
        <v>0.29166666666666669</v>
      </c>
      <c r="AG721" s="189">
        <v>0.91666666666666663</v>
      </c>
      <c r="AH721" s="190"/>
      <c r="AI721" s="190" t="s">
        <v>2942</v>
      </c>
      <c r="AJ721" s="183" t="s">
        <v>516</v>
      </c>
      <c r="AK721" s="179" t="s">
        <v>516</v>
      </c>
      <c r="AL721" s="183" t="s">
        <v>40</v>
      </c>
      <c r="AM721" s="222" t="s">
        <v>5625</v>
      </c>
      <c r="AN721" s="183" t="s">
        <v>2102</v>
      </c>
      <c r="AO721" s="209" t="s">
        <v>5626</v>
      </c>
      <c r="AP721" s="191"/>
      <c r="AQ721" s="222">
        <v>46052</v>
      </c>
      <c r="AR721" s="183">
        <v>6</v>
      </c>
      <c r="AS721" s="183"/>
      <c r="AT721" s="182"/>
      <c r="AU721" s="182"/>
      <c r="AV721" s="227">
        <v>11890384</v>
      </c>
      <c r="AW721" s="181">
        <v>49</v>
      </c>
      <c r="AX721" s="206">
        <v>80871</v>
      </c>
      <c r="AY721" s="183"/>
    </row>
    <row r="722" spans="1:51" ht="14.4" x14ac:dyDescent="0.3">
      <c r="A722" s="179" t="s">
        <v>1053</v>
      </c>
      <c r="B722" s="183" t="s">
        <v>2947</v>
      </c>
      <c r="C722" s="212" t="s">
        <v>2238</v>
      </c>
      <c r="D722" s="181" t="s">
        <v>2854</v>
      </c>
      <c r="E722" s="181" t="s">
        <v>2821</v>
      </c>
      <c r="F722" s="182" t="s">
        <v>2972</v>
      </c>
      <c r="G722" s="181" t="s">
        <v>17</v>
      </c>
      <c r="H722" s="222">
        <v>46053</v>
      </c>
      <c r="I722" s="193"/>
      <c r="J722" s="179" t="s">
        <v>5627</v>
      </c>
      <c r="K722" s="179">
        <v>150</v>
      </c>
      <c r="L722" s="186"/>
      <c r="M722" s="185"/>
      <c r="N722" s="185"/>
      <c r="O722" s="179" t="s">
        <v>2951</v>
      </c>
      <c r="P722" s="185"/>
      <c r="Q722" s="182" t="s">
        <v>2933</v>
      </c>
      <c r="R722" s="182" t="s">
        <v>2934</v>
      </c>
      <c r="S722" s="182" t="s">
        <v>2952</v>
      </c>
      <c r="T722" s="179" t="s">
        <v>4623</v>
      </c>
      <c r="U722" s="183" t="s">
        <v>2954</v>
      </c>
      <c r="V722" s="225">
        <v>766</v>
      </c>
      <c r="W722" s="225" t="s">
        <v>4451</v>
      </c>
      <c r="X722" s="226">
        <v>357.25</v>
      </c>
      <c r="Y722" s="226">
        <v>285.95999999999998</v>
      </c>
      <c r="Z722" s="226">
        <v>146.83000000000001</v>
      </c>
      <c r="AA722" s="226">
        <v>66.97</v>
      </c>
      <c r="AB722" s="226">
        <v>34.130000000000003</v>
      </c>
      <c r="AC722" s="225">
        <v>100.87</v>
      </c>
      <c r="AD722" s="179" t="s">
        <v>2956</v>
      </c>
      <c r="AE722" s="188" t="s">
        <v>5241</v>
      </c>
      <c r="AF722" s="189">
        <v>0.29166666666666669</v>
      </c>
      <c r="AG722" s="189">
        <v>0.91666666666666663</v>
      </c>
      <c r="AH722" s="190"/>
      <c r="AI722" s="190" t="s">
        <v>2942</v>
      </c>
      <c r="AJ722" s="183" t="s">
        <v>115</v>
      </c>
      <c r="AK722" s="179" t="s">
        <v>5613</v>
      </c>
      <c r="AL722" s="183" t="s">
        <v>4</v>
      </c>
      <c r="AM722" s="222" t="s">
        <v>5628</v>
      </c>
      <c r="AN722" s="183" t="s">
        <v>2102</v>
      </c>
      <c r="AO722" s="209" t="s">
        <v>5629</v>
      </c>
      <c r="AP722" s="191"/>
      <c r="AQ722" s="222">
        <v>46053</v>
      </c>
      <c r="AR722" s="183">
        <v>6</v>
      </c>
      <c r="AS722" s="183"/>
      <c r="AT722" s="182"/>
      <c r="AU722" s="182"/>
      <c r="AV722" s="227">
        <v>15204920</v>
      </c>
      <c r="AW722" s="181">
        <v>16</v>
      </c>
      <c r="AX722" s="206">
        <v>80117</v>
      </c>
      <c r="AY722" s="183"/>
    </row>
    <row r="723" spans="1:51" ht="14.4" x14ac:dyDescent="0.3">
      <c r="A723" s="179" t="s">
        <v>996</v>
      </c>
      <c r="B723" s="183" t="s">
        <v>2947</v>
      </c>
      <c r="C723" s="212" t="s">
        <v>2222</v>
      </c>
      <c r="D723" s="181" t="s">
        <v>2862</v>
      </c>
      <c r="E723" s="181" t="s">
        <v>2819</v>
      </c>
      <c r="F723" s="182" t="s">
        <v>2972</v>
      </c>
      <c r="G723" s="181" t="s">
        <v>17</v>
      </c>
      <c r="H723" s="222">
        <v>46077</v>
      </c>
      <c r="I723" s="193"/>
      <c r="J723" s="179" t="s">
        <v>5630</v>
      </c>
      <c r="K723" s="179">
        <v>300</v>
      </c>
      <c r="L723" s="186"/>
      <c r="M723" s="185"/>
      <c r="N723" s="185"/>
      <c r="O723" s="179" t="s">
        <v>2951</v>
      </c>
      <c r="P723" s="185"/>
      <c r="Q723" s="182" t="s">
        <v>2933</v>
      </c>
      <c r="R723" s="182" t="s">
        <v>2934</v>
      </c>
      <c r="S723" s="182" t="s">
        <v>2952</v>
      </c>
      <c r="T723" s="179" t="s">
        <v>2974</v>
      </c>
      <c r="U723" s="183" t="s">
        <v>2954</v>
      </c>
      <c r="V723" s="225">
        <v>384</v>
      </c>
      <c r="W723" s="225" t="s">
        <v>2975</v>
      </c>
      <c r="X723" s="226">
        <v>717.19</v>
      </c>
      <c r="Y723" s="226">
        <v>261.66000000000003</v>
      </c>
      <c r="Z723" s="226">
        <v>161.63999999999999</v>
      </c>
      <c r="AA723" s="226">
        <v>240.34</v>
      </c>
      <c r="AB723" s="226">
        <v>44.82</v>
      </c>
      <c r="AC723" s="225">
        <v>64.290000000000006</v>
      </c>
      <c r="AD723" s="179" t="s">
        <v>2956</v>
      </c>
      <c r="AE723" s="188" t="s">
        <v>5241</v>
      </c>
      <c r="AF723" s="189">
        <v>0.29166666666666669</v>
      </c>
      <c r="AG723" s="189">
        <v>0.91666666666666663</v>
      </c>
      <c r="AH723" s="190"/>
      <c r="AI723" s="190" t="s">
        <v>2942</v>
      </c>
      <c r="AJ723" s="183" t="s">
        <v>805</v>
      </c>
      <c r="AK723" s="179" t="s">
        <v>5613</v>
      </c>
      <c r="AL723" s="183" t="s">
        <v>4</v>
      </c>
      <c r="AM723" s="222" t="s">
        <v>5631</v>
      </c>
      <c r="AN723" s="183" t="s">
        <v>2102</v>
      </c>
      <c r="AO723" s="209" t="s">
        <v>5632</v>
      </c>
      <c r="AP723" s="191"/>
      <c r="AQ723" s="222">
        <v>46077</v>
      </c>
      <c r="AR723" s="183">
        <v>6</v>
      </c>
      <c r="AS723" s="183"/>
      <c r="AT723" s="182"/>
      <c r="AU723" s="182"/>
      <c r="AV723" s="227">
        <v>18325996</v>
      </c>
      <c r="AW723" s="181">
        <v>23</v>
      </c>
      <c r="AX723" s="206">
        <v>80119</v>
      </c>
      <c r="AY723" s="183"/>
    </row>
    <row r="724" spans="1:51" ht="14.4" x14ac:dyDescent="0.3">
      <c r="A724" s="179" t="s">
        <v>1238</v>
      </c>
      <c r="B724" s="183" t="s">
        <v>2927</v>
      </c>
      <c r="C724" s="212" t="s">
        <v>5633</v>
      </c>
      <c r="D724" s="181" t="s">
        <v>2860</v>
      </c>
      <c r="E724" s="181" t="s">
        <v>2830</v>
      </c>
      <c r="F724" s="182" t="s">
        <v>2972</v>
      </c>
      <c r="G724" s="181" t="s">
        <v>17</v>
      </c>
      <c r="H724" s="222">
        <v>46081</v>
      </c>
      <c r="I724" s="193"/>
      <c r="J724" s="179"/>
      <c r="K724" s="179"/>
      <c r="L724" s="186"/>
      <c r="M724" s="185"/>
      <c r="N724" s="185"/>
      <c r="O724" s="179" t="s">
        <v>2951</v>
      </c>
      <c r="P724" s="185"/>
      <c r="Q724" s="182" t="s">
        <v>2934</v>
      </c>
      <c r="R724" s="182" t="s">
        <v>2933</v>
      </c>
      <c r="S724" s="182" t="s">
        <v>2935</v>
      </c>
      <c r="T724" s="179" t="s">
        <v>2974</v>
      </c>
      <c r="U724" s="183" t="s">
        <v>2937</v>
      </c>
      <c r="V724" s="225">
        <v>831</v>
      </c>
      <c r="W724" s="225" t="s">
        <v>3151</v>
      </c>
      <c r="X724" s="226">
        <v>380.09</v>
      </c>
      <c r="Y724" s="226">
        <v>211.83</v>
      </c>
      <c r="Z724" s="226">
        <v>119.48</v>
      </c>
      <c r="AA724" s="226">
        <v>162.74</v>
      </c>
      <c r="AB724" s="226">
        <v>14.88</v>
      </c>
      <c r="AC724" s="225">
        <v>59</v>
      </c>
      <c r="AD724" s="179" t="s">
        <v>2984</v>
      </c>
      <c r="AE724" s="188" t="s">
        <v>5241</v>
      </c>
      <c r="AF724" s="189">
        <v>0.29166666666666669</v>
      </c>
      <c r="AG724" s="189">
        <v>0.91666666666666663</v>
      </c>
      <c r="AH724" s="190"/>
      <c r="AI724" s="190" t="s">
        <v>2942</v>
      </c>
      <c r="AJ724" s="183" t="s">
        <v>1236</v>
      </c>
      <c r="AK724" s="179" t="s">
        <v>461</v>
      </c>
      <c r="AL724" s="183" t="s">
        <v>28</v>
      </c>
      <c r="AM724" s="222" t="s">
        <v>5634</v>
      </c>
      <c r="AN724" s="183" t="s">
        <v>2102</v>
      </c>
      <c r="AO724" s="209" t="s">
        <v>5635</v>
      </c>
      <c r="AP724" s="191"/>
      <c r="AQ724" s="222">
        <v>46081</v>
      </c>
      <c r="AR724" s="183">
        <v>6</v>
      </c>
      <c r="AS724" s="183"/>
      <c r="AT724" s="182"/>
      <c r="AU724" s="182"/>
      <c r="AV724" s="227">
        <v>12811276</v>
      </c>
      <c r="AW724" s="231">
        <v>0</v>
      </c>
      <c r="AX724" s="206">
        <v>80582</v>
      </c>
      <c r="AY724" s="183"/>
    </row>
    <row r="725" spans="1:51" ht="14.4" x14ac:dyDescent="0.3">
      <c r="A725" s="179" t="s">
        <v>1846</v>
      </c>
      <c r="B725" s="183" t="s">
        <v>2927</v>
      </c>
      <c r="C725" s="212" t="s">
        <v>5636</v>
      </c>
      <c r="D725" s="181" t="s">
        <v>2845</v>
      </c>
      <c r="E725" s="181" t="s">
        <v>2821</v>
      </c>
      <c r="F725" s="182" t="s">
        <v>2972</v>
      </c>
      <c r="G725" s="181" t="s">
        <v>17</v>
      </c>
      <c r="H725" s="222">
        <v>46111</v>
      </c>
      <c r="I725" s="193"/>
      <c r="J725" s="179"/>
      <c r="K725" s="179"/>
      <c r="L725" s="186"/>
      <c r="M725" s="181" t="s">
        <v>3164</v>
      </c>
      <c r="N725" s="185"/>
      <c r="O725" s="179" t="s">
        <v>2951</v>
      </c>
      <c r="P725" s="185"/>
      <c r="Q725" s="182" t="s">
        <v>2934</v>
      </c>
      <c r="R725" s="182" t="s">
        <v>2933</v>
      </c>
      <c r="S725" s="182" t="s">
        <v>2935</v>
      </c>
      <c r="T725" s="179" t="s">
        <v>2974</v>
      </c>
      <c r="U725" s="183" t="s">
        <v>2937</v>
      </c>
      <c r="V725" s="225">
        <v>1280</v>
      </c>
      <c r="W725" s="225" t="s">
        <v>4451</v>
      </c>
      <c r="X725" s="226">
        <v>527.57000000000005</v>
      </c>
      <c r="Y725" s="226">
        <v>246.53</v>
      </c>
      <c r="Z725" s="226">
        <v>152.28</v>
      </c>
      <c r="AA725" s="226">
        <v>285.01</v>
      </c>
      <c r="AB725" s="226">
        <v>19.420000000000002</v>
      </c>
      <c r="AC725" s="225">
        <v>56.95</v>
      </c>
      <c r="AD725" s="179" t="s">
        <v>2984</v>
      </c>
      <c r="AE725" s="188" t="s">
        <v>5241</v>
      </c>
      <c r="AF725" s="189">
        <v>0.29166666666666669</v>
      </c>
      <c r="AG725" s="189">
        <v>0.91666666666666663</v>
      </c>
      <c r="AH725" s="190"/>
      <c r="AI725" s="190" t="s">
        <v>2942</v>
      </c>
      <c r="AJ725" s="183" t="s">
        <v>1844</v>
      </c>
      <c r="AK725" s="179" t="s">
        <v>1720</v>
      </c>
      <c r="AL725" s="183" t="s">
        <v>36</v>
      </c>
      <c r="AM725" s="222" t="s">
        <v>5637</v>
      </c>
      <c r="AN725" s="183" t="s">
        <v>2102</v>
      </c>
      <c r="AO725" s="209" t="s">
        <v>5638</v>
      </c>
      <c r="AP725" s="191"/>
      <c r="AQ725" s="222">
        <v>46111</v>
      </c>
      <c r="AR725" s="183">
        <v>4</v>
      </c>
      <c r="AS725" s="183"/>
      <c r="AT725" s="182"/>
      <c r="AU725" s="182"/>
      <c r="AV725" s="227">
        <v>13450000</v>
      </c>
      <c r="AW725" s="181">
        <v>54</v>
      </c>
      <c r="AX725" s="206">
        <v>82163</v>
      </c>
      <c r="AY725" s="183"/>
    </row>
    <row r="726" spans="1:51" ht="14.4" x14ac:dyDescent="0.3">
      <c r="A726" s="179" t="s">
        <v>1629</v>
      </c>
      <c r="B726" s="183" t="s">
        <v>2927</v>
      </c>
      <c r="C726" s="212" t="s">
        <v>5639</v>
      </c>
      <c r="D726" s="181" t="s">
        <v>2861</v>
      </c>
      <c r="E726" s="181" t="s">
        <v>2840</v>
      </c>
      <c r="F726" s="182" t="s">
        <v>2972</v>
      </c>
      <c r="G726" s="181" t="s">
        <v>17</v>
      </c>
      <c r="H726" s="222">
        <v>46118</v>
      </c>
      <c r="I726" s="193"/>
      <c r="J726" s="179" t="s">
        <v>5640</v>
      </c>
      <c r="K726" s="179">
        <v>1000</v>
      </c>
      <c r="L726" s="186"/>
      <c r="M726" s="185"/>
      <c r="N726" s="185"/>
      <c r="O726" s="179" t="s">
        <v>2951</v>
      </c>
      <c r="P726" s="185"/>
      <c r="Q726" s="182" t="s">
        <v>2933</v>
      </c>
      <c r="R726" s="182" t="s">
        <v>2934</v>
      </c>
      <c r="S726" s="182" t="s">
        <v>2935</v>
      </c>
      <c r="T726" s="179" t="s">
        <v>2974</v>
      </c>
      <c r="U726" s="183" t="s">
        <v>2937</v>
      </c>
      <c r="V726" s="225">
        <v>533</v>
      </c>
      <c r="W726" s="225" t="s">
        <v>3151</v>
      </c>
      <c r="X726" s="226">
        <v>734.01</v>
      </c>
      <c r="Y726" s="226">
        <v>347.34</v>
      </c>
      <c r="Z726" s="226">
        <v>167.59</v>
      </c>
      <c r="AA726" s="226">
        <v>370.03</v>
      </c>
      <c r="AB726" s="226">
        <v>40.770000000000003</v>
      </c>
      <c r="AC726" s="225">
        <v>141.08000000000001</v>
      </c>
      <c r="AD726" s="179" t="s">
        <v>2956</v>
      </c>
      <c r="AE726" s="188" t="s">
        <v>5241</v>
      </c>
      <c r="AF726" s="189">
        <v>0.29166666666666669</v>
      </c>
      <c r="AG726" s="189">
        <v>0.91666666666666663</v>
      </c>
      <c r="AH726" s="190"/>
      <c r="AI726" s="190" t="s">
        <v>2942</v>
      </c>
      <c r="AJ726" s="183" t="s">
        <v>1340</v>
      </c>
      <c r="AK726" s="179" t="s">
        <v>823</v>
      </c>
      <c r="AL726" s="183" t="s">
        <v>28</v>
      </c>
      <c r="AM726" s="222" t="s">
        <v>5641</v>
      </c>
      <c r="AN726" s="183" t="s">
        <v>2102</v>
      </c>
      <c r="AO726" s="209" t="s">
        <v>5642</v>
      </c>
      <c r="AP726" s="191"/>
      <c r="AQ726" s="222">
        <v>46118</v>
      </c>
      <c r="AR726" s="183">
        <v>4</v>
      </c>
      <c r="AS726" s="183"/>
      <c r="AT726" s="182"/>
      <c r="AU726" s="182"/>
      <c r="AV726" s="227">
        <v>13738629</v>
      </c>
      <c r="AW726" s="231">
        <v>0</v>
      </c>
      <c r="AX726" s="206">
        <v>80571</v>
      </c>
      <c r="AY726" s="183"/>
    </row>
    <row r="727" spans="1:51" ht="14.4" x14ac:dyDescent="0.3">
      <c r="A727" s="179" t="s">
        <v>937</v>
      </c>
      <c r="B727" s="183" t="s">
        <v>2927</v>
      </c>
      <c r="C727" s="212" t="s">
        <v>936</v>
      </c>
      <c r="D727" s="181" t="s">
        <v>2828</v>
      </c>
      <c r="E727" s="181" t="s">
        <v>2827</v>
      </c>
      <c r="F727" s="182" t="s">
        <v>2972</v>
      </c>
      <c r="G727" s="181" t="s">
        <v>17</v>
      </c>
      <c r="H727" s="222">
        <v>46131</v>
      </c>
      <c r="I727" s="193"/>
      <c r="J727" s="179"/>
      <c r="K727" s="179"/>
      <c r="L727" s="186"/>
      <c r="M727" s="185"/>
      <c r="N727" s="185"/>
      <c r="O727" s="186"/>
      <c r="P727" s="185"/>
      <c r="Q727" s="182" t="s">
        <v>2934</v>
      </c>
      <c r="R727" s="182" t="s">
        <v>2933</v>
      </c>
      <c r="S727" s="182" t="s">
        <v>2935</v>
      </c>
      <c r="T727" s="179" t="s">
        <v>2974</v>
      </c>
      <c r="U727" s="183" t="s">
        <v>2937</v>
      </c>
      <c r="V727" s="225">
        <v>906</v>
      </c>
      <c r="W727" s="225" t="s">
        <v>3151</v>
      </c>
      <c r="X727" s="226">
        <v>461.34</v>
      </c>
      <c r="Y727" s="226">
        <v>224.19</v>
      </c>
      <c r="Z727" s="226">
        <v>133.16999999999999</v>
      </c>
      <c r="AA727" s="226">
        <v>212.94</v>
      </c>
      <c r="AB727" s="226">
        <v>47.95</v>
      </c>
      <c r="AC727" s="225">
        <v>54.8</v>
      </c>
      <c r="AD727" s="179" t="s">
        <v>2984</v>
      </c>
      <c r="AE727" s="188" t="s">
        <v>5241</v>
      </c>
      <c r="AF727" s="189">
        <v>0.29166666666666669</v>
      </c>
      <c r="AG727" s="189">
        <v>0.91666666666666663</v>
      </c>
      <c r="AH727" s="190"/>
      <c r="AI727" s="190" t="s">
        <v>2942</v>
      </c>
      <c r="AJ727" s="183" t="s">
        <v>935</v>
      </c>
      <c r="AK727" s="179" t="s">
        <v>863</v>
      </c>
      <c r="AL727" s="183" t="s">
        <v>48</v>
      </c>
      <c r="AM727" s="222" t="s">
        <v>5643</v>
      </c>
      <c r="AN727" s="183" t="s">
        <v>2102</v>
      </c>
      <c r="AO727" s="209" t="s">
        <v>5644</v>
      </c>
      <c r="AP727" s="191"/>
      <c r="AQ727" s="222">
        <v>46131</v>
      </c>
      <c r="AR727" s="183">
        <v>4</v>
      </c>
      <c r="AS727" s="183"/>
      <c r="AT727" s="182"/>
      <c r="AU727" s="182"/>
      <c r="AV727" s="227">
        <v>8758077</v>
      </c>
      <c r="AW727" s="181">
        <v>57.8</v>
      </c>
      <c r="AX727" s="206">
        <v>81161</v>
      </c>
      <c r="AY727" s="183"/>
    </row>
    <row r="728" spans="1:51" ht="14.4" x14ac:dyDescent="0.3">
      <c r="A728" s="179" t="s">
        <v>1402</v>
      </c>
      <c r="B728" s="183" t="s">
        <v>2927</v>
      </c>
      <c r="C728" s="212" t="s">
        <v>2129</v>
      </c>
      <c r="D728" s="181" t="s">
        <v>2859</v>
      </c>
      <c r="E728" s="181" t="s">
        <v>2815</v>
      </c>
      <c r="F728" s="182" t="s">
        <v>2972</v>
      </c>
      <c r="G728" s="181" t="s">
        <v>17</v>
      </c>
      <c r="H728" s="222">
        <v>46137</v>
      </c>
      <c r="I728" s="193"/>
      <c r="J728" s="179" t="s">
        <v>5645</v>
      </c>
      <c r="K728" s="179">
        <v>750</v>
      </c>
      <c r="L728" s="186"/>
      <c r="M728" s="185"/>
      <c r="N728" s="185"/>
      <c r="O728" s="186"/>
      <c r="P728" s="185"/>
      <c r="Q728" s="182" t="s">
        <v>2934</v>
      </c>
      <c r="R728" s="182" t="s">
        <v>2933</v>
      </c>
      <c r="S728" s="182" t="s">
        <v>2952</v>
      </c>
      <c r="T728" s="179" t="s">
        <v>4623</v>
      </c>
      <c r="U728" s="183" t="s">
        <v>2937</v>
      </c>
      <c r="V728" s="225">
        <v>1092</v>
      </c>
      <c r="W728" s="225" t="s">
        <v>3549</v>
      </c>
      <c r="X728" s="226">
        <v>415.12</v>
      </c>
      <c r="Y728" s="226">
        <v>212.04</v>
      </c>
      <c r="Z728" s="226">
        <v>120.26</v>
      </c>
      <c r="AA728" s="226">
        <v>178.64</v>
      </c>
      <c r="AB728" s="226">
        <v>46.37</v>
      </c>
      <c r="AC728" s="225">
        <v>58.65</v>
      </c>
      <c r="AD728" s="179" t="s">
        <v>2984</v>
      </c>
      <c r="AE728" s="188" t="s">
        <v>5241</v>
      </c>
      <c r="AF728" s="189">
        <v>0.29166666666666669</v>
      </c>
      <c r="AG728" s="189">
        <v>0.91666666666666663</v>
      </c>
      <c r="AH728" s="190"/>
      <c r="AI728" s="190" t="s">
        <v>2942</v>
      </c>
      <c r="AJ728" s="183" t="s">
        <v>150</v>
      </c>
      <c r="AK728" s="179" t="s">
        <v>461</v>
      </c>
      <c r="AL728" s="183" t="s">
        <v>28</v>
      </c>
      <c r="AM728" s="222" t="s">
        <v>5646</v>
      </c>
      <c r="AN728" s="183" t="s">
        <v>2102</v>
      </c>
      <c r="AO728" s="209" t="s">
        <v>5647</v>
      </c>
      <c r="AP728" s="191"/>
      <c r="AQ728" s="222">
        <v>46137</v>
      </c>
      <c r="AR728" s="183">
        <v>4</v>
      </c>
      <c r="AS728" s="183"/>
      <c r="AT728" s="182"/>
      <c r="AU728" s="182"/>
      <c r="AV728" s="227">
        <v>10211532</v>
      </c>
      <c r="AW728" s="231">
        <v>0</v>
      </c>
      <c r="AX728" s="206">
        <v>80582</v>
      </c>
      <c r="AY728" s="183"/>
    </row>
    <row r="729" spans="1:51" ht="14.4" x14ac:dyDescent="0.3">
      <c r="A729" s="179" t="s">
        <v>1863</v>
      </c>
      <c r="B729" s="183" t="s">
        <v>2927</v>
      </c>
      <c r="C729" s="212" t="s">
        <v>1862</v>
      </c>
      <c r="D729" s="181" t="s">
        <v>2853</v>
      </c>
      <c r="E729" s="181" t="s">
        <v>2825</v>
      </c>
      <c r="F729" s="182" t="s">
        <v>2972</v>
      </c>
      <c r="G729" s="181" t="s">
        <v>17</v>
      </c>
      <c r="H729" s="222">
        <v>46143</v>
      </c>
      <c r="I729" s="193"/>
      <c r="J729" s="179" t="s">
        <v>5648</v>
      </c>
      <c r="K729" s="179">
        <v>160</v>
      </c>
      <c r="L729" s="186"/>
      <c r="M729" s="185"/>
      <c r="N729" s="185"/>
      <c r="O729" s="179" t="s">
        <v>2951</v>
      </c>
      <c r="P729" s="185"/>
      <c r="Q729" s="182" t="s">
        <v>2933</v>
      </c>
      <c r="R729" s="182" t="s">
        <v>2934</v>
      </c>
      <c r="S729" s="182" t="s">
        <v>2952</v>
      </c>
      <c r="T729" s="179" t="s">
        <v>2974</v>
      </c>
      <c r="U729" s="183" t="s">
        <v>2937</v>
      </c>
      <c r="V729" s="225">
        <v>805</v>
      </c>
      <c r="W729" s="225" t="s">
        <v>3651</v>
      </c>
      <c r="X729" s="226">
        <v>254.98</v>
      </c>
      <c r="Y729" s="226">
        <v>186.29</v>
      </c>
      <c r="Z729" s="226">
        <v>107</v>
      </c>
      <c r="AA729" s="226">
        <v>62.08</v>
      </c>
      <c r="AB729" s="226">
        <v>9.9600000000000009</v>
      </c>
      <c r="AC729" s="225">
        <v>60</v>
      </c>
      <c r="AD729" s="179" t="s">
        <v>2956</v>
      </c>
      <c r="AE729" s="188" t="s">
        <v>5241</v>
      </c>
      <c r="AF729" s="189">
        <v>0.29166666666666669</v>
      </c>
      <c r="AG729" s="189">
        <v>0.91666666666666663</v>
      </c>
      <c r="AH729" s="190"/>
      <c r="AI729" s="190" t="s">
        <v>2942</v>
      </c>
      <c r="AJ729" s="183" t="s">
        <v>1773</v>
      </c>
      <c r="AK729" s="179" t="s">
        <v>376</v>
      </c>
      <c r="AL729" s="183" t="s">
        <v>9</v>
      </c>
      <c r="AM729" s="222" t="s">
        <v>5649</v>
      </c>
      <c r="AN729" s="183" t="s">
        <v>2102</v>
      </c>
      <c r="AO729" s="209" t="s">
        <v>5650</v>
      </c>
      <c r="AP729" s="191"/>
      <c r="AQ729" s="222">
        <v>46143</v>
      </c>
      <c r="AR729" s="183">
        <v>3</v>
      </c>
      <c r="AS729" s="183"/>
      <c r="AT729" s="182"/>
      <c r="AU729" s="182"/>
      <c r="AV729" s="227">
        <v>22767135</v>
      </c>
      <c r="AW729" s="181">
        <v>7.3</v>
      </c>
      <c r="AX729" s="206">
        <v>80352</v>
      </c>
      <c r="AY729" s="183"/>
    </row>
    <row r="730" spans="1:51" ht="14.4" x14ac:dyDescent="0.3">
      <c r="A730" s="179" t="s">
        <v>561</v>
      </c>
      <c r="B730" s="183" t="s">
        <v>2927</v>
      </c>
      <c r="C730" s="212" t="s">
        <v>5651</v>
      </c>
      <c r="D730" s="181" t="s">
        <v>2855</v>
      </c>
      <c r="E730" s="181" t="s">
        <v>2815</v>
      </c>
      <c r="F730" s="182" t="s">
        <v>2972</v>
      </c>
      <c r="G730" s="181" t="s">
        <v>17</v>
      </c>
      <c r="H730" s="222">
        <v>46167</v>
      </c>
      <c r="I730" s="193"/>
      <c r="J730" s="179"/>
      <c r="K730" s="179"/>
      <c r="L730" s="186"/>
      <c r="M730" s="185"/>
      <c r="N730" s="185"/>
      <c r="O730" s="179" t="s">
        <v>2951</v>
      </c>
      <c r="P730" s="185"/>
      <c r="Q730" s="182" t="s">
        <v>2933</v>
      </c>
      <c r="R730" s="182" t="s">
        <v>2934</v>
      </c>
      <c r="S730" s="182" t="s">
        <v>2952</v>
      </c>
      <c r="T730" s="179" t="s">
        <v>2974</v>
      </c>
      <c r="U730" s="183" t="s">
        <v>2937</v>
      </c>
      <c r="V730" s="225">
        <v>446</v>
      </c>
      <c r="W730" s="225" t="s">
        <v>4451</v>
      </c>
      <c r="X730" s="226">
        <v>416.82</v>
      </c>
      <c r="Y730" s="226">
        <v>255</v>
      </c>
      <c r="Z730" s="226">
        <v>141.08000000000001</v>
      </c>
      <c r="AA730" s="226">
        <v>153.66</v>
      </c>
      <c r="AB730" s="226">
        <v>24.32</v>
      </c>
      <c r="AC730" s="225">
        <v>79.069999999999993</v>
      </c>
      <c r="AD730" s="179" t="s">
        <v>2956</v>
      </c>
      <c r="AE730" s="188" t="s">
        <v>5241</v>
      </c>
      <c r="AF730" s="189">
        <v>0.29166666666666669</v>
      </c>
      <c r="AG730" s="189">
        <v>0.91666666666666663</v>
      </c>
      <c r="AH730" s="190"/>
      <c r="AI730" s="190" t="s">
        <v>2942</v>
      </c>
      <c r="AJ730" s="183" t="s">
        <v>84</v>
      </c>
      <c r="AK730" s="179" t="s">
        <v>207</v>
      </c>
      <c r="AL730" s="183" t="s">
        <v>28</v>
      </c>
      <c r="AM730" s="222" t="s">
        <v>5652</v>
      </c>
      <c r="AN730" s="183" t="s">
        <v>2102</v>
      </c>
      <c r="AO730" s="209" t="s">
        <v>5653</v>
      </c>
      <c r="AP730" s="191"/>
      <c r="AQ730" s="222">
        <v>46167</v>
      </c>
      <c r="AR730" s="183">
        <v>3</v>
      </c>
      <c r="AS730" s="183"/>
      <c r="AT730" s="182"/>
      <c r="AU730" s="182"/>
      <c r="AV730" s="227">
        <v>12479250</v>
      </c>
      <c r="AW730" s="231">
        <v>0</v>
      </c>
      <c r="AX730" s="206">
        <v>80581</v>
      </c>
      <c r="AY730" s="183"/>
    </row>
    <row r="731" spans="1:51" ht="14.4" x14ac:dyDescent="0.3">
      <c r="A731" s="179" t="s">
        <v>1839</v>
      </c>
      <c r="B731" s="183" t="s">
        <v>2927</v>
      </c>
      <c r="C731" s="212" t="s">
        <v>1838</v>
      </c>
      <c r="D731" s="181" t="s">
        <v>2858</v>
      </c>
      <c r="E731" s="181" t="s">
        <v>2813</v>
      </c>
      <c r="F731" s="182" t="s">
        <v>2972</v>
      </c>
      <c r="G731" s="181" t="s">
        <v>17</v>
      </c>
      <c r="H731" s="222">
        <v>46198</v>
      </c>
      <c r="I731" s="193"/>
      <c r="J731" s="179" t="s">
        <v>5654</v>
      </c>
      <c r="K731" s="179">
        <v>280</v>
      </c>
      <c r="L731" s="186"/>
      <c r="M731" s="185"/>
      <c r="N731" s="185"/>
      <c r="O731" s="179" t="s">
        <v>2951</v>
      </c>
      <c r="P731" s="185"/>
      <c r="Q731" s="182" t="s">
        <v>2933</v>
      </c>
      <c r="R731" s="182" t="s">
        <v>2934</v>
      </c>
      <c r="S731" s="182" t="s">
        <v>2952</v>
      </c>
      <c r="T731" s="179" t="s">
        <v>4623</v>
      </c>
      <c r="U731" s="183" t="s">
        <v>2937</v>
      </c>
      <c r="V731" s="225">
        <v>405</v>
      </c>
      <c r="W731" s="225" t="s">
        <v>4545</v>
      </c>
      <c r="X731" s="226">
        <v>273.83</v>
      </c>
      <c r="Y731" s="226">
        <v>160.61000000000001</v>
      </c>
      <c r="Z731" s="226">
        <v>109.8</v>
      </c>
      <c r="AA731" s="226">
        <v>82.58</v>
      </c>
      <c r="AB731" s="226">
        <v>20.2</v>
      </c>
      <c r="AC731" s="225">
        <v>61.25</v>
      </c>
      <c r="AD731" s="179" t="s">
        <v>2956</v>
      </c>
      <c r="AE731" s="188" t="s">
        <v>5241</v>
      </c>
      <c r="AF731" s="189">
        <v>0.29166666666666669</v>
      </c>
      <c r="AG731" s="189">
        <v>0.91666666666666663</v>
      </c>
      <c r="AH731" s="190"/>
      <c r="AI731" s="190" t="s">
        <v>2942</v>
      </c>
      <c r="AJ731" s="183" t="s">
        <v>21</v>
      </c>
      <c r="AK731" s="179" t="s">
        <v>820</v>
      </c>
      <c r="AL731" s="183" t="s">
        <v>1837</v>
      </c>
      <c r="AM731" s="222" t="s">
        <v>5655</v>
      </c>
      <c r="AN731" s="183" t="s">
        <v>2102</v>
      </c>
      <c r="AO731" s="209" t="s">
        <v>5656</v>
      </c>
      <c r="AP731" s="191"/>
      <c r="AQ731" s="222">
        <v>46198</v>
      </c>
      <c r="AR731" s="183">
        <v>2</v>
      </c>
      <c r="AS731" s="183"/>
      <c r="AT731" s="182"/>
      <c r="AU731" s="182"/>
      <c r="AV731" s="227">
        <v>8121808</v>
      </c>
      <c r="AW731" s="231">
        <v>23.6</v>
      </c>
      <c r="AX731" s="206">
        <v>80351</v>
      </c>
      <c r="AY731" s="183"/>
    </row>
    <row r="732" spans="1:51" ht="14.4" x14ac:dyDescent="0.3">
      <c r="A732" s="179" t="s">
        <v>513</v>
      </c>
      <c r="B732" s="183" t="s">
        <v>2927</v>
      </c>
      <c r="C732" s="212" t="s">
        <v>5657</v>
      </c>
      <c r="D732" s="181" t="s">
        <v>2845</v>
      </c>
      <c r="E732" s="181" t="s">
        <v>2821</v>
      </c>
      <c r="F732" s="182" t="s">
        <v>2972</v>
      </c>
      <c r="G732" s="181" t="s">
        <v>17</v>
      </c>
      <c r="H732" s="222">
        <v>46198</v>
      </c>
      <c r="I732" s="193"/>
      <c r="J732" s="179"/>
      <c r="K732" s="179"/>
      <c r="L732" s="186"/>
      <c r="M732" s="181" t="s">
        <v>3164</v>
      </c>
      <c r="N732" s="185"/>
      <c r="O732" s="179" t="s">
        <v>2951</v>
      </c>
      <c r="P732" s="185"/>
      <c r="Q732" s="182" t="s">
        <v>2933</v>
      </c>
      <c r="R732" s="182" t="s">
        <v>2934</v>
      </c>
      <c r="S732" s="182" t="s">
        <v>2935</v>
      </c>
      <c r="T732" s="179" t="s">
        <v>2974</v>
      </c>
      <c r="U732" s="183" t="s">
        <v>2937</v>
      </c>
      <c r="V732" s="225">
        <v>652</v>
      </c>
      <c r="W732" s="225" t="s">
        <v>3151</v>
      </c>
      <c r="X732" s="226">
        <v>734.01</v>
      </c>
      <c r="Y732" s="226">
        <v>274.82</v>
      </c>
      <c r="Z732" s="226">
        <v>140.22</v>
      </c>
      <c r="AA732" s="226">
        <v>368.95</v>
      </c>
      <c r="AB732" s="226">
        <v>39.159999999999997</v>
      </c>
      <c r="AC732" s="225">
        <v>58.37</v>
      </c>
      <c r="AD732" s="179" t="s">
        <v>2984</v>
      </c>
      <c r="AE732" s="188" t="s">
        <v>5241</v>
      </c>
      <c r="AF732" s="189">
        <v>0.29166666666666669</v>
      </c>
      <c r="AG732" s="189">
        <v>0.91666666666666663</v>
      </c>
      <c r="AH732" s="190"/>
      <c r="AI732" s="190" t="s">
        <v>2942</v>
      </c>
      <c r="AJ732" s="183" t="s">
        <v>511</v>
      </c>
      <c r="AK732" s="179" t="s">
        <v>4569</v>
      </c>
      <c r="AL732" s="183" t="s">
        <v>36</v>
      </c>
      <c r="AM732" s="222" t="s">
        <v>5658</v>
      </c>
      <c r="AN732" s="183" t="s">
        <v>2102</v>
      </c>
      <c r="AO732" s="209" t="s">
        <v>5659</v>
      </c>
      <c r="AP732" s="191"/>
      <c r="AQ732" s="222">
        <v>46198</v>
      </c>
      <c r="AR732" s="183">
        <v>2</v>
      </c>
      <c r="AS732" s="183"/>
      <c r="AT732" s="182"/>
      <c r="AU732" s="182"/>
      <c r="AV732" s="227">
        <v>12600000</v>
      </c>
      <c r="AW732" s="231">
        <v>43</v>
      </c>
      <c r="AX732" s="206">
        <v>82162</v>
      </c>
      <c r="AY732" s="183"/>
    </row>
    <row r="733" spans="1:51" ht="14.4" x14ac:dyDescent="0.3">
      <c r="A733" s="179" t="s">
        <v>1836</v>
      </c>
      <c r="B733" s="183" t="s">
        <v>2927</v>
      </c>
      <c r="C733" s="212" t="s">
        <v>1835</v>
      </c>
      <c r="D733" s="181" t="s">
        <v>2869</v>
      </c>
      <c r="E733" s="181" t="s">
        <v>2834</v>
      </c>
      <c r="F733" s="182" t="s">
        <v>2972</v>
      </c>
      <c r="G733" s="181" t="s">
        <v>17</v>
      </c>
      <c r="H733" s="222">
        <v>46200</v>
      </c>
      <c r="I733" s="193"/>
      <c r="J733" s="179" t="s">
        <v>5660</v>
      </c>
      <c r="K733" s="179">
        <v>600</v>
      </c>
      <c r="L733" s="186"/>
      <c r="M733" s="185"/>
      <c r="N733" s="185"/>
      <c r="O733" s="179" t="s">
        <v>2951</v>
      </c>
      <c r="P733" s="185"/>
      <c r="Q733" s="182" t="s">
        <v>2933</v>
      </c>
      <c r="R733" s="182" t="s">
        <v>2934</v>
      </c>
      <c r="S733" s="182" t="s">
        <v>2952</v>
      </c>
      <c r="T733" s="179" t="s">
        <v>4623</v>
      </c>
      <c r="U733" s="183" t="s">
        <v>2937</v>
      </c>
      <c r="V733" s="225">
        <v>778</v>
      </c>
      <c r="W733" s="225" t="s">
        <v>4616</v>
      </c>
      <c r="X733" s="226">
        <v>577.6</v>
      </c>
      <c r="Y733" s="226">
        <v>293</v>
      </c>
      <c r="Z733" s="226">
        <v>150.30000000000001</v>
      </c>
      <c r="AA733" s="226">
        <v>242.14</v>
      </c>
      <c r="AB733" s="226">
        <v>22.44</v>
      </c>
      <c r="AC733" s="225">
        <v>108.55</v>
      </c>
      <c r="AD733" s="179" t="s">
        <v>2956</v>
      </c>
      <c r="AE733" s="188" t="s">
        <v>5241</v>
      </c>
      <c r="AF733" s="189">
        <v>0.29166666666666669</v>
      </c>
      <c r="AG733" s="189">
        <v>0.91666666666666663</v>
      </c>
      <c r="AH733" s="190"/>
      <c r="AI733" s="190" t="s">
        <v>2942</v>
      </c>
      <c r="AJ733" s="183" t="s">
        <v>1834</v>
      </c>
      <c r="AK733" s="179" t="s">
        <v>1522</v>
      </c>
      <c r="AL733" s="183" t="s">
        <v>40</v>
      </c>
      <c r="AM733" s="222" t="s">
        <v>5661</v>
      </c>
      <c r="AN733" s="183" t="s">
        <v>2102</v>
      </c>
      <c r="AO733" s="209" t="s">
        <v>5662</v>
      </c>
      <c r="AP733" s="191"/>
      <c r="AQ733" s="222">
        <v>46200</v>
      </c>
      <c r="AR733" s="183">
        <v>2</v>
      </c>
      <c r="AS733" s="183"/>
      <c r="AT733" s="182"/>
      <c r="AU733" s="182"/>
      <c r="AV733" s="227">
        <v>13854538</v>
      </c>
      <c r="AW733" s="231">
        <v>81.5</v>
      </c>
      <c r="AX733" s="206">
        <v>80811</v>
      </c>
      <c r="AY733" s="183"/>
    </row>
    <row r="734" spans="1:51" ht="14.4" x14ac:dyDescent="0.3">
      <c r="A734" s="179" t="s">
        <v>1816</v>
      </c>
      <c r="B734" s="183" t="s">
        <v>2927</v>
      </c>
      <c r="C734" s="212" t="s">
        <v>1815</v>
      </c>
      <c r="D734" s="181" t="s">
        <v>2869</v>
      </c>
      <c r="E734" s="181" t="s">
        <v>2834</v>
      </c>
      <c r="F734" s="182" t="s">
        <v>2972</v>
      </c>
      <c r="G734" s="181" t="s">
        <v>17</v>
      </c>
      <c r="H734" s="222">
        <v>46232</v>
      </c>
      <c r="I734" s="193"/>
      <c r="J734" s="179"/>
      <c r="K734" s="179"/>
      <c r="L734" s="186"/>
      <c r="M734" s="185"/>
      <c r="N734" s="185"/>
      <c r="O734" s="179" t="s">
        <v>2951</v>
      </c>
      <c r="P734" s="185"/>
      <c r="Q734" s="182" t="s">
        <v>2934</v>
      </c>
      <c r="R734" s="182" t="s">
        <v>2933</v>
      </c>
      <c r="S734" s="182" t="s">
        <v>2935</v>
      </c>
      <c r="T734" s="179" t="s">
        <v>2974</v>
      </c>
      <c r="U734" s="183" t="s">
        <v>2937</v>
      </c>
      <c r="V734" s="225">
        <v>578</v>
      </c>
      <c r="W734" s="225" t="s">
        <v>3009</v>
      </c>
      <c r="X734" s="226">
        <v>600.74</v>
      </c>
      <c r="Y734" s="226">
        <v>353.09</v>
      </c>
      <c r="Z734" s="226">
        <v>153</v>
      </c>
      <c r="AA734" s="226">
        <v>199.43</v>
      </c>
      <c r="AB734" s="226">
        <v>57.25</v>
      </c>
      <c r="AC734" s="225">
        <v>69.39</v>
      </c>
      <c r="AD734" s="179" t="s">
        <v>2956</v>
      </c>
      <c r="AE734" s="188" t="s">
        <v>5241</v>
      </c>
      <c r="AF734" s="189">
        <v>0.29166666666666669</v>
      </c>
      <c r="AG734" s="189">
        <v>0.91666666666666663</v>
      </c>
      <c r="AH734" s="190"/>
      <c r="AI734" s="190" t="s">
        <v>2942</v>
      </c>
      <c r="AJ734" s="183" t="s">
        <v>279</v>
      </c>
      <c r="AK734" s="179" t="s">
        <v>301</v>
      </c>
      <c r="AL734" s="183" t="s">
        <v>40</v>
      </c>
      <c r="AM734" s="222" t="s">
        <v>5663</v>
      </c>
      <c r="AN734" s="183" t="s">
        <v>2102</v>
      </c>
      <c r="AO734" s="209" t="s">
        <v>5664</v>
      </c>
      <c r="AP734" s="191"/>
      <c r="AQ734" s="222">
        <v>46232</v>
      </c>
      <c r="AR734" s="183">
        <v>0</v>
      </c>
      <c r="AS734" s="183"/>
      <c r="AT734" s="182"/>
      <c r="AU734" s="182"/>
      <c r="AV734" s="227">
        <v>13140399</v>
      </c>
      <c r="AW734" s="231">
        <v>86</v>
      </c>
      <c r="AX734" s="206">
        <v>80852</v>
      </c>
      <c r="AY734" s="183"/>
    </row>
    <row r="735" spans="1:51" ht="14.4" x14ac:dyDescent="0.3">
      <c r="A735" s="179" t="s">
        <v>1702</v>
      </c>
      <c r="B735" s="183" t="s">
        <v>2947</v>
      </c>
      <c r="C735" s="212" t="s">
        <v>2882</v>
      </c>
      <c r="D735" s="181" t="s">
        <v>2831</v>
      </c>
      <c r="E735" s="181" t="s">
        <v>2830</v>
      </c>
      <c r="F735" s="182" t="s">
        <v>2972</v>
      </c>
      <c r="G735" s="181" t="s">
        <v>17</v>
      </c>
      <c r="H735" s="222">
        <v>46234</v>
      </c>
      <c r="I735" s="193"/>
      <c r="J735" s="179" t="s">
        <v>5665</v>
      </c>
      <c r="K735" s="179">
        <v>300</v>
      </c>
      <c r="L735" s="186"/>
      <c r="M735" s="185"/>
      <c r="N735" s="185"/>
      <c r="O735" s="179" t="s">
        <v>2951</v>
      </c>
      <c r="P735" s="185"/>
      <c r="Q735" s="182" t="s">
        <v>2933</v>
      </c>
      <c r="R735" s="182" t="s">
        <v>2934</v>
      </c>
      <c r="S735" s="182" t="s">
        <v>2952</v>
      </c>
      <c r="T735" s="179" t="s">
        <v>4623</v>
      </c>
      <c r="U735" s="183" t="s">
        <v>2954</v>
      </c>
      <c r="V735" s="225">
        <v>639</v>
      </c>
      <c r="W735" s="225" t="s">
        <v>3549</v>
      </c>
      <c r="X735" s="226">
        <v>334.38</v>
      </c>
      <c r="Y735" s="226">
        <v>210.44</v>
      </c>
      <c r="Z735" s="226">
        <v>131.22</v>
      </c>
      <c r="AA735" s="226">
        <v>102.51</v>
      </c>
      <c r="AB735" s="233">
        <v>22.13</v>
      </c>
      <c r="AC735" s="226">
        <v>47.74</v>
      </c>
      <c r="AD735" s="179" t="s">
        <v>2984</v>
      </c>
      <c r="AE735" s="188" t="s">
        <v>5241</v>
      </c>
      <c r="AF735" s="189">
        <v>0.29166666666666669</v>
      </c>
      <c r="AG735" s="189">
        <v>0.91666666666666663</v>
      </c>
      <c r="AH735" s="190"/>
      <c r="AI735" s="190" t="s">
        <v>2985</v>
      </c>
      <c r="AJ735" s="234" t="s">
        <v>309</v>
      </c>
      <c r="AK735" s="234" t="s">
        <v>5666</v>
      </c>
      <c r="AL735" s="183" t="s">
        <v>5667</v>
      </c>
      <c r="AM735" s="183" t="s">
        <v>5668</v>
      </c>
      <c r="AN735" s="183" t="s">
        <v>2102</v>
      </c>
      <c r="AO735" s="235" t="s">
        <v>5669</v>
      </c>
      <c r="AP735" s="235"/>
      <c r="AQ735" s="222">
        <v>46234</v>
      </c>
      <c r="AR735" s="183">
        <v>0</v>
      </c>
      <c r="AS735" s="183"/>
      <c r="AT735" s="182"/>
      <c r="AU735" s="182"/>
      <c r="AV735" s="227">
        <v>15405072</v>
      </c>
      <c r="AW735" s="231">
        <v>0</v>
      </c>
      <c r="AX735" s="206">
        <v>80227</v>
      </c>
      <c r="AY735" s="183"/>
    </row>
    <row r="736" spans="1:51" ht="14.4" x14ac:dyDescent="0.3">
      <c r="A736" s="179" t="s">
        <v>1743</v>
      </c>
      <c r="B736" s="183" t="s">
        <v>2927</v>
      </c>
      <c r="C736" s="212" t="s">
        <v>1742</v>
      </c>
      <c r="D736" s="181" t="s">
        <v>2869</v>
      </c>
      <c r="E736" s="181" t="s">
        <v>2834</v>
      </c>
      <c r="F736" s="182" t="s">
        <v>2972</v>
      </c>
      <c r="G736" s="181" t="s">
        <v>17</v>
      </c>
      <c r="H736" s="222">
        <v>46234</v>
      </c>
      <c r="I736" s="193"/>
      <c r="J736" s="179" t="s">
        <v>5489</v>
      </c>
      <c r="K736" s="179">
        <v>141</v>
      </c>
      <c r="L736" s="186"/>
      <c r="M736" s="185"/>
      <c r="N736" s="185"/>
      <c r="O736" s="179"/>
      <c r="P736" s="185"/>
      <c r="Q736" s="182" t="s">
        <v>2934</v>
      </c>
      <c r="R736" s="182" t="s">
        <v>2933</v>
      </c>
      <c r="S736" s="182" t="s">
        <v>2935</v>
      </c>
      <c r="T736" s="179" t="s">
        <v>2974</v>
      </c>
      <c r="U736" s="183" t="s">
        <v>2937</v>
      </c>
      <c r="V736" s="225">
        <v>631</v>
      </c>
      <c r="W736" s="225" t="s">
        <v>4616</v>
      </c>
      <c r="X736" s="226">
        <v>300.94</v>
      </c>
      <c r="Y736" s="226">
        <v>241.72</v>
      </c>
      <c r="Z736" s="226">
        <v>117.5</v>
      </c>
      <c r="AA736" s="226">
        <v>53</v>
      </c>
      <c r="AB736" s="226">
        <v>18.8</v>
      </c>
      <c r="AC736" s="225">
        <v>95.52</v>
      </c>
      <c r="AD736" s="179" t="s">
        <v>2956</v>
      </c>
      <c r="AE736" s="188" t="s">
        <v>5241</v>
      </c>
      <c r="AF736" s="189">
        <v>0.29166666666666669</v>
      </c>
      <c r="AG736" s="189">
        <v>0.91666666666666663</v>
      </c>
      <c r="AH736" s="190"/>
      <c r="AI736" s="190" t="s">
        <v>2942</v>
      </c>
      <c r="AJ736" s="183" t="s">
        <v>1142</v>
      </c>
      <c r="AK736" s="179" t="s">
        <v>5670</v>
      </c>
      <c r="AL736" s="183" t="s">
        <v>1522</v>
      </c>
      <c r="AM736" s="222" t="s">
        <v>5671</v>
      </c>
      <c r="AN736" s="183" t="s">
        <v>2102</v>
      </c>
      <c r="AO736" s="209" t="s">
        <v>5672</v>
      </c>
      <c r="AP736" s="191"/>
      <c r="AQ736" s="222">
        <v>46234</v>
      </c>
      <c r="AR736" s="183">
        <v>0</v>
      </c>
      <c r="AS736" s="183"/>
      <c r="AT736" s="182"/>
      <c r="AU736" s="182"/>
      <c r="AV736" s="227">
        <v>7903896</v>
      </c>
      <c r="AW736" s="231">
        <v>120.3</v>
      </c>
      <c r="AX736" s="206">
        <v>80853</v>
      </c>
      <c r="AY736" s="183"/>
    </row>
    <row r="737" spans="1:51" ht="14.4" x14ac:dyDescent="0.3">
      <c r="A737" s="179" t="s">
        <v>1643</v>
      </c>
      <c r="B737" s="183" t="s">
        <v>2947</v>
      </c>
      <c r="C737" s="212" t="s">
        <v>5673</v>
      </c>
      <c r="D737" s="181" t="s">
        <v>2852</v>
      </c>
      <c r="E737" s="181" t="s">
        <v>2817</v>
      </c>
      <c r="F737" s="182" t="s">
        <v>2972</v>
      </c>
      <c r="G737" s="181" t="s">
        <v>17</v>
      </c>
      <c r="H737" s="222">
        <v>46234</v>
      </c>
      <c r="I737" s="193"/>
      <c r="J737" s="179"/>
      <c r="K737" s="179"/>
      <c r="L737" s="186"/>
      <c r="M737" s="185"/>
      <c r="N737" s="185"/>
      <c r="O737" s="179" t="s">
        <v>2951</v>
      </c>
      <c r="P737" s="185"/>
      <c r="Q737" s="182" t="s">
        <v>2934</v>
      </c>
      <c r="R737" s="182" t="s">
        <v>2933</v>
      </c>
      <c r="S737" s="182" t="s">
        <v>2952</v>
      </c>
      <c r="T737" s="179" t="s">
        <v>4623</v>
      </c>
      <c r="U737" s="183" t="s">
        <v>2954</v>
      </c>
      <c r="V737" s="225">
        <v>590</v>
      </c>
      <c r="W737" s="225" t="s">
        <v>4532</v>
      </c>
      <c r="X737" s="226">
        <v>419</v>
      </c>
      <c r="Y737" s="226">
        <v>275.2</v>
      </c>
      <c r="Z737" s="226">
        <v>133.35</v>
      </c>
      <c r="AA737" s="226">
        <v>55.27</v>
      </c>
      <c r="AB737" s="233">
        <v>35.68</v>
      </c>
      <c r="AC737" s="226">
        <v>107.08</v>
      </c>
      <c r="AD737" s="179" t="s">
        <v>2956</v>
      </c>
      <c r="AE737" s="188" t="s">
        <v>5241</v>
      </c>
      <c r="AF737" s="189">
        <v>0.29166666666666669</v>
      </c>
      <c r="AG737" s="189">
        <v>0.91666666666666663</v>
      </c>
      <c r="AH737" s="190"/>
      <c r="AI737" s="190" t="s">
        <v>2985</v>
      </c>
      <c r="AJ737" s="234" t="s">
        <v>1641</v>
      </c>
      <c r="AK737" s="234" t="s">
        <v>5666</v>
      </c>
      <c r="AL737" s="183" t="s">
        <v>5667</v>
      </c>
      <c r="AM737" s="183" t="s">
        <v>5674</v>
      </c>
      <c r="AN737" s="183" t="s">
        <v>2102</v>
      </c>
      <c r="AO737" s="235" t="s">
        <v>5675</v>
      </c>
      <c r="AP737" s="235"/>
      <c r="AQ737" s="222">
        <v>46234</v>
      </c>
      <c r="AR737" s="183">
        <v>0</v>
      </c>
      <c r="AS737" s="183"/>
      <c r="AT737" s="182"/>
      <c r="AU737" s="182"/>
      <c r="AV737" s="227">
        <v>18871760</v>
      </c>
      <c r="AW737" s="231">
        <v>0</v>
      </c>
      <c r="AX737" s="206">
        <v>80221</v>
      </c>
      <c r="AY737" s="183"/>
    </row>
    <row r="738" spans="1:51" ht="14.4" x14ac:dyDescent="0.3">
      <c r="A738" s="179" t="s">
        <v>494</v>
      </c>
      <c r="B738" s="183" t="s">
        <v>2947</v>
      </c>
      <c r="C738" s="212" t="s">
        <v>5676</v>
      </c>
      <c r="D738" s="181" t="s">
        <v>2838</v>
      </c>
      <c r="E738" s="181" t="s">
        <v>2830</v>
      </c>
      <c r="F738" s="182" t="s">
        <v>2972</v>
      </c>
      <c r="G738" s="181" t="s">
        <v>17</v>
      </c>
      <c r="H738" s="222">
        <v>46249</v>
      </c>
      <c r="I738" s="193"/>
      <c r="J738" s="179" t="s">
        <v>5677</v>
      </c>
      <c r="K738" s="179">
        <v>600</v>
      </c>
      <c r="L738" s="186"/>
      <c r="M738" s="185"/>
      <c r="N738" s="185"/>
      <c r="O738" s="179" t="s">
        <v>2951</v>
      </c>
      <c r="P738" s="185"/>
      <c r="Q738" s="182" t="s">
        <v>2934</v>
      </c>
      <c r="R738" s="182" t="s">
        <v>2933</v>
      </c>
      <c r="S738" s="182" t="s">
        <v>2952</v>
      </c>
      <c r="T738" s="179" t="s">
        <v>5482</v>
      </c>
      <c r="U738" s="183" t="s">
        <v>2954</v>
      </c>
      <c r="V738" s="225">
        <v>657</v>
      </c>
      <c r="W738" s="225" t="s">
        <v>4532</v>
      </c>
      <c r="X738" s="226">
        <v>449.34</v>
      </c>
      <c r="Y738" s="226">
        <v>277.99</v>
      </c>
      <c r="Z738" s="226">
        <v>153.9</v>
      </c>
      <c r="AA738" s="226">
        <v>171.35</v>
      </c>
      <c r="AB738" s="226">
        <v>47.1</v>
      </c>
      <c r="AC738" s="225">
        <v>76.989999999999995</v>
      </c>
      <c r="AD738" s="179" t="s">
        <v>2956</v>
      </c>
      <c r="AE738" s="188" t="s">
        <v>5241</v>
      </c>
      <c r="AF738" s="236">
        <v>0.29166666666666669</v>
      </c>
      <c r="AG738" s="236">
        <v>0.91666666666666663</v>
      </c>
      <c r="AH738" s="190"/>
      <c r="AI738" s="190" t="s">
        <v>2942</v>
      </c>
      <c r="AJ738" s="183" t="s">
        <v>776</v>
      </c>
      <c r="AK738" s="179" t="s">
        <v>5583</v>
      </c>
      <c r="AL738" s="183" t="s">
        <v>5667</v>
      </c>
      <c r="AM738" s="222" t="s">
        <v>5678</v>
      </c>
      <c r="AN738" s="183" t="s">
        <v>2102</v>
      </c>
      <c r="AO738" s="209" t="s">
        <v>5679</v>
      </c>
      <c r="AP738" s="191"/>
      <c r="AQ738" s="222">
        <v>46249</v>
      </c>
      <c r="AR738" s="183">
        <v>0</v>
      </c>
      <c r="AS738" s="183"/>
      <c r="AT738" s="182"/>
      <c r="AU738" s="182"/>
      <c r="AV738" s="227">
        <v>14711444</v>
      </c>
      <c r="AW738" s="231">
        <v>11.5</v>
      </c>
      <c r="AX738" s="206">
        <v>80115</v>
      </c>
      <c r="AY738" s="183"/>
    </row>
    <row r="739" spans="1:51" ht="14.4" x14ac:dyDescent="0.3">
      <c r="A739" s="179" t="s">
        <v>490</v>
      </c>
      <c r="B739" s="183" t="s">
        <v>2947</v>
      </c>
      <c r="C739" s="212" t="s">
        <v>2218</v>
      </c>
      <c r="D739" s="181" t="s">
        <v>2849</v>
      </c>
      <c r="E739" s="181" t="s">
        <v>2830</v>
      </c>
      <c r="F739" s="182" t="s">
        <v>2972</v>
      </c>
      <c r="G739" s="181" t="s">
        <v>17</v>
      </c>
      <c r="H739" s="222">
        <v>46256</v>
      </c>
      <c r="I739" s="193"/>
      <c r="J739" s="179" t="s">
        <v>5680</v>
      </c>
      <c r="K739" s="179">
        <v>200</v>
      </c>
      <c r="L739" s="186"/>
      <c r="M739" s="185"/>
      <c r="N739" s="185"/>
      <c r="O739" s="179" t="s">
        <v>2951</v>
      </c>
      <c r="P739" s="185"/>
      <c r="Q739" s="182" t="s">
        <v>2933</v>
      </c>
      <c r="R739" s="182" t="s">
        <v>2934</v>
      </c>
      <c r="S739" s="182" t="s">
        <v>2952</v>
      </c>
      <c r="T739" s="179" t="s">
        <v>2974</v>
      </c>
      <c r="U739" s="183" t="s">
        <v>2954</v>
      </c>
      <c r="V739" s="225">
        <v>467</v>
      </c>
      <c r="W739" s="225" t="s">
        <v>3009</v>
      </c>
      <c r="X739" s="226">
        <v>480.67</v>
      </c>
      <c r="Y739" s="226">
        <v>280.29000000000002</v>
      </c>
      <c r="Z739" s="226">
        <v>164.66</v>
      </c>
      <c r="AA739" s="226">
        <v>172.46</v>
      </c>
      <c r="AB739" s="226">
        <v>53.86</v>
      </c>
      <c r="AC739" s="225">
        <v>73.540000000000006</v>
      </c>
      <c r="AD739" s="179" t="s">
        <v>2956</v>
      </c>
      <c r="AE739" s="188" t="s">
        <v>5241</v>
      </c>
      <c r="AF739" s="236">
        <v>0.29166666666666669</v>
      </c>
      <c r="AG739" s="236">
        <v>0.91666666666666663</v>
      </c>
      <c r="AH739" s="190"/>
      <c r="AI739" s="190" t="s">
        <v>2942</v>
      </c>
      <c r="AJ739" s="183" t="s">
        <v>968</v>
      </c>
      <c r="AK739" s="179" t="s">
        <v>5583</v>
      </c>
      <c r="AL739" s="183" t="s">
        <v>5667</v>
      </c>
      <c r="AM739" s="222" t="s">
        <v>5681</v>
      </c>
      <c r="AN739" s="183" t="s">
        <v>2102</v>
      </c>
      <c r="AO739" s="209" t="s">
        <v>5682</v>
      </c>
      <c r="AP739" s="191"/>
      <c r="AQ739" s="222">
        <v>46256</v>
      </c>
      <c r="AR739" s="183">
        <v>0</v>
      </c>
      <c r="AS739" s="183"/>
      <c r="AT739" s="182"/>
      <c r="AU739" s="182"/>
      <c r="AV739" s="227">
        <v>15204920</v>
      </c>
      <c r="AW739" s="231">
        <v>16.100000000000001</v>
      </c>
      <c r="AX739" s="206">
        <v>80239</v>
      </c>
      <c r="AY739" s="183"/>
    </row>
    <row r="740" spans="1:51" ht="14.4" x14ac:dyDescent="0.3">
      <c r="A740" s="179" t="s">
        <v>486</v>
      </c>
      <c r="B740" s="183" t="s">
        <v>2947</v>
      </c>
      <c r="C740" s="212" t="s">
        <v>2221</v>
      </c>
      <c r="D740" s="181" t="s">
        <v>2849</v>
      </c>
      <c r="E740" s="181" t="s">
        <v>2830</v>
      </c>
      <c r="F740" s="182" t="s">
        <v>2972</v>
      </c>
      <c r="G740" s="181" t="s">
        <v>17</v>
      </c>
      <c r="H740" s="222">
        <v>46259</v>
      </c>
      <c r="I740" s="193"/>
      <c r="J740" s="179" t="s">
        <v>5683</v>
      </c>
      <c r="K740" s="179">
        <v>346</v>
      </c>
      <c r="L740" s="186"/>
      <c r="M740" s="185"/>
      <c r="N740" s="185"/>
      <c r="O740" s="179" t="s">
        <v>2951</v>
      </c>
      <c r="P740" s="185"/>
      <c r="Q740" s="182" t="s">
        <v>2934</v>
      </c>
      <c r="R740" s="182" t="s">
        <v>2933</v>
      </c>
      <c r="S740" s="182" t="s">
        <v>2952</v>
      </c>
      <c r="T740" s="179" t="s">
        <v>5482</v>
      </c>
      <c r="U740" s="183" t="s">
        <v>2954</v>
      </c>
      <c r="V740" s="225">
        <v>1101</v>
      </c>
      <c r="W740" s="225" t="s">
        <v>5684</v>
      </c>
      <c r="X740" s="226">
        <v>295.64</v>
      </c>
      <c r="Y740" s="226">
        <v>153.18</v>
      </c>
      <c r="Z740" s="226">
        <v>95.63</v>
      </c>
      <c r="AA740" s="226">
        <v>122.49</v>
      </c>
      <c r="AB740" s="226">
        <v>23.25</v>
      </c>
      <c r="AC740" s="225">
        <v>47.73</v>
      </c>
      <c r="AD740" s="179" t="s">
        <v>2984</v>
      </c>
      <c r="AE740" s="188" t="s">
        <v>5241</v>
      </c>
      <c r="AF740" s="236">
        <v>0.29166666666666669</v>
      </c>
      <c r="AG740" s="236">
        <v>0.91666666666666663</v>
      </c>
      <c r="AH740" s="190"/>
      <c r="AI740" s="190" t="s">
        <v>2942</v>
      </c>
      <c r="AJ740" s="183" t="s">
        <v>24</v>
      </c>
      <c r="AK740" s="179" t="s">
        <v>5557</v>
      </c>
      <c r="AL740" s="183" t="s">
        <v>1837</v>
      </c>
      <c r="AM740" s="222" t="s">
        <v>5285</v>
      </c>
      <c r="AN740" s="183" t="s">
        <v>2102</v>
      </c>
      <c r="AO740" s="209" t="s">
        <v>5685</v>
      </c>
      <c r="AP740" s="191"/>
      <c r="AQ740" s="222">
        <v>46259</v>
      </c>
      <c r="AR740" s="183">
        <v>0</v>
      </c>
      <c r="AS740" s="183"/>
      <c r="AT740" s="182"/>
      <c r="AU740" s="182"/>
      <c r="AV740" s="227">
        <v>20340028</v>
      </c>
      <c r="AW740" s="231">
        <v>24.3</v>
      </c>
      <c r="AX740" s="206">
        <v>80363</v>
      </c>
      <c r="AY740" s="183"/>
    </row>
    <row r="741" spans="1:51" ht="14.4" x14ac:dyDescent="0.3">
      <c r="A741" s="179" t="s">
        <v>482</v>
      </c>
      <c r="B741" s="183" t="s">
        <v>2927</v>
      </c>
      <c r="C741" s="212" t="s">
        <v>5686</v>
      </c>
      <c r="D741" s="181" t="s">
        <v>2858</v>
      </c>
      <c r="E741" s="181" t="s">
        <v>2813</v>
      </c>
      <c r="F741" s="182" t="s">
        <v>2972</v>
      </c>
      <c r="G741" s="181" t="s">
        <v>17</v>
      </c>
      <c r="H741" s="222">
        <v>46262</v>
      </c>
      <c r="I741" s="193"/>
      <c r="J741" s="179" t="s">
        <v>5489</v>
      </c>
      <c r="K741" s="179">
        <v>141</v>
      </c>
      <c r="L741" s="186"/>
      <c r="M741" s="185"/>
      <c r="N741" s="185"/>
      <c r="O741" s="179"/>
      <c r="P741" s="185"/>
      <c r="Q741" s="182" t="s">
        <v>2934</v>
      </c>
      <c r="R741" s="182" t="s">
        <v>2933</v>
      </c>
      <c r="S741" s="182" t="s">
        <v>2935</v>
      </c>
      <c r="T741" s="179" t="s">
        <v>5482</v>
      </c>
      <c r="U741" s="183" t="s">
        <v>2937</v>
      </c>
      <c r="V741" s="225">
        <v>968</v>
      </c>
      <c r="W741" s="225" t="s">
        <v>2975</v>
      </c>
      <c r="X741" s="226">
        <v>519</v>
      </c>
      <c r="Y741" s="226">
        <v>300</v>
      </c>
      <c r="Z741" s="226">
        <v>169.81</v>
      </c>
      <c r="AA741" s="226">
        <v>205.86</v>
      </c>
      <c r="AB741" s="226">
        <v>39.4</v>
      </c>
      <c r="AC741" s="225">
        <v>79.78</v>
      </c>
      <c r="AD741" s="179" t="s">
        <v>2956</v>
      </c>
      <c r="AE741" s="188" t="s">
        <v>5241</v>
      </c>
      <c r="AF741" s="236">
        <v>0.29166666666666669</v>
      </c>
      <c r="AG741" s="236">
        <v>0.91666666666666663</v>
      </c>
      <c r="AH741" s="190"/>
      <c r="AI741" s="190" t="s">
        <v>2942</v>
      </c>
      <c r="AJ741" s="183" t="s">
        <v>357</v>
      </c>
      <c r="AK741" s="179" t="s">
        <v>349</v>
      </c>
      <c r="AL741" s="183" t="s">
        <v>5577</v>
      </c>
      <c r="AM741" s="222" t="s">
        <v>5687</v>
      </c>
      <c r="AN741" s="183" t="s">
        <v>2102</v>
      </c>
      <c r="AO741" s="209" t="s">
        <v>5688</v>
      </c>
      <c r="AP741" s="191"/>
      <c r="AQ741" s="222">
        <v>46262</v>
      </c>
      <c r="AR741" s="183">
        <v>0</v>
      </c>
      <c r="AS741" s="183"/>
      <c r="AT741" s="182"/>
      <c r="AU741" s="182"/>
      <c r="AV741" s="227">
        <v>11315360</v>
      </c>
      <c r="AW741" s="231">
        <v>14.4</v>
      </c>
      <c r="AX741" s="206">
        <v>82121</v>
      </c>
      <c r="AY741" s="183"/>
    </row>
    <row r="742" spans="1:51" ht="14.4" x14ac:dyDescent="0.3">
      <c r="A742" s="179" t="s">
        <v>478</v>
      </c>
      <c r="B742" s="183" t="s">
        <v>2927</v>
      </c>
      <c r="C742" s="212" t="s">
        <v>477</v>
      </c>
      <c r="D742" s="181" t="s">
        <v>2848</v>
      </c>
      <c r="E742" s="181" t="s">
        <v>2827</v>
      </c>
      <c r="F742" s="182" t="s">
        <v>2972</v>
      </c>
      <c r="G742" s="181" t="s">
        <v>17</v>
      </c>
      <c r="H742" s="222">
        <v>46265</v>
      </c>
      <c r="I742" s="193"/>
      <c r="J742" s="179"/>
      <c r="K742" s="179"/>
      <c r="L742" s="186"/>
      <c r="M742" s="185"/>
      <c r="N742" s="185"/>
      <c r="O742" s="179" t="s">
        <v>2951</v>
      </c>
      <c r="P742" s="185"/>
      <c r="Q742" s="182" t="s">
        <v>2934</v>
      </c>
      <c r="R742" s="182" t="s">
        <v>2933</v>
      </c>
      <c r="S742" s="182" t="s">
        <v>2952</v>
      </c>
      <c r="T742" s="179" t="s">
        <v>2974</v>
      </c>
      <c r="U742" s="183" t="s">
        <v>2937</v>
      </c>
      <c r="V742" s="225">
        <v>1130</v>
      </c>
      <c r="W742" s="225" t="s">
        <v>3549</v>
      </c>
      <c r="X742" s="226">
        <v>409.74</v>
      </c>
      <c r="Y742" s="226">
        <v>234.16</v>
      </c>
      <c r="Z742" s="226">
        <v>120.18</v>
      </c>
      <c r="AA742" s="226"/>
      <c r="AB742" s="226">
        <v>17.867999999999999</v>
      </c>
      <c r="AC742" s="225">
        <v>88.28</v>
      </c>
      <c r="AD742" s="179" t="s">
        <v>2956</v>
      </c>
      <c r="AE742" s="188" t="s">
        <v>5241</v>
      </c>
      <c r="AF742" s="236">
        <v>0.29166666666666669</v>
      </c>
      <c r="AG742" s="236">
        <v>0.91666666666666663</v>
      </c>
      <c r="AH742" s="190"/>
      <c r="AI742" s="190" t="s">
        <v>2942</v>
      </c>
      <c r="AJ742" s="183" t="s">
        <v>5689</v>
      </c>
      <c r="AK742" s="179" t="s">
        <v>1084</v>
      </c>
      <c r="AL742" s="183" t="s">
        <v>5690</v>
      </c>
      <c r="AM742" s="222" t="s">
        <v>5691</v>
      </c>
      <c r="AN742" s="183" t="s">
        <v>2102</v>
      </c>
      <c r="AO742" s="209" t="s">
        <v>5692</v>
      </c>
      <c r="AP742" s="191"/>
      <c r="AQ742" s="222">
        <v>46265</v>
      </c>
      <c r="AR742" s="183" t="e">
        <v>#NUM!</v>
      </c>
      <c r="AS742" s="183"/>
      <c r="AT742" s="182"/>
      <c r="AU742" s="182"/>
      <c r="AV742" s="227">
        <v>10319645</v>
      </c>
      <c r="AW742" s="231">
        <v>0</v>
      </c>
      <c r="AX742" s="206">
        <v>81155</v>
      </c>
      <c r="AY742" s="183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44"/>
  <sheetViews>
    <sheetView topLeftCell="A355" workbookViewId="0">
      <selection activeCell="B369" sqref="B369"/>
    </sheetView>
  </sheetViews>
  <sheetFormatPr defaultRowHeight="13.8" x14ac:dyDescent="0.3"/>
  <cols>
    <col min="1" max="1" width="6.44140625" bestFit="1" customWidth="1"/>
    <col min="2" max="2" width="42.5546875" bestFit="1" customWidth="1"/>
  </cols>
  <sheetData>
    <row r="1" spans="1:2" ht="14.4" x14ac:dyDescent="0.3">
      <c r="A1" s="82" t="s">
        <v>2099</v>
      </c>
      <c r="B1" s="82" t="s">
        <v>1903</v>
      </c>
    </row>
    <row r="2" spans="1:2" x14ac:dyDescent="0.3">
      <c r="A2" s="37" t="s">
        <v>1800</v>
      </c>
      <c r="B2" s="37" t="s">
        <v>1799</v>
      </c>
    </row>
    <row r="3" spans="1:2" x14ac:dyDescent="0.3">
      <c r="A3" s="37" t="s">
        <v>978</v>
      </c>
      <c r="B3" s="37" t="s">
        <v>977</v>
      </c>
    </row>
    <row r="4" spans="1:2" x14ac:dyDescent="0.3">
      <c r="A4" s="37" t="s">
        <v>960</v>
      </c>
      <c r="B4" s="37" t="s">
        <v>959</v>
      </c>
    </row>
    <row r="5" spans="1:2" x14ac:dyDescent="0.3">
      <c r="A5" s="37" t="s">
        <v>1497</v>
      </c>
      <c r="B5" s="37" t="s">
        <v>1496</v>
      </c>
    </row>
    <row r="6" spans="1:2" x14ac:dyDescent="0.3">
      <c r="A6" s="37" t="s">
        <v>1076</v>
      </c>
      <c r="B6" s="37" t="s">
        <v>1075</v>
      </c>
    </row>
    <row r="7" spans="1:2" x14ac:dyDescent="0.3">
      <c r="A7" s="37" t="s">
        <v>781</v>
      </c>
      <c r="B7" s="37" t="s">
        <v>780</v>
      </c>
    </row>
    <row r="8" spans="1:2" x14ac:dyDescent="0.3">
      <c r="A8" s="37" t="s">
        <v>1537</v>
      </c>
      <c r="B8" s="37" t="s">
        <v>1536</v>
      </c>
    </row>
    <row r="9" spans="1:2" x14ac:dyDescent="0.3">
      <c r="A9" s="37" t="s">
        <v>1381</v>
      </c>
      <c r="B9" s="37" t="s">
        <v>1380</v>
      </c>
    </row>
    <row r="10" spans="1:2" x14ac:dyDescent="0.3">
      <c r="A10" s="37" t="s">
        <v>702</v>
      </c>
      <c r="B10" s="37" t="s">
        <v>701</v>
      </c>
    </row>
    <row r="11" spans="1:2" x14ac:dyDescent="0.3">
      <c r="A11" s="37" t="s">
        <v>546</v>
      </c>
      <c r="B11" s="37" t="s">
        <v>545</v>
      </c>
    </row>
    <row r="12" spans="1:2" x14ac:dyDescent="0.3">
      <c r="A12" s="37" t="s">
        <v>773</v>
      </c>
      <c r="B12" s="37" t="s">
        <v>772</v>
      </c>
    </row>
    <row r="13" spans="1:2" x14ac:dyDescent="0.3">
      <c r="A13" s="37" t="s">
        <v>409</v>
      </c>
      <c r="B13" s="37" t="s">
        <v>408</v>
      </c>
    </row>
    <row r="14" spans="1:2" x14ac:dyDescent="0.3">
      <c r="A14" s="37" t="s">
        <v>1108</v>
      </c>
      <c r="B14" s="37" t="s">
        <v>1107</v>
      </c>
    </row>
    <row r="15" spans="1:2" x14ac:dyDescent="0.3">
      <c r="A15" s="37" t="s">
        <v>1152</v>
      </c>
      <c r="B15" s="37" t="s">
        <v>1151</v>
      </c>
    </row>
    <row r="16" spans="1:2" x14ac:dyDescent="0.3">
      <c r="A16" s="37" t="s">
        <v>1227</v>
      </c>
      <c r="B16" s="37" t="s">
        <v>1226</v>
      </c>
    </row>
    <row r="17" spans="1:2" x14ac:dyDescent="0.3">
      <c r="A17" s="37" t="s">
        <v>1147</v>
      </c>
      <c r="B17" s="37" t="s">
        <v>1146</v>
      </c>
    </row>
    <row r="18" spans="1:2" x14ac:dyDescent="0.3">
      <c r="A18" s="37" t="s">
        <v>1699</v>
      </c>
      <c r="B18" s="37" t="s">
        <v>1698</v>
      </c>
    </row>
    <row r="19" spans="1:2" x14ac:dyDescent="0.3">
      <c r="A19" s="37" t="s">
        <v>203</v>
      </c>
      <c r="B19" s="37" t="s">
        <v>202</v>
      </c>
    </row>
    <row r="20" spans="1:2" x14ac:dyDescent="0.3">
      <c r="A20" s="37" t="s">
        <v>281</v>
      </c>
      <c r="B20" s="37" t="s">
        <v>280</v>
      </c>
    </row>
    <row r="21" spans="1:2" x14ac:dyDescent="0.3">
      <c r="A21" s="37" t="s">
        <v>778</v>
      </c>
      <c r="B21" s="37" t="s">
        <v>777</v>
      </c>
    </row>
    <row r="22" spans="1:2" x14ac:dyDescent="0.3">
      <c r="A22" s="37" t="s">
        <v>522</v>
      </c>
      <c r="B22" s="37" t="s">
        <v>521</v>
      </c>
    </row>
    <row r="23" spans="1:2" x14ac:dyDescent="0.3">
      <c r="A23" s="37" t="s">
        <v>1722</v>
      </c>
      <c r="B23" s="37" t="s">
        <v>1721</v>
      </c>
    </row>
    <row r="24" spans="1:2" x14ac:dyDescent="0.3">
      <c r="A24" s="37" t="s">
        <v>1502</v>
      </c>
      <c r="B24" s="37" t="s">
        <v>1501</v>
      </c>
    </row>
    <row r="25" spans="1:2" x14ac:dyDescent="0.3">
      <c r="A25" s="37" t="s">
        <v>1127</v>
      </c>
      <c r="B25" s="37" t="s">
        <v>1126</v>
      </c>
    </row>
    <row r="26" spans="1:2" x14ac:dyDescent="0.3">
      <c r="A26" s="37" t="s">
        <v>155</v>
      </c>
      <c r="B26" s="37" t="s">
        <v>154</v>
      </c>
    </row>
    <row r="27" spans="1:2" x14ac:dyDescent="0.3">
      <c r="A27" s="37" t="s">
        <v>1253</v>
      </c>
      <c r="B27" s="37" t="s">
        <v>1252</v>
      </c>
    </row>
    <row r="28" spans="1:2" x14ac:dyDescent="0.3">
      <c r="A28" s="37" t="s">
        <v>970</v>
      </c>
      <c r="B28" s="37" t="s">
        <v>969</v>
      </c>
    </row>
    <row r="29" spans="1:2" x14ac:dyDescent="0.3">
      <c r="A29" s="37" t="s">
        <v>1008</v>
      </c>
      <c r="B29" s="37" t="s">
        <v>1007</v>
      </c>
    </row>
    <row r="30" spans="1:2" x14ac:dyDescent="0.3">
      <c r="A30" s="37" t="s">
        <v>767</v>
      </c>
      <c r="B30" s="37" t="s">
        <v>766</v>
      </c>
    </row>
    <row r="31" spans="1:2" x14ac:dyDescent="0.3">
      <c r="A31" s="37" t="s">
        <v>1125</v>
      </c>
      <c r="B31" s="37" t="s">
        <v>1124</v>
      </c>
    </row>
    <row r="32" spans="1:2" x14ac:dyDescent="0.3">
      <c r="A32" s="37" t="s">
        <v>804</v>
      </c>
      <c r="B32" s="37" t="s">
        <v>803</v>
      </c>
    </row>
    <row r="33" spans="1:2" x14ac:dyDescent="0.3">
      <c r="A33" s="37" t="s">
        <v>717</v>
      </c>
      <c r="B33" s="37" t="s">
        <v>716</v>
      </c>
    </row>
    <row r="34" spans="1:2" x14ac:dyDescent="0.3">
      <c r="A34" s="37" t="s">
        <v>541</v>
      </c>
      <c r="B34" s="37" t="s">
        <v>540</v>
      </c>
    </row>
    <row r="35" spans="1:2" x14ac:dyDescent="0.3">
      <c r="A35" s="37" t="s">
        <v>2091</v>
      </c>
      <c r="B35" s="37" t="s">
        <v>1389</v>
      </c>
    </row>
    <row r="36" spans="1:2" x14ac:dyDescent="0.3">
      <c r="A36" s="37" t="s">
        <v>635</v>
      </c>
      <c r="B36" s="37" t="s">
        <v>634</v>
      </c>
    </row>
    <row r="37" spans="1:2" x14ac:dyDescent="0.3">
      <c r="A37" s="37" t="s">
        <v>1264</v>
      </c>
      <c r="B37" s="37" t="s">
        <v>1263</v>
      </c>
    </row>
    <row r="38" spans="1:2" x14ac:dyDescent="0.3">
      <c r="A38" s="37" t="s">
        <v>294</v>
      </c>
      <c r="B38" s="37" t="s">
        <v>293</v>
      </c>
    </row>
    <row r="39" spans="1:2" x14ac:dyDescent="0.3">
      <c r="A39" s="37" t="s">
        <v>1683</v>
      </c>
      <c r="B39" s="37" t="s">
        <v>1682</v>
      </c>
    </row>
    <row r="40" spans="1:2" x14ac:dyDescent="0.3">
      <c r="A40" s="37" t="s">
        <v>783</v>
      </c>
      <c r="B40" s="37" t="s">
        <v>782</v>
      </c>
    </row>
    <row r="41" spans="1:2" x14ac:dyDescent="0.3">
      <c r="A41" s="37" t="s">
        <v>599</v>
      </c>
      <c r="B41" s="37" t="s">
        <v>598</v>
      </c>
    </row>
    <row r="42" spans="1:2" x14ac:dyDescent="0.3">
      <c r="A42" s="37" t="s">
        <v>1772</v>
      </c>
      <c r="B42" s="37" t="s">
        <v>1771</v>
      </c>
    </row>
    <row r="43" spans="1:2" x14ac:dyDescent="0.3">
      <c r="A43" s="37" t="s">
        <v>707</v>
      </c>
      <c r="B43" s="37" t="s">
        <v>706</v>
      </c>
    </row>
    <row r="44" spans="1:2" x14ac:dyDescent="0.3">
      <c r="A44" s="37" t="s">
        <v>996</v>
      </c>
      <c r="B44" s="37" t="s">
        <v>995</v>
      </c>
    </row>
    <row r="45" spans="1:2" x14ac:dyDescent="0.3">
      <c r="A45" s="37" t="s">
        <v>278</v>
      </c>
      <c r="B45" s="37" t="s">
        <v>277</v>
      </c>
    </row>
    <row r="46" spans="1:2" x14ac:dyDescent="0.3">
      <c r="A46" s="37" t="s">
        <v>822</v>
      </c>
      <c r="B46" s="37" t="s">
        <v>821</v>
      </c>
    </row>
    <row r="47" spans="1:2" x14ac:dyDescent="0.3">
      <c r="A47" s="37" t="s">
        <v>687</v>
      </c>
      <c r="B47" s="37" t="s">
        <v>686</v>
      </c>
    </row>
    <row r="48" spans="1:2" x14ac:dyDescent="0.3">
      <c r="A48" s="37" t="s">
        <v>577</v>
      </c>
      <c r="B48" s="37" t="s">
        <v>5694</v>
      </c>
    </row>
    <row r="49" spans="1:2" x14ac:dyDescent="0.3">
      <c r="A49" s="37" t="s">
        <v>538</v>
      </c>
      <c r="B49" s="37" t="s">
        <v>537</v>
      </c>
    </row>
    <row r="50" spans="1:2" x14ac:dyDescent="0.3">
      <c r="A50" s="37" t="s">
        <v>564</v>
      </c>
      <c r="B50" s="37" t="s">
        <v>563</v>
      </c>
    </row>
    <row r="51" spans="1:2" x14ac:dyDescent="0.3">
      <c r="A51" s="37" t="s">
        <v>1460</v>
      </c>
      <c r="B51" s="37" t="s">
        <v>1459</v>
      </c>
    </row>
    <row r="52" spans="1:2" x14ac:dyDescent="0.3">
      <c r="A52" s="37" t="s">
        <v>631</v>
      </c>
      <c r="B52" s="37" t="s">
        <v>630</v>
      </c>
    </row>
    <row r="53" spans="1:2" x14ac:dyDescent="0.3">
      <c r="A53" s="37" t="s">
        <v>1368</v>
      </c>
      <c r="B53" s="37" t="s">
        <v>1367</v>
      </c>
    </row>
    <row r="54" spans="1:2" x14ac:dyDescent="0.3">
      <c r="A54" s="37" t="s">
        <v>1216</v>
      </c>
      <c r="B54" s="37" t="s">
        <v>1215</v>
      </c>
    </row>
    <row r="55" spans="1:2" x14ac:dyDescent="0.3">
      <c r="A55" s="37" t="s">
        <v>1053</v>
      </c>
      <c r="B55" s="37" t="s">
        <v>1052</v>
      </c>
    </row>
    <row r="56" spans="1:2" x14ac:dyDescent="0.3">
      <c r="A56" s="37" t="s">
        <v>955</v>
      </c>
      <c r="B56" s="37" t="s">
        <v>954</v>
      </c>
    </row>
    <row r="57" spans="1:2" x14ac:dyDescent="0.3">
      <c r="A57" s="37" t="s">
        <v>602</v>
      </c>
      <c r="B57" s="37" t="s">
        <v>601</v>
      </c>
    </row>
    <row r="58" spans="1:2" x14ac:dyDescent="0.3">
      <c r="A58" s="37" t="s">
        <v>672</v>
      </c>
      <c r="B58" s="37" t="s">
        <v>671</v>
      </c>
    </row>
    <row r="59" spans="1:2" x14ac:dyDescent="0.3">
      <c r="A59" s="37" t="s">
        <v>999</v>
      </c>
      <c r="B59" s="37" t="s">
        <v>998</v>
      </c>
    </row>
    <row r="60" spans="1:2" x14ac:dyDescent="0.3">
      <c r="A60" s="37" t="s">
        <v>1625</v>
      </c>
      <c r="B60" s="37" t="s">
        <v>1624</v>
      </c>
    </row>
    <row r="61" spans="1:2" x14ac:dyDescent="0.3">
      <c r="A61" s="37" t="s">
        <v>1324</v>
      </c>
      <c r="B61" s="37" t="s">
        <v>1323</v>
      </c>
    </row>
    <row r="62" spans="1:2" x14ac:dyDescent="0.3">
      <c r="A62" s="37" t="s">
        <v>619</v>
      </c>
      <c r="B62" s="37" t="s">
        <v>5695</v>
      </c>
    </row>
    <row r="63" spans="1:2" x14ac:dyDescent="0.3">
      <c r="A63" s="37" t="s">
        <v>555</v>
      </c>
      <c r="B63" s="37" t="s">
        <v>554</v>
      </c>
    </row>
    <row r="64" spans="1:2" x14ac:dyDescent="0.3">
      <c r="A64" s="37" t="s">
        <v>254</v>
      </c>
      <c r="B64" s="37" t="s">
        <v>253</v>
      </c>
    </row>
    <row r="65" spans="1:2" x14ac:dyDescent="0.3">
      <c r="A65" s="37" t="s">
        <v>590</v>
      </c>
      <c r="B65" s="37" t="s">
        <v>5696</v>
      </c>
    </row>
    <row r="66" spans="1:2" x14ac:dyDescent="0.3">
      <c r="A66" s="37" t="s">
        <v>657</v>
      </c>
      <c r="B66" s="37" t="s">
        <v>656</v>
      </c>
    </row>
    <row r="67" spans="1:2" x14ac:dyDescent="0.3">
      <c r="A67" s="37" t="s">
        <v>604</v>
      </c>
      <c r="B67" s="37" t="s">
        <v>5697</v>
      </c>
    </row>
    <row r="68" spans="1:2" x14ac:dyDescent="0.3">
      <c r="A68" s="37" t="s">
        <v>89</v>
      </c>
      <c r="B68" s="37" t="s">
        <v>88</v>
      </c>
    </row>
    <row r="69" spans="1:2" x14ac:dyDescent="0.3">
      <c r="A69" s="37" t="s">
        <v>583</v>
      </c>
      <c r="B69" s="37" t="s">
        <v>582</v>
      </c>
    </row>
    <row r="70" spans="1:2" x14ac:dyDescent="0.3">
      <c r="A70" s="37" t="s">
        <v>994</v>
      </c>
      <c r="B70" s="37" t="s">
        <v>993</v>
      </c>
    </row>
    <row r="71" spans="1:2" x14ac:dyDescent="0.3">
      <c r="A71" s="37" t="s">
        <v>557</v>
      </c>
      <c r="B71" s="37" t="s">
        <v>556</v>
      </c>
    </row>
    <row r="72" spans="1:2" x14ac:dyDescent="0.3">
      <c r="A72" s="37" t="s">
        <v>1233</v>
      </c>
      <c r="B72" s="37" t="s">
        <v>1232</v>
      </c>
    </row>
    <row r="73" spans="1:2" x14ac:dyDescent="0.3">
      <c r="A73" s="37" t="s">
        <v>881</v>
      </c>
      <c r="B73" s="37" t="s">
        <v>880</v>
      </c>
    </row>
    <row r="74" spans="1:2" x14ac:dyDescent="0.3">
      <c r="A74" s="37" t="s">
        <v>981</v>
      </c>
      <c r="B74" s="37" t="s">
        <v>980</v>
      </c>
    </row>
    <row r="75" spans="1:2" x14ac:dyDescent="0.3">
      <c r="A75" s="37" t="s">
        <v>638</v>
      </c>
      <c r="B75" s="37" t="s">
        <v>637</v>
      </c>
    </row>
    <row r="76" spans="1:2" x14ac:dyDescent="0.3">
      <c r="A76" s="37" t="s">
        <v>940</v>
      </c>
      <c r="B76" s="37" t="s">
        <v>939</v>
      </c>
    </row>
    <row r="77" spans="1:2" x14ac:dyDescent="0.3">
      <c r="A77" s="37" t="s">
        <v>572</v>
      </c>
      <c r="B77" s="37" t="s">
        <v>571</v>
      </c>
    </row>
    <row r="78" spans="1:2" x14ac:dyDescent="0.3">
      <c r="A78" s="37" t="s">
        <v>957</v>
      </c>
      <c r="B78" s="37" t="s">
        <v>956</v>
      </c>
    </row>
    <row r="79" spans="1:2" x14ac:dyDescent="0.3">
      <c r="A79" s="37" t="s">
        <v>1284</v>
      </c>
      <c r="B79" s="37" t="s">
        <v>5698</v>
      </c>
    </row>
    <row r="80" spans="1:2" x14ac:dyDescent="0.3">
      <c r="A80" s="37" t="s">
        <v>580</v>
      </c>
      <c r="B80" s="37" t="s">
        <v>579</v>
      </c>
    </row>
    <row r="81" spans="1:2" x14ac:dyDescent="0.3">
      <c r="A81" s="37" t="s">
        <v>35</v>
      </c>
      <c r="B81" s="37" t="s">
        <v>34</v>
      </c>
    </row>
    <row r="82" spans="1:2" x14ac:dyDescent="0.3">
      <c r="A82" s="37" t="s">
        <v>625</v>
      </c>
      <c r="B82" s="37" t="s">
        <v>624</v>
      </c>
    </row>
    <row r="83" spans="1:2" x14ac:dyDescent="0.3">
      <c r="A83" s="37" t="s">
        <v>559</v>
      </c>
      <c r="B83" s="37" t="s">
        <v>5699</v>
      </c>
    </row>
    <row r="84" spans="1:2" x14ac:dyDescent="0.3">
      <c r="A84" s="37" t="s">
        <v>518</v>
      </c>
      <c r="B84" s="37" t="s">
        <v>5700</v>
      </c>
    </row>
    <row r="85" spans="1:2" x14ac:dyDescent="0.3">
      <c r="A85" s="37" t="s">
        <v>389</v>
      </c>
      <c r="B85" s="37" t="s">
        <v>388</v>
      </c>
    </row>
    <row r="86" spans="1:2" x14ac:dyDescent="0.3">
      <c r="A86" s="37" t="s">
        <v>1359</v>
      </c>
      <c r="B86" s="37" t="s">
        <v>1358</v>
      </c>
    </row>
    <row r="87" spans="1:2" x14ac:dyDescent="0.3">
      <c r="A87" s="37" t="s">
        <v>567</v>
      </c>
      <c r="B87" s="37" t="s">
        <v>566</v>
      </c>
    </row>
    <row r="88" spans="1:2" x14ac:dyDescent="0.3">
      <c r="A88" s="37" t="s">
        <v>354</v>
      </c>
      <c r="B88" s="37" t="s">
        <v>353</v>
      </c>
    </row>
    <row r="89" spans="1:2" x14ac:dyDescent="0.3">
      <c r="A89" s="37" t="s">
        <v>1870</v>
      </c>
      <c r="B89" s="37" t="s">
        <v>1869</v>
      </c>
    </row>
    <row r="90" spans="1:2" x14ac:dyDescent="0.3">
      <c r="A90" s="37" t="s">
        <v>499</v>
      </c>
      <c r="B90" s="37" t="s">
        <v>498</v>
      </c>
    </row>
    <row r="91" spans="1:2" x14ac:dyDescent="0.3">
      <c r="A91" s="37" t="s">
        <v>1036</v>
      </c>
      <c r="B91" s="37" t="s">
        <v>1035</v>
      </c>
    </row>
    <row r="92" spans="1:2" x14ac:dyDescent="0.3">
      <c r="A92" s="37" t="s">
        <v>681</v>
      </c>
      <c r="B92" s="37" t="s">
        <v>680</v>
      </c>
    </row>
    <row r="93" spans="1:2" x14ac:dyDescent="0.3">
      <c r="A93" s="37" t="s">
        <v>1138</v>
      </c>
      <c r="B93" s="37" t="s">
        <v>1137</v>
      </c>
    </row>
    <row r="94" spans="1:2" x14ac:dyDescent="0.3">
      <c r="A94" s="37" t="s">
        <v>875</v>
      </c>
      <c r="B94" s="37" t="s">
        <v>874</v>
      </c>
    </row>
    <row r="95" spans="1:2" x14ac:dyDescent="0.3">
      <c r="A95" s="37" t="s">
        <v>1062</v>
      </c>
      <c r="B95" s="37" t="s">
        <v>1061</v>
      </c>
    </row>
    <row r="96" spans="1:2" x14ac:dyDescent="0.3">
      <c r="A96" s="37" t="s">
        <v>1339</v>
      </c>
      <c r="B96" s="37" t="s">
        <v>1338</v>
      </c>
    </row>
    <row r="97" spans="1:2" x14ac:dyDescent="0.3">
      <c r="A97" s="37" t="s">
        <v>356</v>
      </c>
      <c r="B97" s="37" t="s">
        <v>355</v>
      </c>
    </row>
    <row r="98" spans="1:2" x14ac:dyDescent="0.3">
      <c r="A98" s="37" t="s">
        <v>596</v>
      </c>
      <c r="B98" s="37" t="s">
        <v>595</v>
      </c>
    </row>
    <row r="99" spans="1:2" x14ac:dyDescent="0.3">
      <c r="A99" s="37" t="s">
        <v>1300</v>
      </c>
      <c r="B99" s="37" t="s">
        <v>1299</v>
      </c>
    </row>
    <row r="100" spans="1:2" x14ac:dyDescent="0.3">
      <c r="A100" s="37" t="s">
        <v>1377</v>
      </c>
      <c r="B100" s="37" t="s">
        <v>5701</v>
      </c>
    </row>
    <row r="101" spans="1:2" x14ac:dyDescent="0.3">
      <c r="A101" s="37" t="s">
        <v>305</v>
      </c>
      <c r="B101" s="37" t="s">
        <v>304</v>
      </c>
    </row>
    <row r="102" spans="1:2" x14ac:dyDescent="0.3">
      <c r="A102" s="37" t="s">
        <v>1045</v>
      </c>
      <c r="B102" s="37" t="s">
        <v>1044</v>
      </c>
    </row>
    <row r="103" spans="1:2" x14ac:dyDescent="0.3">
      <c r="A103" s="37" t="s">
        <v>685</v>
      </c>
      <c r="B103" s="37" t="s">
        <v>684</v>
      </c>
    </row>
    <row r="104" spans="1:2" x14ac:dyDescent="0.3">
      <c r="A104" s="37" t="s">
        <v>1872</v>
      </c>
      <c r="B104" s="37" t="s">
        <v>1871</v>
      </c>
    </row>
    <row r="105" spans="1:2" x14ac:dyDescent="0.3">
      <c r="A105" s="37" t="s">
        <v>1370</v>
      </c>
      <c r="B105" s="37" t="s">
        <v>1369</v>
      </c>
    </row>
    <row r="106" spans="1:2" x14ac:dyDescent="0.3">
      <c r="A106" s="37" t="s">
        <v>727</v>
      </c>
      <c r="B106" s="37" t="s">
        <v>726</v>
      </c>
    </row>
    <row r="107" spans="1:2" x14ac:dyDescent="0.3">
      <c r="A107" s="37" t="s">
        <v>1066</v>
      </c>
      <c r="B107" s="37" t="s">
        <v>1065</v>
      </c>
    </row>
    <row r="108" spans="1:2" x14ac:dyDescent="0.3">
      <c r="A108" s="37" t="s">
        <v>177</v>
      </c>
      <c r="B108" s="37" t="s">
        <v>176</v>
      </c>
    </row>
    <row r="109" spans="1:2" x14ac:dyDescent="0.3">
      <c r="A109" s="37" t="s">
        <v>752</v>
      </c>
      <c r="B109" s="37" t="s">
        <v>2081</v>
      </c>
    </row>
    <row r="110" spans="1:2" x14ac:dyDescent="0.3">
      <c r="A110" s="37" t="s">
        <v>391</v>
      </c>
      <c r="B110" s="37" t="s">
        <v>390</v>
      </c>
    </row>
    <row r="111" spans="1:2" x14ac:dyDescent="0.3">
      <c r="A111" s="37" t="s">
        <v>1231</v>
      </c>
      <c r="B111" s="37" t="s">
        <v>1230</v>
      </c>
    </row>
    <row r="112" spans="1:2" x14ac:dyDescent="0.3">
      <c r="A112" s="37" t="s">
        <v>397</v>
      </c>
      <c r="B112" s="37" t="s">
        <v>396</v>
      </c>
    </row>
    <row r="113" spans="1:2" x14ac:dyDescent="0.3">
      <c r="A113" s="37" t="s">
        <v>1363</v>
      </c>
      <c r="B113" s="37" t="s">
        <v>1362</v>
      </c>
    </row>
    <row r="114" spans="1:2" x14ac:dyDescent="0.3">
      <c r="A114" s="37" t="s">
        <v>612</v>
      </c>
      <c r="B114" s="37" t="s">
        <v>611</v>
      </c>
    </row>
    <row r="115" spans="1:2" x14ac:dyDescent="0.3">
      <c r="A115" s="37" t="s">
        <v>1311</v>
      </c>
      <c r="B115" s="37" t="s">
        <v>1310</v>
      </c>
    </row>
    <row r="116" spans="1:2" x14ac:dyDescent="0.3">
      <c r="A116" s="37" t="s">
        <v>585</v>
      </c>
      <c r="B116" s="37" t="s">
        <v>584</v>
      </c>
    </row>
    <row r="117" spans="1:2" x14ac:dyDescent="0.3">
      <c r="A117" s="37" t="s">
        <v>1235</v>
      </c>
      <c r="B117" s="37" t="s">
        <v>1234</v>
      </c>
    </row>
    <row r="118" spans="1:2" x14ac:dyDescent="0.3">
      <c r="A118" s="37" t="s">
        <v>862</v>
      </c>
      <c r="B118" s="37" t="s">
        <v>861</v>
      </c>
    </row>
    <row r="119" spans="1:2" x14ac:dyDescent="0.3">
      <c r="A119" s="37" t="s">
        <v>289</v>
      </c>
      <c r="B119" s="37" t="s">
        <v>288</v>
      </c>
    </row>
    <row r="120" spans="1:2" x14ac:dyDescent="0.3">
      <c r="A120" s="37" t="s">
        <v>303</v>
      </c>
      <c r="B120" s="37" t="s">
        <v>302</v>
      </c>
    </row>
    <row r="121" spans="1:2" x14ac:dyDescent="0.3">
      <c r="A121" s="37" t="s">
        <v>1868</v>
      </c>
      <c r="B121" s="37" t="s">
        <v>5702</v>
      </c>
    </row>
    <row r="122" spans="1:2" x14ac:dyDescent="0.3">
      <c r="A122" s="37" t="s">
        <v>23</v>
      </c>
      <c r="B122" s="37" t="s">
        <v>22</v>
      </c>
    </row>
    <row r="123" spans="1:2" x14ac:dyDescent="0.3">
      <c r="A123" s="37" t="s">
        <v>348</v>
      </c>
      <c r="B123" s="37" t="s">
        <v>347</v>
      </c>
    </row>
    <row r="124" spans="1:2" x14ac:dyDescent="0.3">
      <c r="A124" s="37" t="s">
        <v>1074</v>
      </c>
      <c r="B124" s="37" t="s">
        <v>5703</v>
      </c>
    </row>
    <row r="125" spans="1:2" x14ac:dyDescent="0.3">
      <c r="A125" s="37" t="s">
        <v>948</v>
      </c>
      <c r="B125" s="37" t="s">
        <v>947</v>
      </c>
    </row>
    <row r="126" spans="1:2" x14ac:dyDescent="0.3">
      <c r="A126" s="37" t="s">
        <v>1372</v>
      </c>
      <c r="B126" s="37" t="s">
        <v>1371</v>
      </c>
    </row>
    <row r="127" spans="1:2" x14ac:dyDescent="0.3">
      <c r="A127" s="37" t="s">
        <v>1539</v>
      </c>
      <c r="B127" s="37" t="s">
        <v>1538</v>
      </c>
    </row>
    <row r="128" spans="1:2" x14ac:dyDescent="0.3">
      <c r="A128" s="37" t="s">
        <v>988</v>
      </c>
      <c r="B128" s="37" t="s">
        <v>987</v>
      </c>
    </row>
    <row r="129" spans="1:2" x14ac:dyDescent="0.3">
      <c r="A129" s="37" t="s">
        <v>901</v>
      </c>
      <c r="B129" s="37" t="s">
        <v>900</v>
      </c>
    </row>
    <row r="130" spans="1:2" x14ac:dyDescent="0.3">
      <c r="A130" s="37" t="s">
        <v>1435</v>
      </c>
      <c r="B130" s="37" t="s">
        <v>1434</v>
      </c>
    </row>
    <row r="131" spans="1:2" x14ac:dyDescent="0.3">
      <c r="A131" s="37" t="s">
        <v>1365</v>
      </c>
      <c r="B131" s="37" t="s">
        <v>1364</v>
      </c>
    </row>
    <row r="132" spans="1:2" x14ac:dyDescent="0.3">
      <c r="A132" s="37" t="s">
        <v>530</v>
      </c>
      <c r="B132" s="37" t="s">
        <v>529</v>
      </c>
    </row>
    <row r="133" spans="1:2" x14ac:dyDescent="0.3">
      <c r="A133" s="37" t="s">
        <v>1332</v>
      </c>
      <c r="B133" s="37" t="s">
        <v>1331</v>
      </c>
    </row>
    <row r="134" spans="1:2" x14ac:dyDescent="0.3">
      <c r="A134" s="37" t="s">
        <v>570</v>
      </c>
      <c r="B134" s="37" t="s">
        <v>569</v>
      </c>
    </row>
    <row r="135" spans="1:2" x14ac:dyDescent="0.3">
      <c r="A135" s="37" t="s">
        <v>1250</v>
      </c>
      <c r="B135" s="37" t="s">
        <v>1249</v>
      </c>
    </row>
    <row r="136" spans="1:2" x14ac:dyDescent="0.3">
      <c r="A136" s="37" t="s">
        <v>845</v>
      </c>
      <c r="B136" s="37" t="s">
        <v>844</v>
      </c>
    </row>
    <row r="137" spans="1:2" x14ac:dyDescent="0.3">
      <c r="A137" s="37" t="s">
        <v>1307</v>
      </c>
      <c r="B137" s="37" t="s">
        <v>1306</v>
      </c>
    </row>
    <row r="138" spans="1:2" x14ac:dyDescent="0.3">
      <c r="A138" s="37" t="s">
        <v>1458</v>
      </c>
      <c r="B138" s="37" t="s">
        <v>1457</v>
      </c>
    </row>
    <row r="139" spans="1:2" x14ac:dyDescent="0.3">
      <c r="A139" s="37" t="s">
        <v>1027</v>
      </c>
      <c r="B139" s="37" t="s">
        <v>1026</v>
      </c>
    </row>
    <row r="140" spans="1:2" x14ac:dyDescent="0.3">
      <c r="A140" s="37" t="s">
        <v>696</v>
      </c>
      <c r="B140" s="37" t="s">
        <v>695</v>
      </c>
    </row>
    <row r="141" spans="1:2" x14ac:dyDescent="0.3">
      <c r="A141" s="37" t="s">
        <v>1141</v>
      </c>
      <c r="B141" s="37" t="s">
        <v>5704</v>
      </c>
    </row>
    <row r="142" spans="1:2" x14ac:dyDescent="0.3">
      <c r="A142" s="37" t="s">
        <v>737</v>
      </c>
      <c r="B142" s="37" t="s">
        <v>736</v>
      </c>
    </row>
    <row r="143" spans="1:2" x14ac:dyDescent="0.3">
      <c r="A143" s="37" t="s">
        <v>284</v>
      </c>
      <c r="B143" s="37" t="s">
        <v>283</v>
      </c>
    </row>
    <row r="144" spans="1:2" x14ac:dyDescent="0.3">
      <c r="A144" s="37" t="s">
        <v>1083</v>
      </c>
      <c r="B144" s="37" t="s">
        <v>1082</v>
      </c>
    </row>
    <row r="145" spans="1:2" x14ac:dyDescent="0.3">
      <c r="A145" s="37" t="s">
        <v>720</v>
      </c>
      <c r="B145" s="37" t="s">
        <v>719</v>
      </c>
    </row>
    <row r="146" spans="1:2" x14ac:dyDescent="0.3">
      <c r="A146" s="37" t="s">
        <v>1810</v>
      </c>
      <c r="B146" s="37" t="s">
        <v>1809</v>
      </c>
    </row>
    <row r="147" spans="1:2" x14ac:dyDescent="0.3">
      <c r="A147" s="37" t="s">
        <v>872</v>
      </c>
      <c r="B147" s="37" t="s">
        <v>871</v>
      </c>
    </row>
    <row r="148" spans="1:2" x14ac:dyDescent="0.3">
      <c r="A148" s="37" t="s">
        <v>1322</v>
      </c>
      <c r="B148" s="37" t="s">
        <v>1321</v>
      </c>
    </row>
    <row r="149" spans="1:2" x14ac:dyDescent="0.3">
      <c r="A149" s="37" t="s">
        <v>1224</v>
      </c>
      <c r="B149" s="37" t="s">
        <v>1223</v>
      </c>
    </row>
    <row r="150" spans="1:2" x14ac:dyDescent="0.3">
      <c r="A150" s="37" t="s">
        <v>1551</v>
      </c>
      <c r="B150" s="37" t="s">
        <v>1550</v>
      </c>
    </row>
    <row r="151" spans="1:2" x14ac:dyDescent="0.3">
      <c r="A151" s="37" t="s">
        <v>245</v>
      </c>
      <c r="B151" s="37" t="s">
        <v>244</v>
      </c>
    </row>
    <row r="152" spans="1:2" x14ac:dyDescent="0.3">
      <c r="A152" s="37" t="s">
        <v>1118</v>
      </c>
      <c r="B152" s="37" t="s">
        <v>1117</v>
      </c>
    </row>
    <row r="153" spans="1:2" x14ac:dyDescent="0.3">
      <c r="A153" s="37" t="s">
        <v>1882</v>
      </c>
      <c r="B153" s="37" t="s">
        <v>5705</v>
      </c>
    </row>
    <row r="154" spans="1:2" x14ac:dyDescent="0.3">
      <c r="A154" s="37" t="s">
        <v>553</v>
      </c>
      <c r="B154" s="37" t="s">
        <v>552</v>
      </c>
    </row>
    <row r="155" spans="1:2" x14ac:dyDescent="0.3">
      <c r="A155" s="37" t="s">
        <v>367</v>
      </c>
      <c r="B155" s="37" t="s">
        <v>5706</v>
      </c>
    </row>
    <row r="156" spans="1:2" x14ac:dyDescent="0.3">
      <c r="A156" s="37" t="s">
        <v>628</v>
      </c>
      <c r="B156" s="37" t="s">
        <v>627</v>
      </c>
    </row>
    <row r="157" spans="1:2" x14ac:dyDescent="0.3">
      <c r="A157" s="37" t="s">
        <v>520</v>
      </c>
      <c r="B157" s="37" t="s">
        <v>5707</v>
      </c>
    </row>
    <row r="158" spans="1:2" x14ac:dyDescent="0.3">
      <c r="A158" s="37" t="s">
        <v>1267</v>
      </c>
      <c r="B158" s="37" t="s">
        <v>5708</v>
      </c>
    </row>
    <row r="159" spans="1:2" x14ac:dyDescent="0.3">
      <c r="A159" s="37" t="s">
        <v>800</v>
      </c>
      <c r="B159" s="37" t="s">
        <v>5709</v>
      </c>
    </row>
    <row r="160" spans="1:2" x14ac:dyDescent="0.3">
      <c r="A160" s="37" t="s">
        <v>1876</v>
      </c>
      <c r="B160" s="37" t="s">
        <v>1875</v>
      </c>
    </row>
    <row r="161" spans="1:2" x14ac:dyDescent="0.3">
      <c r="A161" s="37" t="s">
        <v>667</v>
      </c>
      <c r="B161" s="37" t="s">
        <v>666</v>
      </c>
    </row>
    <row r="162" spans="1:2" x14ac:dyDescent="0.3">
      <c r="A162" s="37" t="s">
        <v>1489</v>
      </c>
      <c r="B162" s="37" t="s">
        <v>5710</v>
      </c>
    </row>
    <row r="163" spans="1:2" x14ac:dyDescent="0.3">
      <c r="A163" s="37" t="s">
        <v>362</v>
      </c>
      <c r="B163" s="37" t="s">
        <v>361</v>
      </c>
    </row>
    <row r="164" spans="1:2" x14ac:dyDescent="0.3">
      <c r="A164" s="37" t="s">
        <v>811</v>
      </c>
      <c r="B164" s="37" t="s">
        <v>810</v>
      </c>
    </row>
    <row r="165" spans="1:2" x14ac:dyDescent="0.3">
      <c r="A165" s="37" t="s">
        <v>1309</v>
      </c>
      <c r="B165" s="37" t="s">
        <v>5711</v>
      </c>
    </row>
    <row r="166" spans="1:2" x14ac:dyDescent="0.3">
      <c r="A166" s="37" t="s">
        <v>732</v>
      </c>
      <c r="B166" s="37" t="s">
        <v>731</v>
      </c>
    </row>
    <row r="167" spans="1:2" x14ac:dyDescent="0.3">
      <c r="A167" s="37" t="s">
        <v>1447</v>
      </c>
      <c r="B167" s="37" t="s">
        <v>1446</v>
      </c>
    </row>
    <row r="168" spans="1:2" x14ac:dyDescent="0.3">
      <c r="A168" s="37" t="s">
        <v>532</v>
      </c>
      <c r="B168" s="37" t="s">
        <v>531</v>
      </c>
    </row>
    <row r="169" spans="1:2" x14ac:dyDescent="0.3">
      <c r="A169" s="37" t="s">
        <v>1535</v>
      </c>
      <c r="B169" s="37" t="s">
        <v>1534</v>
      </c>
    </row>
    <row r="170" spans="1:2" x14ac:dyDescent="0.3">
      <c r="A170" s="37" t="s">
        <v>1855</v>
      </c>
      <c r="B170" s="37" t="s">
        <v>1854</v>
      </c>
    </row>
    <row r="171" spans="1:2" x14ac:dyDescent="0.3">
      <c r="A171" s="37" t="s">
        <v>1783</v>
      </c>
      <c r="B171" s="37" t="s">
        <v>1782</v>
      </c>
    </row>
    <row r="172" spans="1:2" x14ac:dyDescent="0.3">
      <c r="A172" s="37" t="s">
        <v>534</v>
      </c>
      <c r="B172" s="37" t="s">
        <v>5712</v>
      </c>
    </row>
    <row r="173" spans="1:2" x14ac:dyDescent="0.3">
      <c r="A173" s="37" t="s">
        <v>1449</v>
      </c>
      <c r="B173" s="37" t="s">
        <v>1448</v>
      </c>
    </row>
    <row r="174" spans="1:2" x14ac:dyDescent="0.3">
      <c r="A174" s="37" t="s">
        <v>869</v>
      </c>
      <c r="B174" s="37" t="s">
        <v>868</v>
      </c>
    </row>
    <row r="175" spans="1:2" x14ac:dyDescent="0.3">
      <c r="A175" s="37" t="s">
        <v>1096</v>
      </c>
      <c r="B175" s="37" t="s">
        <v>1095</v>
      </c>
    </row>
    <row r="176" spans="1:2" x14ac:dyDescent="0.3">
      <c r="A176" s="37" t="s">
        <v>967</v>
      </c>
      <c r="B176" s="37" t="s">
        <v>966</v>
      </c>
    </row>
    <row r="177" spans="1:2" x14ac:dyDescent="0.3">
      <c r="A177" s="37" t="s">
        <v>1165</v>
      </c>
      <c r="B177" s="37" t="s">
        <v>1164</v>
      </c>
    </row>
    <row r="178" spans="1:2" x14ac:dyDescent="0.3">
      <c r="A178" s="37" t="s">
        <v>1676</v>
      </c>
      <c r="B178" s="37" t="s">
        <v>1675</v>
      </c>
    </row>
    <row r="179" spans="1:2" x14ac:dyDescent="0.3">
      <c r="A179" s="37" t="s">
        <v>1848</v>
      </c>
      <c r="B179" s="37" t="s">
        <v>1847</v>
      </c>
    </row>
    <row r="180" spans="1:2" x14ac:dyDescent="0.3">
      <c r="A180" s="37" t="s">
        <v>615</v>
      </c>
      <c r="B180" s="37" t="s">
        <v>614</v>
      </c>
    </row>
    <row r="181" spans="1:2" x14ac:dyDescent="0.3">
      <c r="A181" s="37" t="s">
        <v>771</v>
      </c>
      <c r="B181" s="37" t="s">
        <v>770</v>
      </c>
    </row>
    <row r="182" spans="1:2" x14ac:dyDescent="0.3">
      <c r="A182" s="37" t="s">
        <v>1379</v>
      </c>
      <c r="B182" s="37" t="s">
        <v>1378</v>
      </c>
    </row>
    <row r="183" spans="1:2" x14ac:dyDescent="0.3">
      <c r="A183" s="37" t="s">
        <v>292</v>
      </c>
      <c r="B183" s="37" t="s">
        <v>291</v>
      </c>
    </row>
    <row r="184" spans="1:2" x14ac:dyDescent="0.3">
      <c r="A184" s="37" t="s">
        <v>1269</v>
      </c>
      <c r="B184" s="37" t="s">
        <v>5713</v>
      </c>
    </row>
    <row r="185" spans="1:2" x14ac:dyDescent="0.3">
      <c r="A185" s="37" t="s">
        <v>1573</v>
      </c>
      <c r="B185" s="37" t="s">
        <v>1572</v>
      </c>
    </row>
    <row r="186" spans="1:2" x14ac:dyDescent="0.3">
      <c r="A186" s="37" t="s">
        <v>265</v>
      </c>
      <c r="B186" s="37" t="s">
        <v>5714</v>
      </c>
    </row>
    <row r="187" spans="1:2" x14ac:dyDescent="0.3">
      <c r="A187" s="37" t="s">
        <v>813</v>
      </c>
      <c r="B187" s="37" t="s">
        <v>812</v>
      </c>
    </row>
    <row r="188" spans="1:2" x14ac:dyDescent="0.3">
      <c r="A188" s="37" t="s">
        <v>275</v>
      </c>
      <c r="B188" s="37" t="s">
        <v>5715</v>
      </c>
    </row>
    <row r="189" spans="1:2" x14ac:dyDescent="0.3">
      <c r="A189" s="37" t="s">
        <v>315</v>
      </c>
      <c r="B189" s="37" t="s">
        <v>314</v>
      </c>
    </row>
    <row r="190" spans="1:2" x14ac:dyDescent="0.3">
      <c r="A190" s="37" t="s">
        <v>1281</v>
      </c>
      <c r="B190" s="37" t="s">
        <v>1280</v>
      </c>
    </row>
    <row r="191" spans="1:2" x14ac:dyDescent="0.3">
      <c r="A191" s="37" t="s">
        <v>61</v>
      </c>
      <c r="B191" s="37" t="s">
        <v>60</v>
      </c>
    </row>
    <row r="192" spans="1:2" x14ac:dyDescent="0.3">
      <c r="A192" s="37" t="s">
        <v>1104</v>
      </c>
      <c r="B192" s="37" t="s">
        <v>5716</v>
      </c>
    </row>
    <row r="193" spans="1:2" x14ac:dyDescent="0.3">
      <c r="A193" s="37" t="s">
        <v>819</v>
      </c>
      <c r="B193" s="37" t="s">
        <v>818</v>
      </c>
    </row>
    <row r="194" spans="1:2" x14ac:dyDescent="0.3">
      <c r="A194" s="37" t="s">
        <v>372</v>
      </c>
      <c r="B194" s="37" t="s">
        <v>371</v>
      </c>
    </row>
    <row r="195" spans="1:2" x14ac:dyDescent="0.3">
      <c r="A195" s="37" t="s">
        <v>1136</v>
      </c>
      <c r="B195" s="37" t="s">
        <v>5717</v>
      </c>
    </row>
    <row r="196" spans="1:2" x14ac:dyDescent="0.3">
      <c r="A196" s="37" t="s">
        <v>1524</v>
      </c>
      <c r="B196" s="37" t="s">
        <v>1523</v>
      </c>
    </row>
    <row r="197" spans="1:2" x14ac:dyDescent="0.3">
      <c r="A197" s="37" t="s">
        <v>710</v>
      </c>
      <c r="B197" s="37" t="s">
        <v>5718</v>
      </c>
    </row>
    <row r="198" spans="1:2" x14ac:dyDescent="0.3">
      <c r="A198" s="37" t="s">
        <v>1047</v>
      </c>
      <c r="B198" s="37" t="s">
        <v>5719</v>
      </c>
    </row>
    <row r="199" spans="1:2" x14ac:dyDescent="0.3">
      <c r="A199" s="37" t="s">
        <v>217</v>
      </c>
      <c r="B199" s="37" t="s">
        <v>216</v>
      </c>
    </row>
    <row r="200" spans="1:2" x14ac:dyDescent="0.3">
      <c r="A200" s="37" t="s">
        <v>928</v>
      </c>
      <c r="B200" s="37" t="s">
        <v>927</v>
      </c>
    </row>
    <row r="201" spans="1:2" x14ac:dyDescent="0.3">
      <c r="A201" s="37" t="s">
        <v>1805</v>
      </c>
      <c r="B201" s="37" t="s">
        <v>1804</v>
      </c>
    </row>
    <row r="202" spans="1:2" x14ac:dyDescent="0.3">
      <c r="A202" s="37" t="s">
        <v>946</v>
      </c>
      <c r="B202" s="37" t="s">
        <v>945</v>
      </c>
    </row>
    <row r="203" spans="1:2" x14ac:dyDescent="0.3">
      <c r="A203" s="37" t="s">
        <v>1384</v>
      </c>
      <c r="B203" s="37" t="s">
        <v>1383</v>
      </c>
    </row>
    <row r="204" spans="1:2" x14ac:dyDescent="0.3">
      <c r="A204" s="37" t="s">
        <v>828</v>
      </c>
      <c r="B204" s="37" t="s">
        <v>827</v>
      </c>
    </row>
    <row r="205" spans="1:2" x14ac:dyDescent="0.3">
      <c r="A205" s="37" t="s">
        <v>794</v>
      </c>
      <c r="B205" s="37" t="s">
        <v>793</v>
      </c>
    </row>
    <row r="206" spans="1:2" x14ac:dyDescent="0.3">
      <c r="A206" s="37" t="s">
        <v>952</v>
      </c>
      <c r="B206" s="37" t="s">
        <v>951</v>
      </c>
    </row>
    <row r="207" spans="1:2" x14ac:dyDescent="0.3">
      <c r="A207" s="37" t="s">
        <v>848</v>
      </c>
      <c r="B207" s="37" t="s">
        <v>847</v>
      </c>
    </row>
    <row r="208" spans="1:2" x14ac:dyDescent="0.3">
      <c r="A208" s="37" t="s">
        <v>842</v>
      </c>
      <c r="B208" s="37" t="s">
        <v>5720</v>
      </c>
    </row>
    <row r="209" spans="1:2" x14ac:dyDescent="0.3">
      <c r="A209" s="37" t="s">
        <v>1762</v>
      </c>
      <c r="B209" s="37" t="s">
        <v>5721</v>
      </c>
    </row>
    <row r="210" spans="1:2" x14ac:dyDescent="0.3">
      <c r="A210" s="37" t="s">
        <v>713</v>
      </c>
      <c r="B210" s="37" t="s">
        <v>5722</v>
      </c>
    </row>
    <row r="211" spans="1:2" x14ac:dyDescent="0.3">
      <c r="A211" s="37" t="s">
        <v>1274</v>
      </c>
      <c r="B211" s="37" t="s">
        <v>1273</v>
      </c>
    </row>
    <row r="212" spans="1:2" x14ac:dyDescent="0.3">
      <c r="A212" s="37" t="s">
        <v>1068</v>
      </c>
      <c r="B212" s="37" t="s">
        <v>1067</v>
      </c>
    </row>
    <row r="213" spans="1:2" x14ac:dyDescent="0.3">
      <c r="A213" s="37" t="s">
        <v>1337</v>
      </c>
      <c r="B213" s="37" t="s">
        <v>1336</v>
      </c>
    </row>
    <row r="214" spans="1:2" x14ac:dyDescent="0.3">
      <c r="A214" s="37" t="s">
        <v>825</v>
      </c>
      <c r="B214" s="37" t="s">
        <v>824</v>
      </c>
    </row>
    <row r="215" spans="1:2" x14ac:dyDescent="0.3">
      <c r="A215" s="37" t="s">
        <v>867</v>
      </c>
      <c r="B215" s="37" t="s">
        <v>866</v>
      </c>
    </row>
    <row r="216" spans="1:2" x14ac:dyDescent="0.3">
      <c r="A216" s="37" t="s">
        <v>1591</v>
      </c>
      <c r="B216" s="37" t="s">
        <v>5723</v>
      </c>
    </row>
    <row r="217" spans="1:2" x14ac:dyDescent="0.3">
      <c r="A217" s="37" t="s">
        <v>747</v>
      </c>
      <c r="B217" s="37" t="s">
        <v>746</v>
      </c>
    </row>
    <row r="218" spans="1:2" x14ac:dyDescent="0.3">
      <c r="A218" s="37" t="s">
        <v>1433</v>
      </c>
      <c r="B218" s="37" t="s">
        <v>1432</v>
      </c>
    </row>
    <row r="219" spans="1:2" x14ac:dyDescent="0.3">
      <c r="A219" s="37" t="s">
        <v>853</v>
      </c>
      <c r="B219" s="37" t="s">
        <v>5724</v>
      </c>
    </row>
    <row r="220" spans="1:2" x14ac:dyDescent="0.3">
      <c r="A220" s="37" t="s">
        <v>233</v>
      </c>
      <c r="B220" s="37" t="s">
        <v>232</v>
      </c>
    </row>
    <row r="221" spans="1:2" x14ac:dyDescent="0.3">
      <c r="A221" s="37" t="s">
        <v>1058</v>
      </c>
      <c r="B221" s="37" t="s">
        <v>5725</v>
      </c>
    </row>
    <row r="222" spans="1:2" x14ac:dyDescent="0.3">
      <c r="A222" s="37" t="s">
        <v>1112</v>
      </c>
      <c r="B222" s="37" t="s">
        <v>5726</v>
      </c>
    </row>
    <row r="223" spans="1:2" x14ac:dyDescent="0.3">
      <c r="A223" s="37" t="s">
        <v>1746</v>
      </c>
      <c r="B223" s="37" t="s">
        <v>1745</v>
      </c>
    </row>
    <row r="224" spans="1:2" x14ac:dyDescent="0.3">
      <c r="A224" s="37" t="s">
        <v>1517</v>
      </c>
      <c r="B224" s="37" t="s">
        <v>1516</v>
      </c>
    </row>
    <row r="225" spans="1:2" x14ac:dyDescent="0.3">
      <c r="A225" s="37" t="s">
        <v>1272</v>
      </c>
      <c r="B225" s="37" t="s">
        <v>1271</v>
      </c>
    </row>
    <row r="226" spans="1:2" x14ac:dyDescent="0.3">
      <c r="A226" s="37" t="s">
        <v>1011</v>
      </c>
      <c r="B226" s="37" t="s">
        <v>1010</v>
      </c>
    </row>
    <row r="227" spans="1:2" x14ac:dyDescent="0.3">
      <c r="A227" s="37" t="s">
        <v>1431</v>
      </c>
      <c r="B227" s="37" t="s">
        <v>5727</v>
      </c>
    </row>
    <row r="228" spans="1:2" x14ac:dyDescent="0.3">
      <c r="A228" s="37" t="s">
        <v>1541</v>
      </c>
      <c r="B228" s="37" t="s">
        <v>1540</v>
      </c>
    </row>
    <row r="229" spans="1:2" x14ac:dyDescent="0.3">
      <c r="A229" s="37" t="s">
        <v>525</v>
      </c>
      <c r="B229" s="37" t="s">
        <v>524</v>
      </c>
    </row>
    <row r="230" spans="1:2" x14ac:dyDescent="0.3">
      <c r="A230" s="37" t="s">
        <v>402</v>
      </c>
      <c r="B230" s="37" t="s">
        <v>401</v>
      </c>
    </row>
    <row r="231" spans="1:2" x14ac:dyDescent="0.3">
      <c r="A231" s="37" t="s">
        <v>31</v>
      </c>
      <c r="B231" s="37" t="s">
        <v>30</v>
      </c>
    </row>
    <row r="232" spans="1:2" x14ac:dyDescent="0.3">
      <c r="A232" s="37" t="s">
        <v>83</v>
      </c>
      <c r="B232" s="37" t="s">
        <v>82</v>
      </c>
    </row>
    <row r="233" spans="1:2" x14ac:dyDescent="0.3">
      <c r="A233" s="37" t="s">
        <v>505</v>
      </c>
      <c r="B233" s="37" t="s">
        <v>504</v>
      </c>
    </row>
    <row r="234" spans="1:2" x14ac:dyDescent="0.3">
      <c r="A234" s="37" t="s">
        <v>1555</v>
      </c>
      <c r="B234" s="37" t="s">
        <v>1554</v>
      </c>
    </row>
    <row r="235" spans="1:2" x14ac:dyDescent="0.3">
      <c r="A235" s="37" t="s">
        <v>899</v>
      </c>
      <c r="B235" s="37" t="s">
        <v>898</v>
      </c>
    </row>
    <row r="236" spans="1:2" x14ac:dyDescent="0.3">
      <c r="A236" s="37" t="s">
        <v>588</v>
      </c>
      <c r="B236" s="37" t="s">
        <v>587</v>
      </c>
    </row>
    <row r="237" spans="1:2" x14ac:dyDescent="0.3">
      <c r="A237" s="37" t="s">
        <v>1674</v>
      </c>
      <c r="B237" s="37" t="s">
        <v>1673</v>
      </c>
    </row>
    <row r="238" spans="1:2" x14ac:dyDescent="0.3">
      <c r="A238" s="37" t="s">
        <v>1032</v>
      </c>
      <c r="B238" s="37" t="s">
        <v>1031</v>
      </c>
    </row>
    <row r="239" spans="1:2" x14ac:dyDescent="0.3">
      <c r="A239" s="37" t="s">
        <v>1041</v>
      </c>
      <c r="B239" s="37" t="s">
        <v>1040</v>
      </c>
    </row>
    <row r="240" spans="1:2" x14ac:dyDescent="0.3">
      <c r="A240" s="37" t="s">
        <v>543</v>
      </c>
      <c r="B240" s="37" t="s">
        <v>5728</v>
      </c>
    </row>
    <row r="241" spans="1:2" x14ac:dyDescent="0.3">
      <c r="A241" s="37" t="s">
        <v>990</v>
      </c>
      <c r="B241" s="37" t="s">
        <v>989</v>
      </c>
    </row>
    <row r="242" spans="1:2" x14ac:dyDescent="0.3">
      <c r="A242" s="37" t="s">
        <v>1156</v>
      </c>
      <c r="B242" s="37" t="s">
        <v>1155</v>
      </c>
    </row>
    <row r="243" spans="1:2" x14ac:dyDescent="0.3">
      <c r="A243" s="37" t="s">
        <v>1577</v>
      </c>
      <c r="B243" s="37" t="s">
        <v>1576</v>
      </c>
    </row>
    <row r="244" spans="1:2" x14ac:dyDescent="0.3">
      <c r="A244" s="37" t="s">
        <v>1859</v>
      </c>
      <c r="B244" s="37" t="s">
        <v>1858</v>
      </c>
    </row>
    <row r="245" spans="1:2" x14ac:dyDescent="0.3">
      <c r="A245" s="37" t="s">
        <v>1079</v>
      </c>
      <c r="B245" s="37" t="s">
        <v>1078</v>
      </c>
    </row>
    <row r="246" spans="1:2" x14ac:dyDescent="0.3">
      <c r="A246" s="37" t="s">
        <v>1116</v>
      </c>
      <c r="B246" s="37" t="s">
        <v>1115</v>
      </c>
    </row>
    <row r="247" spans="1:2" x14ac:dyDescent="0.3">
      <c r="A247" s="37" t="s">
        <v>174</v>
      </c>
      <c r="B247" s="37" t="s">
        <v>173</v>
      </c>
    </row>
    <row r="248" spans="1:2" x14ac:dyDescent="0.3">
      <c r="A248" s="37" t="s">
        <v>130</v>
      </c>
      <c r="B248" s="37" t="s">
        <v>129</v>
      </c>
    </row>
    <row r="249" spans="1:2" x14ac:dyDescent="0.3">
      <c r="A249" s="37" t="s">
        <v>1846</v>
      </c>
      <c r="B249" s="37" t="s">
        <v>5729</v>
      </c>
    </row>
    <row r="250" spans="1:2" x14ac:dyDescent="0.3">
      <c r="A250" s="37" t="s">
        <v>188</v>
      </c>
      <c r="B250" s="37" t="s">
        <v>187</v>
      </c>
    </row>
    <row r="251" spans="1:2" x14ac:dyDescent="0.3">
      <c r="A251" s="37" t="s">
        <v>1639</v>
      </c>
      <c r="B251" s="37" t="s">
        <v>1638</v>
      </c>
    </row>
    <row r="252" spans="1:2" x14ac:dyDescent="0.3">
      <c r="A252" s="37" t="s">
        <v>622</v>
      </c>
      <c r="B252" s="37" t="s">
        <v>5730</v>
      </c>
    </row>
    <row r="253" spans="1:2" x14ac:dyDescent="0.3">
      <c r="A253" s="37" t="s">
        <v>76</v>
      </c>
      <c r="B253" s="37" t="s">
        <v>75</v>
      </c>
    </row>
    <row r="254" spans="1:2" x14ac:dyDescent="0.3">
      <c r="A254" s="37" t="s">
        <v>1144</v>
      </c>
      <c r="B254" s="37" t="s">
        <v>1143</v>
      </c>
    </row>
    <row r="255" spans="1:2" x14ac:dyDescent="0.3">
      <c r="A255" s="37" t="s">
        <v>865</v>
      </c>
      <c r="B255" s="37" t="s">
        <v>864</v>
      </c>
    </row>
    <row r="256" spans="1:2" x14ac:dyDescent="0.3">
      <c r="A256" s="37" t="s">
        <v>1334</v>
      </c>
      <c r="B256" s="37" t="s">
        <v>1333</v>
      </c>
    </row>
    <row r="257" spans="1:2" x14ac:dyDescent="0.3">
      <c r="A257" s="37" t="s">
        <v>1005</v>
      </c>
      <c r="B257" s="37" t="s">
        <v>1004</v>
      </c>
    </row>
    <row r="258" spans="1:2" x14ac:dyDescent="0.3">
      <c r="A258" s="37" t="s">
        <v>675</v>
      </c>
      <c r="B258" s="37" t="s">
        <v>674</v>
      </c>
    </row>
    <row r="259" spans="1:2" x14ac:dyDescent="0.3">
      <c r="A259" s="37" t="s">
        <v>394</v>
      </c>
      <c r="B259" s="37" t="s">
        <v>393</v>
      </c>
    </row>
    <row r="260" spans="1:2" x14ac:dyDescent="0.3">
      <c r="A260" s="37" t="s">
        <v>1653</v>
      </c>
      <c r="B260" s="37" t="s">
        <v>5731</v>
      </c>
    </row>
    <row r="261" spans="1:2" x14ac:dyDescent="0.3">
      <c r="A261" s="37" t="s">
        <v>1788</v>
      </c>
      <c r="B261" s="37" t="s">
        <v>1787</v>
      </c>
    </row>
    <row r="262" spans="1:2" x14ac:dyDescent="0.3">
      <c r="A262" s="37" t="s">
        <v>329</v>
      </c>
      <c r="B262" s="37" t="s">
        <v>328</v>
      </c>
    </row>
    <row r="263" spans="1:2" x14ac:dyDescent="0.3">
      <c r="A263" s="37" t="s">
        <v>809</v>
      </c>
      <c r="B263" s="37" t="s">
        <v>5732</v>
      </c>
    </row>
    <row r="264" spans="1:2" x14ac:dyDescent="0.3">
      <c r="A264" s="37" t="s">
        <v>117</v>
      </c>
      <c r="B264" s="37" t="s">
        <v>116</v>
      </c>
    </row>
    <row r="265" spans="1:2" x14ac:dyDescent="0.3">
      <c r="A265" s="37" t="s">
        <v>886</v>
      </c>
      <c r="B265" s="37" t="s">
        <v>885</v>
      </c>
    </row>
    <row r="266" spans="1:2" x14ac:dyDescent="0.3">
      <c r="A266" s="37" t="s">
        <v>1114</v>
      </c>
      <c r="B266" s="37" t="s">
        <v>1113</v>
      </c>
    </row>
    <row r="267" spans="1:2" x14ac:dyDescent="0.3">
      <c r="A267" s="37" t="s">
        <v>1495</v>
      </c>
      <c r="B267" s="37" t="s">
        <v>5733</v>
      </c>
    </row>
    <row r="268" spans="1:2" x14ac:dyDescent="0.3">
      <c r="A268" s="37" t="s">
        <v>1256</v>
      </c>
      <c r="B268" s="37" t="s">
        <v>1255</v>
      </c>
    </row>
    <row r="269" spans="1:2" x14ac:dyDescent="0.3">
      <c r="A269" s="37" t="s">
        <v>1756</v>
      </c>
      <c r="B269" s="37" t="s">
        <v>1755</v>
      </c>
    </row>
    <row r="270" spans="1:2" x14ac:dyDescent="0.3">
      <c r="A270" s="37" t="s">
        <v>1245</v>
      </c>
      <c r="B270" s="37" t="s">
        <v>1244</v>
      </c>
    </row>
    <row r="271" spans="1:2" x14ac:dyDescent="0.3">
      <c r="A271" s="37" t="s">
        <v>1318</v>
      </c>
      <c r="B271" s="37" t="s">
        <v>1317</v>
      </c>
    </row>
    <row r="272" spans="1:2" x14ac:dyDescent="0.3">
      <c r="A272" s="37" t="s">
        <v>1375</v>
      </c>
      <c r="B272" s="37" t="s">
        <v>1374</v>
      </c>
    </row>
    <row r="273" spans="1:2" x14ac:dyDescent="0.3">
      <c r="A273" s="37" t="s">
        <v>878</v>
      </c>
      <c r="B273" s="37" t="s">
        <v>5734</v>
      </c>
    </row>
    <row r="274" spans="1:2" x14ac:dyDescent="0.3">
      <c r="A274" s="37" t="s">
        <v>375</v>
      </c>
      <c r="B274" s="37" t="s">
        <v>374</v>
      </c>
    </row>
    <row r="275" spans="1:2" x14ac:dyDescent="0.3">
      <c r="A275" s="37" t="s">
        <v>792</v>
      </c>
      <c r="B275" s="37" t="s">
        <v>791</v>
      </c>
    </row>
    <row r="276" spans="1:2" x14ac:dyDescent="0.3">
      <c r="A276" s="37" t="s">
        <v>1786</v>
      </c>
      <c r="B276" s="37" t="s">
        <v>1785</v>
      </c>
    </row>
    <row r="277" spans="1:2" x14ac:dyDescent="0.3">
      <c r="A277" s="37" t="s">
        <v>1724</v>
      </c>
      <c r="B277" s="37" t="s">
        <v>1723</v>
      </c>
    </row>
    <row r="278" spans="1:2" x14ac:dyDescent="0.3">
      <c r="A278" s="37" t="s">
        <v>1567</v>
      </c>
      <c r="B278" s="37" t="s">
        <v>1566</v>
      </c>
    </row>
    <row r="279" spans="1:2" x14ac:dyDescent="0.3">
      <c r="A279" s="37" t="s">
        <v>834</v>
      </c>
      <c r="B279" s="37" t="s">
        <v>833</v>
      </c>
    </row>
    <row r="280" spans="1:2" x14ac:dyDescent="0.3">
      <c r="A280" s="37" t="s">
        <v>123</v>
      </c>
      <c r="B280" s="37" t="s">
        <v>122</v>
      </c>
    </row>
    <row r="281" spans="1:2" x14ac:dyDescent="0.3">
      <c r="A281" s="37" t="s">
        <v>286</v>
      </c>
      <c r="B281" s="37" t="s">
        <v>5735</v>
      </c>
    </row>
    <row r="282" spans="1:2" x14ac:dyDescent="0.3">
      <c r="A282" s="37" t="s">
        <v>1361</v>
      </c>
      <c r="B282" s="37" t="s">
        <v>5736</v>
      </c>
    </row>
    <row r="283" spans="1:2" x14ac:dyDescent="0.3">
      <c r="A283" s="37" t="s">
        <v>1342</v>
      </c>
      <c r="B283" s="37" t="s">
        <v>1341</v>
      </c>
    </row>
    <row r="284" spans="1:2" x14ac:dyDescent="0.3">
      <c r="A284" s="37" t="s">
        <v>1533</v>
      </c>
      <c r="B284" s="37" t="s">
        <v>5737</v>
      </c>
    </row>
    <row r="285" spans="1:2" x14ac:dyDescent="0.3">
      <c r="A285" s="37" t="s">
        <v>1511</v>
      </c>
      <c r="B285" s="37" t="s">
        <v>1510</v>
      </c>
    </row>
    <row r="286" spans="1:2" x14ac:dyDescent="0.3">
      <c r="A286" s="37" t="s">
        <v>730</v>
      </c>
      <c r="B286" s="37" t="s">
        <v>729</v>
      </c>
    </row>
    <row r="287" spans="1:2" x14ac:dyDescent="0.3">
      <c r="A287" s="37" t="s">
        <v>64</v>
      </c>
      <c r="B287" s="37" t="s">
        <v>5738</v>
      </c>
    </row>
    <row r="288" spans="1:2" x14ac:dyDescent="0.3">
      <c r="A288" s="37" t="s">
        <v>1575</v>
      </c>
      <c r="B288" s="37" t="s">
        <v>1574</v>
      </c>
    </row>
    <row r="289" spans="1:2" x14ac:dyDescent="0.3">
      <c r="A289" s="37" t="s">
        <v>633</v>
      </c>
      <c r="B289" s="37" t="s">
        <v>5739</v>
      </c>
    </row>
    <row r="290" spans="1:2" x14ac:dyDescent="0.3">
      <c r="A290" s="37" t="s">
        <v>1766</v>
      </c>
      <c r="B290" s="37" t="s">
        <v>1765</v>
      </c>
    </row>
    <row r="291" spans="1:2" x14ac:dyDescent="0.3">
      <c r="A291" s="37" t="s">
        <v>574</v>
      </c>
      <c r="B291" s="37" t="s">
        <v>573</v>
      </c>
    </row>
    <row r="292" spans="1:2" x14ac:dyDescent="0.3">
      <c r="A292" s="37" t="s">
        <v>1202</v>
      </c>
      <c r="B292" s="37" t="s">
        <v>1201</v>
      </c>
    </row>
    <row r="293" spans="1:2" x14ac:dyDescent="0.3">
      <c r="A293" s="37" t="s">
        <v>463</v>
      </c>
      <c r="B293" s="37" t="s">
        <v>462</v>
      </c>
    </row>
    <row r="294" spans="1:2" x14ac:dyDescent="0.3">
      <c r="A294" s="37" t="s">
        <v>1711</v>
      </c>
      <c r="B294" s="37" t="s">
        <v>1710</v>
      </c>
    </row>
    <row r="295" spans="1:2" x14ac:dyDescent="0.3">
      <c r="A295" s="37" t="s">
        <v>1634</v>
      </c>
      <c r="B295" s="37" t="s">
        <v>1633</v>
      </c>
    </row>
    <row r="296" spans="1:2" x14ac:dyDescent="0.3">
      <c r="A296" s="37" t="s">
        <v>787</v>
      </c>
      <c r="B296" s="37" t="s">
        <v>786</v>
      </c>
    </row>
    <row r="297" spans="1:2" x14ac:dyDescent="0.3">
      <c r="A297" s="37" t="s">
        <v>230</v>
      </c>
      <c r="B297" s="37" t="s">
        <v>229</v>
      </c>
    </row>
    <row r="298" spans="1:2" x14ac:dyDescent="0.3">
      <c r="A298" s="37" t="s">
        <v>99</v>
      </c>
      <c r="B298" s="37" t="s">
        <v>98</v>
      </c>
    </row>
    <row r="299" spans="1:2" x14ac:dyDescent="0.3">
      <c r="A299" s="37" t="s">
        <v>1825</v>
      </c>
      <c r="B299" s="37" t="s">
        <v>5740</v>
      </c>
    </row>
    <row r="300" spans="1:2" x14ac:dyDescent="0.3">
      <c r="A300" s="37" t="s">
        <v>1509</v>
      </c>
      <c r="B300" s="37" t="s">
        <v>1508</v>
      </c>
    </row>
    <row r="301" spans="1:2" x14ac:dyDescent="0.3">
      <c r="A301" s="37" t="s">
        <v>744</v>
      </c>
      <c r="B301" s="37" t="s">
        <v>743</v>
      </c>
    </row>
    <row r="302" spans="1:2" x14ac:dyDescent="0.3">
      <c r="A302" s="37" t="s">
        <v>693</v>
      </c>
      <c r="B302" s="37" t="s">
        <v>692</v>
      </c>
    </row>
    <row r="303" spans="1:2" x14ac:dyDescent="0.3">
      <c r="A303" s="37" t="s">
        <v>93</v>
      </c>
      <c r="B303" s="37" t="s">
        <v>92</v>
      </c>
    </row>
    <row r="304" spans="1:2" x14ac:dyDescent="0.3">
      <c r="A304" s="37" t="s">
        <v>161</v>
      </c>
      <c r="B304" s="37" t="s">
        <v>5741</v>
      </c>
    </row>
    <row r="305" spans="1:2" x14ac:dyDescent="0.3">
      <c r="A305" s="37" t="s">
        <v>1189</v>
      </c>
      <c r="B305" s="37" t="s">
        <v>1188</v>
      </c>
    </row>
    <row r="306" spans="1:2" x14ac:dyDescent="0.3">
      <c r="A306" s="37" t="s">
        <v>1396</v>
      </c>
      <c r="B306" s="37" t="s">
        <v>1395</v>
      </c>
    </row>
    <row r="307" spans="1:2" x14ac:dyDescent="0.3">
      <c r="A307" s="37" t="s">
        <v>1049</v>
      </c>
      <c r="B307" s="37" t="s">
        <v>1048</v>
      </c>
    </row>
    <row r="308" spans="1:2" x14ac:dyDescent="0.3">
      <c r="A308" s="37" t="s">
        <v>920</v>
      </c>
      <c r="B308" s="37" t="s">
        <v>919</v>
      </c>
    </row>
    <row r="309" spans="1:2" x14ac:dyDescent="0.3">
      <c r="A309" s="37" t="s">
        <v>683</v>
      </c>
      <c r="B309" s="37" t="s">
        <v>5742</v>
      </c>
    </row>
    <row r="310" spans="1:2" x14ac:dyDescent="0.3">
      <c r="A310" s="37" t="s">
        <v>1024</v>
      </c>
      <c r="B310" s="37" t="s">
        <v>1023</v>
      </c>
    </row>
    <row r="311" spans="1:2" x14ac:dyDescent="0.3">
      <c r="A311" s="37" t="s">
        <v>931</v>
      </c>
      <c r="B311" s="37" t="s">
        <v>5743</v>
      </c>
    </row>
    <row r="312" spans="1:2" x14ac:dyDescent="0.3">
      <c r="A312" s="37" t="s">
        <v>1030</v>
      </c>
      <c r="B312" s="37" t="s">
        <v>1029</v>
      </c>
    </row>
    <row r="313" spans="1:2" x14ac:dyDescent="0.3">
      <c r="A313" s="37" t="s">
        <v>1693</v>
      </c>
      <c r="B313" s="37" t="s">
        <v>1692</v>
      </c>
    </row>
    <row r="314" spans="1:2" x14ac:dyDescent="0.3">
      <c r="A314" s="37" t="s">
        <v>359</v>
      </c>
      <c r="B314" s="37" t="s">
        <v>5744</v>
      </c>
    </row>
    <row r="315" spans="1:2" x14ac:dyDescent="0.3">
      <c r="A315" s="37" t="s">
        <v>964</v>
      </c>
      <c r="B315" s="37" t="s">
        <v>5745</v>
      </c>
    </row>
    <row r="316" spans="1:2" x14ac:dyDescent="0.3">
      <c r="A316" s="37" t="s">
        <v>1279</v>
      </c>
      <c r="B316" s="37" t="s">
        <v>1278</v>
      </c>
    </row>
    <row r="317" spans="1:2" x14ac:dyDescent="0.3">
      <c r="A317" s="37" t="s">
        <v>1043</v>
      </c>
      <c r="B317" s="37" t="s">
        <v>1042</v>
      </c>
    </row>
    <row r="318" spans="1:2" x14ac:dyDescent="0.3">
      <c r="A318" s="37" t="s">
        <v>120</v>
      </c>
      <c r="B318" s="37" t="s">
        <v>5746</v>
      </c>
    </row>
    <row r="319" spans="1:2" x14ac:dyDescent="0.3">
      <c r="A319" s="37" t="s">
        <v>1748</v>
      </c>
      <c r="B319" s="37" t="s">
        <v>1747</v>
      </c>
    </row>
    <row r="320" spans="1:2" x14ac:dyDescent="0.3">
      <c r="A320" s="37" t="s">
        <v>1775</v>
      </c>
      <c r="B320" s="37" t="s">
        <v>1774</v>
      </c>
    </row>
    <row r="321" spans="1:2" x14ac:dyDescent="0.3">
      <c r="A321" s="37" t="s">
        <v>111</v>
      </c>
      <c r="B321" s="37" t="s">
        <v>110</v>
      </c>
    </row>
    <row r="322" spans="1:2" x14ac:dyDescent="0.3">
      <c r="A322" s="37" t="s">
        <v>166</v>
      </c>
      <c r="B322" s="37" t="s">
        <v>5747</v>
      </c>
    </row>
    <row r="323" spans="1:2" x14ac:dyDescent="0.3">
      <c r="A323" s="37" t="s">
        <v>1521</v>
      </c>
      <c r="B323" s="37" t="s">
        <v>1520</v>
      </c>
    </row>
    <row r="324" spans="1:2" x14ac:dyDescent="0.3">
      <c r="A324" s="37" t="s">
        <v>1213</v>
      </c>
      <c r="B324" s="37" t="s">
        <v>1212</v>
      </c>
    </row>
    <row r="325" spans="1:2" x14ac:dyDescent="0.3">
      <c r="A325" s="37" t="s">
        <v>665</v>
      </c>
      <c r="B325" s="37" t="s">
        <v>664</v>
      </c>
    </row>
    <row r="326" spans="1:2" x14ac:dyDescent="0.3">
      <c r="A326" s="37" t="s">
        <v>332</v>
      </c>
      <c r="B326" s="37" t="s">
        <v>331</v>
      </c>
    </row>
    <row r="327" spans="1:2" x14ac:dyDescent="0.3">
      <c r="A327" s="37" t="s">
        <v>652</v>
      </c>
      <c r="B327" s="37" t="s">
        <v>651</v>
      </c>
    </row>
    <row r="328" spans="1:2" x14ac:dyDescent="0.3">
      <c r="A328" s="37" t="s">
        <v>386</v>
      </c>
      <c r="B328" s="37" t="s">
        <v>385</v>
      </c>
    </row>
    <row r="329" spans="1:2" x14ac:dyDescent="0.3">
      <c r="A329" s="37" t="s">
        <v>1487</v>
      </c>
      <c r="B329" s="37" t="s">
        <v>1486</v>
      </c>
    </row>
    <row r="330" spans="1:2" x14ac:dyDescent="0.3">
      <c r="A330" s="37" t="s">
        <v>1865</v>
      </c>
      <c r="B330" s="37" t="s">
        <v>1864</v>
      </c>
    </row>
    <row r="331" spans="1:2" x14ac:dyDescent="0.3">
      <c r="A331" s="37" t="s">
        <v>142</v>
      </c>
      <c r="B331" s="37" t="s">
        <v>141</v>
      </c>
    </row>
    <row r="332" spans="1:2" x14ac:dyDescent="0.3">
      <c r="A332" s="37" t="s">
        <v>1513</v>
      </c>
      <c r="B332" s="37" t="s">
        <v>1512</v>
      </c>
    </row>
    <row r="333" spans="1:2" x14ac:dyDescent="0.3">
      <c r="A333" s="37" t="s">
        <v>1298</v>
      </c>
      <c r="B333" s="37" t="s">
        <v>1297</v>
      </c>
    </row>
    <row r="334" spans="1:2" x14ac:dyDescent="0.3">
      <c r="A334" s="37" t="s">
        <v>1472</v>
      </c>
      <c r="B334" s="37" t="s">
        <v>1471</v>
      </c>
    </row>
    <row r="335" spans="1:2" x14ac:dyDescent="0.3">
      <c r="A335" s="37" t="s">
        <v>1352</v>
      </c>
      <c r="B335" s="37" t="s">
        <v>1351</v>
      </c>
    </row>
    <row r="336" spans="1:2" x14ac:dyDescent="0.3">
      <c r="A336" s="37" t="s">
        <v>883</v>
      </c>
      <c r="B336" s="37" t="s">
        <v>882</v>
      </c>
    </row>
    <row r="337" spans="1:2" x14ac:dyDescent="0.3">
      <c r="A337" s="37" t="s">
        <v>925</v>
      </c>
      <c r="B337" s="37" t="s">
        <v>924</v>
      </c>
    </row>
    <row r="338" spans="1:2" x14ac:dyDescent="0.3">
      <c r="A338" s="37" t="s">
        <v>1221</v>
      </c>
      <c r="B338" s="37" t="s">
        <v>5748</v>
      </c>
    </row>
    <row r="339" spans="1:2" x14ac:dyDescent="0.3">
      <c r="A339" s="37" t="s">
        <v>248</v>
      </c>
      <c r="B339" s="37" t="s">
        <v>247</v>
      </c>
    </row>
    <row r="340" spans="1:2" x14ac:dyDescent="0.3">
      <c r="A340" s="37" t="s">
        <v>1180</v>
      </c>
      <c r="B340" s="37" t="s">
        <v>1179</v>
      </c>
    </row>
    <row r="341" spans="1:2" x14ac:dyDescent="0.3">
      <c r="A341" s="37" t="s">
        <v>1874</v>
      </c>
      <c r="B341" s="37" t="s">
        <v>1873</v>
      </c>
    </row>
    <row r="342" spans="1:2" x14ac:dyDescent="0.3">
      <c r="A342" s="37" t="s">
        <v>378</v>
      </c>
      <c r="B342" s="37" t="s">
        <v>377</v>
      </c>
    </row>
    <row r="343" spans="1:2" x14ac:dyDescent="0.3">
      <c r="A343" s="37" t="s">
        <v>594</v>
      </c>
      <c r="B343" s="37" t="s">
        <v>593</v>
      </c>
    </row>
    <row r="344" spans="1:2" x14ac:dyDescent="0.3">
      <c r="A344" s="37" t="s">
        <v>43</v>
      </c>
      <c r="B344" s="37" t="s">
        <v>42</v>
      </c>
    </row>
    <row r="345" spans="1:2" x14ac:dyDescent="0.3">
      <c r="A345" s="37" t="s">
        <v>365</v>
      </c>
      <c r="B345" s="37" t="s">
        <v>364</v>
      </c>
    </row>
    <row r="346" spans="1:2" x14ac:dyDescent="0.3">
      <c r="A346" s="37" t="s">
        <v>1038</v>
      </c>
      <c r="B346" s="37" t="s">
        <v>1037</v>
      </c>
    </row>
    <row r="347" spans="1:2" x14ac:dyDescent="0.3">
      <c r="A347" s="37" t="s">
        <v>1878</v>
      </c>
      <c r="B347" s="37" t="s">
        <v>1877</v>
      </c>
    </row>
    <row r="348" spans="1:2" x14ac:dyDescent="0.3">
      <c r="A348" s="37" t="s">
        <v>1133</v>
      </c>
      <c r="B348" s="37" t="s">
        <v>5749</v>
      </c>
    </row>
    <row r="349" spans="1:2" x14ac:dyDescent="0.3">
      <c r="A349" s="37" t="s">
        <v>209</v>
      </c>
      <c r="B349" s="37" t="s">
        <v>208</v>
      </c>
    </row>
    <row r="350" spans="1:2" x14ac:dyDescent="0.3">
      <c r="A350" s="37" t="s">
        <v>433</v>
      </c>
      <c r="B350" s="37" t="s">
        <v>432</v>
      </c>
    </row>
    <row r="351" spans="1:2" x14ac:dyDescent="0.3">
      <c r="A351" s="37" t="s">
        <v>127</v>
      </c>
      <c r="B351" s="37" t="s">
        <v>5750</v>
      </c>
    </row>
    <row r="352" spans="1:2" x14ac:dyDescent="0.3">
      <c r="A352" s="37" t="s">
        <v>1569</v>
      </c>
      <c r="B352" s="37" t="s">
        <v>1568</v>
      </c>
    </row>
    <row r="353" spans="1:2" x14ac:dyDescent="0.3">
      <c r="A353" s="37" t="s">
        <v>163</v>
      </c>
      <c r="B353" s="37" t="s">
        <v>162</v>
      </c>
    </row>
    <row r="354" spans="1:2" x14ac:dyDescent="0.3">
      <c r="A354" s="37" t="s">
        <v>1651</v>
      </c>
      <c r="B354" s="37" t="s">
        <v>1650</v>
      </c>
    </row>
    <row r="355" spans="1:2" x14ac:dyDescent="0.3">
      <c r="A355" s="37" t="s">
        <v>1661</v>
      </c>
      <c r="B355" s="37" t="s">
        <v>1660</v>
      </c>
    </row>
    <row r="356" spans="1:2" x14ac:dyDescent="0.3">
      <c r="A356" s="37" t="s">
        <v>415</v>
      </c>
      <c r="B356" s="37" t="s">
        <v>414</v>
      </c>
    </row>
    <row r="357" spans="1:2" x14ac:dyDescent="0.3">
      <c r="A357" s="37" t="s">
        <v>1184</v>
      </c>
      <c r="B357" s="37" t="s">
        <v>1183</v>
      </c>
    </row>
    <row r="358" spans="1:2" x14ac:dyDescent="0.3">
      <c r="A358" s="37" t="s">
        <v>1579</v>
      </c>
      <c r="B358" s="37" t="s">
        <v>1578</v>
      </c>
    </row>
    <row r="359" spans="1:2" x14ac:dyDescent="0.3">
      <c r="A359" s="37" t="s">
        <v>527</v>
      </c>
      <c r="B359" s="37" t="s">
        <v>526</v>
      </c>
    </row>
    <row r="360" spans="1:2" x14ac:dyDescent="0.3">
      <c r="A360" s="37" t="s">
        <v>1182</v>
      </c>
      <c r="B360" s="37" t="s">
        <v>5751</v>
      </c>
    </row>
    <row r="361" spans="1:2" x14ac:dyDescent="0.3">
      <c r="A361" s="37" t="s">
        <v>258</v>
      </c>
      <c r="B361" s="37" t="s">
        <v>257</v>
      </c>
    </row>
    <row r="362" spans="1:2" x14ac:dyDescent="0.3">
      <c r="A362" s="37" t="s">
        <v>724</v>
      </c>
      <c r="B362" s="37" t="s">
        <v>723</v>
      </c>
    </row>
    <row r="363" spans="1:2" x14ac:dyDescent="0.3">
      <c r="A363" s="37" t="s">
        <v>856</v>
      </c>
      <c r="B363" s="37" t="s">
        <v>855</v>
      </c>
    </row>
    <row r="364" spans="1:2" x14ac:dyDescent="0.3">
      <c r="A364" s="37" t="s">
        <v>1387</v>
      </c>
      <c r="B364" s="37" t="s">
        <v>1386</v>
      </c>
    </row>
    <row r="365" spans="1:2" x14ac:dyDescent="0.3">
      <c r="A365" s="37" t="s">
        <v>1564</v>
      </c>
      <c r="B365" s="37" t="s">
        <v>5752</v>
      </c>
    </row>
    <row r="366" spans="1:2" x14ac:dyDescent="0.3">
      <c r="A366" s="37" t="s">
        <v>1163</v>
      </c>
      <c r="B366" s="37" t="s">
        <v>1162</v>
      </c>
    </row>
    <row r="367" spans="1:2" x14ac:dyDescent="0.3">
      <c r="A367" s="37" t="s">
        <v>1129</v>
      </c>
      <c r="B367" s="37" t="s">
        <v>1128</v>
      </c>
    </row>
    <row r="368" spans="1:2" x14ac:dyDescent="0.3">
      <c r="A368" s="37" t="s">
        <v>1098</v>
      </c>
      <c r="B368" s="37" t="s">
        <v>1097</v>
      </c>
    </row>
    <row r="369" spans="1:2" x14ac:dyDescent="0.3">
      <c r="A369" s="37" t="s">
        <v>1546</v>
      </c>
      <c r="B369" s="37" t="s">
        <v>1545</v>
      </c>
    </row>
    <row r="370" spans="1:2" x14ac:dyDescent="0.3">
      <c r="A370" s="37" t="s">
        <v>145</v>
      </c>
      <c r="B370" s="37" t="s">
        <v>144</v>
      </c>
    </row>
    <row r="371" spans="1:2" x14ac:dyDescent="0.3">
      <c r="A371" s="37" t="s">
        <v>750</v>
      </c>
      <c r="B371" s="37" t="s">
        <v>749</v>
      </c>
    </row>
    <row r="372" spans="1:2" x14ac:dyDescent="0.3">
      <c r="A372" s="37" t="s">
        <v>308</v>
      </c>
      <c r="B372" s="37" t="s">
        <v>5753</v>
      </c>
    </row>
    <row r="373" spans="1:2" x14ac:dyDescent="0.3">
      <c r="A373" s="37" t="s">
        <v>917</v>
      </c>
      <c r="B373" s="37" t="s">
        <v>5754</v>
      </c>
    </row>
    <row r="374" spans="1:2" x14ac:dyDescent="0.3">
      <c r="A374" s="37" t="s">
        <v>239</v>
      </c>
      <c r="B374" s="37" t="s">
        <v>238</v>
      </c>
    </row>
    <row r="375" spans="1:2" x14ac:dyDescent="0.3">
      <c r="A375" s="37" t="s">
        <v>1326</v>
      </c>
      <c r="B375" s="37" t="s">
        <v>1325</v>
      </c>
    </row>
    <row r="376" spans="1:2" x14ac:dyDescent="0.3">
      <c r="A376" s="37" t="s">
        <v>270</v>
      </c>
      <c r="B376" s="37" t="s">
        <v>269</v>
      </c>
    </row>
    <row r="377" spans="1:2" x14ac:dyDescent="0.3">
      <c r="A377" s="37" t="s">
        <v>1583</v>
      </c>
      <c r="B377" s="37" t="s">
        <v>1582</v>
      </c>
    </row>
    <row r="378" spans="1:2" x14ac:dyDescent="0.3">
      <c r="A378" s="37" t="s">
        <v>16</v>
      </c>
      <c r="B378" s="37" t="s">
        <v>15</v>
      </c>
    </row>
    <row r="379" spans="1:2" x14ac:dyDescent="0.3">
      <c r="A379" s="37" t="s">
        <v>735</v>
      </c>
      <c r="B379" s="37" t="s">
        <v>734</v>
      </c>
    </row>
    <row r="380" spans="1:2" x14ac:dyDescent="0.3">
      <c r="A380" s="37" t="s">
        <v>690</v>
      </c>
      <c r="B380" s="37" t="s">
        <v>5755</v>
      </c>
    </row>
    <row r="381" spans="1:2" x14ac:dyDescent="0.3">
      <c r="A381" s="37" t="s">
        <v>983</v>
      </c>
      <c r="B381" s="37" t="s">
        <v>5756</v>
      </c>
    </row>
    <row r="382" spans="1:2" x14ac:dyDescent="0.3">
      <c r="A382" s="37" t="s">
        <v>1741</v>
      </c>
      <c r="B382" s="37" t="s">
        <v>1740</v>
      </c>
    </row>
    <row r="383" spans="1:2" x14ac:dyDescent="0.3">
      <c r="A383" s="37" t="s">
        <v>923</v>
      </c>
      <c r="B383" s="37" t="s">
        <v>922</v>
      </c>
    </row>
    <row r="384" spans="1:2" x14ac:dyDescent="0.3">
      <c r="A384" s="37" t="s">
        <v>139</v>
      </c>
      <c r="B384" s="37" t="s">
        <v>5757</v>
      </c>
    </row>
    <row r="385" spans="1:2" x14ac:dyDescent="0.3">
      <c r="A385" s="37" t="s">
        <v>425</v>
      </c>
      <c r="B385" s="37" t="s">
        <v>5758</v>
      </c>
    </row>
    <row r="386" spans="1:2" x14ac:dyDescent="0.3">
      <c r="A386" s="37" t="s">
        <v>1715</v>
      </c>
      <c r="B386" s="37" t="s">
        <v>1714</v>
      </c>
    </row>
    <row r="387" spans="1:2" x14ac:dyDescent="0.3">
      <c r="A387" s="37" t="s">
        <v>1597</v>
      </c>
      <c r="B387" s="37" t="s">
        <v>1596</v>
      </c>
    </row>
    <row r="388" spans="1:2" x14ac:dyDescent="0.3">
      <c r="A388" s="37" t="s">
        <v>1493</v>
      </c>
      <c r="B388" s="37" t="s">
        <v>1492</v>
      </c>
    </row>
    <row r="389" spans="1:2" x14ac:dyDescent="0.3">
      <c r="A389" s="37" t="s">
        <v>1719</v>
      </c>
      <c r="B389" s="37" t="s">
        <v>5759</v>
      </c>
    </row>
    <row r="390" spans="1:2" x14ac:dyDescent="0.3">
      <c r="A390" s="37" t="s">
        <v>338</v>
      </c>
      <c r="B390" s="37" t="s">
        <v>337</v>
      </c>
    </row>
    <row r="391" spans="1:2" x14ac:dyDescent="0.3">
      <c r="A391" s="37" t="s">
        <v>1161</v>
      </c>
      <c r="B391" s="37" t="s">
        <v>5760</v>
      </c>
    </row>
    <row r="392" spans="1:2" x14ac:dyDescent="0.3">
      <c r="A392" s="37" t="s">
        <v>1158</v>
      </c>
      <c r="B392" s="37" t="s">
        <v>1157</v>
      </c>
    </row>
    <row r="393" spans="1:2" x14ac:dyDescent="0.3">
      <c r="A393" s="37" t="s">
        <v>1440</v>
      </c>
      <c r="B393" s="37" t="s">
        <v>1439</v>
      </c>
    </row>
    <row r="394" spans="1:2" x14ac:dyDescent="0.3">
      <c r="A394" s="37" t="s">
        <v>655</v>
      </c>
      <c r="B394" s="37" t="s">
        <v>654</v>
      </c>
    </row>
    <row r="395" spans="1:2" x14ac:dyDescent="0.3">
      <c r="A395" s="37" t="s">
        <v>1483</v>
      </c>
      <c r="B395" s="37" t="s">
        <v>1482</v>
      </c>
    </row>
    <row r="396" spans="1:2" x14ac:dyDescent="0.3">
      <c r="A396" s="37" t="s">
        <v>335</v>
      </c>
      <c r="B396" s="37" t="s">
        <v>334</v>
      </c>
    </row>
    <row r="397" spans="1:2" x14ac:dyDescent="0.3">
      <c r="A397" s="37" t="s">
        <v>1717</v>
      </c>
      <c r="B397" s="37" t="s">
        <v>1716</v>
      </c>
    </row>
    <row r="398" spans="1:2" x14ac:dyDescent="0.3">
      <c r="A398" s="37" t="s">
        <v>1659</v>
      </c>
      <c r="B398" s="37" t="s">
        <v>1658</v>
      </c>
    </row>
    <row r="399" spans="1:2" x14ac:dyDescent="0.3">
      <c r="A399" s="37" t="s">
        <v>108</v>
      </c>
      <c r="B399" s="37" t="s">
        <v>107</v>
      </c>
    </row>
    <row r="400" spans="1:2" x14ac:dyDescent="0.3">
      <c r="A400" s="37" t="s">
        <v>1734</v>
      </c>
      <c r="B400" s="37" t="s">
        <v>1733</v>
      </c>
    </row>
    <row r="401" spans="1:2" x14ac:dyDescent="0.3">
      <c r="A401" s="37" t="s">
        <v>1481</v>
      </c>
      <c r="B401" s="37" t="s">
        <v>1480</v>
      </c>
    </row>
    <row r="402" spans="1:2" x14ac:dyDescent="0.3">
      <c r="A402" s="37" t="s">
        <v>1199</v>
      </c>
      <c r="B402" s="37" t="s">
        <v>1198</v>
      </c>
    </row>
    <row r="403" spans="1:2" x14ac:dyDescent="0.3">
      <c r="A403" s="37" t="s">
        <v>1056</v>
      </c>
      <c r="B403" s="37" t="s">
        <v>1055</v>
      </c>
    </row>
    <row r="404" spans="1:2" x14ac:dyDescent="0.3">
      <c r="A404" s="37" t="s">
        <v>1754</v>
      </c>
      <c r="B404" s="37" t="s">
        <v>1753</v>
      </c>
    </row>
    <row r="405" spans="1:2" x14ac:dyDescent="0.3">
      <c r="A405" s="37" t="s">
        <v>1831</v>
      </c>
      <c r="B405" s="37" t="s">
        <v>1830</v>
      </c>
    </row>
    <row r="406" spans="1:2" x14ac:dyDescent="0.3">
      <c r="A406" s="37" t="s">
        <v>502</v>
      </c>
      <c r="B406" s="37" t="s">
        <v>501</v>
      </c>
    </row>
    <row r="407" spans="1:2" x14ac:dyDescent="0.3">
      <c r="A407" s="37" t="s">
        <v>1795</v>
      </c>
      <c r="B407" s="37" t="s">
        <v>1794</v>
      </c>
    </row>
    <row r="408" spans="1:2" x14ac:dyDescent="0.3">
      <c r="A408" s="37" t="s">
        <v>659</v>
      </c>
      <c r="B408" s="37" t="s">
        <v>658</v>
      </c>
    </row>
    <row r="409" spans="1:2" x14ac:dyDescent="0.3">
      <c r="A409" s="37" t="s">
        <v>1409</v>
      </c>
      <c r="B409" s="37" t="s">
        <v>1408</v>
      </c>
    </row>
    <row r="410" spans="1:2" x14ac:dyDescent="0.3">
      <c r="A410" s="37" t="s">
        <v>670</v>
      </c>
      <c r="B410" s="37" t="s">
        <v>5761</v>
      </c>
    </row>
    <row r="411" spans="1:2" x14ac:dyDescent="0.3">
      <c r="A411" s="37" t="s">
        <v>1291</v>
      </c>
      <c r="B411" s="37" t="s">
        <v>1290</v>
      </c>
    </row>
    <row r="412" spans="1:2" x14ac:dyDescent="0.3">
      <c r="A412" s="37" t="s">
        <v>1406</v>
      </c>
      <c r="B412" s="37" t="s">
        <v>1405</v>
      </c>
    </row>
    <row r="413" spans="1:2" x14ac:dyDescent="0.3">
      <c r="A413" s="37" t="s">
        <v>606</v>
      </c>
      <c r="B413" s="37" t="s">
        <v>605</v>
      </c>
    </row>
    <row r="414" spans="1:2" x14ac:dyDescent="0.3">
      <c r="A414" s="37" t="s">
        <v>1123</v>
      </c>
      <c r="B414" s="37" t="s">
        <v>1122</v>
      </c>
    </row>
    <row r="415" spans="1:2" x14ac:dyDescent="0.3">
      <c r="A415" s="37" t="s">
        <v>327</v>
      </c>
      <c r="B415" s="37" t="s">
        <v>326</v>
      </c>
    </row>
    <row r="416" spans="1:2" x14ac:dyDescent="0.3">
      <c r="A416" s="37" t="s">
        <v>152</v>
      </c>
      <c r="B416" s="37" t="s">
        <v>151</v>
      </c>
    </row>
    <row r="417" spans="1:2" x14ac:dyDescent="0.3">
      <c r="A417" s="37" t="s">
        <v>1808</v>
      </c>
      <c r="B417" s="37" t="s">
        <v>1807</v>
      </c>
    </row>
    <row r="418" spans="1:2" x14ac:dyDescent="0.3">
      <c r="A418" s="37" t="s">
        <v>1344</v>
      </c>
      <c r="B418" s="37" t="s">
        <v>1343</v>
      </c>
    </row>
    <row r="419" spans="1:2" x14ac:dyDescent="0.3">
      <c r="A419" s="37" t="s">
        <v>1669</v>
      </c>
      <c r="B419" s="37" t="s">
        <v>1668</v>
      </c>
    </row>
    <row r="420" spans="1:2" x14ac:dyDescent="0.3">
      <c r="A420" s="37" t="s">
        <v>1599</v>
      </c>
      <c r="B420" s="37" t="s">
        <v>1598</v>
      </c>
    </row>
    <row r="421" spans="1:2" x14ac:dyDescent="0.3">
      <c r="A421" s="37" t="s">
        <v>102</v>
      </c>
      <c r="B421" s="37" t="s">
        <v>101</v>
      </c>
    </row>
    <row r="422" spans="1:2" x14ac:dyDescent="0.3">
      <c r="A422" s="37" t="s">
        <v>850</v>
      </c>
      <c r="B422" s="37" t="s">
        <v>849</v>
      </c>
    </row>
    <row r="423" spans="1:2" x14ac:dyDescent="0.3">
      <c r="A423" s="37" t="s">
        <v>51</v>
      </c>
      <c r="B423" s="37" t="s">
        <v>5762</v>
      </c>
    </row>
    <row r="424" spans="1:2" x14ac:dyDescent="0.3">
      <c r="A424" s="37" t="s">
        <v>1314</v>
      </c>
      <c r="B424" s="37" t="s">
        <v>1313</v>
      </c>
    </row>
    <row r="425" spans="1:2" x14ac:dyDescent="0.3">
      <c r="A425" s="37" t="s">
        <v>510</v>
      </c>
      <c r="B425" s="37" t="s">
        <v>509</v>
      </c>
    </row>
    <row r="426" spans="1:2" x14ac:dyDescent="0.3">
      <c r="A426" s="37" t="s">
        <v>802</v>
      </c>
      <c r="B426" s="37" t="s">
        <v>801</v>
      </c>
    </row>
    <row r="427" spans="1:2" x14ac:dyDescent="0.3">
      <c r="A427" s="37" t="s">
        <v>1615</v>
      </c>
      <c r="B427" s="37" t="s">
        <v>1614</v>
      </c>
    </row>
    <row r="428" spans="1:2" x14ac:dyDescent="0.3">
      <c r="A428" s="37" t="s">
        <v>1092</v>
      </c>
      <c r="B428" s="37" t="s">
        <v>1091</v>
      </c>
    </row>
    <row r="429" spans="1:2" x14ac:dyDescent="0.3">
      <c r="A429" s="37" t="s">
        <v>722</v>
      </c>
      <c r="B429" s="37" t="s">
        <v>5763</v>
      </c>
    </row>
    <row r="430" spans="1:2" x14ac:dyDescent="0.3">
      <c r="A430" s="37" t="s">
        <v>1863</v>
      </c>
      <c r="B430" s="37" t="s">
        <v>5764</v>
      </c>
    </row>
    <row r="431" spans="1:2" x14ac:dyDescent="0.3">
      <c r="A431" s="37" t="s">
        <v>890</v>
      </c>
      <c r="B431" s="37" t="s">
        <v>889</v>
      </c>
    </row>
    <row r="432" spans="1:2" x14ac:dyDescent="0.3">
      <c r="A432" s="37" t="s">
        <v>1034</v>
      </c>
      <c r="B432" s="37" t="s">
        <v>1033</v>
      </c>
    </row>
    <row r="433" spans="1:2" x14ac:dyDescent="0.3">
      <c r="A433" s="37" t="s">
        <v>1595</v>
      </c>
      <c r="B433" s="37" t="s">
        <v>1594</v>
      </c>
    </row>
    <row r="434" spans="1:2" x14ac:dyDescent="0.3">
      <c r="A434" s="37" t="s">
        <v>206</v>
      </c>
      <c r="B434" s="37" t="s">
        <v>205</v>
      </c>
    </row>
    <row r="435" spans="1:2" x14ac:dyDescent="0.3">
      <c r="A435" s="37" t="s">
        <v>1051</v>
      </c>
      <c r="B435" s="37" t="s">
        <v>1050</v>
      </c>
    </row>
    <row r="436" spans="1:2" x14ac:dyDescent="0.3">
      <c r="A436" s="37" t="s">
        <v>447</v>
      </c>
      <c r="B436" s="37" t="s">
        <v>446</v>
      </c>
    </row>
    <row r="437" spans="1:2" x14ac:dyDescent="0.3">
      <c r="A437" s="37" t="s">
        <v>1064</v>
      </c>
      <c r="B437" s="37" t="s">
        <v>5765</v>
      </c>
    </row>
    <row r="438" spans="1:2" x14ac:dyDescent="0.3">
      <c r="A438" s="37" t="s">
        <v>1305</v>
      </c>
      <c r="B438" s="37" t="s">
        <v>1304</v>
      </c>
    </row>
    <row r="439" spans="1:2" x14ac:dyDescent="0.3">
      <c r="A439" s="37" t="s">
        <v>1259</v>
      </c>
      <c r="B439" s="37" t="s">
        <v>1258</v>
      </c>
    </row>
    <row r="440" spans="1:2" x14ac:dyDescent="0.3">
      <c r="A440" s="37" t="s">
        <v>1680</v>
      </c>
      <c r="B440" s="37" t="s">
        <v>1679</v>
      </c>
    </row>
    <row r="441" spans="1:2" x14ac:dyDescent="0.3">
      <c r="A441" s="37" t="s">
        <v>105</v>
      </c>
      <c r="B441" s="37" t="s">
        <v>104</v>
      </c>
    </row>
    <row r="442" spans="1:2" x14ac:dyDescent="0.3">
      <c r="A442" s="37" t="s">
        <v>1553</v>
      </c>
      <c r="B442" s="37" t="s">
        <v>5766</v>
      </c>
    </row>
    <row r="443" spans="1:2" x14ac:dyDescent="0.3">
      <c r="A443" s="37" t="s">
        <v>1657</v>
      </c>
      <c r="B443" s="37" t="s">
        <v>1656</v>
      </c>
    </row>
    <row r="444" spans="1:2" x14ac:dyDescent="0.3">
      <c r="A444" s="37" t="s">
        <v>1706</v>
      </c>
      <c r="B444" s="37" t="s">
        <v>1705</v>
      </c>
    </row>
    <row r="445" spans="1:2" x14ac:dyDescent="0.3">
      <c r="A445" s="37" t="s">
        <v>1451</v>
      </c>
      <c r="B445" s="37" t="s">
        <v>5767</v>
      </c>
    </row>
    <row r="446" spans="1:2" x14ac:dyDescent="0.3">
      <c r="A446" s="37" t="s">
        <v>904</v>
      </c>
      <c r="B446" s="37" t="s">
        <v>5768</v>
      </c>
    </row>
    <row r="447" spans="1:2" x14ac:dyDescent="0.3">
      <c r="A447" s="37" t="s">
        <v>1003</v>
      </c>
      <c r="B447" s="37" t="s">
        <v>1002</v>
      </c>
    </row>
    <row r="448" spans="1:2" x14ac:dyDescent="0.3">
      <c r="A448" s="37" t="s">
        <v>797</v>
      </c>
      <c r="B448" s="37" t="s">
        <v>796</v>
      </c>
    </row>
    <row r="449" spans="1:2" x14ac:dyDescent="0.3">
      <c r="A449" s="37" t="s">
        <v>942</v>
      </c>
      <c r="B449" s="37" t="s">
        <v>941</v>
      </c>
    </row>
    <row r="450" spans="1:2" x14ac:dyDescent="0.3">
      <c r="A450" s="37" t="s">
        <v>1687</v>
      </c>
      <c r="B450" s="37" t="s">
        <v>1686</v>
      </c>
    </row>
    <row r="451" spans="1:2" x14ac:dyDescent="0.3">
      <c r="A451" s="37" t="s">
        <v>1170</v>
      </c>
      <c r="B451" s="37" t="s">
        <v>1169</v>
      </c>
    </row>
    <row r="452" spans="1:2" x14ac:dyDescent="0.3">
      <c r="A452" s="37" t="s">
        <v>1476</v>
      </c>
      <c r="B452" s="37" t="s">
        <v>1475</v>
      </c>
    </row>
    <row r="453" spans="1:2" x14ac:dyDescent="0.3">
      <c r="A453" s="37" t="s">
        <v>1792</v>
      </c>
      <c r="B453" s="37" t="s">
        <v>1791</v>
      </c>
    </row>
    <row r="454" spans="1:2" x14ac:dyDescent="0.3">
      <c r="A454" s="37" t="s">
        <v>1781</v>
      </c>
      <c r="B454" s="37" t="s">
        <v>1780</v>
      </c>
    </row>
    <row r="455" spans="1:2" x14ac:dyDescent="0.3">
      <c r="A455" s="37" t="s">
        <v>1586</v>
      </c>
      <c r="B455" s="37" t="s">
        <v>1585</v>
      </c>
    </row>
    <row r="456" spans="1:2" x14ac:dyDescent="0.3">
      <c r="A456" s="37" t="s">
        <v>449</v>
      </c>
      <c r="B456" s="37" t="s">
        <v>448</v>
      </c>
    </row>
    <row r="457" spans="1:2" x14ac:dyDescent="0.3">
      <c r="A457" s="37" t="s">
        <v>57</v>
      </c>
      <c r="B457" s="37" t="s">
        <v>56</v>
      </c>
    </row>
    <row r="458" spans="1:2" x14ac:dyDescent="0.3">
      <c r="A458" s="37" t="s">
        <v>760</v>
      </c>
      <c r="B458" s="37" t="s">
        <v>759</v>
      </c>
    </row>
    <row r="459" spans="1:2" x14ac:dyDescent="0.3">
      <c r="A459" s="37" t="s">
        <v>1455</v>
      </c>
      <c r="B459" s="37" t="s">
        <v>1454</v>
      </c>
    </row>
    <row r="460" spans="1:2" x14ac:dyDescent="0.3">
      <c r="A460" s="37" t="s">
        <v>321</v>
      </c>
      <c r="B460" s="37" t="s">
        <v>320</v>
      </c>
    </row>
    <row r="461" spans="1:2" x14ac:dyDescent="0.3">
      <c r="A461" s="37" t="s">
        <v>1770</v>
      </c>
      <c r="B461" s="37" t="s">
        <v>1769</v>
      </c>
    </row>
    <row r="462" spans="1:2" x14ac:dyDescent="0.3">
      <c r="A462" s="37" t="s">
        <v>444</v>
      </c>
      <c r="B462" s="37" t="s">
        <v>443</v>
      </c>
    </row>
    <row r="463" spans="1:2" x14ac:dyDescent="0.3">
      <c r="A463" s="37" t="s">
        <v>649</v>
      </c>
      <c r="B463" s="37" t="s">
        <v>648</v>
      </c>
    </row>
    <row r="464" spans="1:2" x14ac:dyDescent="0.3">
      <c r="A464" s="37" t="s">
        <v>73</v>
      </c>
      <c r="B464" s="37" t="s">
        <v>72</v>
      </c>
    </row>
    <row r="465" spans="1:2" x14ac:dyDescent="0.3">
      <c r="A465" s="37" t="s">
        <v>1106</v>
      </c>
      <c r="B465" s="37" t="s">
        <v>5769</v>
      </c>
    </row>
    <row r="466" spans="1:2" x14ac:dyDescent="0.3">
      <c r="A466" s="37" t="s">
        <v>1730</v>
      </c>
      <c r="B466" s="37" t="s">
        <v>1729</v>
      </c>
    </row>
    <row r="467" spans="1:2" x14ac:dyDescent="0.3">
      <c r="A467" s="37" t="s">
        <v>1507</v>
      </c>
      <c r="B467" s="37" t="s">
        <v>1506</v>
      </c>
    </row>
    <row r="468" spans="1:2" x14ac:dyDescent="0.3">
      <c r="A468" s="37" t="s">
        <v>1426</v>
      </c>
      <c r="B468" s="37" t="s">
        <v>1425</v>
      </c>
    </row>
    <row r="469" spans="1:2" x14ac:dyDescent="0.3">
      <c r="A469" s="37" t="s">
        <v>227</v>
      </c>
      <c r="B469" s="37" t="s">
        <v>226</v>
      </c>
    </row>
    <row r="470" spans="1:2" x14ac:dyDescent="0.3">
      <c r="A470" s="37" t="s">
        <v>1779</v>
      </c>
      <c r="B470" s="37" t="s">
        <v>1778</v>
      </c>
    </row>
    <row r="471" spans="1:2" x14ac:dyDescent="0.3">
      <c r="A471" s="37" t="s">
        <v>1861</v>
      </c>
      <c r="B471" s="37" t="s">
        <v>1860</v>
      </c>
    </row>
    <row r="472" spans="1:2" x14ac:dyDescent="0.3">
      <c r="A472" s="37" t="s">
        <v>662</v>
      </c>
      <c r="B472" s="37" t="s">
        <v>661</v>
      </c>
    </row>
    <row r="473" spans="1:2" x14ac:dyDescent="0.3">
      <c r="A473" s="37" t="s">
        <v>1664</v>
      </c>
      <c r="B473" s="37" t="s">
        <v>1663</v>
      </c>
    </row>
    <row r="474" spans="1:2" x14ac:dyDescent="0.3">
      <c r="A474" s="37" t="s">
        <v>785</v>
      </c>
      <c r="B474" s="37" t="s">
        <v>784</v>
      </c>
    </row>
    <row r="475" spans="1:2" x14ac:dyDescent="0.3">
      <c r="A475" s="37" t="s">
        <v>158</v>
      </c>
      <c r="B475" s="37" t="s">
        <v>157</v>
      </c>
    </row>
    <row r="476" spans="1:2" x14ac:dyDescent="0.3">
      <c r="A476" s="37" t="s">
        <v>1732</v>
      </c>
      <c r="B476" s="37" t="s">
        <v>1731</v>
      </c>
    </row>
    <row r="477" spans="1:2" x14ac:dyDescent="0.3">
      <c r="A477" s="37" t="s">
        <v>221</v>
      </c>
      <c r="B477" s="37" t="s">
        <v>220</v>
      </c>
    </row>
    <row r="478" spans="1:2" x14ac:dyDescent="0.3">
      <c r="A478" s="37" t="s">
        <v>1857</v>
      </c>
      <c r="B478" s="37" t="s">
        <v>5770</v>
      </c>
    </row>
    <row r="479" spans="1:2" x14ac:dyDescent="0.3">
      <c r="A479" s="37" t="s">
        <v>1726</v>
      </c>
      <c r="B479" s="37" t="s">
        <v>1725</v>
      </c>
    </row>
    <row r="480" spans="1:2" x14ac:dyDescent="0.3">
      <c r="A480" s="37" t="s">
        <v>1020</v>
      </c>
      <c r="B480" s="37" t="s">
        <v>1019</v>
      </c>
    </row>
    <row r="481" spans="1:2" x14ac:dyDescent="0.3">
      <c r="A481" s="37" t="s">
        <v>1603</v>
      </c>
      <c r="B481" s="37" t="s">
        <v>1602</v>
      </c>
    </row>
    <row r="482" spans="1:2" x14ac:dyDescent="0.3">
      <c r="A482" s="37" t="s">
        <v>548</v>
      </c>
      <c r="B482" s="37" t="s">
        <v>547</v>
      </c>
    </row>
    <row r="483" spans="1:2" x14ac:dyDescent="0.3">
      <c r="A483" s="37" t="s">
        <v>1013</v>
      </c>
      <c r="B483" s="37" t="s">
        <v>1012</v>
      </c>
    </row>
    <row r="484" spans="1:2" x14ac:dyDescent="0.3">
      <c r="A484" s="37" t="s">
        <v>1154</v>
      </c>
      <c r="B484" s="37" t="s">
        <v>5771</v>
      </c>
    </row>
    <row r="485" spans="1:2" x14ac:dyDescent="0.3">
      <c r="A485" s="37" t="s">
        <v>1463</v>
      </c>
      <c r="B485" s="37" t="s">
        <v>1462</v>
      </c>
    </row>
    <row r="486" spans="1:2" x14ac:dyDescent="0.3">
      <c r="A486" s="37" t="s">
        <v>755</v>
      </c>
      <c r="B486" s="37" t="s">
        <v>754</v>
      </c>
    </row>
    <row r="487" spans="1:2" x14ac:dyDescent="0.3">
      <c r="A487" s="37" t="s">
        <v>1261</v>
      </c>
      <c r="B487" s="37" t="s">
        <v>5772</v>
      </c>
    </row>
    <row r="488" spans="1:2" x14ac:dyDescent="0.3">
      <c r="A488" s="37" t="s">
        <v>1760</v>
      </c>
      <c r="B488" s="37" t="s">
        <v>5773</v>
      </c>
    </row>
    <row r="489" spans="1:2" x14ac:dyDescent="0.3">
      <c r="A489" s="37" t="s">
        <v>1242</v>
      </c>
      <c r="B489" s="37" t="s">
        <v>1241</v>
      </c>
    </row>
    <row r="490" spans="1:2" x14ac:dyDescent="0.3">
      <c r="A490" s="37" t="s">
        <v>1750</v>
      </c>
      <c r="B490" s="37" t="s">
        <v>1749</v>
      </c>
    </row>
    <row r="491" spans="1:2" x14ac:dyDescent="0.3">
      <c r="A491" s="37" t="s">
        <v>1394</v>
      </c>
      <c r="B491" s="37" t="s">
        <v>1393</v>
      </c>
    </row>
    <row r="492" spans="1:2" x14ac:dyDescent="0.3">
      <c r="A492" s="37" t="s">
        <v>1248</v>
      </c>
      <c r="B492" s="37" t="s">
        <v>5774</v>
      </c>
    </row>
    <row r="493" spans="1:2" x14ac:dyDescent="0.3">
      <c r="A493" s="37" t="s">
        <v>313</v>
      </c>
      <c r="B493" s="37" t="s">
        <v>312</v>
      </c>
    </row>
    <row r="494" spans="1:2" x14ac:dyDescent="0.3">
      <c r="A494" s="37" t="s">
        <v>1531</v>
      </c>
      <c r="B494" s="37" t="s">
        <v>1530</v>
      </c>
    </row>
    <row r="495" spans="1:2" x14ac:dyDescent="0.3">
      <c r="A495" s="37" t="s">
        <v>1404</v>
      </c>
      <c r="B495" s="37" t="s">
        <v>5775</v>
      </c>
    </row>
    <row r="496" spans="1:2" x14ac:dyDescent="0.3">
      <c r="A496" s="37" t="s">
        <v>86</v>
      </c>
      <c r="B496" s="37" t="s">
        <v>85</v>
      </c>
    </row>
    <row r="497" spans="1:2" x14ac:dyDescent="0.3">
      <c r="A497" s="37" t="s">
        <v>1738</v>
      </c>
      <c r="B497" s="37" t="s">
        <v>1737</v>
      </c>
    </row>
    <row r="498" spans="1:2" x14ac:dyDescent="0.3">
      <c r="A498" s="37" t="s">
        <v>1814</v>
      </c>
      <c r="B498" s="37" t="s">
        <v>1813</v>
      </c>
    </row>
    <row r="499" spans="1:2" x14ac:dyDescent="0.3">
      <c r="A499" s="37" t="s">
        <v>1627</v>
      </c>
      <c r="B499" s="37" t="s">
        <v>1626</v>
      </c>
    </row>
    <row r="500" spans="1:2" x14ac:dyDescent="0.3">
      <c r="A500" s="37" t="s">
        <v>1631</v>
      </c>
      <c r="B500" s="37" t="s">
        <v>1630</v>
      </c>
    </row>
    <row r="501" spans="1:2" x14ac:dyDescent="0.3">
      <c r="A501" s="37" t="s">
        <v>1086</v>
      </c>
      <c r="B501" s="37" t="s">
        <v>1085</v>
      </c>
    </row>
    <row r="502" spans="1:2" x14ac:dyDescent="0.3">
      <c r="A502" s="37" t="s">
        <v>976</v>
      </c>
      <c r="B502" s="37" t="s">
        <v>975</v>
      </c>
    </row>
    <row r="503" spans="1:2" x14ac:dyDescent="0.3">
      <c r="A503" s="37" t="s">
        <v>678</v>
      </c>
      <c r="B503" s="37" t="s">
        <v>677</v>
      </c>
    </row>
    <row r="504" spans="1:2" x14ac:dyDescent="0.3">
      <c r="A504" s="37" t="s">
        <v>400</v>
      </c>
      <c r="B504" s="37" t="s">
        <v>399</v>
      </c>
    </row>
    <row r="505" spans="1:2" x14ac:dyDescent="0.3">
      <c r="A505" s="37" t="s">
        <v>1478</v>
      </c>
      <c r="B505" s="37" t="s">
        <v>1477</v>
      </c>
    </row>
    <row r="506" spans="1:2" x14ac:dyDescent="0.3">
      <c r="A506" s="37" t="s">
        <v>273</v>
      </c>
      <c r="B506" s="37" t="s">
        <v>272</v>
      </c>
    </row>
    <row r="507" spans="1:2" x14ac:dyDescent="0.3">
      <c r="A507" s="37" t="s">
        <v>236</v>
      </c>
      <c r="B507" s="37" t="s">
        <v>235</v>
      </c>
    </row>
    <row r="508" spans="1:2" x14ac:dyDescent="0.3">
      <c r="A508" s="37" t="s">
        <v>715</v>
      </c>
      <c r="B508" s="37" t="s">
        <v>714</v>
      </c>
    </row>
    <row r="509" spans="1:2" x14ac:dyDescent="0.3">
      <c r="A509" s="37" t="s">
        <v>1094</v>
      </c>
      <c r="B509" s="37" t="s">
        <v>1093</v>
      </c>
    </row>
    <row r="510" spans="1:2" x14ac:dyDescent="0.3">
      <c r="A510" s="37" t="s">
        <v>1843</v>
      </c>
      <c r="B510" s="37" t="s">
        <v>1842</v>
      </c>
    </row>
    <row r="511" spans="1:2" x14ac:dyDescent="0.3">
      <c r="A511" s="37" t="s">
        <v>1186</v>
      </c>
      <c r="B511" s="37" t="s">
        <v>5776</v>
      </c>
    </row>
    <row r="512" spans="1:2" x14ac:dyDescent="0.3">
      <c r="A512" s="37" t="s">
        <v>1557</v>
      </c>
      <c r="B512" s="37" t="s">
        <v>1556</v>
      </c>
    </row>
    <row r="513" spans="1:2" x14ac:dyDescent="0.3">
      <c r="A513" s="37" t="s">
        <v>1828</v>
      </c>
      <c r="B513" s="37" t="s">
        <v>1827</v>
      </c>
    </row>
    <row r="514" spans="1:2" x14ac:dyDescent="0.3">
      <c r="A514" s="37" t="s">
        <v>704</v>
      </c>
      <c r="B514" s="37" t="s">
        <v>703</v>
      </c>
    </row>
    <row r="515" spans="1:2" x14ac:dyDescent="0.3">
      <c r="A515" s="37" t="s">
        <v>1797</v>
      </c>
      <c r="B515" s="37" t="s">
        <v>1796</v>
      </c>
    </row>
    <row r="516" spans="1:2" x14ac:dyDescent="0.3">
      <c r="A516" s="37" t="s">
        <v>765</v>
      </c>
      <c r="B516" s="37" t="s">
        <v>764</v>
      </c>
    </row>
    <row r="517" spans="1:2" x14ac:dyDescent="0.3">
      <c r="A517" s="37" t="s">
        <v>1022</v>
      </c>
      <c r="B517" s="37" t="s">
        <v>1021</v>
      </c>
    </row>
    <row r="518" spans="1:2" x14ac:dyDescent="0.3">
      <c r="A518" s="37" t="s">
        <v>937</v>
      </c>
      <c r="B518" s="37" t="s">
        <v>5777</v>
      </c>
    </row>
    <row r="519" spans="1:2" x14ac:dyDescent="0.3">
      <c r="A519" s="37" t="s">
        <v>1110</v>
      </c>
      <c r="B519" s="37" t="s">
        <v>1109</v>
      </c>
    </row>
    <row r="520" spans="1:2" x14ac:dyDescent="0.3">
      <c r="A520" s="37" t="s">
        <v>1196</v>
      </c>
      <c r="B520" s="37" t="s">
        <v>1195</v>
      </c>
    </row>
    <row r="521" spans="1:2" x14ac:dyDescent="0.3">
      <c r="A521" s="37" t="s">
        <v>1276</v>
      </c>
      <c r="B521" s="37" t="s">
        <v>5778</v>
      </c>
    </row>
    <row r="522" spans="1:2" x14ac:dyDescent="0.3">
      <c r="A522" s="37" t="s">
        <v>753</v>
      </c>
      <c r="B522" s="37" t="s">
        <v>751</v>
      </c>
    </row>
    <row r="523" spans="1:2" x14ac:dyDescent="0.3">
      <c r="A523" s="37" t="s">
        <v>47</v>
      </c>
      <c r="B523" s="37" t="s">
        <v>5779</v>
      </c>
    </row>
    <row r="524" spans="1:2" x14ac:dyDescent="0.3">
      <c r="A524" s="37" t="s">
        <v>831</v>
      </c>
      <c r="B524" s="37" t="s">
        <v>830</v>
      </c>
    </row>
    <row r="525" spans="1:2" x14ac:dyDescent="0.3">
      <c r="A525" s="37" t="s">
        <v>1691</v>
      </c>
      <c r="B525" s="37" t="s">
        <v>1690</v>
      </c>
    </row>
    <row r="526" spans="1:2" x14ac:dyDescent="0.3">
      <c r="A526" s="37" t="s">
        <v>1177</v>
      </c>
      <c r="B526" s="37" t="s">
        <v>1176</v>
      </c>
    </row>
    <row r="527" spans="1:2" x14ac:dyDescent="0.3">
      <c r="A527" s="37" t="s">
        <v>149</v>
      </c>
      <c r="B527" s="37" t="s">
        <v>148</v>
      </c>
    </row>
    <row r="528" spans="1:2" x14ac:dyDescent="0.3">
      <c r="A528" s="37" t="s">
        <v>1636</v>
      </c>
      <c r="B528" s="37" t="s">
        <v>1635</v>
      </c>
    </row>
    <row r="529" spans="1:2" x14ac:dyDescent="0.3">
      <c r="A529" s="37" t="s">
        <v>1289</v>
      </c>
      <c r="B529" s="37" t="s">
        <v>1288</v>
      </c>
    </row>
    <row r="530" spans="1:2" x14ac:dyDescent="0.3">
      <c r="A530" s="37" t="s">
        <v>1442</v>
      </c>
      <c r="B530" s="37" t="s">
        <v>5780</v>
      </c>
    </row>
    <row r="531" spans="1:2" x14ac:dyDescent="0.3">
      <c r="A531" s="37" t="s">
        <v>1619</v>
      </c>
      <c r="B531" s="37" t="s">
        <v>1618</v>
      </c>
    </row>
    <row r="532" spans="1:2" x14ac:dyDescent="0.3">
      <c r="A532" s="37" t="s">
        <v>185</v>
      </c>
      <c r="B532" s="37" t="s">
        <v>184</v>
      </c>
    </row>
    <row r="533" spans="1:2" x14ac:dyDescent="0.3">
      <c r="A533" s="37" t="s">
        <v>1822</v>
      </c>
      <c r="B533" s="37" t="s">
        <v>5781</v>
      </c>
    </row>
    <row r="534" spans="1:2" x14ac:dyDescent="0.3">
      <c r="A534" s="37" t="s">
        <v>1422</v>
      </c>
      <c r="B534" s="37" t="s">
        <v>1421</v>
      </c>
    </row>
    <row r="535" spans="1:2" x14ac:dyDescent="0.3">
      <c r="A535" s="37" t="s">
        <v>839</v>
      </c>
      <c r="B535" s="37" t="s">
        <v>838</v>
      </c>
    </row>
    <row r="536" spans="1:2" x14ac:dyDescent="0.3">
      <c r="A536" s="37" t="s">
        <v>300</v>
      </c>
      <c r="B536" s="37" t="s">
        <v>299</v>
      </c>
    </row>
    <row r="537" spans="1:2" x14ac:dyDescent="0.3">
      <c r="A537" s="37" t="s">
        <v>54</v>
      </c>
      <c r="B537" s="37" t="s">
        <v>53</v>
      </c>
    </row>
    <row r="538" spans="1:2" x14ac:dyDescent="0.3">
      <c r="A538" s="37" t="s">
        <v>1623</v>
      </c>
      <c r="B538" s="37" t="s">
        <v>1622</v>
      </c>
    </row>
    <row r="539" spans="1:2" x14ac:dyDescent="0.3">
      <c r="A539" s="37" t="s">
        <v>351</v>
      </c>
      <c r="B539" s="37" t="s">
        <v>350</v>
      </c>
    </row>
    <row r="540" spans="1:2" x14ac:dyDescent="0.3">
      <c r="A540" s="37" t="s">
        <v>412</v>
      </c>
      <c r="B540" s="37" t="s">
        <v>411</v>
      </c>
    </row>
    <row r="541" spans="1:2" x14ac:dyDescent="0.3">
      <c r="A541" s="37" t="s">
        <v>962</v>
      </c>
      <c r="B541" s="37" t="s">
        <v>961</v>
      </c>
    </row>
    <row r="542" spans="1:2" x14ac:dyDescent="0.3">
      <c r="A542" s="37" t="s">
        <v>26</v>
      </c>
      <c r="B542" s="37" t="s">
        <v>25</v>
      </c>
    </row>
    <row r="543" spans="1:2" x14ac:dyDescent="0.3">
      <c r="A543" s="37" t="s">
        <v>972</v>
      </c>
      <c r="B543" s="37" t="s">
        <v>971</v>
      </c>
    </row>
    <row r="544" spans="1:2" x14ac:dyDescent="0.3">
      <c r="A544" s="37" t="s">
        <v>1303</v>
      </c>
      <c r="B544" s="37" t="s">
        <v>1302</v>
      </c>
    </row>
    <row r="545" spans="1:2" x14ac:dyDescent="0.3">
      <c r="A545" s="37" t="s">
        <v>1621</v>
      </c>
      <c r="B545" s="37" t="s">
        <v>1620</v>
      </c>
    </row>
    <row r="546" spans="1:2" x14ac:dyDescent="0.3">
      <c r="A546" s="37" t="s">
        <v>1505</v>
      </c>
      <c r="B546" s="37" t="s">
        <v>1504</v>
      </c>
    </row>
    <row r="547" spans="1:2" x14ac:dyDescent="0.3">
      <c r="A547" s="37" t="s">
        <v>1218</v>
      </c>
      <c r="B547" s="37" t="s">
        <v>1217</v>
      </c>
    </row>
    <row r="548" spans="1:2" x14ac:dyDescent="0.3">
      <c r="A548" s="37" t="s">
        <v>1453</v>
      </c>
      <c r="B548" s="37" t="s">
        <v>5782</v>
      </c>
    </row>
    <row r="549" spans="1:2" x14ac:dyDescent="0.3">
      <c r="A549" s="37" t="s">
        <v>1728</v>
      </c>
      <c r="B549" s="37" t="s">
        <v>1727</v>
      </c>
    </row>
    <row r="550" spans="1:2" x14ac:dyDescent="0.3">
      <c r="A550" s="37" t="s">
        <v>1437</v>
      </c>
      <c r="B550" s="37" t="s">
        <v>1436</v>
      </c>
    </row>
    <row r="551" spans="1:2" x14ac:dyDescent="0.3">
      <c r="A551" s="37" t="s">
        <v>460</v>
      </c>
      <c r="B551" s="37" t="s">
        <v>459</v>
      </c>
    </row>
    <row r="552" spans="1:2" x14ac:dyDescent="0.3">
      <c r="A552" s="37" t="s">
        <v>1689</v>
      </c>
      <c r="B552" s="37" t="s">
        <v>5783</v>
      </c>
    </row>
    <row r="553" spans="1:2" x14ac:dyDescent="0.3">
      <c r="A553" s="37" t="s">
        <v>197</v>
      </c>
      <c r="B553" s="37" t="s">
        <v>196</v>
      </c>
    </row>
    <row r="554" spans="1:2" x14ac:dyDescent="0.3">
      <c r="A554" s="37" t="s">
        <v>214</v>
      </c>
      <c r="B554" s="37" t="s">
        <v>213</v>
      </c>
    </row>
    <row r="555" spans="1:2" x14ac:dyDescent="0.3">
      <c r="A555" s="37" t="s">
        <v>251</v>
      </c>
      <c r="B555" s="37" t="s">
        <v>250</v>
      </c>
    </row>
    <row r="556" spans="1:2" x14ac:dyDescent="0.3">
      <c r="A556" s="37" t="s">
        <v>435</v>
      </c>
      <c r="B556" s="37" t="s">
        <v>434</v>
      </c>
    </row>
    <row r="557" spans="1:2" x14ac:dyDescent="0.3">
      <c r="A557" s="37" t="s">
        <v>896</v>
      </c>
      <c r="B557" s="37" t="s">
        <v>895</v>
      </c>
    </row>
    <row r="558" spans="1:2" x14ac:dyDescent="0.3">
      <c r="A558" s="37" t="s">
        <v>96</v>
      </c>
      <c r="B558" s="37" t="s">
        <v>95</v>
      </c>
    </row>
    <row r="559" spans="1:2" x14ac:dyDescent="0.3">
      <c r="A559" s="37" t="s">
        <v>769</v>
      </c>
      <c r="B559" s="37" t="s">
        <v>768</v>
      </c>
    </row>
    <row r="560" spans="1:2" x14ac:dyDescent="0.3">
      <c r="A560" s="37" t="s">
        <v>417</v>
      </c>
      <c r="B560" s="37" t="s">
        <v>416</v>
      </c>
    </row>
    <row r="561" spans="1:2" x14ac:dyDescent="0.3">
      <c r="A561" s="37" t="s">
        <v>1655</v>
      </c>
      <c r="B561" s="37" t="s">
        <v>1654</v>
      </c>
    </row>
    <row r="562" spans="1:2" x14ac:dyDescent="0.3">
      <c r="A562" s="37" t="s">
        <v>1851</v>
      </c>
      <c r="B562" s="37" t="s">
        <v>1850</v>
      </c>
    </row>
    <row r="563" spans="1:2" x14ac:dyDescent="0.3">
      <c r="A563" s="37" t="s">
        <v>515</v>
      </c>
      <c r="B563" s="37" t="s">
        <v>514</v>
      </c>
    </row>
    <row r="564" spans="1:2" x14ac:dyDescent="0.3">
      <c r="A564" s="37" t="s">
        <v>1695</v>
      </c>
      <c r="B564" s="37" t="s">
        <v>1694</v>
      </c>
    </row>
    <row r="565" spans="1:2" x14ac:dyDescent="0.3">
      <c r="A565" s="37" t="s">
        <v>1617</v>
      </c>
      <c r="B565" s="37" t="s">
        <v>5784</v>
      </c>
    </row>
    <row r="566" spans="1:2" x14ac:dyDescent="0.3">
      <c r="A566" s="37" t="s">
        <v>1713</v>
      </c>
      <c r="B566" s="37" t="s">
        <v>1712</v>
      </c>
    </row>
    <row r="567" spans="1:2" x14ac:dyDescent="0.3">
      <c r="A567" s="37" t="s">
        <v>1613</v>
      </c>
      <c r="B567" s="37" t="s">
        <v>1612</v>
      </c>
    </row>
    <row r="568" spans="1:2" x14ac:dyDescent="0.3">
      <c r="A568" s="37" t="s">
        <v>1581</v>
      </c>
      <c r="B568" s="37" t="s">
        <v>1580</v>
      </c>
    </row>
    <row r="569" spans="1:2" x14ac:dyDescent="0.3">
      <c r="A569" s="37" t="s">
        <v>438</v>
      </c>
      <c r="B569" s="37" t="s">
        <v>5785</v>
      </c>
    </row>
    <row r="570" spans="1:2" x14ac:dyDescent="0.3">
      <c r="A570" s="37" t="s">
        <v>1193</v>
      </c>
      <c r="B570" s="37" t="s">
        <v>1192</v>
      </c>
    </row>
    <row r="571" spans="1:2" x14ac:dyDescent="0.3">
      <c r="A571" s="37" t="s">
        <v>1571</v>
      </c>
      <c r="B571" s="37" t="s">
        <v>1570</v>
      </c>
    </row>
    <row r="572" spans="1:2" x14ac:dyDescent="0.3">
      <c r="A572" s="37" t="s">
        <v>1445</v>
      </c>
      <c r="B572" s="37" t="s">
        <v>1444</v>
      </c>
    </row>
    <row r="573" spans="1:2" x14ac:dyDescent="0.3">
      <c r="A573" s="37" t="s">
        <v>911</v>
      </c>
      <c r="B573" s="37" t="s">
        <v>910</v>
      </c>
    </row>
    <row r="574" spans="1:2" x14ac:dyDescent="0.3">
      <c r="A574" s="37" t="s">
        <v>454</v>
      </c>
      <c r="B574" s="37" t="s">
        <v>453</v>
      </c>
    </row>
    <row r="575" spans="1:2" x14ac:dyDescent="0.3">
      <c r="A575" s="37" t="s">
        <v>1210</v>
      </c>
      <c r="B575" s="37" t="s">
        <v>1209</v>
      </c>
    </row>
    <row r="576" spans="1:2" x14ac:dyDescent="0.3">
      <c r="A576" s="37" t="s">
        <v>1820</v>
      </c>
      <c r="B576" s="37" t="s">
        <v>1819</v>
      </c>
    </row>
    <row r="577" spans="1:2" x14ac:dyDescent="0.3">
      <c r="A577" s="37" t="s">
        <v>422</v>
      </c>
      <c r="B577" s="37" t="s">
        <v>421</v>
      </c>
    </row>
    <row r="578" spans="1:2" x14ac:dyDescent="0.3">
      <c r="A578" s="37" t="s">
        <v>1350</v>
      </c>
      <c r="B578" s="37" t="s">
        <v>1349</v>
      </c>
    </row>
    <row r="579" spans="1:2" x14ac:dyDescent="0.3">
      <c r="A579" s="37" t="s">
        <v>1001</v>
      </c>
      <c r="B579" s="37" t="s">
        <v>1000</v>
      </c>
    </row>
    <row r="580" spans="1:2" x14ac:dyDescent="0.3">
      <c r="A580" s="37" t="s">
        <v>194</v>
      </c>
      <c r="B580" s="37" t="s">
        <v>193</v>
      </c>
    </row>
    <row r="581" spans="1:2" x14ac:dyDescent="0.3">
      <c r="A581" s="37" t="s">
        <v>741</v>
      </c>
      <c r="B581" s="37" t="s">
        <v>740</v>
      </c>
    </row>
    <row r="582" spans="1:2" x14ac:dyDescent="0.3">
      <c r="A582" s="37" t="s">
        <v>1238</v>
      </c>
      <c r="B582" s="37" t="s">
        <v>5786</v>
      </c>
    </row>
    <row r="583" spans="1:2" x14ac:dyDescent="0.3">
      <c r="A583" s="37" t="s">
        <v>465</v>
      </c>
      <c r="B583" s="37" t="s">
        <v>464</v>
      </c>
    </row>
    <row r="584" spans="1:2" x14ac:dyDescent="0.3">
      <c r="A584" s="37" t="s">
        <v>1287</v>
      </c>
      <c r="B584" s="37" t="s">
        <v>1286</v>
      </c>
    </row>
    <row r="585" spans="1:2" x14ac:dyDescent="0.3">
      <c r="A585" s="37" t="s">
        <v>1355</v>
      </c>
      <c r="B585" s="37" t="s">
        <v>1354</v>
      </c>
    </row>
    <row r="586" spans="1:2" x14ac:dyDescent="0.3">
      <c r="A586" s="37" t="s">
        <v>1400</v>
      </c>
      <c r="B586" s="37" t="s">
        <v>1399</v>
      </c>
    </row>
    <row r="587" spans="1:2" x14ac:dyDescent="0.3">
      <c r="A587" s="37" t="s">
        <v>1412</v>
      </c>
      <c r="B587" s="37" t="s">
        <v>5787</v>
      </c>
    </row>
    <row r="588" spans="1:2" x14ac:dyDescent="0.3">
      <c r="A588" s="37" t="s">
        <v>550</v>
      </c>
      <c r="B588" s="37" t="s">
        <v>5788</v>
      </c>
    </row>
    <row r="589" spans="1:2" x14ac:dyDescent="0.3">
      <c r="A589" s="37" t="s">
        <v>1419</v>
      </c>
      <c r="B589" s="37" t="s">
        <v>1418</v>
      </c>
    </row>
    <row r="590" spans="1:2" x14ac:dyDescent="0.3">
      <c r="A590" s="37" t="s">
        <v>200</v>
      </c>
      <c r="B590" s="37" t="s">
        <v>199</v>
      </c>
    </row>
    <row r="591" spans="1:2" x14ac:dyDescent="0.3">
      <c r="A591" s="37" t="s">
        <v>1205</v>
      </c>
      <c r="B591" s="37" t="s">
        <v>1204</v>
      </c>
    </row>
    <row r="592" spans="1:2" x14ac:dyDescent="0.3">
      <c r="A592" s="37" t="s">
        <v>1229</v>
      </c>
      <c r="B592" s="37" t="s">
        <v>5789</v>
      </c>
    </row>
    <row r="593" spans="1:2" x14ac:dyDescent="0.3">
      <c r="A593" s="37" t="s">
        <v>1752</v>
      </c>
      <c r="B593" s="37" t="s">
        <v>1751</v>
      </c>
    </row>
    <row r="594" spans="1:2" x14ac:dyDescent="0.3">
      <c r="A594" s="37" t="s">
        <v>1671</v>
      </c>
      <c r="B594" s="37" t="s">
        <v>1670</v>
      </c>
    </row>
    <row r="595" spans="1:2" x14ac:dyDescent="0.3">
      <c r="A595" s="37" t="s">
        <v>1764</v>
      </c>
      <c r="B595" s="37" t="s">
        <v>1763</v>
      </c>
    </row>
    <row r="596" spans="1:2" x14ac:dyDescent="0.3">
      <c r="A596" s="37" t="s">
        <v>431</v>
      </c>
      <c r="B596" s="37" t="s">
        <v>430</v>
      </c>
    </row>
    <row r="597" spans="1:2" x14ac:dyDescent="0.3">
      <c r="A597" s="37" t="s">
        <v>1768</v>
      </c>
      <c r="B597" s="37" t="s">
        <v>1767</v>
      </c>
    </row>
    <row r="598" spans="1:2" x14ac:dyDescent="0.3">
      <c r="A598" s="37" t="s">
        <v>775</v>
      </c>
      <c r="B598" s="37" t="s">
        <v>774</v>
      </c>
    </row>
    <row r="599" spans="1:2" x14ac:dyDescent="0.3">
      <c r="A599" s="37" t="s">
        <v>609</v>
      </c>
      <c r="B599" s="37" t="s">
        <v>5790</v>
      </c>
    </row>
    <row r="600" spans="1:2" x14ac:dyDescent="0.3">
      <c r="A600" s="37" t="s">
        <v>1790</v>
      </c>
      <c r="B600" s="37" t="s">
        <v>1789</v>
      </c>
    </row>
    <row r="601" spans="1:2" x14ac:dyDescent="0.3">
      <c r="A601" s="37" t="s">
        <v>1491</v>
      </c>
      <c r="B601" s="37" t="s">
        <v>1490</v>
      </c>
    </row>
    <row r="602" spans="1:2" x14ac:dyDescent="0.3">
      <c r="A602" s="37" t="s">
        <v>1191</v>
      </c>
      <c r="B602" s="37" t="s">
        <v>1190</v>
      </c>
    </row>
    <row r="603" spans="1:2" x14ac:dyDescent="0.3">
      <c r="A603" s="37" t="s">
        <v>457</v>
      </c>
      <c r="B603" s="37" t="s">
        <v>456</v>
      </c>
    </row>
    <row r="604" spans="1:2" x14ac:dyDescent="0.3">
      <c r="A604" s="37" t="s">
        <v>1121</v>
      </c>
      <c r="B604" s="37" t="s">
        <v>1120</v>
      </c>
    </row>
    <row r="605" spans="1:2" x14ac:dyDescent="0.3">
      <c r="A605" s="37" t="s">
        <v>1474</v>
      </c>
      <c r="B605" s="37" t="s">
        <v>1473</v>
      </c>
    </row>
    <row r="606" spans="1:2" x14ac:dyDescent="0.3">
      <c r="A606" s="37" t="s">
        <v>318</v>
      </c>
      <c r="B606" s="37" t="s">
        <v>317</v>
      </c>
    </row>
    <row r="607" spans="1:2" x14ac:dyDescent="0.3">
      <c r="A607" s="37" t="s">
        <v>1417</v>
      </c>
      <c r="B607" s="37" t="s">
        <v>1416</v>
      </c>
    </row>
    <row r="608" spans="1:2" x14ac:dyDescent="0.3">
      <c r="A608" s="37" t="s">
        <v>859</v>
      </c>
      <c r="B608" s="37" t="s">
        <v>858</v>
      </c>
    </row>
    <row r="609" spans="1:2" x14ac:dyDescent="0.3">
      <c r="A609" s="37" t="s">
        <v>70</v>
      </c>
      <c r="B609" s="37" t="s">
        <v>69</v>
      </c>
    </row>
    <row r="610" spans="1:2" x14ac:dyDescent="0.3">
      <c r="A610" s="37" t="s">
        <v>1392</v>
      </c>
      <c r="B610" s="37" t="s">
        <v>1391</v>
      </c>
    </row>
    <row r="611" spans="1:2" x14ac:dyDescent="0.3">
      <c r="A611" s="37" t="s">
        <v>473</v>
      </c>
      <c r="B611" s="37" t="s">
        <v>1784</v>
      </c>
    </row>
    <row r="612" spans="1:2" x14ac:dyDescent="0.3">
      <c r="A612" s="37" t="s">
        <v>1515</v>
      </c>
      <c r="B612" s="37" t="s">
        <v>1514</v>
      </c>
    </row>
    <row r="613" spans="1:2" x14ac:dyDescent="0.3">
      <c r="A613" s="37" t="s">
        <v>985</v>
      </c>
      <c r="B613" s="37" t="s">
        <v>984</v>
      </c>
    </row>
    <row r="614" spans="1:2" x14ac:dyDescent="0.3">
      <c r="A614" s="37" t="s">
        <v>762</v>
      </c>
      <c r="B614" s="37" t="s">
        <v>761</v>
      </c>
    </row>
    <row r="615" spans="1:2" x14ac:dyDescent="0.3">
      <c r="A615" s="37" t="s">
        <v>1089</v>
      </c>
      <c r="B615" s="37" t="s">
        <v>1088</v>
      </c>
    </row>
    <row r="616" spans="1:2" x14ac:dyDescent="0.3">
      <c r="A616" s="37" t="s">
        <v>1646</v>
      </c>
      <c r="B616" s="37" t="s">
        <v>1645</v>
      </c>
    </row>
    <row r="617" spans="1:2" x14ac:dyDescent="0.3">
      <c r="A617" s="37" t="s">
        <v>1424</v>
      </c>
      <c r="B617" s="37" t="s">
        <v>1423</v>
      </c>
    </row>
    <row r="618" spans="1:2" x14ac:dyDescent="0.3">
      <c r="A618" s="37" t="s">
        <v>944</v>
      </c>
      <c r="B618" s="37" t="s">
        <v>943</v>
      </c>
    </row>
    <row r="619" spans="1:2" x14ac:dyDescent="0.3">
      <c r="A619" s="37" t="s">
        <v>934</v>
      </c>
      <c r="B619" s="37" t="s">
        <v>933</v>
      </c>
    </row>
    <row r="620" spans="1:2" x14ac:dyDescent="0.3">
      <c r="A620" s="37" t="s">
        <v>1812</v>
      </c>
      <c r="B620" s="37" t="s">
        <v>1811</v>
      </c>
    </row>
    <row r="621" spans="1:2" x14ac:dyDescent="0.3">
      <c r="A621" s="37" t="s">
        <v>311</v>
      </c>
      <c r="B621" s="37" t="s">
        <v>310</v>
      </c>
    </row>
    <row r="622" spans="1:2" x14ac:dyDescent="0.3">
      <c r="A622" s="37" t="s">
        <v>1174</v>
      </c>
      <c r="B622" s="37" t="s">
        <v>1173</v>
      </c>
    </row>
    <row r="623" spans="1:2" x14ac:dyDescent="0.3">
      <c r="A623" s="37" t="s">
        <v>1346</v>
      </c>
      <c r="B623" s="37" t="s">
        <v>1345</v>
      </c>
    </row>
    <row r="624" spans="1:2" x14ac:dyDescent="0.3">
      <c r="A624" s="37" t="s">
        <v>1328</v>
      </c>
      <c r="B624" s="37" t="s">
        <v>5791</v>
      </c>
    </row>
    <row r="625" spans="1:2" x14ac:dyDescent="0.3">
      <c r="A625" s="37" t="s">
        <v>646</v>
      </c>
      <c r="B625" s="37" t="s">
        <v>645</v>
      </c>
    </row>
    <row r="626" spans="1:2" x14ac:dyDescent="0.3">
      <c r="A626" s="37" t="s">
        <v>1629</v>
      </c>
      <c r="B626" s="37" t="s">
        <v>5792</v>
      </c>
    </row>
    <row r="627" spans="1:2" x14ac:dyDescent="0.3">
      <c r="A627" s="37" t="s">
        <v>39</v>
      </c>
      <c r="B627" s="37" t="s">
        <v>38</v>
      </c>
    </row>
    <row r="628" spans="1:2" x14ac:dyDescent="0.3">
      <c r="A628" s="37" t="s">
        <v>1348</v>
      </c>
      <c r="B628" s="37" t="s">
        <v>1347</v>
      </c>
    </row>
    <row r="629" spans="1:2" x14ac:dyDescent="0.3">
      <c r="A629" s="37" t="s">
        <v>1561</v>
      </c>
      <c r="B629" s="37" t="s">
        <v>1560</v>
      </c>
    </row>
    <row r="630" spans="1:2" x14ac:dyDescent="0.3">
      <c r="A630" s="37" t="s">
        <v>1081</v>
      </c>
      <c r="B630" s="37" t="s">
        <v>1080</v>
      </c>
    </row>
    <row r="631" spans="1:2" x14ac:dyDescent="0.3">
      <c r="A631" s="37" t="s">
        <v>1485</v>
      </c>
      <c r="B631" s="37" t="s">
        <v>1484</v>
      </c>
    </row>
    <row r="632" spans="1:2" x14ac:dyDescent="0.3">
      <c r="A632" s="37" t="s">
        <v>224</v>
      </c>
      <c r="B632" s="37" t="s">
        <v>223</v>
      </c>
    </row>
    <row r="633" spans="1:2" x14ac:dyDescent="0.3">
      <c r="A633" s="37" t="s">
        <v>1240</v>
      </c>
      <c r="B633" s="37" t="s">
        <v>1239</v>
      </c>
    </row>
    <row r="634" spans="1:2" x14ac:dyDescent="0.3">
      <c r="A634" s="37" t="s">
        <v>1697</v>
      </c>
      <c r="B634" s="37" t="s">
        <v>1696</v>
      </c>
    </row>
    <row r="635" spans="1:2" x14ac:dyDescent="0.3">
      <c r="A635" s="37" t="s">
        <v>1802</v>
      </c>
      <c r="B635" s="37" t="s">
        <v>1801</v>
      </c>
    </row>
    <row r="636" spans="1:2" x14ac:dyDescent="0.3">
      <c r="A636" s="37" t="s">
        <v>758</v>
      </c>
      <c r="B636" s="37" t="s">
        <v>5793</v>
      </c>
    </row>
    <row r="637" spans="1:2" x14ac:dyDescent="0.3">
      <c r="A637" s="37" t="s">
        <v>1601</v>
      </c>
      <c r="B637" s="37" t="s">
        <v>1600</v>
      </c>
    </row>
    <row r="638" spans="1:2" x14ac:dyDescent="0.3">
      <c r="A638" s="37" t="s">
        <v>1853</v>
      </c>
      <c r="B638" s="37" t="s">
        <v>1852</v>
      </c>
    </row>
    <row r="639" spans="1:2" x14ac:dyDescent="0.3">
      <c r="A639" s="37" t="s">
        <v>1168</v>
      </c>
      <c r="B639" s="37" t="s">
        <v>5794</v>
      </c>
    </row>
    <row r="640" spans="1:2" x14ac:dyDescent="0.3">
      <c r="A640" s="37" t="s">
        <v>182</v>
      </c>
      <c r="B640" s="37" t="s">
        <v>181</v>
      </c>
    </row>
    <row r="641" spans="1:2" x14ac:dyDescent="0.3">
      <c r="A641" s="37" t="s">
        <v>468</v>
      </c>
      <c r="B641" s="37" t="s">
        <v>467</v>
      </c>
    </row>
    <row r="642" spans="1:2" x14ac:dyDescent="0.3">
      <c r="A642" s="37" t="s">
        <v>1593</v>
      </c>
      <c r="B642" s="37" t="s">
        <v>1592</v>
      </c>
    </row>
    <row r="643" spans="1:2" x14ac:dyDescent="0.3">
      <c r="A643" s="37" t="s">
        <v>908</v>
      </c>
      <c r="B643" s="37" t="s">
        <v>907</v>
      </c>
    </row>
    <row r="644" spans="1:2" x14ac:dyDescent="0.3">
      <c r="A644" s="37" t="s">
        <v>1398</v>
      </c>
      <c r="B644" s="37" t="s">
        <v>1397</v>
      </c>
    </row>
    <row r="645" spans="1:2" x14ac:dyDescent="0.3">
      <c r="A645" s="37" t="s">
        <v>1060</v>
      </c>
      <c r="B645" s="37" t="s">
        <v>1059</v>
      </c>
    </row>
    <row r="646" spans="1:2" x14ac:dyDescent="0.3">
      <c r="A646" s="37" t="s">
        <v>1667</v>
      </c>
      <c r="B646" s="37" t="s">
        <v>1666</v>
      </c>
    </row>
    <row r="647" spans="1:2" x14ac:dyDescent="0.3">
      <c r="A647" s="37" t="s">
        <v>324</v>
      </c>
      <c r="B647" s="37" t="s">
        <v>323</v>
      </c>
    </row>
    <row r="648" spans="1:2" x14ac:dyDescent="0.3">
      <c r="A648" s="37" t="s">
        <v>1841</v>
      </c>
      <c r="B648" s="37" t="s">
        <v>1840</v>
      </c>
    </row>
    <row r="649" spans="1:2" x14ac:dyDescent="0.3">
      <c r="A649" s="37" t="s">
        <v>1470</v>
      </c>
      <c r="B649" s="37" t="s">
        <v>1469</v>
      </c>
    </row>
    <row r="650" spans="1:2" x14ac:dyDescent="0.3">
      <c r="A650" s="37" t="s">
        <v>893</v>
      </c>
      <c r="B650" s="37" t="s">
        <v>892</v>
      </c>
    </row>
    <row r="651" spans="1:2" x14ac:dyDescent="0.3">
      <c r="A651" s="37" t="s">
        <v>171</v>
      </c>
      <c r="B651" s="37" t="s">
        <v>170</v>
      </c>
    </row>
    <row r="652" spans="1:2" x14ac:dyDescent="0.3">
      <c r="A652" s="37" t="s">
        <v>1833</v>
      </c>
      <c r="B652" s="37" t="s">
        <v>1832</v>
      </c>
    </row>
    <row r="653" spans="1:2" x14ac:dyDescent="0.3">
      <c r="A653" s="37" t="s">
        <v>1777</v>
      </c>
      <c r="B653" s="37" t="s">
        <v>1776</v>
      </c>
    </row>
    <row r="654" spans="1:2" x14ac:dyDescent="0.3">
      <c r="A654" s="37" t="s">
        <v>428</v>
      </c>
      <c r="B654" s="37" t="s">
        <v>427</v>
      </c>
    </row>
    <row r="655" spans="1:2" x14ac:dyDescent="0.3">
      <c r="A655" s="37" t="s">
        <v>1131</v>
      </c>
      <c r="B655" s="37" t="s">
        <v>5795</v>
      </c>
    </row>
    <row r="656" spans="1:2" x14ac:dyDescent="0.3">
      <c r="A656" s="37" t="s">
        <v>1758</v>
      </c>
      <c r="B656" s="37" t="s">
        <v>1757</v>
      </c>
    </row>
    <row r="657" spans="1:2" x14ac:dyDescent="0.3">
      <c r="A657" s="37" t="s">
        <v>1101</v>
      </c>
      <c r="B657" s="37" t="s">
        <v>1100</v>
      </c>
    </row>
    <row r="658" spans="1:2" x14ac:dyDescent="0.3">
      <c r="A658" s="37" t="s">
        <v>1357</v>
      </c>
      <c r="B658" s="37" t="s">
        <v>1356</v>
      </c>
    </row>
    <row r="659" spans="1:2" x14ac:dyDescent="0.3">
      <c r="A659" s="37" t="s">
        <v>180</v>
      </c>
      <c r="B659" s="37" t="s">
        <v>179</v>
      </c>
    </row>
    <row r="660" spans="1:2" x14ac:dyDescent="0.3">
      <c r="A660" s="37" t="s">
        <v>992</v>
      </c>
      <c r="B660" s="37" t="s">
        <v>991</v>
      </c>
    </row>
    <row r="661" spans="1:2" x14ac:dyDescent="0.3">
      <c r="A661" s="37" t="s">
        <v>1648</v>
      </c>
      <c r="B661" s="37" t="s">
        <v>1647</v>
      </c>
    </row>
    <row r="662" spans="1:2" x14ac:dyDescent="0.3">
      <c r="A662" s="37" t="s">
        <v>1685</v>
      </c>
      <c r="B662" s="37" t="s">
        <v>1684</v>
      </c>
    </row>
    <row r="663" spans="1:2" x14ac:dyDescent="0.3">
      <c r="A663" s="37" t="s">
        <v>1610</v>
      </c>
      <c r="B663" s="37" t="s">
        <v>1609</v>
      </c>
    </row>
    <row r="664" spans="1:2" x14ac:dyDescent="0.3">
      <c r="A664" s="37" t="s">
        <v>267</v>
      </c>
      <c r="B664" s="37" t="s">
        <v>266</v>
      </c>
    </row>
    <row r="665" spans="1:2" x14ac:dyDescent="0.3">
      <c r="A665" s="37" t="s">
        <v>471</v>
      </c>
      <c r="B665" s="37" t="s">
        <v>2082</v>
      </c>
    </row>
    <row r="666" spans="1:2" x14ac:dyDescent="0.3">
      <c r="A666" s="37" t="s">
        <v>1499</v>
      </c>
      <c r="B666" s="37" t="s">
        <v>1498</v>
      </c>
    </row>
    <row r="667" spans="1:2" x14ac:dyDescent="0.3">
      <c r="A667" s="37" t="s">
        <v>1678</v>
      </c>
      <c r="B667" s="37" t="s">
        <v>1677</v>
      </c>
    </row>
    <row r="668" spans="1:2" x14ac:dyDescent="0.3">
      <c r="A668" s="37" t="s">
        <v>67</v>
      </c>
      <c r="B668" s="37" t="s">
        <v>66</v>
      </c>
    </row>
    <row r="669" spans="1:2" x14ac:dyDescent="0.3">
      <c r="A669" s="37" t="s">
        <v>816</v>
      </c>
      <c r="B669" s="37" t="s">
        <v>815</v>
      </c>
    </row>
    <row r="670" spans="1:2" x14ac:dyDescent="0.3">
      <c r="A670" s="37" t="s">
        <v>344</v>
      </c>
      <c r="B670" s="37" t="s">
        <v>343</v>
      </c>
    </row>
    <row r="671" spans="1:2" x14ac:dyDescent="0.3">
      <c r="A671" s="37" t="s">
        <v>739</v>
      </c>
      <c r="B671" s="37" t="s">
        <v>738</v>
      </c>
    </row>
    <row r="672" spans="1:2" x14ac:dyDescent="0.3">
      <c r="A672" s="37" t="s">
        <v>1709</v>
      </c>
      <c r="B672" s="37" t="s">
        <v>1708</v>
      </c>
    </row>
    <row r="673" spans="1:2" x14ac:dyDescent="0.3">
      <c r="A673" s="37" t="s">
        <v>1588</v>
      </c>
      <c r="B673" s="37" t="s">
        <v>1587</v>
      </c>
    </row>
    <row r="674" spans="1:2" x14ac:dyDescent="0.3">
      <c r="A674" s="37" t="s">
        <v>419</v>
      </c>
      <c r="B674" s="37" t="s">
        <v>418</v>
      </c>
    </row>
    <row r="675" spans="1:2" x14ac:dyDescent="0.3">
      <c r="A675" s="37" t="s">
        <v>80</v>
      </c>
      <c r="B675" s="37" t="s">
        <v>79</v>
      </c>
    </row>
    <row r="676" spans="1:2" x14ac:dyDescent="0.3">
      <c r="A676" s="37" t="s">
        <v>1605</v>
      </c>
      <c r="B676" s="37" t="s">
        <v>1604</v>
      </c>
    </row>
    <row r="677" spans="1:2" x14ac:dyDescent="0.3">
      <c r="A677" s="37" t="s">
        <v>296</v>
      </c>
      <c r="B677" s="37" t="s">
        <v>295</v>
      </c>
    </row>
    <row r="678" spans="1:2" x14ac:dyDescent="0.3">
      <c r="A678" s="37" t="s">
        <v>1428</v>
      </c>
      <c r="B678" s="37" t="s">
        <v>1427</v>
      </c>
    </row>
    <row r="679" spans="1:2" x14ac:dyDescent="0.3">
      <c r="A679" s="37" t="s">
        <v>1559</v>
      </c>
      <c r="B679" s="37" t="s">
        <v>1558</v>
      </c>
    </row>
    <row r="680" spans="1:2" x14ac:dyDescent="0.3">
      <c r="A680" s="37" t="s">
        <v>1736</v>
      </c>
      <c r="B680" s="37" t="s">
        <v>1735</v>
      </c>
    </row>
    <row r="681" spans="1:2" x14ac:dyDescent="0.3">
      <c r="A681" s="37" t="s">
        <v>1880</v>
      </c>
      <c r="B681" s="37" t="s">
        <v>1879</v>
      </c>
    </row>
    <row r="682" spans="1:2" x14ac:dyDescent="0.3">
      <c r="A682" s="37" t="s">
        <v>442</v>
      </c>
      <c r="B682" s="37" t="s">
        <v>441</v>
      </c>
    </row>
    <row r="683" spans="1:2" x14ac:dyDescent="0.3">
      <c r="A683" s="37" t="s">
        <v>1465</v>
      </c>
      <c r="B683" s="37" t="s">
        <v>1464</v>
      </c>
    </row>
    <row r="684" spans="1:2" x14ac:dyDescent="0.3">
      <c r="A684" s="37" t="s">
        <v>1330</v>
      </c>
      <c r="B684" s="37" t="s">
        <v>1329</v>
      </c>
    </row>
    <row r="685" spans="1:2" x14ac:dyDescent="0.3">
      <c r="A685" s="37" t="s">
        <v>1016</v>
      </c>
      <c r="B685" s="37" t="s">
        <v>1015</v>
      </c>
    </row>
    <row r="686" spans="1:2" x14ac:dyDescent="0.3">
      <c r="A686" s="37" t="s">
        <v>807</v>
      </c>
      <c r="B686" s="37" t="s">
        <v>806</v>
      </c>
    </row>
    <row r="687" spans="1:2" x14ac:dyDescent="0.3">
      <c r="A687" s="37" t="s">
        <v>950</v>
      </c>
      <c r="B687" s="37" t="s">
        <v>949</v>
      </c>
    </row>
    <row r="688" spans="1:2" x14ac:dyDescent="0.3">
      <c r="A688" s="37" t="s">
        <v>1543</v>
      </c>
      <c r="B688" s="37" t="s">
        <v>1542</v>
      </c>
    </row>
    <row r="689" spans="1:2" x14ac:dyDescent="0.3">
      <c r="A689" s="37" t="s">
        <v>191</v>
      </c>
      <c r="B689" s="37" t="s">
        <v>190</v>
      </c>
    </row>
    <row r="690" spans="1:2" x14ac:dyDescent="0.3">
      <c r="A690" s="37" t="s">
        <v>341</v>
      </c>
      <c r="B690" s="37" t="s">
        <v>340</v>
      </c>
    </row>
    <row r="691" spans="1:2" x14ac:dyDescent="0.3">
      <c r="A691" s="37" t="s">
        <v>1149</v>
      </c>
      <c r="B691" s="37" t="s">
        <v>1148</v>
      </c>
    </row>
    <row r="692" spans="1:2" x14ac:dyDescent="0.3">
      <c r="A692" s="37" t="s">
        <v>212</v>
      </c>
      <c r="B692" s="37" t="s">
        <v>211</v>
      </c>
    </row>
    <row r="693" spans="1:2" x14ac:dyDescent="0.3">
      <c r="A693" s="37" t="s">
        <v>19</v>
      </c>
      <c r="B693" s="37" t="s">
        <v>18</v>
      </c>
    </row>
    <row r="694" spans="1:2" x14ac:dyDescent="0.3">
      <c r="A694" s="37" t="s">
        <v>407</v>
      </c>
      <c r="B694" s="37" t="s">
        <v>406</v>
      </c>
    </row>
    <row r="695" spans="1:2" x14ac:dyDescent="0.3">
      <c r="A695" s="37" t="s">
        <v>1070</v>
      </c>
      <c r="B695" s="37" t="s">
        <v>1069</v>
      </c>
    </row>
    <row r="696" spans="1:2" x14ac:dyDescent="0.3">
      <c r="A696" s="37" t="s">
        <v>1207</v>
      </c>
      <c r="B696" s="37" t="s">
        <v>1206</v>
      </c>
    </row>
    <row r="697" spans="1:2" x14ac:dyDescent="0.3">
      <c r="A697" s="37" t="s">
        <v>262</v>
      </c>
      <c r="B697" s="37" t="s">
        <v>261</v>
      </c>
    </row>
    <row r="698" spans="1:2" x14ac:dyDescent="0.3">
      <c r="A698" s="37" t="s">
        <v>404</v>
      </c>
      <c r="B698" s="37" t="s">
        <v>403</v>
      </c>
    </row>
    <row r="699" spans="1:2" x14ac:dyDescent="0.3">
      <c r="A699" s="37" t="s">
        <v>381</v>
      </c>
      <c r="B699" s="37" t="s">
        <v>380</v>
      </c>
    </row>
    <row r="700" spans="1:2" x14ac:dyDescent="0.3">
      <c r="A700" s="37" t="s">
        <v>1172</v>
      </c>
      <c r="B700" s="37" t="s">
        <v>1171</v>
      </c>
    </row>
    <row r="701" spans="1:2" x14ac:dyDescent="0.3">
      <c r="A701" s="37" t="s">
        <v>1294</v>
      </c>
      <c r="B701" s="37" t="s">
        <v>1293</v>
      </c>
    </row>
    <row r="702" spans="1:2" x14ac:dyDescent="0.3">
      <c r="A702" s="37" t="s">
        <v>790</v>
      </c>
      <c r="B702" s="37" t="s">
        <v>789</v>
      </c>
    </row>
    <row r="703" spans="1:2" x14ac:dyDescent="0.3">
      <c r="A703" s="37" t="s">
        <v>1818</v>
      </c>
      <c r="B703" s="37" t="s">
        <v>1817</v>
      </c>
    </row>
    <row r="704" spans="1:2" x14ac:dyDescent="0.3">
      <c r="A704" s="37" t="s">
        <v>1468</v>
      </c>
      <c r="B704" s="37" t="s">
        <v>1467</v>
      </c>
    </row>
    <row r="705" spans="1:2" x14ac:dyDescent="0.3">
      <c r="A705" s="37" t="s">
        <v>370</v>
      </c>
      <c r="B705" s="37" t="s">
        <v>369</v>
      </c>
    </row>
    <row r="706" spans="1:2" x14ac:dyDescent="0.3">
      <c r="A706" s="37" t="s">
        <v>383</v>
      </c>
      <c r="B706" s="37" t="s">
        <v>382</v>
      </c>
    </row>
    <row r="707" spans="1:2" x14ac:dyDescent="0.3">
      <c r="A707" s="37" t="s">
        <v>1316</v>
      </c>
      <c r="B707" s="37" t="s">
        <v>1315</v>
      </c>
    </row>
    <row r="708" spans="1:2" x14ac:dyDescent="0.3">
      <c r="A708" s="37" t="s">
        <v>133</v>
      </c>
      <c r="B708" s="37" t="s">
        <v>132</v>
      </c>
    </row>
    <row r="709" spans="1:2" x14ac:dyDescent="0.3">
      <c r="A709" s="37" t="s">
        <v>114</v>
      </c>
      <c r="B709" s="37" t="s">
        <v>113</v>
      </c>
    </row>
    <row r="710" spans="1:2" x14ac:dyDescent="0.3">
      <c r="A710" s="37" t="s">
        <v>1548</v>
      </c>
      <c r="B710" s="37" t="s">
        <v>1547</v>
      </c>
    </row>
    <row r="711" spans="1:2" x14ac:dyDescent="0.3">
      <c r="A711" s="37" t="s">
        <v>906</v>
      </c>
      <c r="B711" s="37" t="s">
        <v>905</v>
      </c>
    </row>
    <row r="712" spans="1:2" x14ac:dyDescent="0.3">
      <c r="A712" s="37" t="s">
        <v>1607</v>
      </c>
      <c r="B712" s="37" t="s">
        <v>1606</v>
      </c>
    </row>
    <row r="713" spans="1:2" x14ac:dyDescent="0.3">
      <c r="A713" s="37" t="s">
        <v>1519</v>
      </c>
      <c r="B713" s="37" t="s">
        <v>1518</v>
      </c>
    </row>
    <row r="714" spans="1:2" x14ac:dyDescent="0.3">
      <c r="A714" s="37" t="s">
        <v>643</v>
      </c>
      <c r="B714" s="37" t="s">
        <v>642</v>
      </c>
    </row>
    <row r="715" spans="1:2" x14ac:dyDescent="0.3">
      <c r="A715" s="37" t="s">
        <v>1414</v>
      </c>
      <c r="B715" s="37" t="s">
        <v>1413</v>
      </c>
    </row>
    <row r="716" spans="1:2" x14ac:dyDescent="0.3">
      <c r="A716" s="37" t="s">
        <v>1018</v>
      </c>
      <c r="B716" s="37" t="s">
        <v>1017</v>
      </c>
    </row>
    <row r="717" spans="1:2" x14ac:dyDescent="0.3">
      <c r="A717" s="37" t="s">
        <v>836</v>
      </c>
      <c r="B717" s="37" t="s">
        <v>835</v>
      </c>
    </row>
    <row r="718" spans="1:2" x14ac:dyDescent="0.3">
      <c r="A718" s="37" t="s">
        <v>242</v>
      </c>
      <c r="B718" s="37" t="s">
        <v>241</v>
      </c>
    </row>
    <row r="719" spans="1:2" x14ac:dyDescent="0.3">
      <c r="A719" s="37" t="s">
        <v>640</v>
      </c>
      <c r="B719" s="37" t="s">
        <v>639</v>
      </c>
    </row>
    <row r="720" spans="1:2" x14ac:dyDescent="0.3">
      <c r="A720" s="37" t="s">
        <v>914</v>
      </c>
      <c r="B720" s="37" t="s">
        <v>913</v>
      </c>
    </row>
    <row r="721" spans="1:2" x14ac:dyDescent="0.3">
      <c r="A721" s="37" t="s">
        <v>1072</v>
      </c>
      <c r="B721" s="37" t="s">
        <v>1071</v>
      </c>
    </row>
    <row r="722" spans="1:2" x14ac:dyDescent="0.3">
      <c r="A722" s="37" t="s">
        <v>1704</v>
      </c>
      <c r="B722" s="37" t="s">
        <v>5796</v>
      </c>
    </row>
    <row r="723" spans="1:2" x14ac:dyDescent="0.3">
      <c r="A723" s="37" t="s">
        <v>169</v>
      </c>
      <c r="B723" s="37" t="s">
        <v>168</v>
      </c>
    </row>
    <row r="724" spans="1:2" x14ac:dyDescent="0.3">
      <c r="A724" s="37" t="s">
        <v>136</v>
      </c>
      <c r="B724" s="37" t="s">
        <v>135</v>
      </c>
    </row>
    <row r="725" spans="1:2" x14ac:dyDescent="0.3">
      <c r="A725" s="37" t="s">
        <v>1528</v>
      </c>
      <c r="B725" s="37" t="s">
        <v>1527</v>
      </c>
    </row>
    <row r="726" spans="1:2" x14ac:dyDescent="0.3">
      <c r="A726" s="37" t="s">
        <v>1526</v>
      </c>
      <c r="B726" s="37" t="s">
        <v>1525</v>
      </c>
    </row>
    <row r="727" spans="1:2" x14ac:dyDescent="0.3">
      <c r="A727" s="37" t="s">
        <v>699</v>
      </c>
      <c r="B727" s="37" t="s">
        <v>698</v>
      </c>
    </row>
    <row r="728" spans="1:2" x14ac:dyDescent="0.3">
      <c r="A728" s="37" t="s">
        <v>1296</v>
      </c>
      <c r="B728" s="37" t="s">
        <v>1295</v>
      </c>
    </row>
    <row r="729" spans="1:2" x14ac:dyDescent="0.3">
      <c r="A729" s="37" t="s">
        <v>451</v>
      </c>
      <c r="B729" s="37" t="s">
        <v>450</v>
      </c>
    </row>
    <row r="730" spans="1:2" x14ac:dyDescent="0.3">
      <c r="A730" s="37" t="s">
        <v>11</v>
      </c>
      <c r="B730" s="37" t="s">
        <v>10</v>
      </c>
    </row>
    <row r="731" spans="1:2" x14ac:dyDescent="0.3">
      <c r="A731" s="37" t="s">
        <v>561</v>
      </c>
      <c r="B731" s="37" t="s">
        <v>5797</v>
      </c>
    </row>
    <row r="732" spans="1:2" x14ac:dyDescent="0.3">
      <c r="A732" s="84" t="s">
        <v>513</v>
      </c>
      <c r="B732" s="37" t="s">
        <v>5798</v>
      </c>
    </row>
    <row r="733" spans="1:2" x14ac:dyDescent="0.3">
      <c r="A733" s="84" t="s">
        <v>1839</v>
      </c>
      <c r="B733" s="37" t="s">
        <v>5799</v>
      </c>
    </row>
    <row r="734" spans="1:2" x14ac:dyDescent="0.3">
      <c r="A734" s="84" t="s">
        <v>1836</v>
      </c>
      <c r="B734" s="37" t="s">
        <v>5800</v>
      </c>
    </row>
    <row r="735" spans="1:2" x14ac:dyDescent="0.3">
      <c r="A735" s="84" t="s">
        <v>1402</v>
      </c>
      <c r="B735" s="37" t="s">
        <v>5801</v>
      </c>
    </row>
    <row r="736" spans="1:2" x14ac:dyDescent="0.3">
      <c r="A736" s="37" t="s">
        <v>1702</v>
      </c>
      <c r="B736" s="37" t="s">
        <v>5802</v>
      </c>
    </row>
    <row r="737" spans="1:2" x14ac:dyDescent="0.3">
      <c r="A737" s="37" t="s">
        <v>1816</v>
      </c>
      <c r="B737" s="37" t="s">
        <v>5803</v>
      </c>
    </row>
    <row r="738" spans="1:2" x14ac:dyDescent="0.3">
      <c r="A738" s="37" t="s">
        <v>1743</v>
      </c>
      <c r="B738" s="37" t="s">
        <v>5804</v>
      </c>
    </row>
    <row r="739" spans="1:2" x14ac:dyDescent="0.3">
      <c r="A739" s="37" t="s">
        <v>1643</v>
      </c>
      <c r="B739" s="37" t="s">
        <v>5805</v>
      </c>
    </row>
    <row r="740" spans="1:2" x14ac:dyDescent="0.3">
      <c r="A740" s="85" t="s">
        <v>494</v>
      </c>
      <c r="B740" s="37" t="s">
        <v>5806</v>
      </c>
    </row>
    <row r="741" spans="1:2" x14ac:dyDescent="0.3">
      <c r="A741" s="37" t="s">
        <v>490</v>
      </c>
      <c r="B741" s="37" t="s">
        <v>489</v>
      </c>
    </row>
    <row r="742" spans="1:2" x14ac:dyDescent="0.3">
      <c r="A742" s="37" t="s">
        <v>486</v>
      </c>
      <c r="B742" s="37" t="s">
        <v>485</v>
      </c>
    </row>
    <row r="743" spans="1:2" x14ac:dyDescent="0.3">
      <c r="A743" s="37" t="s">
        <v>482</v>
      </c>
      <c r="B743" s="37" t="s">
        <v>481</v>
      </c>
    </row>
    <row r="744" spans="1:2" x14ac:dyDescent="0.3">
      <c r="A744" s="37" t="s">
        <v>478</v>
      </c>
      <c r="B744" s="37" t="s">
        <v>477</v>
      </c>
    </row>
  </sheetData>
  <conditionalFormatting sqref="A198 A592:A593 A602:A624 A627:A628 A639:A645 A658:A663 A702:A707">
    <cfRule type="cellIs" dxfId="1" priority="2" stopIfTrue="1" operator="equal">
      <formula>"Sabtu"</formula>
    </cfRule>
    <cfRule type="cellIs" dxfId="0" priority="3" stopIfTrue="1" operator="equal">
      <formula>"Minggu"</formula>
    </cfRule>
  </conditionalFormatting>
  <conditionalFormatting sqref="A702:A707 A658:A663 A627:A628 A639:A645 A602:A624 A592:A593 A198">
    <cfRule type="colorScale" priority="1">
      <colorScale>
        <cfvo type="num" val="2"/>
        <cfvo type="num" val="3"/>
        <cfvo type="num" val="4"/>
        <color rgb="FFFFFF00"/>
        <color rgb="FFFF0000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STOCK</vt:lpstr>
      <vt:lpstr>ALL TOKO (2)</vt:lpstr>
      <vt:lpstr>Sheet1</vt:lpstr>
      <vt:lpstr>Sheet4</vt:lpstr>
      <vt:lpstr>PERSONIL</vt:lpstr>
      <vt:lpstr>MASTER TOKO BALI</vt:lpstr>
      <vt:lpstr>JADWAL</vt:lpstr>
      <vt:lpstr>WILL TOKO SEP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IC-DENI</dc:creator>
  <cp:lastModifiedBy>GEAN PRATAMA ADIAKSA</cp:lastModifiedBy>
  <dcterms:created xsi:type="dcterms:W3CDTF">2026-08-20T00:41:26Z</dcterms:created>
  <dcterms:modified xsi:type="dcterms:W3CDTF">2026-08-30T10:51:31Z</dcterms:modified>
</cp:coreProperties>
</file>